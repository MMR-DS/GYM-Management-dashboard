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e45d441b0e54d816/Desktop/itvedant1/excel/PROJECT/"/>
    </mc:Choice>
  </mc:AlternateContent>
  <xr:revisionPtr revIDLastSave="1" documentId="8_{9F83C2BA-78A3-4270-A187-B1709339B0AF}" xr6:coauthVersionLast="47" xr6:coauthVersionMax="47" xr10:uidLastSave="{D0BEE4F1-F5DD-4806-8BF0-B0767D4A9D53}"/>
  <bookViews>
    <workbookView xWindow="-108" yWindow="-108" windowWidth="23256" windowHeight="12456" firstSheet="1" activeTab="1" xr2:uid="{2D30A909-BB04-4701-B724-6AA4B7462EE1}"/>
  </bookViews>
  <sheets>
    <sheet name="Sheet13" sheetId="13" state="hidden" r:id="rId1"/>
    <sheet name="DASH1" sheetId="6" r:id="rId2"/>
    <sheet name="DASH2" sheetId="10" r:id="rId3"/>
    <sheet name="RAW DATA" sheetId="12" r:id="rId4"/>
    <sheet name="AA" sheetId="1" state="hidden" r:id="rId5"/>
  </sheets>
  <definedNames>
    <definedName name="Slicer_Experience_Level">#N/A</definedName>
    <definedName name="Slicer_fitness_level">#N/A</definedName>
    <definedName name="Slicer_Gender">#N/A</definedName>
    <definedName name="Slicer_Gender1">#N/A</definedName>
    <definedName name="Slicer_Workout_Type">#N/A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41" i="1" l="1"/>
  <c r="C41" i="1"/>
  <c r="D41" i="1"/>
  <c r="E41" i="1"/>
  <c r="B41" i="1"/>
  <c r="B4" i="1"/>
  <c r="C4" i="1"/>
  <c r="D4" i="1"/>
  <c r="E4" i="1"/>
  <c r="B9" i="1" s="1"/>
  <c r="B10" i="1" s="1"/>
  <c r="F4" i="1"/>
  <c r="B19" i="1" s="1"/>
  <c r="G4" i="1"/>
  <c r="H4" i="1"/>
  <c r="Q8" i="12"/>
  <c r="Q9" i="12"/>
  <c r="Q10" i="12"/>
  <c r="Q11" i="12"/>
  <c r="Q12" i="12"/>
  <c r="Q13" i="12"/>
  <c r="Q14" i="12"/>
  <c r="Q15" i="12"/>
  <c r="Q16" i="12"/>
  <c r="Q17" i="12"/>
  <c r="Q18" i="12"/>
  <c r="Q19" i="12"/>
  <c r="Q20" i="12"/>
  <c r="Q21" i="12"/>
  <c r="Q22" i="12"/>
  <c r="Q23" i="12"/>
  <c r="Q24" i="12"/>
  <c r="Q25" i="12"/>
  <c r="Q26" i="12"/>
  <c r="Q27" i="12"/>
  <c r="Q28" i="12"/>
  <c r="Q29" i="12"/>
  <c r="Q30" i="12"/>
  <c r="Q31" i="12"/>
  <c r="Q32" i="12"/>
  <c r="Q33" i="12"/>
  <c r="Q34" i="12"/>
  <c r="Q35" i="12"/>
  <c r="Q36" i="12"/>
  <c r="Q37" i="12"/>
  <c r="Q38" i="12"/>
  <c r="Q39" i="12"/>
  <c r="Q40" i="12"/>
  <c r="Q41" i="12"/>
  <c r="Q42" i="12"/>
  <c r="Q43" i="12"/>
  <c r="Q44" i="12"/>
  <c r="Q45" i="12"/>
  <c r="Q46" i="12"/>
  <c r="Q47" i="12"/>
  <c r="Q48" i="12"/>
  <c r="Q49" i="12"/>
  <c r="Q50" i="12"/>
  <c r="Q51" i="12"/>
  <c r="Q52" i="12"/>
  <c r="Q53" i="12"/>
  <c r="Q54" i="12"/>
  <c r="Q55" i="12"/>
  <c r="Q56" i="12"/>
  <c r="Q57" i="12"/>
  <c r="Q58" i="12"/>
  <c r="Q59" i="12"/>
  <c r="Q60" i="12"/>
  <c r="Q61" i="12"/>
  <c r="Q62" i="12"/>
  <c r="Q63" i="12"/>
  <c r="Q64" i="12"/>
  <c r="Q65" i="12"/>
  <c r="Q66" i="12"/>
  <c r="Q67" i="12"/>
  <c r="Q68" i="12"/>
  <c r="Q69" i="12"/>
  <c r="Q70" i="12"/>
  <c r="Q71" i="12"/>
  <c r="Q72" i="12"/>
  <c r="Q73" i="12"/>
  <c r="Q74" i="12"/>
  <c r="Q75" i="12"/>
  <c r="Q76" i="12"/>
  <c r="Q77" i="12"/>
  <c r="Q78" i="12"/>
  <c r="Q79" i="12"/>
  <c r="Q80" i="12"/>
  <c r="Q81" i="12"/>
  <c r="Q82" i="12"/>
  <c r="Q83" i="12"/>
  <c r="Q84" i="12"/>
  <c r="Q85" i="12"/>
  <c r="Q86" i="12"/>
  <c r="Q87" i="12"/>
  <c r="Q88" i="12"/>
  <c r="Q89" i="12"/>
  <c r="Q90" i="12"/>
  <c r="Q91" i="12"/>
  <c r="Q92" i="12"/>
  <c r="Q93" i="12"/>
  <c r="Q94" i="12"/>
  <c r="Q95" i="12"/>
  <c r="Q96" i="12"/>
  <c r="Q97" i="12"/>
  <c r="Q98" i="12"/>
  <c r="Q99" i="12"/>
  <c r="Q100" i="12"/>
  <c r="Q101" i="12"/>
  <c r="Q102" i="12"/>
  <c r="Q103" i="12"/>
  <c r="Q104" i="12"/>
  <c r="Q105" i="12"/>
  <c r="Q106" i="12"/>
  <c r="Q107" i="12"/>
  <c r="Q108" i="12"/>
  <c r="Q109" i="12"/>
  <c r="Q110" i="12"/>
  <c r="Q111" i="12"/>
  <c r="Q112" i="12"/>
  <c r="Q113" i="12"/>
  <c r="Q114" i="12"/>
  <c r="Q115" i="12"/>
  <c r="Q116" i="12"/>
  <c r="Q117" i="12"/>
  <c r="Q118" i="12"/>
  <c r="Q119" i="12"/>
  <c r="Q120" i="12"/>
  <c r="Q121" i="12"/>
  <c r="Q122" i="12"/>
  <c r="Q123" i="12"/>
  <c r="Q124" i="12"/>
  <c r="Q125" i="12"/>
  <c r="Q126" i="12"/>
  <c r="Q127" i="12"/>
  <c r="Q128" i="12"/>
  <c r="Q129" i="12"/>
  <c r="Q130" i="12"/>
  <c r="Q131" i="12"/>
  <c r="Q132" i="12"/>
  <c r="Q133" i="12"/>
  <c r="Q134" i="12"/>
  <c r="Q135" i="12"/>
  <c r="Q136" i="12"/>
  <c r="Q137" i="12"/>
  <c r="Q138" i="12"/>
  <c r="Q139" i="12"/>
  <c r="Q140" i="12"/>
  <c r="Q141" i="12"/>
  <c r="Q142" i="12"/>
  <c r="Q143" i="12"/>
  <c r="Q144" i="12"/>
  <c r="Q145" i="12"/>
  <c r="Q146" i="12"/>
  <c r="Q147" i="12"/>
  <c r="Q148" i="12"/>
  <c r="Q149" i="12"/>
  <c r="Q150" i="12"/>
  <c r="Q151" i="12"/>
  <c r="Q152" i="12"/>
  <c r="Q153" i="12"/>
  <c r="Q154" i="12"/>
  <c r="Q155" i="12"/>
  <c r="Q156" i="12"/>
  <c r="Q157" i="12"/>
  <c r="Q158" i="12"/>
  <c r="Q159" i="12"/>
  <c r="Q160" i="12"/>
  <c r="Q161" i="12"/>
  <c r="Q162" i="12"/>
  <c r="Q163" i="12"/>
  <c r="Q164" i="12"/>
  <c r="Q165" i="12"/>
  <c r="Q166" i="12"/>
  <c r="Q167" i="12"/>
  <c r="Q168" i="12"/>
  <c r="Q169" i="12"/>
  <c r="Q170" i="12"/>
  <c r="Q171" i="12"/>
  <c r="Q172" i="12"/>
  <c r="Q173" i="12"/>
  <c r="Q174" i="12"/>
  <c r="Q175" i="12"/>
  <c r="Q176" i="12"/>
  <c r="Q177" i="12"/>
  <c r="Q178" i="12"/>
  <c r="Q179" i="12"/>
  <c r="Q180" i="12"/>
  <c r="Q181" i="12"/>
  <c r="Q182" i="12"/>
  <c r="Q183" i="12"/>
  <c r="Q184" i="12"/>
  <c r="Q185" i="12"/>
  <c r="Q186" i="12"/>
  <c r="Q187" i="12"/>
  <c r="Q188" i="12"/>
  <c r="Q189" i="12"/>
  <c r="Q190" i="12"/>
  <c r="Q191" i="12"/>
  <c r="Q192" i="12"/>
  <c r="Q193" i="12"/>
  <c r="Q194" i="12"/>
  <c r="Q195" i="12"/>
  <c r="Q196" i="12"/>
  <c r="Q197" i="12"/>
  <c r="Q198" i="12"/>
  <c r="Q199" i="12"/>
  <c r="Q200" i="12"/>
  <c r="Q201" i="12"/>
  <c r="Q202" i="12"/>
  <c r="Q203" i="12"/>
  <c r="Q204" i="12"/>
  <c r="Q205" i="12"/>
  <c r="Q206" i="12"/>
  <c r="Q207" i="12"/>
  <c r="Q208" i="12"/>
  <c r="Q209" i="12"/>
  <c r="Q210" i="12"/>
  <c r="Q211" i="12"/>
  <c r="Q212" i="12"/>
  <c r="Q213" i="12"/>
  <c r="Q214" i="12"/>
  <c r="Q215" i="12"/>
  <c r="Q216" i="12"/>
  <c r="Q217" i="12"/>
  <c r="Q218" i="12"/>
  <c r="Q219" i="12"/>
  <c r="Q220" i="12"/>
  <c r="Q221" i="12"/>
  <c r="Q222" i="12"/>
  <c r="Q223" i="12"/>
  <c r="Q224" i="12"/>
  <c r="Q225" i="12"/>
  <c r="Q226" i="12"/>
  <c r="Q227" i="12"/>
  <c r="Q228" i="12"/>
  <c r="Q229" i="12"/>
  <c r="Q230" i="12"/>
  <c r="Q231" i="12"/>
  <c r="Q232" i="12"/>
  <c r="Q233" i="12"/>
  <c r="Q234" i="12"/>
  <c r="Q235" i="12"/>
  <c r="Q236" i="12"/>
  <c r="Q237" i="12"/>
  <c r="Q238" i="12"/>
  <c r="Q239" i="12"/>
  <c r="Q240" i="12"/>
  <c r="Q241" i="12"/>
  <c r="Q242" i="12"/>
  <c r="Q243" i="12"/>
  <c r="Q244" i="12"/>
  <c r="Q245" i="12"/>
  <c r="Q246" i="12"/>
  <c r="Q247" i="12"/>
  <c r="Q248" i="12"/>
  <c r="Q249" i="12"/>
  <c r="Q250" i="12"/>
  <c r="Q251" i="12"/>
  <c r="Q252" i="12"/>
  <c r="Q253" i="12"/>
  <c r="Q254" i="12"/>
  <c r="Q255" i="12"/>
  <c r="Q256" i="12"/>
  <c r="Q257" i="12"/>
  <c r="Q258" i="12"/>
  <c r="Q259" i="12"/>
  <c r="Q260" i="12"/>
  <c r="Q261" i="12"/>
  <c r="Q262" i="12"/>
  <c r="Q263" i="12"/>
  <c r="Q264" i="12"/>
  <c r="Q265" i="12"/>
  <c r="Q266" i="12"/>
  <c r="Q267" i="12"/>
  <c r="Q268" i="12"/>
  <c r="Q269" i="12"/>
  <c r="Q270" i="12"/>
  <c r="Q271" i="12"/>
  <c r="Q272" i="12"/>
  <c r="Q273" i="12"/>
  <c r="Q274" i="12"/>
  <c r="Q275" i="12"/>
  <c r="Q276" i="12"/>
  <c r="Q277" i="12"/>
  <c r="Q278" i="12"/>
  <c r="Q279" i="12"/>
  <c r="Q280" i="12"/>
  <c r="Q281" i="12"/>
  <c r="Q282" i="12"/>
  <c r="Q283" i="12"/>
  <c r="Q284" i="12"/>
  <c r="Q285" i="12"/>
  <c r="Q286" i="12"/>
  <c r="Q287" i="12"/>
  <c r="Q288" i="12"/>
  <c r="Q289" i="12"/>
  <c r="Q290" i="12"/>
  <c r="Q291" i="12"/>
  <c r="Q292" i="12"/>
  <c r="Q293" i="12"/>
  <c r="Q294" i="12"/>
  <c r="Q295" i="12"/>
  <c r="Q296" i="12"/>
  <c r="Q297" i="12"/>
  <c r="Q298" i="12"/>
  <c r="Q299" i="12"/>
  <c r="Q300" i="12"/>
  <c r="Q301" i="12"/>
  <c r="Q302" i="12"/>
  <c r="Q303" i="12"/>
  <c r="Q304" i="12"/>
  <c r="Q305" i="12"/>
  <c r="Q306" i="12"/>
  <c r="Q307" i="12"/>
  <c r="Q308" i="12"/>
  <c r="Q309" i="12"/>
  <c r="Q310" i="12"/>
  <c r="Q311" i="12"/>
  <c r="Q312" i="12"/>
  <c r="Q313" i="12"/>
  <c r="Q314" i="12"/>
  <c r="Q315" i="12"/>
  <c r="Q316" i="12"/>
  <c r="Q317" i="12"/>
  <c r="Q318" i="12"/>
  <c r="Q319" i="12"/>
  <c r="Q320" i="12"/>
  <c r="Q321" i="12"/>
  <c r="Q322" i="12"/>
  <c r="Q323" i="12"/>
  <c r="Q324" i="12"/>
  <c r="Q325" i="12"/>
  <c r="Q326" i="12"/>
  <c r="Q327" i="12"/>
  <c r="Q328" i="12"/>
  <c r="Q329" i="12"/>
  <c r="Q330" i="12"/>
  <c r="Q331" i="12"/>
  <c r="Q332" i="12"/>
  <c r="Q333" i="12"/>
  <c r="Q334" i="12"/>
  <c r="Q335" i="12"/>
  <c r="Q336" i="12"/>
  <c r="Q337" i="12"/>
  <c r="Q338" i="12"/>
  <c r="Q339" i="12"/>
  <c r="Q340" i="12"/>
  <c r="Q341" i="12"/>
  <c r="Q342" i="12"/>
  <c r="Q343" i="12"/>
  <c r="Q344" i="12"/>
  <c r="Q345" i="12"/>
  <c r="Q346" i="12"/>
  <c r="Q347" i="12"/>
  <c r="Q348" i="12"/>
  <c r="Q349" i="12"/>
  <c r="Q350" i="12"/>
  <c r="Q351" i="12"/>
  <c r="Q352" i="12"/>
  <c r="Q353" i="12"/>
  <c r="Q354" i="12"/>
  <c r="Q355" i="12"/>
  <c r="Q356" i="12"/>
  <c r="Q357" i="12"/>
  <c r="Q358" i="12"/>
  <c r="Q359" i="12"/>
  <c r="Q360" i="12"/>
  <c r="Q361" i="12"/>
  <c r="Q362" i="12"/>
  <c r="Q363" i="12"/>
  <c r="Q364" i="12"/>
  <c r="Q365" i="12"/>
  <c r="Q366" i="12"/>
  <c r="Q367" i="12"/>
  <c r="Q368" i="12"/>
  <c r="Q369" i="12"/>
  <c r="Q370" i="12"/>
  <c r="Q371" i="12"/>
  <c r="Q372" i="12"/>
  <c r="Q373" i="12"/>
  <c r="Q374" i="12"/>
  <c r="Q375" i="12"/>
  <c r="Q376" i="12"/>
  <c r="Q377" i="12"/>
  <c r="Q378" i="12"/>
  <c r="Q379" i="12"/>
  <c r="Q380" i="12"/>
  <c r="Q381" i="12"/>
  <c r="Q382" i="12"/>
  <c r="Q383" i="12"/>
  <c r="Q384" i="12"/>
  <c r="Q385" i="12"/>
  <c r="Q386" i="12"/>
  <c r="Q387" i="12"/>
  <c r="Q388" i="12"/>
  <c r="Q389" i="12"/>
  <c r="Q390" i="12"/>
  <c r="Q391" i="12"/>
  <c r="Q392" i="12"/>
  <c r="Q393" i="12"/>
  <c r="Q394" i="12"/>
  <c r="Q395" i="12"/>
  <c r="Q396" i="12"/>
  <c r="Q397" i="12"/>
  <c r="Q398" i="12"/>
  <c r="Q399" i="12"/>
  <c r="Q400" i="12"/>
  <c r="Q401" i="12"/>
  <c r="Q402" i="12"/>
  <c r="Q403" i="12"/>
  <c r="Q404" i="12"/>
  <c r="Q405" i="12"/>
  <c r="Q406" i="12"/>
  <c r="Q407" i="12"/>
  <c r="Q408" i="12"/>
  <c r="Q409" i="12"/>
  <c r="Q410" i="12"/>
  <c r="Q411" i="12"/>
  <c r="Q412" i="12"/>
  <c r="Q413" i="12"/>
  <c r="Q414" i="12"/>
  <c r="Q415" i="12"/>
  <c r="Q416" i="12"/>
  <c r="Q417" i="12"/>
  <c r="Q418" i="12"/>
  <c r="Q419" i="12"/>
  <c r="Q420" i="12"/>
  <c r="Q421" i="12"/>
  <c r="Q422" i="12"/>
  <c r="Q423" i="12"/>
  <c r="Q424" i="12"/>
  <c r="Q425" i="12"/>
  <c r="Q426" i="12"/>
  <c r="Q427" i="12"/>
  <c r="Q428" i="12"/>
  <c r="Q429" i="12"/>
  <c r="Q430" i="12"/>
  <c r="Q431" i="12"/>
  <c r="Q432" i="12"/>
  <c r="Q433" i="12"/>
  <c r="Q434" i="12"/>
  <c r="Q435" i="12"/>
  <c r="Q436" i="12"/>
  <c r="Q437" i="12"/>
  <c r="Q438" i="12"/>
  <c r="Q439" i="12"/>
  <c r="Q440" i="12"/>
  <c r="Q441" i="12"/>
  <c r="Q442" i="12"/>
  <c r="Q443" i="12"/>
  <c r="Q444" i="12"/>
  <c r="Q445" i="12"/>
  <c r="Q446" i="12"/>
  <c r="Q447" i="12"/>
  <c r="Q448" i="12"/>
  <c r="Q449" i="12"/>
  <c r="Q450" i="12"/>
  <c r="Q451" i="12"/>
  <c r="Q452" i="12"/>
  <c r="Q453" i="12"/>
  <c r="Q454" i="12"/>
  <c r="Q455" i="12"/>
  <c r="Q456" i="12"/>
  <c r="Q457" i="12"/>
  <c r="Q458" i="12"/>
  <c r="Q459" i="12"/>
  <c r="Q460" i="12"/>
  <c r="Q461" i="12"/>
  <c r="Q462" i="12"/>
  <c r="Q463" i="12"/>
  <c r="Q464" i="12"/>
  <c r="Q465" i="12"/>
  <c r="Q466" i="12"/>
  <c r="Q467" i="12"/>
  <c r="Q468" i="12"/>
  <c r="Q469" i="12"/>
  <c r="Q470" i="12"/>
  <c r="Q471" i="12"/>
  <c r="Q472" i="12"/>
  <c r="Q473" i="12"/>
  <c r="Q474" i="12"/>
  <c r="Q475" i="12"/>
  <c r="Q476" i="12"/>
  <c r="Q477" i="12"/>
  <c r="Q478" i="12"/>
  <c r="Q479" i="12"/>
  <c r="Q480" i="12"/>
  <c r="Q481" i="12"/>
  <c r="Q482" i="12"/>
  <c r="Q483" i="12"/>
  <c r="Q484" i="12"/>
  <c r="Q485" i="12"/>
  <c r="Q486" i="12"/>
  <c r="Q487" i="12"/>
  <c r="Q488" i="12"/>
  <c r="Q489" i="12"/>
  <c r="Q490" i="12"/>
  <c r="Q491" i="12"/>
  <c r="Q492" i="12"/>
  <c r="Q493" i="12"/>
  <c r="Q494" i="12"/>
  <c r="Q495" i="12"/>
  <c r="Q496" i="12"/>
  <c r="Q497" i="12"/>
  <c r="Q498" i="12"/>
  <c r="Q499" i="12"/>
  <c r="Q500" i="12"/>
  <c r="Q501" i="12"/>
  <c r="Q502" i="12"/>
  <c r="Q503" i="12"/>
  <c r="Q504" i="12"/>
  <c r="Q505" i="12"/>
  <c r="Q506" i="12"/>
  <c r="Q507" i="12"/>
  <c r="Q508" i="12"/>
  <c r="Q509" i="12"/>
  <c r="Q510" i="12"/>
  <c r="Q511" i="12"/>
  <c r="Q512" i="12"/>
  <c r="Q513" i="12"/>
  <c r="Q514" i="12"/>
  <c r="Q515" i="12"/>
  <c r="Q516" i="12"/>
  <c r="Q517" i="12"/>
  <c r="Q518" i="12"/>
  <c r="Q519" i="12"/>
  <c r="Q520" i="12"/>
  <c r="Q521" i="12"/>
  <c r="Q522" i="12"/>
  <c r="Q523" i="12"/>
  <c r="Q524" i="12"/>
  <c r="Q525" i="12"/>
  <c r="Q526" i="12"/>
  <c r="Q527" i="12"/>
  <c r="Q528" i="12"/>
  <c r="Q529" i="12"/>
  <c r="Q530" i="12"/>
  <c r="Q531" i="12"/>
  <c r="Q532" i="12"/>
  <c r="Q533" i="12"/>
  <c r="Q534" i="12"/>
  <c r="Q535" i="12"/>
  <c r="Q536" i="12"/>
  <c r="Q537" i="12"/>
  <c r="Q538" i="12"/>
  <c r="Q539" i="12"/>
  <c r="Q540" i="12"/>
  <c r="Q541" i="12"/>
  <c r="Q542" i="12"/>
  <c r="Q543" i="12"/>
  <c r="Q544" i="12"/>
  <c r="Q545" i="12"/>
  <c r="Q546" i="12"/>
  <c r="Q547" i="12"/>
  <c r="Q548" i="12"/>
  <c r="Q549" i="12"/>
  <c r="Q550" i="12"/>
  <c r="Q551" i="12"/>
  <c r="Q552" i="12"/>
  <c r="Q553" i="12"/>
  <c r="Q554" i="12"/>
  <c r="Q555" i="12"/>
  <c r="Q556" i="12"/>
  <c r="Q557" i="12"/>
  <c r="Q558" i="12"/>
  <c r="Q559" i="12"/>
  <c r="Q560" i="12"/>
  <c r="Q561" i="12"/>
  <c r="Q562" i="12"/>
  <c r="Q563" i="12"/>
  <c r="Q564" i="12"/>
  <c r="Q565" i="12"/>
  <c r="Q566" i="12"/>
  <c r="Q567" i="12"/>
  <c r="Q568" i="12"/>
  <c r="Q569" i="12"/>
  <c r="Q570" i="12"/>
  <c r="Q571" i="12"/>
  <c r="Q572" i="12"/>
  <c r="Q573" i="12"/>
  <c r="Q574" i="12"/>
  <c r="Q575" i="12"/>
  <c r="Q576" i="12"/>
  <c r="Q577" i="12"/>
  <c r="Q578" i="12"/>
  <c r="Q579" i="12"/>
  <c r="Q580" i="12"/>
  <c r="Q581" i="12"/>
  <c r="Q582" i="12"/>
  <c r="Q583" i="12"/>
  <c r="Q584" i="12"/>
  <c r="Q585" i="12"/>
  <c r="Q586" i="12"/>
  <c r="Q587" i="12"/>
  <c r="Q588" i="12"/>
  <c r="Q589" i="12"/>
  <c r="Q590" i="12"/>
  <c r="Q591" i="12"/>
  <c r="Q592" i="12"/>
  <c r="Q593" i="12"/>
  <c r="Q594" i="12"/>
  <c r="Q595" i="12"/>
  <c r="Q596" i="12"/>
  <c r="Q597" i="12"/>
  <c r="Q598" i="12"/>
  <c r="Q599" i="12"/>
  <c r="Q600" i="12"/>
  <c r="Q601" i="12"/>
  <c r="Q602" i="12"/>
  <c r="Q603" i="12"/>
  <c r="Q604" i="12"/>
  <c r="Q605" i="12"/>
  <c r="Q606" i="12"/>
  <c r="Q607" i="12"/>
  <c r="Q608" i="12"/>
  <c r="Q609" i="12"/>
  <c r="Q610" i="12"/>
  <c r="Q611" i="12"/>
  <c r="Q612" i="12"/>
  <c r="Q613" i="12"/>
  <c r="Q614" i="12"/>
  <c r="Q615" i="12"/>
  <c r="Q616" i="12"/>
  <c r="Q617" i="12"/>
  <c r="Q618" i="12"/>
  <c r="Q619" i="12"/>
  <c r="Q620" i="12"/>
  <c r="Q621" i="12"/>
  <c r="Q622" i="12"/>
  <c r="Q623" i="12"/>
  <c r="Q624" i="12"/>
  <c r="Q625" i="12"/>
  <c r="Q626" i="12"/>
  <c r="Q627" i="12"/>
  <c r="Q628" i="12"/>
  <c r="Q629" i="12"/>
  <c r="Q630" i="12"/>
  <c r="Q631" i="12"/>
  <c r="Q632" i="12"/>
  <c r="Q633" i="12"/>
  <c r="Q634" i="12"/>
  <c r="Q635" i="12"/>
  <c r="Q636" i="12"/>
  <c r="Q637" i="12"/>
  <c r="Q638" i="12"/>
  <c r="Q639" i="12"/>
  <c r="Q640" i="12"/>
  <c r="Q641" i="12"/>
  <c r="Q642" i="12"/>
  <c r="Q643" i="12"/>
  <c r="Q644" i="12"/>
  <c r="Q645" i="12"/>
  <c r="Q646" i="12"/>
  <c r="Q647" i="12"/>
  <c r="Q648" i="12"/>
  <c r="Q649" i="12"/>
  <c r="Q650" i="12"/>
  <c r="Q651" i="12"/>
  <c r="Q652" i="12"/>
  <c r="Q653" i="12"/>
  <c r="Q654" i="12"/>
  <c r="Q655" i="12"/>
  <c r="Q656" i="12"/>
  <c r="Q657" i="12"/>
  <c r="Q658" i="12"/>
  <c r="Q659" i="12"/>
  <c r="Q660" i="12"/>
  <c r="Q661" i="12"/>
  <c r="Q662" i="12"/>
  <c r="Q663" i="12"/>
  <c r="Q664" i="12"/>
  <c r="Q665" i="12"/>
  <c r="Q666" i="12"/>
  <c r="Q667" i="12"/>
  <c r="Q668" i="12"/>
  <c r="Q669" i="12"/>
  <c r="Q670" i="12"/>
  <c r="Q671" i="12"/>
  <c r="Q672" i="12"/>
  <c r="Q673" i="12"/>
  <c r="Q674" i="12"/>
  <c r="Q675" i="12"/>
  <c r="Q676" i="12"/>
  <c r="Q677" i="12"/>
  <c r="Q678" i="12"/>
  <c r="Q679" i="12"/>
  <c r="Q680" i="12"/>
  <c r="Q681" i="12"/>
  <c r="Q682" i="12"/>
  <c r="Q683" i="12"/>
  <c r="Q684" i="12"/>
  <c r="Q685" i="12"/>
  <c r="Q686" i="12"/>
  <c r="Q687" i="12"/>
  <c r="Q688" i="12"/>
  <c r="Q689" i="12"/>
  <c r="Q690" i="12"/>
  <c r="Q691" i="12"/>
  <c r="Q692" i="12"/>
  <c r="Q693" i="12"/>
  <c r="Q694" i="12"/>
  <c r="Q695" i="12"/>
  <c r="Q696" i="12"/>
  <c r="Q697" i="12"/>
  <c r="Q698" i="12"/>
  <c r="Q699" i="12"/>
  <c r="Q700" i="12"/>
  <c r="Q701" i="12"/>
  <c r="Q702" i="12"/>
  <c r="Q703" i="12"/>
  <c r="Q704" i="12"/>
  <c r="Q705" i="12"/>
  <c r="Q706" i="12"/>
  <c r="Q707" i="12"/>
  <c r="Q708" i="12"/>
  <c r="Q709" i="12"/>
  <c r="Q710" i="12"/>
  <c r="Q711" i="12"/>
  <c r="Q712" i="12"/>
  <c r="Q713" i="12"/>
  <c r="Q714" i="12"/>
  <c r="Q715" i="12"/>
  <c r="Q716" i="12"/>
  <c r="Q717" i="12"/>
  <c r="Q718" i="12"/>
  <c r="Q719" i="12"/>
  <c r="Q720" i="12"/>
  <c r="Q721" i="12"/>
  <c r="Q722" i="12"/>
  <c r="Q723" i="12"/>
  <c r="Q724" i="12"/>
  <c r="Q725" i="12"/>
  <c r="Q726" i="12"/>
  <c r="Q727" i="12"/>
  <c r="Q728" i="12"/>
  <c r="Q729" i="12"/>
  <c r="Q730" i="12"/>
  <c r="Q731" i="12"/>
  <c r="Q732" i="12"/>
  <c r="Q733" i="12"/>
  <c r="Q734" i="12"/>
  <c r="Q735" i="12"/>
  <c r="Q736" i="12"/>
  <c r="Q737" i="12"/>
  <c r="Q738" i="12"/>
  <c r="Q739" i="12"/>
  <c r="Q740" i="12"/>
  <c r="Q741" i="12"/>
  <c r="Q742" i="12"/>
  <c r="Q743" i="12"/>
  <c r="Q744" i="12"/>
  <c r="Q745" i="12"/>
  <c r="Q746" i="12"/>
  <c r="Q747" i="12"/>
  <c r="Q748" i="12"/>
  <c r="Q749" i="12"/>
  <c r="Q750" i="12"/>
  <c r="Q751" i="12"/>
  <c r="Q752" i="12"/>
  <c r="Q753" i="12"/>
  <c r="Q754" i="12"/>
  <c r="Q755" i="12"/>
  <c r="Q756" i="12"/>
  <c r="Q757" i="12"/>
  <c r="Q758" i="12"/>
  <c r="Q759" i="12"/>
  <c r="Q760" i="12"/>
  <c r="Q761" i="12"/>
  <c r="Q762" i="12"/>
  <c r="Q763" i="12"/>
  <c r="Q764" i="12"/>
  <c r="Q765" i="12"/>
  <c r="Q766" i="12"/>
  <c r="Q767" i="12"/>
  <c r="Q768" i="12"/>
  <c r="Q769" i="12"/>
  <c r="Q770" i="12"/>
  <c r="Q771" i="12"/>
  <c r="Q772" i="12"/>
  <c r="Q773" i="12"/>
  <c r="Q774" i="12"/>
  <c r="Q775" i="12"/>
  <c r="Q776" i="12"/>
  <c r="Q777" i="12"/>
  <c r="Q778" i="12"/>
  <c r="Q779" i="12"/>
  <c r="Q780" i="12"/>
  <c r="Q781" i="12"/>
  <c r="Q782" i="12"/>
  <c r="Q783" i="12"/>
  <c r="Q784" i="12"/>
  <c r="Q785" i="12"/>
  <c r="Q786" i="12"/>
  <c r="Q787" i="12"/>
  <c r="Q788" i="12"/>
  <c r="Q789" i="12"/>
  <c r="Q790" i="12"/>
  <c r="Q791" i="12"/>
  <c r="Q792" i="12"/>
  <c r="Q793" i="12"/>
  <c r="Q794" i="12"/>
  <c r="Q795" i="12"/>
  <c r="Q796" i="12"/>
  <c r="Q797" i="12"/>
  <c r="Q798" i="12"/>
  <c r="Q799" i="12"/>
  <c r="Q800" i="12"/>
  <c r="Q801" i="12"/>
  <c r="Q802" i="12"/>
  <c r="Q803" i="12"/>
  <c r="Q804" i="12"/>
  <c r="Q805" i="12"/>
  <c r="Q806" i="12"/>
  <c r="Q807" i="12"/>
  <c r="Q808" i="12"/>
  <c r="Q809" i="12"/>
  <c r="Q810" i="12"/>
  <c r="Q811" i="12"/>
  <c r="Q812" i="12"/>
  <c r="Q813" i="12"/>
  <c r="Q814" i="12"/>
  <c r="Q815" i="12"/>
  <c r="Q816" i="12"/>
  <c r="Q817" i="12"/>
  <c r="Q818" i="12"/>
  <c r="Q819" i="12"/>
  <c r="Q820" i="12"/>
  <c r="Q821" i="12"/>
  <c r="Q822" i="12"/>
  <c r="Q823" i="12"/>
  <c r="Q824" i="12"/>
  <c r="Q825" i="12"/>
  <c r="Q826" i="12"/>
  <c r="Q827" i="12"/>
  <c r="Q828" i="12"/>
  <c r="Q829" i="12"/>
  <c r="Q830" i="12"/>
  <c r="Q831" i="12"/>
  <c r="Q832" i="12"/>
  <c r="Q833" i="12"/>
  <c r="Q834" i="12"/>
  <c r="Q835" i="12"/>
  <c r="Q836" i="12"/>
  <c r="Q837" i="12"/>
  <c r="Q838" i="12"/>
  <c r="Q839" i="12"/>
  <c r="Q840" i="12"/>
  <c r="Q841" i="12"/>
  <c r="Q842" i="12"/>
  <c r="Q843" i="12"/>
  <c r="Q844" i="12"/>
  <c r="Q845" i="12"/>
  <c r="Q846" i="12"/>
  <c r="Q847" i="12"/>
  <c r="Q848" i="12"/>
  <c r="Q849" i="12"/>
  <c r="Q850" i="12"/>
  <c r="Q851" i="12"/>
  <c r="Q852" i="12"/>
  <c r="Q853" i="12"/>
  <c r="Q854" i="12"/>
  <c r="Q855" i="12"/>
  <c r="Q856" i="12"/>
  <c r="Q857" i="12"/>
  <c r="Q858" i="12"/>
  <c r="Q859" i="12"/>
  <c r="Q860" i="12"/>
  <c r="Q861" i="12"/>
  <c r="Q862" i="12"/>
  <c r="Q863" i="12"/>
  <c r="Q864" i="12"/>
  <c r="Q865" i="12"/>
  <c r="Q866" i="12"/>
  <c r="Q867" i="12"/>
  <c r="Q868" i="12"/>
  <c r="Q869" i="12"/>
  <c r="Q870" i="12"/>
  <c r="Q871" i="12"/>
  <c r="Q872" i="12"/>
  <c r="Q873" i="12"/>
  <c r="Q874" i="12"/>
  <c r="Q875" i="12"/>
  <c r="Q876" i="12"/>
  <c r="Q877" i="12"/>
  <c r="Q878" i="12"/>
  <c r="Q879" i="12"/>
  <c r="Q880" i="12"/>
  <c r="Q881" i="12"/>
  <c r="Q882" i="12"/>
  <c r="Q883" i="12"/>
  <c r="Q884" i="12"/>
  <c r="Q885" i="12"/>
  <c r="Q886" i="12"/>
  <c r="Q887" i="12"/>
  <c r="Q888" i="12"/>
  <c r="Q889" i="12"/>
  <c r="Q890" i="12"/>
  <c r="Q891" i="12"/>
  <c r="Q892" i="12"/>
  <c r="Q893" i="12"/>
  <c r="Q894" i="12"/>
  <c r="Q895" i="12"/>
  <c r="Q896" i="12"/>
  <c r="Q897" i="12"/>
  <c r="Q898" i="12"/>
  <c r="Q899" i="12"/>
  <c r="Q900" i="12"/>
  <c r="Q901" i="12"/>
  <c r="Q902" i="12"/>
  <c r="Q903" i="12"/>
  <c r="Q904" i="12"/>
  <c r="Q905" i="12"/>
  <c r="Q906" i="12"/>
  <c r="Q907" i="12"/>
  <c r="Q908" i="12"/>
  <c r="Q909" i="12"/>
  <c r="Q910" i="12"/>
  <c r="Q911" i="12"/>
  <c r="Q912" i="12"/>
  <c r="Q913" i="12"/>
  <c r="Q914" i="12"/>
  <c r="Q915" i="12"/>
  <c r="Q916" i="12"/>
  <c r="Q917" i="12"/>
  <c r="Q918" i="12"/>
  <c r="Q919" i="12"/>
  <c r="Q920" i="12"/>
  <c r="Q921" i="12"/>
  <c r="Q922" i="12"/>
  <c r="Q923" i="12"/>
  <c r="Q924" i="12"/>
  <c r="Q925" i="12"/>
  <c r="Q926" i="12"/>
  <c r="Q927" i="12"/>
  <c r="Q928" i="12"/>
  <c r="Q929" i="12"/>
  <c r="Q930" i="12"/>
  <c r="Q931" i="12"/>
  <c r="Q932" i="12"/>
  <c r="Q933" i="12"/>
  <c r="Q934" i="12"/>
  <c r="Q935" i="12"/>
  <c r="Q936" i="12"/>
  <c r="Q937" i="12"/>
  <c r="Q938" i="12"/>
  <c r="Q939" i="12"/>
  <c r="Q940" i="12"/>
  <c r="Q941" i="12"/>
  <c r="Q942" i="12"/>
  <c r="Q943" i="12"/>
  <c r="Q944" i="12"/>
  <c r="Q945" i="12"/>
  <c r="Q946" i="12"/>
  <c r="Q947" i="12"/>
  <c r="Q948" i="12"/>
  <c r="Q949" i="12"/>
  <c r="Q950" i="12"/>
  <c r="Q951" i="12"/>
  <c r="Q952" i="12"/>
  <c r="Q953" i="12"/>
  <c r="Q954" i="12"/>
  <c r="Q955" i="12"/>
  <c r="Q956" i="12"/>
  <c r="Q957" i="12"/>
  <c r="Q958" i="12"/>
  <c r="Q959" i="12"/>
  <c r="Q960" i="12"/>
  <c r="Q961" i="12"/>
  <c r="Q962" i="12"/>
  <c r="Q963" i="12"/>
  <c r="Q964" i="12"/>
  <c r="Q965" i="12"/>
  <c r="Q966" i="12"/>
  <c r="Q967" i="12"/>
  <c r="Q968" i="12"/>
  <c r="Q969" i="12"/>
  <c r="Q970" i="12"/>
  <c r="Q971" i="12"/>
  <c r="Q972" i="12"/>
  <c r="Q973" i="12"/>
  <c r="Q974" i="12"/>
  <c r="Q975" i="12"/>
  <c r="Q976" i="12"/>
  <c r="Q977" i="12"/>
  <c r="Q978" i="12"/>
  <c r="Q979" i="12"/>
  <c r="Q980" i="12"/>
  <c r="Q981" i="12"/>
  <c r="Q982" i="12"/>
  <c r="Q983" i="12"/>
  <c r="Q984" i="12"/>
  <c r="Q985" i="12"/>
  <c r="Q986" i="12"/>
  <c r="Q987" i="12"/>
  <c r="Q988" i="12"/>
  <c r="Q989" i="12"/>
  <c r="Q990" i="12"/>
  <c r="Q991" i="12"/>
  <c r="Q992" i="12"/>
  <c r="Q993" i="12"/>
  <c r="Q994" i="12"/>
  <c r="Q995" i="12"/>
  <c r="Q996" i="12"/>
  <c r="Q997" i="12"/>
  <c r="Q998" i="12"/>
  <c r="Q999" i="12"/>
  <c r="Q1000" i="12"/>
  <c r="Q1001" i="12"/>
  <c r="Q1002" i="12"/>
  <c r="Q1003" i="12"/>
  <c r="Q1004" i="12"/>
  <c r="Q1005" i="12"/>
  <c r="Q1006" i="12"/>
  <c r="Q1007" i="12"/>
  <c r="Q1008" i="12"/>
  <c r="Q1009" i="12"/>
  <c r="Q1010" i="12"/>
  <c r="Q1011" i="12"/>
  <c r="Q1012" i="12"/>
  <c r="Q1013" i="12"/>
  <c r="Q1014" i="12"/>
  <c r="Q1015" i="12"/>
  <c r="Q1016" i="12"/>
  <c r="Q1017" i="12"/>
  <c r="Q1018" i="12"/>
  <c r="Q1019" i="12"/>
  <c r="Q1020" i="12"/>
  <c r="Q1021" i="12"/>
  <c r="Q1022" i="12"/>
  <c r="Q1023" i="12"/>
  <c r="Q1024" i="12"/>
  <c r="Q1025" i="12"/>
  <c r="Q1026" i="12"/>
  <c r="Q1027" i="12"/>
  <c r="Q1028" i="12"/>
  <c r="Q1029" i="12"/>
  <c r="Q1030" i="12"/>
  <c r="Q1031" i="12"/>
  <c r="Q1032" i="12"/>
  <c r="Q1033" i="12"/>
  <c r="Q1034" i="12"/>
  <c r="Q1035" i="12"/>
  <c r="Q1036" i="12"/>
  <c r="Q1037" i="12"/>
  <c r="Q1038" i="12"/>
  <c r="Q1039" i="12"/>
  <c r="Q1040" i="12"/>
  <c r="Q1041" i="12"/>
  <c r="Q1042" i="12"/>
  <c r="Q1043" i="12"/>
  <c r="Q1044" i="12"/>
  <c r="Q1045" i="12"/>
  <c r="Q1046" i="12"/>
  <c r="Q1047" i="12"/>
  <c r="Q1048" i="12"/>
  <c r="Q1049" i="12"/>
  <c r="Q1050" i="12"/>
  <c r="Q1051" i="12"/>
  <c r="Q1052" i="12"/>
  <c r="Q1053" i="12"/>
  <c r="Q1054" i="12"/>
  <c r="Q1055" i="12"/>
  <c r="Q1056" i="12"/>
  <c r="Q1057" i="12"/>
  <c r="Q1058" i="12"/>
  <c r="Q1059" i="12"/>
  <c r="Q1060" i="12"/>
  <c r="Q1061" i="12"/>
  <c r="Q1062" i="12"/>
  <c r="Q1063" i="12"/>
  <c r="Q1064" i="12"/>
  <c r="Q1065" i="12"/>
  <c r="Q1066" i="12"/>
  <c r="Q1067" i="12"/>
  <c r="Q1068" i="12"/>
  <c r="Q1069" i="12"/>
  <c r="Q1070" i="12"/>
  <c r="Q1071" i="12"/>
  <c r="Q1072" i="12"/>
  <c r="Q1073" i="12"/>
  <c r="Q1074" i="12"/>
  <c r="Q1075" i="12"/>
  <c r="Q1076" i="12"/>
  <c r="Q1077" i="12"/>
  <c r="Q1078" i="12"/>
  <c r="Q1079" i="12"/>
  <c r="Q1080" i="12"/>
  <c r="Q1081" i="12"/>
  <c r="Q1082" i="12"/>
  <c r="Q1083" i="12"/>
  <c r="Q1084" i="12"/>
  <c r="Q1085" i="12"/>
  <c r="Q1086" i="12"/>
  <c r="Q1087" i="12"/>
  <c r="Q1088" i="12"/>
  <c r="Q1089" i="12"/>
  <c r="Q1090" i="12"/>
  <c r="Q1091" i="12"/>
  <c r="Q1092" i="12"/>
  <c r="Q1093" i="12"/>
  <c r="Q1094" i="12"/>
  <c r="Q1095" i="12"/>
  <c r="Q1096" i="12"/>
  <c r="Q1097" i="12"/>
  <c r="Q1098" i="12"/>
  <c r="Q1099" i="12"/>
  <c r="Q1100" i="12"/>
  <c r="Q1101" i="12"/>
  <c r="Q1102" i="12"/>
  <c r="Q1103" i="12"/>
  <c r="Q1104" i="12"/>
  <c r="Q1105" i="12"/>
  <c r="Q1106" i="12"/>
  <c r="Q1107" i="12"/>
  <c r="Q1108" i="12"/>
  <c r="Q1109" i="12"/>
  <c r="Q1110" i="12"/>
  <c r="Q1111" i="12"/>
  <c r="Q1112" i="12"/>
  <c r="Q1113" i="12"/>
  <c r="Q1114" i="12"/>
  <c r="Q1115" i="12"/>
  <c r="Q1116" i="12"/>
  <c r="Q1117" i="12"/>
  <c r="Q1118" i="12"/>
  <c r="Q1119" i="12"/>
  <c r="Q1120" i="12"/>
  <c r="Q1121" i="12"/>
  <c r="Q1122" i="12"/>
  <c r="Q1123" i="12"/>
  <c r="Q1124" i="12"/>
  <c r="Q1125" i="12"/>
  <c r="Q1126" i="12"/>
  <c r="Q1127" i="12"/>
  <c r="Q1128" i="12"/>
  <c r="Q1129" i="12"/>
  <c r="Q1130" i="12"/>
  <c r="Q1131" i="12"/>
  <c r="Q1132" i="12"/>
  <c r="Q1133" i="12"/>
  <c r="Q1134" i="12"/>
  <c r="Q1135" i="12"/>
  <c r="Q1136" i="12"/>
  <c r="Q1137" i="12"/>
  <c r="Q1138" i="12"/>
  <c r="Q1139" i="12"/>
  <c r="Q1140" i="12"/>
  <c r="Q1141" i="12"/>
  <c r="Q1142" i="12"/>
  <c r="Q1143" i="12"/>
  <c r="Q1144" i="12"/>
  <c r="Q1145" i="12"/>
  <c r="Q1146" i="12"/>
  <c r="Q1147" i="12"/>
  <c r="Q1148" i="12"/>
  <c r="Q1149" i="12"/>
  <c r="Q1150" i="12"/>
  <c r="Q1151" i="12"/>
  <c r="Q1152" i="12"/>
  <c r="Q1153" i="12"/>
  <c r="Q1154" i="12"/>
  <c r="Q1155" i="12"/>
  <c r="Q1156" i="12"/>
  <c r="Q1157" i="12"/>
  <c r="Q1158" i="12"/>
  <c r="Q1159" i="12"/>
  <c r="Q1160" i="12"/>
  <c r="Q1161" i="12"/>
  <c r="Q1162" i="12"/>
  <c r="Q1163" i="12"/>
  <c r="Q1164" i="12"/>
  <c r="Q1165" i="12"/>
  <c r="Q1166" i="12"/>
  <c r="Q1167" i="12"/>
  <c r="Q1168" i="12"/>
  <c r="Q1169" i="12"/>
  <c r="Q1170" i="12"/>
  <c r="Q1171" i="12"/>
  <c r="Q1172" i="12"/>
  <c r="Q1173" i="12"/>
  <c r="Q1174" i="12"/>
  <c r="Q1175" i="12"/>
  <c r="Q1176" i="12"/>
  <c r="Q1177" i="12"/>
  <c r="Q1178" i="12"/>
  <c r="Q1179" i="12"/>
  <c r="Q1180" i="12"/>
  <c r="Q1181" i="12"/>
  <c r="Q1182" i="12"/>
  <c r="Q1183" i="12"/>
  <c r="Q1184" i="12"/>
  <c r="Q1185" i="12"/>
  <c r="Q1186" i="12"/>
  <c r="Q1187" i="12"/>
  <c r="Q1188" i="12"/>
  <c r="Q1189" i="12"/>
  <c r="Q1190" i="12"/>
  <c r="Q1191" i="12"/>
  <c r="Q1192" i="12"/>
  <c r="Q1193" i="12"/>
  <c r="Q1194" i="12"/>
  <c r="Q1195" i="12"/>
  <c r="Q1196" i="12"/>
  <c r="Q1197" i="12"/>
  <c r="Q1198" i="12"/>
  <c r="Q1199" i="12"/>
  <c r="Q1200" i="12"/>
  <c r="Q1201" i="12"/>
  <c r="Q1202" i="12"/>
  <c r="Q1203" i="12"/>
  <c r="Q1204" i="12"/>
  <c r="Q1205" i="12"/>
  <c r="Q1206" i="12"/>
  <c r="Q1207" i="12"/>
  <c r="Q1208" i="12"/>
  <c r="Q1209" i="12"/>
  <c r="Q1210" i="12"/>
  <c r="Q1211" i="12"/>
  <c r="Q1212" i="12"/>
  <c r="Q1213" i="12"/>
  <c r="Q1214" i="12"/>
  <c r="Q1215" i="12"/>
  <c r="Q1216" i="12"/>
  <c r="Q1217" i="12"/>
  <c r="Q1218" i="12"/>
  <c r="Q1219" i="12"/>
  <c r="Q1220" i="12"/>
  <c r="Q1221" i="12"/>
  <c r="Q1222" i="12"/>
  <c r="Q1223" i="12"/>
  <c r="Q1224" i="12"/>
  <c r="Q1225" i="12"/>
  <c r="Q1226" i="12"/>
  <c r="Q1227" i="12"/>
  <c r="Q1228" i="12"/>
  <c r="Q1229" i="12"/>
  <c r="Q1230" i="12"/>
  <c r="Q1231" i="12"/>
  <c r="Q1232" i="12"/>
  <c r="Q1233" i="12"/>
  <c r="Q1234" i="12"/>
  <c r="Q1235" i="12"/>
  <c r="Q1236" i="12"/>
  <c r="Q1237" i="12"/>
  <c r="Q1238" i="12"/>
  <c r="Q1239" i="12"/>
  <c r="Q1240" i="12"/>
  <c r="Q1241" i="12"/>
  <c r="Q1242" i="12"/>
  <c r="Q1243" i="12"/>
  <c r="Q1244" i="12"/>
  <c r="Q1245" i="12"/>
  <c r="Q1246" i="12"/>
  <c r="Q1247" i="12"/>
  <c r="Q1248" i="12"/>
  <c r="Q1249" i="12"/>
  <c r="Q1250" i="12"/>
  <c r="Q1251" i="12"/>
  <c r="Q1252" i="12"/>
  <c r="Q1253" i="12"/>
  <c r="Q1254" i="12"/>
  <c r="Q1255" i="12"/>
  <c r="Q1256" i="12"/>
  <c r="Q1257" i="12"/>
  <c r="Q1258" i="12"/>
  <c r="Q1259" i="12"/>
  <c r="Q1260" i="12"/>
  <c r="Q1261" i="12"/>
  <c r="Q1262" i="12"/>
  <c r="Q1263" i="12"/>
  <c r="Q1264" i="12"/>
  <c r="Q1265" i="12"/>
  <c r="Q1266" i="12"/>
  <c r="Q1267" i="12"/>
  <c r="Q1268" i="12"/>
  <c r="Q1269" i="12"/>
  <c r="Q1270" i="12"/>
  <c r="Q1271" i="12"/>
  <c r="Q1272" i="12"/>
  <c r="Q1273" i="12"/>
  <c r="Q1274" i="12"/>
  <c r="Q1275" i="12"/>
  <c r="Q1276" i="12"/>
  <c r="Q1277" i="12"/>
  <c r="Q1278" i="12"/>
  <c r="Q1279" i="12"/>
  <c r="Q1280" i="12"/>
  <c r="Q1281" i="12"/>
  <c r="Q1282" i="12"/>
  <c r="Q1283" i="12"/>
  <c r="Q1284" i="12"/>
  <c r="Q1285" i="12"/>
  <c r="Q1286" i="12"/>
  <c r="Q1287" i="12"/>
  <c r="Q1288" i="12"/>
  <c r="Q1289" i="12"/>
  <c r="Q1290" i="12"/>
  <c r="Q1291" i="12"/>
  <c r="Q1292" i="12"/>
  <c r="Q1293" i="12"/>
  <c r="Q1294" i="12"/>
  <c r="Q1295" i="12"/>
  <c r="Q1296" i="12"/>
  <c r="Q1297" i="12"/>
  <c r="Q1298" i="12"/>
  <c r="Q1299" i="12"/>
  <c r="Q1300" i="12"/>
  <c r="Q1301" i="12"/>
  <c r="Q1302" i="12"/>
  <c r="Q1303" i="12"/>
  <c r="Q1304" i="12"/>
  <c r="Q1305" i="12"/>
  <c r="Q1306" i="12"/>
  <c r="Q1307" i="12"/>
  <c r="Q1308" i="12"/>
  <c r="Q1309" i="12"/>
  <c r="Q1310" i="12"/>
  <c r="Q1311" i="12"/>
  <c r="Q1312" i="12"/>
  <c r="Q1313" i="12"/>
  <c r="Q1314" i="12"/>
  <c r="Q1315" i="12"/>
  <c r="Q1316" i="12"/>
  <c r="Q1317" i="12"/>
  <c r="Q1318" i="12"/>
  <c r="Q1319" i="12"/>
  <c r="Q1320" i="12"/>
  <c r="Q1321" i="12"/>
  <c r="Q1322" i="12"/>
  <c r="Q1323" i="12"/>
  <c r="Q1324" i="12"/>
  <c r="Q1325" i="12"/>
  <c r="Q1326" i="12"/>
  <c r="Q1327" i="12"/>
  <c r="Q1328" i="12"/>
  <c r="Q1329" i="12"/>
  <c r="Q1330" i="12"/>
  <c r="Q1331" i="12"/>
  <c r="Q1332" i="12"/>
  <c r="Q1333" i="12"/>
  <c r="Q1334" i="12"/>
  <c r="Q1335" i="12"/>
  <c r="Q1336" i="12"/>
  <c r="Q1337" i="12"/>
  <c r="Q1338" i="12"/>
  <c r="Q1339" i="12"/>
  <c r="Q1340" i="12"/>
  <c r="Q1341" i="12"/>
  <c r="Q1342" i="12"/>
  <c r="Q1343" i="12"/>
  <c r="Q1344" i="12"/>
  <c r="Q1345" i="12"/>
  <c r="Q1346" i="12"/>
  <c r="Q1347" i="12"/>
  <c r="Q1348" i="12"/>
  <c r="Q1349" i="12"/>
  <c r="Q1350" i="12"/>
  <c r="Q1351" i="12"/>
  <c r="Q1352" i="12"/>
  <c r="Q1353" i="12"/>
  <c r="Q1354" i="12"/>
  <c r="Q1355" i="12"/>
  <c r="Q1356" i="12"/>
  <c r="Q1357" i="12"/>
  <c r="Q1358" i="12"/>
  <c r="Q1359" i="12"/>
  <c r="Q1360" i="12"/>
  <c r="Q1361" i="12"/>
  <c r="Q1362" i="12"/>
  <c r="Q1363" i="12"/>
  <c r="Q1364" i="12"/>
  <c r="Q1365" i="12"/>
  <c r="Q1366" i="12"/>
  <c r="Q1367" i="12"/>
  <c r="Q1368" i="12"/>
  <c r="Q1369" i="12"/>
  <c r="Q1370" i="12"/>
  <c r="Q1371" i="12"/>
  <c r="Q1372" i="12"/>
  <c r="Q1373" i="12"/>
  <c r="Q1374" i="12"/>
  <c r="Q1375" i="12"/>
  <c r="Q1376" i="12"/>
  <c r="Q1377" i="12"/>
  <c r="Q1378" i="12"/>
  <c r="Q1379" i="12"/>
  <c r="Q1380" i="12"/>
  <c r="Q1381" i="12"/>
  <c r="Q1382" i="12"/>
  <c r="Q1383" i="12"/>
  <c r="Q1384" i="12"/>
  <c r="Q1385" i="12"/>
  <c r="Q1386" i="12"/>
  <c r="Q1387" i="12"/>
  <c r="Q1388" i="12"/>
  <c r="Q1389" i="12"/>
  <c r="Q1390" i="12"/>
  <c r="Q1391" i="12"/>
  <c r="Q1392" i="12"/>
  <c r="Q1393" i="12"/>
  <c r="Q1394" i="12"/>
  <c r="Q1395" i="12"/>
  <c r="Q1396" i="12"/>
  <c r="Q1397" i="12"/>
  <c r="Q1398" i="12"/>
  <c r="Q1399" i="12"/>
  <c r="Q1400" i="12"/>
  <c r="Q1401" i="12"/>
  <c r="Q1402" i="12"/>
  <c r="Q1403" i="12"/>
  <c r="Q1404" i="12"/>
  <c r="Q1405" i="12"/>
  <c r="Q1406" i="12"/>
  <c r="Q1407" i="12"/>
  <c r="Q1408" i="12"/>
  <c r="Q1409" i="12"/>
  <c r="Q1410" i="12"/>
  <c r="Q1411" i="12"/>
  <c r="Q1412" i="12"/>
  <c r="Q1413" i="12"/>
  <c r="Q1414" i="12"/>
  <c r="Q1415" i="12"/>
  <c r="Q1416" i="12"/>
  <c r="Q1417" i="12"/>
  <c r="Q1418" i="12"/>
  <c r="Q1419" i="12"/>
  <c r="Q1420" i="12"/>
  <c r="Q1421" i="12"/>
  <c r="Q1422" i="12"/>
  <c r="Q1423" i="12"/>
  <c r="Q1424" i="12"/>
  <c r="Q1425" i="12"/>
  <c r="Q1426" i="12"/>
  <c r="Q1427" i="12"/>
  <c r="Q1428" i="12"/>
  <c r="Q1429" i="12"/>
  <c r="Q1430" i="12"/>
  <c r="Q1431" i="12"/>
  <c r="Q1432" i="12"/>
  <c r="Q1433" i="12"/>
  <c r="Q1434" i="12"/>
  <c r="Q1435" i="12"/>
  <c r="Q1436" i="12"/>
  <c r="Q1437" i="12"/>
  <c r="Q1438" i="12"/>
  <c r="Q1439" i="12"/>
  <c r="Q1440" i="12"/>
  <c r="Q1441" i="12"/>
  <c r="Q1442" i="12"/>
  <c r="Q1443" i="12"/>
  <c r="Q1444" i="12"/>
  <c r="Q1445" i="12"/>
  <c r="Q1446" i="12"/>
  <c r="Q1447" i="12"/>
  <c r="Q1448" i="12"/>
  <c r="Q1449" i="12"/>
  <c r="Q1450" i="12"/>
  <c r="Q1451" i="12"/>
  <c r="Q1452" i="12"/>
  <c r="Q1453" i="12"/>
  <c r="Q1454" i="12"/>
  <c r="Q1455" i="12"/>
  <c r="Q1456" i="12"/>
  <c r="Q1457" i="12"/>
  <c r="Q1458" i="12"/>
  <c r="Q1459" i="12"/>
  <c r="Q1460" i="12"/>
  <c r="Q1461" i="12"/>
  <c r="Q1462" i="12"/>
  <c r="Q1463" i="12"/>
  <c r="Q1464" i="12"/>
  <c r="Q1465" i="12"/>
  <c r="Q1466" i="12"/>
  <c r="Q1467" i="12"/>
  <c r="Q1468" i="12"/>
  <c r="Q1469" i="12"/>
  <c r="Q1470" i="12"/>
  <c r="Q1471" i="12"/>
  <c r="Q1472" i="12"/>
  <c r="Q1473" i="12"/>
  <c r="Q1474" i="12"/>
  <c r="Q1475" i="12"/>
  <c r="Q1476" i="12"/>
  <c r="Q1477" i="12"/>
  <c r="Q1478" i="12"/>
  <c r="Q1479" i="12"/>
  <c r="Q1480" i="12"/>
  <c r="Q1481" i="12"/>
  <c r="Q1482" i="12"/>
  <c r="Q1483" i="12"/>
  <c r="Q1484" i="12"/>
  <c r="Q1485" i="12"/>
  <c r="Q1486" i="12"/>
  <c r="Q1487" i="12"/>
  <c r="Q1488" i="12"/>
  <c r="Q1489" i="12"/>
  <c r="Q1490" i="12"/>
  <c r="Q1491" i="12"/>
  <c r="Q1492" i="12"/>
  <c r="Q1493" i="12"/>
  <c r="Q1494" i="12"/>
  <c r="Q1495" i="12"/>
  <c r="Q1496" i="12"/>
  <c r="Q1497" i="12"/>
  <c r="Q1498" i="12"/>
  <c r="Q1499" i="12"/>
  <c r="Q1500" i="12"/>
  <c r="Q1501" i="12"/>
  <c r="Q1502" i="12"/>
  <c r="Q1503" i="12"/>
  <c r="Q1504" i="12"/>
  <c r="Q1505" i="12"/>
  <c r="Q1506" i="12"/>
  <c r="Q1507" i="12"/>
  <c r="Q1508" i="12"/>
  <c r="Q1509" i="12"/>
  <c r="Q1510" i="12"/>
  <c r="Q1511" i="12"/>
  <c r="Q1512" i="12"/>
  <c r="Q1513" i="12"/>
  <c r="Q1514" i="12"/>
  <c r="Q1515" i="12"/>
  <c r="Q1516" i="12"/>
  <c r="Q1517" i="12"/>
  <c r="Q1518" i="12"/>
  <c r="Q1519" i="12"/>
  <c r="Q1520" i="12"/>
  <c r="Q1521" i="12"/>
  <c r="Q1522" i="12"/>
  <c r="Q1523" i="12"/>
  <c r="Q1524" i="12"/>
  <c r="Q1525" i="12"/>
  <c r="Q1526" i="12"/>
  <c r="Q1527" i="12"/>
  <c r="Q1528" i="12"/>
  <c r="Q1529" i="12"/>
  <c r="Q1530" i="12"/>
  <c r="Q1531" i="12"/>
  <c r="Q1532" i="12"/>
  <c r="Q1533" i="12"/>
  <c r="Q1534" i="12"/>
  <c r="Q1535" i="12"/>
  <c r="Q1536" i="12"/>
  <c r="Q1537" i="12"/>
  <c r="Q1538" i="12"/>
  <c r="Q1539" i="12"/>
  <c r="Q1540" i="12"/>
  <c r="Q1541" i="12"/>
  <c r="Q1542" i="12"/>
  <c r="Q1543" i="12"/>
  <c r="Q1544" i="12"/>
  <c r="Q1545" i="12"/>
  <c r="Q1546" i="12"/>
  <c r="Q1547" i="12"/>
  <c r="Q1548" i="12"/>
  <c r="Q1549" i="12"/>
  <c r="Q1550" i="12"/>
  <c r="Q1551" i="12"/>
  <c r="Q1552" i="12"/>
  <c r="Q1553" i="12"/>
  <c r="Q1554" i="12"/>
  <c r="Q1555" i="12"/>
  <c r="Q1556" i="12"/>
  <c r="Q1557" i="12"/>
  <c r="Q1558" i="12"/>
  <c r="Q1559" i="12"/>
  <c r="Q1560" i="12"/>
  <c r="Q1561" i="12"/>
  <c r="Q1562" i="12"/>
  <c r="Q1563" i="12"/>
  <c r="Q1564" i="12"/>
  <c r="Q1565" i="12"/>
  <c r="Q1566" i="12"/>
  <c r="Q1567" i="12"/>
  <c r="Q1568" i="12"/>
  <c r="Q1569" i="12"/>
  <c r="Q1570" i="12"/>
  <c r="Q1571" i="12"/>
  <c r="Q1572" i="12"/>
  <c r="Q1573" i="12"/>
  <c r="Q1574" i="12"/>
  <c r="Q1575" i="12"/>
  <c r="Q1576" i="12"/>
  <c r="Q1577" i="12"/>
  <c r="Q1578" i="12"/>
  <c r="Q1579" i="12"/>
  <c r="Q1580" i="12"/>
  <c r="Q1581" i="12"/>
  <c r="Q1582" i="12"/>
  <c r="Q1583" i="12"/>
  <c r="Q1584" i="12"/>
  <c r="Q1585" i="12"/>
  <c r="Q1586" i="12"/>
  <c r="Q1587" i="12"/>
  <c r="Q1588" i="12"/>
  <c r="Q1589" i="12"/>
  <c r="Q1590" i="12"/>
  <c r="Q1591" i="12"/>
  <c r="Q1592" i="12"/>
  <c r="Q1593" i="12"/>
  <c r="Q1594" i="12"/>
  <c r="Q1595" i="12"/>
  <c r="Q1596" i="12"/>
  <c r="Q1597" i="12"/>
  <c r="Q1598" i="12"/>
  <c r="Q1599" i="12"/>
  <c r="Q1600" i="12"/>
  <c r="Q1601" i="12"/>
  <c r="Q1602" i="12"/>
  <c r="Q1603" i="12"/>
  <c r="Q1604" i="12"/>
  <c r="Q1605" i="12"/>
  <c r="Q1606" i="12"/>
  <c r="Q1607" i="12"/>
  <c r="Q1608" i="12"/>
  <c r="Q1609" i="12"/>
  <c r="Q1610" i="12"/>
  <c r="Q1611" i="12"/>
  <c r="Q1612" i="12"/>
  <c r="Q1613" i="12"/>
  <c r="Q1614" i="12"/>
  <c r="Q1615" i="12"/>
  <c r="Q1616" i="12"/>
  <c r="Q1617" i="12"/>
  <c r="Q1618" i="12"/>
  <c r="Q1619" i="12"/>
  <c r="Q1620" i="12"/>
  <c r="Q1621" i="12"/>
  <c r="Q1622" i="12"/>
  <c r="Q1623" i="12"/>
  <c r="Q1624" i="12"/>
  <c r="Q1625" i="12"/>
  <c r="Q1626" i="12"/>
  <c r="Q1627" i="12"/>
  <c r="Q1628" i="12"/>
  <c r="Q1629" i="12"/>
  <c r="Q1630" i="12"/>
  <c r="Q1631" i="12"/>
  <c r="Q1632" i="12"/>
  <c r="Q1633" i="12"/>
  <c r="Q1634" i="12"/>
  <c r="Q1635" i="12"/>
  <c r="Q1636" i="12"/>
  <c r="Q1637" i="12"/>
  <c r="Q1638" i="12"/>
  <c r="Q1639" i="12"/>
  <c r="Q1640" i="12"/>
  <c r="Q1641" i="12"/>
  <c r="Q1642" i="12"/>
  <c r="Q1643" i="12"/>
  <c r="Q1644" i="12"/>
  <c r="Q1645" i="12"/>
  <c r="Q1646" i="12"/>
  <c r="Q1647" i="12"/>
  <c r="Q1648" i="12"/>
  <c r="Q1649" i="12"/>
  <c r="Q1650" i="12"/>
  <c r="Q1651" i="12"/>
  <c r="Q1652" i="12"/>
  <c r="Q1653" i="12"/>
  <c r="Q1654" i="12"/>
  <c r="Q1655" i="12"/>
  <c r="Q1656" i="12"/>
  <c r="Q1657" i="12"/>
  <c r="Q1658" i="12"/>
  <c r="Q1659" i="12"/>
  <c r="Q1660" i="12"/>
  <c r="Q1661" i="12"/>
  <c r="Q1662" i="12"/>
  <c r="Q1663" i="12"/>
  <c r="Q1664" i="12"/>
  <c r="Q1665" i="12"/>
  <c r="Q1666" i="12"/>
  <c r="Q1667" i="12"/>
  <c r="Q1668" i="12"/>
  <c r="Q1669" i="12"/>
  <c r="Q1670" i="12"/>
  <c r="Q1671" i="12"/>
  <c r="Q1672" i="12"/>
  <c r="Q1673" i="12"/>
  <c r="Q1674" i="12"/>
  <c r="Q1675" i="12"/>
  <c r="Q1676" i="12"/>
  <c r="Q1677" i="12"/>
  <c r="Q1678" i="12"/>
  <c r="Q1679" i="12"/>
  <c r="Q1680" i="12"/>
  <c r="Q1681" i="12"/>
  <c r="Q1682" i="12"/>
  <c r="Q1683" i="12"/>
  <c r="Q1684" i="12"/>
  <c r="Q1685" i="12"/>
  <c r="Q1686" i="12"/>
  <c r="Q1687" i="12"/>
  <c r="Q1688" i="12"/>
  <c r="Q1689" i="12"/>
  <c r="Q1690" i="12"/>
  <c r="Q1691" i="12"/>
  <c r="Q1692" i="12"/>
  <c r="Q1693" i="12"/>
  <c r="Q1694" i="12"/>
  <c r="Q1695" i="12"/>
  <c r="Q1696" i="12"/>
  <c r="Q1697" i="12"/>
  <c r="Q1698" i="12"/>
  <c r="Q1699" i="12"/>
  <c r="Q1700" i="12"/>
  <c r="Q1701" i="12"/>
  <c r="Q1702" i="12"/>
  <c r="Q1703" i="12"/>
  <c r="Q1704" i="12"/>
  <c r="Q1705" i="12"/>
  <c r="Q1706" i="12"/>
  <c r="Q1707" i="12"/>
  <c r="Q1708" i="12"/>
  <c r="Q1709" i="12"/>
  <c r="Q1710" i="12"/>
  <c r="Q1711" i="12"/>
  <c r="Q1712" i="12"/>
  <c r="Q1713" i="12"/>
  <c r="Q1714" i="12"/>
  <c r="Q1715" i="12"/>
  <c r="Q1716" i="12"/>
  <c r="Q1717" i="12"/>
  <c r="Q1718" i="12"/>
  <c r="Q1719" i="12"/>
  <c r="Q1720" i="12"/>
  <c r="Q1721" i="12"/>
  <c r="Q1722" i="12"/>
  <c r="Q1723" i="12"/>
  <c r="Q1724" i="12"/>
  <c r="Q1725" i="12"/>
  <c r="Q1726" i="12"/>
  <c r="Q1727" i="12"/>
  <c r="Q1728" i="12"/>
  <c r="Q1729" i="12"/>
  <c r="Q1730" i="12"/>
  <c r="Q1731" i="12"/>
  <c r="Q1732" i="12"/>
  <c r="Q1733" i="12"/>
  <c r="Q1734" i="12"/>
  <c r="Q1735" i="12"/>
  <c r="Q1736" i="12"/>
  <c r="Q1737" i="12"/>
  <c r="Q1738" i="12"/>
  <c r="Q1739" i="12"/>
  <c r="Q1740" i="12"/>
  <c r="Q1741" i="12"/>
  <c r="Q1742" i="12"/>
  <c r="Q1743" i="12"/>
  <c r="Q1744" i="12"/>
  <c r="Q1745" i="12"/>
  <c r="Q1746" i="12"/>
  <c r="Q1747" i="12"/>
  <c r="Q1748" i="12"/>
  <c r="Q1749" i="12"/>
  <c r="Q1750" i="12"/>
  <c r="Q1751" i="12"/>
  <c r="Q1752" i="12"/>
  <c r="Q1753" i="12"/>
  <c r="Q1754" i="12"/>
  <c r="Q1755" i="12"/>
  <c r="Q1756" i="12"/>
  <c r="Q1757" i="12"/>
  <c r="Q1758" i="12"/>
  <c r="Q1759" i="12"/>
  <c r="Q1760" i="12"/>
  <c r="Q1761" i="12"/>
  <c r="Q1762" i="12"/>
  <c r="Q1763" i="12"/>
  <c r="Q1764" i="12"/>
  <c r="Q1765" i="12"/>
  <c r="Q1766" i="12"/>
  <c r="Q1767" i="12"/>
  <c r="Q1768" i="12"/>
  <c r="Q1769" i="12"/>
  <c r="Q1770" i="12"/>
  <c r="Q1771" i="12"/>
  <c r="Q1772" i="12"/>
  <c r="Q1773" i="12"/>
  <c r="Q1774" i="12"/>
  <c r="Q1775" i="12"/>
  <c r="Q1776" i="12"/>
  <c r="Q1777" i="12"/>
  <c r="Q1778" i="12"/>
  <c r="Q1779" i="12"/>
  <c r="Q1780" i="12"/>
  <c r="Q1781" i="12"/>
  <c r="Q1782" i="12"/>
  <c r="Q1783" i="12"/>
  <c r="Q1784" i="12"/>
  <c r="Q1785" i="12"/>
  <c r="Q1786" i="12"/>
  <c r="Q1787" i="12"/>
  <c r="Q1788" i="12"/>
  <c r="Q1789" i="12"/>
  <c r="Q1790" i="12"/>
  <c r="Q1791" i="12"/>
  <c r="Q1792" i="12"/>
  <c r="Q1793" i="12"/>
  <c r="Q1794" i="12"/>
  <c r="Q1795" i="12"/>
  <c r="Q1796" i="12"/>
  <c r="Q1797" i="12"/>
  <c r="Q1798" i="12"/>
  <c r="Q1799" i="12"/>
  <c r="Q1800" i="12"/>
  <c r="Q1801" i="12"/>
  <c r="Q1802" i="12"/>
  <c r="Q1803" i="12"/>
  <c r="Q1804" i="12"/>
  <c r="Q1805" i="12"/>
  <c r="Q1806" i="12"/>
  <c r="Q1807" i="12"/>
  <c r="V1807" i="12"/>
  <c r="G1807" i="12"/>
  <c r="V1806" i="12"/>
  <c r="G1806" i="12"/>
  <c r="V1805" i="12"/>
  <c r="G1805" i="12"/>
  <c r="V1804" i="12"/>
  <c r="G1804" i="12"/>
  <c r="V1803" i="12"/>
  <c r="G1803" i="12"/>
  <c r="V1802" i="12"/>
  <c r="G1802" i="12"/>
  <c r="V1801" i="12"/>
  <c r="G1801" i="12"/>
  <c r="V1800" i="12"/>
  <c r="G1800" i="12"/>
  <c r="V1799" i="12"/>
  <c r="G1799" i="12"/>
  <c r="V1798" i="12"/>
  <c r="G1798" i="12"/>
  <c r="V1797" i="12"/>
  <c r="G1797" i="12"/>
  <c r="V1796" i="12"/>
  <c r="G1796" i="12"/>
  <c r="V1795" i="12"/>
  <c r="G1795" i="12"/>
  <c r="V1794" i="12"/>
  <c r="G1794" i="12"/>
  <c r="V1793" i="12"/>
  <c r="G1793" i="12"/>
  <c r="V1792" i="12"/>
  <c r="G1792" i="12"/>
  <c r="V1791" i="12"/>
  <c r="G1791" i="12"/>
  <c r="V1790" i="12"/>
  <c r="G1790" i="12"/>
  <c r="V1789" i="12"/>
  <c r="G1789" i="12"/>
  <c r="V1788" i="12"/>
  <c r="G1788" i="12"/>
  <c r="V1787" i="12"/>
  <c r="G1787" i="12"/>
  <c r="V1786" i="12"/>
  <c r="G1786" i="12"/>
  <c r="V1785" i="12"/>
  <c r="G1785" i="12"/>
  <c r="V1784" i="12"/>
  <c r="G1784" i="12"/>
  <c r="V1783" i="12"/>
  <c r="G1783" i="12"/>
  <c r="V1782" i="12"/>
  <c r="G1782" i="12"/>
  <c r="V1781" i="12"/>
  <c r="G1781" i="12"/>
  <c r="V1780" i="12"/>
  <c r="G1780" i="12"/>
  <c r="V1779" i="12"/>
  <c r="G1779" i="12"/>
  <c r="V1778" i="12"/>
  <c r="G1778" i="12"/>
  <c r="V1777" i="12"/>
  <c r="G1777" i="12"/>
  <c r="V1776" i="12"/>
  <c r="G1776" i="12"/>
  <c r="V1775" i="12"/>
  <c r="G1775" i="12"/>
  <c r="V1774" i="12"/>
  <c r="G1774" i="12"/>
  <c r="V1773" i="12"/>
  <c r="G1773" i="12"/>
  <c r="V1772" i="12"/>
  <c r="G1772" i="12"/>
  <c r="V1771" i="12"/>
  <c r="G1771" i="12"/>
  <c r="V1770" i="12"/>
  <c r="G1770" i="12"/>
  <c r="V1769" i="12"/>
  <c r="G1769" i="12"/>
  <c r="V1768" i="12"/>
  <c r="G1768" i="12"/>
  <c r="V1767" i="12"/>
  <c r="G1767" i="12"/>
  <c r="V1766" i="12"/>
  <c r="G1766" i="12"/>
  <c r="V1765" i="12"/>
  <c r="G1765" i="12"/>
  <c r="V1764" i="12"/>
  <c r="G1764" i="12"/>
  <c r="V1763" i="12"/>
  <c r="G1763" i="12"/>
  <c r="V1762" i="12"/>
  <c r="G1762" i="12"/>
  <c r="V1761" i="12"/>
  <c r="G1761" i="12"/>
  <c r="V1760" i="12"/>
  <c r="G1760" i="12"/>
  <c r="V1759" i="12"/>
  <c r="G1759" i="12"/>
  <c r="V1758" i="12"/>
  <c r="G1758" i="12"/>
  <c r="V1757" i="12"/>
  <c r="G1757" i="12"/>
  <c r="V1756" i="12"/>
  <c r="G1756" i="12"/>
  <c r="V1755" i="12"/>
  <c r="G1755" i="12"/>
  <c r="V1754" i="12"/>
  <c r="G1754" i="12"/>
  <c r="V1753" i="12"/>
  <c r="G1753" i="12"/>
  <c r="V1752" i="12"/>
  <c r="G1752" i="12"/>
  <c r="V1751" i="12"/>
  <c r="G1751" i="12"/>
  <c r="V1750" i="12"/>
  <c r="G1750" i="12"/>
  <c r="V1749" i="12"/>
  <c r="G1749" i="12"/>
  <c r="V1748" i="12"/>
  <c r="G1748" i="12"/>
  <c r="V1747" i="12"/>
  <c r="G1747" i="12"/>
  <c r="V1746" i="12"/>
  <c r="G1746" i="12"/>
  <c r="V1745" i="12"/>
  <c r="G1745" i="12"/>
  <c r="V1744" i="12"/>
  <c r="G1744" i="12"/>
  <c r="V1743" i="12"/>
  <c r="G1743" i="12"/>
  <c r="V1742" i="12"/>
  <c r="G1742" i="12"/>
  <c r="V1741" i="12"/>
  <c r="G1741" i="12"/>
  <c r="V1740" i="12"/>
  <c r="G1740" i="12"/>
  <c r="V1739" i="12"/>
  <c r="G1739" i="12"/>
  <c r="V1738" i="12"/>
  <c r="G1738" i="12"/>
  <c r="V1737" i="12"/>
  <c r="G1737" i="12"/>
  <c r="V1736" i="12"/>
  <c r="G1736" i="12"/>
  <c r="V1735" i="12"/>
  <c r="G1735" i="12"/>
  <c r="V1734" i="12"/>
  <c r="G1734" i="12"/>
  <c r="V1733" i="12"/>
  <c r="G1733" i="12"/>
  <c r="V1732" i="12"/>
  <c r="G1732" i="12"/>
  <c r="V1731" i="12"/>
  <c r="G1731" i="12"/>
  <c r="V1730" i="12"/>
  <c r="G1730" i="12"/>
  <c r="V1729" i="12"/>
  <c r="G1729" i="12"/>
  <c r="V1728" i="12"/>
  <c r="G1728" i="12"/>
  <c r="V1727" i="12"/>
  <c r="G1727" i="12"/>
  <c r="V1726" i="12"/>
  <c r="G1726" i="12"/>
  <c r="V1725" i="12"/>
  <c r="G1725" i="12"/>
  <c r="V1724" i="12"/>
  <c r="G1724" i="12"/>
  <c r="V1723" i="12"/>
  <c r="G1723" i="12"/>
  <c r="V1722" i="12"/>
  <c r="G1722" i="12"/>
  <c r="V1721" i="12"/>
  <c r="G1721" i="12"/>
  <c r="V1720" i="12"/>
  <c r="G1720" i="12"/>
  <c r="V1719" i="12"/>
  <c r="G1719" i="12"/>
  <c r="V1718" i="12"/>
  <c r="G1718" i="12"/>
  <c r="V1717" i="12"/>
  <c r="G1717" i="12"/>
  <c r="V1716" i="12"/>
  <c r="G1716" i="12"/>
  <c r="V1715" i="12"/>
  <c r="G1715" i="12"/>
  <c r="V1714" i="12"/>
  <c r="G1714" i="12"/>
  <c r="V1713" i="12"/>
  <c r="G1713" i="12"/>
  <c r="V1712" i="12"/>
  <c r="G1712" i="12"/>
  <c r="V1711" i="12"/>
  <c r="G1711" i="12"/>
  <c r="V1710" i="12"/>
  <c r="G1710" i="12"/>
  <c r="V1709" i="12"/>
  <c r="G1709" i="12"/>
  <c r="V1708" i="12"/>
  <c r="G1708" i="12"/>
  <c r="V1707" i="12"/>
  <c r="G1707" i="12"/>
  <c r="V1706" i="12"/>
  <c r="G1706" i="12"/>
  <c r="V1705" i="12"/>
  <c r="G1705" i="12"/>
  <c r="V1704" i="12"/>
  <c r="G1704" i="12"/>
  <c r="V1703" i="12"/>
  <c r="G1703" i="12"/>
  <c r="V1702" i="12"/>
  <c r="G1702" i="12"/>
  <c r="V1701" i="12"/>
  <c r="G1701" i="12"/>
  <c r="V1700" i="12"/>
  <c r="G1700" i="12"/>
  <c r="V1699" i="12"/>
  <c r="G1699" i="12"/>
  <c r="V1698" i="12"/>
  <c r="G1698" i="12"/>
  <c r="V1697" i="12"/>
  <c r="G1697" i="12"/>
  <c r="V1696" i="12"/>
  <c r="G1696" i="12"/>
  <c r="V1695" i="12"/>
  <c r="G1695" i="12"/>
  <c r="V1694" i="12"/>
  <c r="G1694" i="12"/>
  <c r="V1693" i="12"/>
  <c r="G1693" i="12"/>
  <c r="V1692" i="12"/>
  <c r="G1692" i="12"/>
  <c r="V1691" i="12"/>
  <c r="G1691" i="12"/>
  <c r="V1690" i="12"/>
  <c r="G1690" i="12"/>
  <c r="V1689" i="12"/>
  <c r="G1689" i="12"/>
  <c r="V1688" i="12"/>
  <c r="G1688" i="12"/>
  <c r="V1687" i="12"/>
  <c r="G1687" i="12"/>
  <c r="V1686" i="12"/>
  <c r="G1686" i="12"/>
  <c r="V1685" i="12"/>
  <c r="G1685" i="12"/>
  <c r="V1684" i="12"/>
  <c r="G1684" i="12"/>
  <c r="V1683" i="12"/>
  <c r="G1683" i="12"/>
  <c r="V1682" i="12"/>
  <c r="G1682" i="12"/>
  <c r="V1681" i="12"/>
  <c r="G1681" i="12"/>
  <c r="V1680" i="12"/>
  <c r="G1680" i="12"/>
  <c r="V1679" i="12"/>
  <c r="G1679" i="12"/>
  <c r="V1678" i="12"/>
  <c r="G1678" i="12"/>
  <c r="V1677" i="12"/>
  <c r="G1677" i="12"/>
  <c r="V1676" i="12"/>
  <c r="G1676" i="12"/>
  <c r="V1675" i="12"/>
  <c r="G1675" i="12"/>
  <c r="V1674" i="12"/>
  <c r="G1674" i="12"/>
  <c r="V1673" i="12"/>
  <c r="G1673" i="12"/>
  <c r="V1672" i="12"/>
  <c r="G1672" i="12"/>
  <c r="V1671" i="12"/>
  <c r="G1671" i="12"/>
  <c r="V1670" i="12"/>
  <c r="G1670" i="12"/>
  <c r="V1669" i="12"/>
  <c r="G1669" i="12"/>
  <c r="V1668" i="12"/>
  <c r="G1668" i="12"/>
  <c r="V1667" i="12"/>
  <c r="G1667" i="12"/>
  <c r="V1666" i="12"/>
  <c r="G1666" i="12"/>
  <c r="V1665" i="12"/>
  <c r="G1665" i="12"/>
  <c r="V1664" i="12"/>
  <c r="G1664" i="12"/>
  <c r="V1663" i="12"/>
  <c r="G1663" i="12"/>
  <c r="V1662" i="12"/>
  <c r="G1662" i="12"/>
  <c r="V1661" i="12"/>
  <c r="G1661" i="12"/>
  <c r="V1660" i="12"/>
  <c r="G1660" i="12"/>
  <c r="V1659" i="12"/>
  <c r="G1659" i="12"/>
  <c r="V1658" i="12"/>
  <c r="G1658" i="12"/>
  <c r="V1657" i="12"/>
  <c r="G1657" i="12"/>
  <c r="V1656" i="12"/>
  <c r="G1656" i="12"/>
  <c r="V1655" i="12"/>
  <c r="G1655" i="12"/>
  <c r="V1654" i="12"/>
  <c r="G1654" i="12"/>
  <c r="V1653" i="12"/>
  <c r="G1653" i="12"/>
  <c r="V1652" i="12"/>
  <c r="G1652" i="12"/>
  <c r="V1651" i="12"/>
  <c r="G1651" i="12"/>
  <c r="V1650" i="12"/>
  <c r="G1650" i="12"/>
  <c r="V1649" i="12"/>
  <c r="G1649" i="12"/>
  <c r="V1648" i="12"/>
  <c r="G1648" i="12"/>
  <c r="V1647" i="12"/>
  <c r="G1647" i="12"/>
  <c r="V1646" i="12"/>
  <c r="G1646" i="12"/>
  <c r="V1645" i="12"/>
  <c r="G1645" i="12"/>
  <c r="V1644" i="12"/>
  <c r="G1644" i="12"/>
  <c r="V1643" i="12"/>
  <c r="G1643" i="12"/>
  <c r="V1642" i="12"/>
  <c r="G1642" i="12"/>
  <c r="V1641" i="12"/>
  <c r="G1641" i="12"/>
  <c r="V1640" i="12"/>
  <c r="G1640" i="12"/>
  <c r="V1639" i="12"/>
  <c r="G1639" i="12"/>
  <c r="V1638" i="12"/>
  <c r="G1638" i="12"/>
  <c r="V1637" i="12"/>
  <c r="G1637" i="12"/>
  <c r="V1636" i="12"/>
  <c r="G1636" i="12"/>
  <c r="V1635" i="12"/>
  <c r="G1635" i="12"/>
  <c r="V1634" i="12"/>
  <c r="G1634" i="12"/>
  <c r="V1633" i="12"/>
  <c r="G1633" i="12"/>
  <c r="V1632" i="12"/>
  <c r="G1632" i="12"/>
  <c r="V1631" i="12"/>
  <c r="G1631" i="12"/>
  <c r="V1630" i="12"/>
  <c r="G1630" i="12"/>
  <c r="V1629" i="12"/>
  <c r="G1629" i="12"/>
  <c r="V1628" i="12"/>
  <c r="G1628" i="12"/>
  <c r="V1627" i="12"/>
  <c r="G1627" i="12"/>
  <c r="V1626" i="12"/>
  <c r="G1626" i="12"/>
  <c r="V1625" i="12"/>
  <c r="G1625" i="12"/>
  <c r="V1624" i="12"/>
  <c r="G1624" i="12"/>
  <c r="V1623" i="12"/>
  <c r="G1623" i="12"/>
  <c r="V1622" i="12"/>
  <c r="G1622" i="12"/>
  <c r="V1621" i="12"/>
  <c r="G1621" i="12"/>
  <c r="V1620" i="12"/>
  <c r="G1620" i="12"/>
  <c r="V1619" i="12"/>
  <c r="G1619" i="12"/>
  <c r="V1618" i="12"/>
  <c r="G1618" i="12"/>
  <c r="V1617" i="12"/>
  <c r="G1617" i="12"/>
  <c r="V1616" i="12"/>
  <c r="G1616" i="12"/>
  <c r="V1615" i="12"/>
  <c r="G1615" i="12"/>
  <c r="V1614" i="12"/>
  <c r="G1614" i="12"/>
  <c r="V1613" i="12"/>
  <c r="G1613" i="12"/>
  <c r="V1612" i="12"/>
  <c r="G1612" i="12"/>
  <c r="V1611" i="12"/>
  <c r="G1611" i="12"/>
  <c r="V1610" i="12"/>
  <c r="G1610" i="12"/>
  <c r="V1609" i="12"/>
  <c r="G1609" i="12"/>
  <c r="V1608" i="12"/>
  <c r="G1608" i="12"/>
  <c r="V1607" i="12"/>
  <c r="G1607" i="12"/>
  <c r="V1606" i="12"/>
  <c r="G1606" i="12"/>
  <c r="V1605" i="12"/>
  <c r="G1605" i="12"/>
  <c r="V1604" i="12"/>
  <c r="G1604" i="12"/>
  <c r="V1603" i="12"/>
  <c r="G1603" i="12"/>
  <c r="V1602" i="12"/>
  <c r="G1602" i="12"/>
  <c r="V1601" i="12"/>
  <c r="G1601" i="12"/>
  <c r="V1600" i="12"/>
  <c r="G1600" i="12"/>
  <c r="V1599" i="12"/>
  <c r="G1599" i="12"/>
  <c r="V1598" i="12"/>
  <c r="G1598" i="12"/>
  <c r="V1597" i="12"/>
  <c r="G1597" i="12"/>
  <c r="V1596" i="12"/>
  <c r="G1596" i="12"/>
  <c r="V1595" i="12"/>
  <c r="G1595" i="12"/>
  <c r="V1594" i="12"/>
  <c r="G1594" i="12"/>
  <c r="V1593" i="12"/>
  <c r="G1593" i="12"/>
  <c r="V1592" i="12"/>
  <c r="G1592" i="12"/>
  <c r="V1591" i="12"/>
  <c r="G1591" i="12"/>
  <c r="V1590" i="12"/>
  <c r="G1590" i="12"/>
  <c r="V1589" i="12"/>
  <c r="G1589" i="12"/>
  <c r="V1588" i="12"/>
  <c r="G1588" i="12"/>
  <c r="V1587" i="12"/>
  <c r="G1587" i="12"/>
  <c r="V1586" i="12"/>
  <c r="G1586" i="12"/>
  <c r="V1585" i="12"/>
  <c r="G1585" i="12"/>
  <c r="V1584" i="12"/>
  <c r="G1584" i="12"/>
  <c r="V1583" i="12"/>
  <c r="G1583" i="12"/>
  <c r="V1582" i="12"/>
  <c r="G1582" i="12"/>
  <c r="V1581" i="12"/>
  <c r="G1581" i="12"/>
  <c r="V1580" i="12"/>
  <c r="G1580" i="12"/>
  <c r="V1579" i="12"/>
  <c r="G1579" i="12"/>
  <c r="V1578" i="12"/>
  <c r="G1578" i="12"/>
  <c r="V1577" i="12"/>
  <c r="G1577" i="12"/>
  <c r="V1576" i="12"/>
  <c r="G1576" i="12"/>
  <c r="V1575" i="12"/>
  <c r="G1575" i="12"/>
  <c r="V1574" i="12"/>
  <c r="G1574" i="12"/>
  <c r="V1573" i="12"/>
  <c r="G1573" i="12"/>
  <c r="V1572" i="12"/>
  <c r="G1572" i="12"/>
  <c r="V1571" i="12"/>
  <c r="G1571" i="12"/>
  <c r="V1570" i="12"/>
  <c r="G1570" i="12"/>
  <c r="V1569" i="12"/>
  <c r="G1569" i="12"/>
  <c r="V1568" i="12"/>
  <c r="G1568" i="12"/>
  <c r="V1567" i="12"/>
  <c r="G1567" i="12"/>
  <c r="V1566" i="12"/>
  <c r="G1566" i="12"/>
  <c r="V1565" i="12"/>
  <c r="G1565" i="12"/>
  <c r="V1564" i="12"/>
  <c r="G1564" i="12"/>
  <c r="V1563" i="12"/>
  <c r="G1563" i="12"/>
  <c r="V1562" i="12"/>
  <c r="G1562" i="12"/>
  <c r="V1561" i="12"/>
  <c r="G1561" i="12"/>
  <c r="V1560" i="12"/>
  <c r="G1560" i="12"/>
  <c r="V1559" i="12"/>
  <c r="G1559" i="12"/>
  <c r="V1558" i="12"/>
  <c r="G1558" i="12"/>
  <c r="V1557" i="12"/>
  <c r="G1557" i="12"/>
  <c r="V1556" i="12"/>
  <c r="G1556" i="12"/>
  <c r="V1555" i="12"/>
  <c r="G1555" i="12"/>
  <c r="V1554" i="12"/>
  <c r="G1554" i="12"/>
  <c r="V1553" i="12"/>
  <c r="G1553" i="12"/>
  <c r="V1552" i="12"/>
  <c r="G1552" i="12"/>
  <c r="V1551" i="12"/>
  <c r="G1551" i="12"/>
  <c r="V1550" i="12"/>
  <c r="G1550" i="12"/>
  <c r="V1549" i="12"/>
  <c r="G1549" i="12"/>
  <c r="V1548" i="12"/>
  <c r="G1548" i="12"/>
  <c r="V1547" i="12"/>
  <c r="G1547" i="12"/>
  <c r="V1546" i="12"/>
  <c r="G1546" i="12"/>
  <c r="V1545" i="12"/>
  <c r="G1545" i="12"/>
  <c r="V1544" i="12"/>
  <c r="G1544" i="12"/>
  <c r="V1543" i="12"/>
  <c r="G1543" i="12"/>
  <c r="V1542" i="12"/>
  <c r="G1542" i="12"/>
  <c r="V1541" i="12"/>
  <c r="G1541" i="12"/>
  <c r="V1540" i="12"/>
  <c r="G1540" i="12"/>
  <c r="V1539" i="12"/>
  <c r="G1539" i="12"/>
  <c r="V1538" i="12"/>
  <c r="G1538" i="12"/>
  <c r="V1537" i="12"/>
  <c r="G1537" i="12"/>
  <c r="V1536" i="12"/>
  <c r="G1536" i="12"/>
  <c r="V1535" i="12"/>
  <c r="G1535" i="12"/>
  <c r="V1534" i="12"/>
  <c r="G1534" i="12"/>
  <c r="V1533" i="12"/>
  <c r="G1533" i="12"/>
  <c r="V1532" i="12"/>
  <c r="G1532" i="12"/>
  <c r="V1531" i="12"/>
  <c r="G1531" i="12"/>
  <c r="V1530" i="12"/>
  <c r="G1530" i="12"/>
  <c r="V1529" i="12"/>
  <c r="G1529" i="12"/>
  <c r="V1528" i="12"/>
  <c r="G1528" i="12"/>
  <c r="V1527" i="12"/>
  <c r="G1527" i="12"/>
  <c r="V1526" i="12"/>
  <c r="G1526" i="12"/>
  <c r="V1525" i="12"/>
  <c r="G1525" i="12"/>
  <c r="V1524" i="12"/>
  <c r="G1524" i="12"/>
  <c r="V1523" i="12"/>
  <c r="G1523" i="12"/>
  <c r="V1522" i="12"/>
  <c r="G1522" i="12"/>
  <c r="V1521" i="12"/>
  <c r="G1521" i="12"/>
  <c r="V1520" i="12"/>
  <c r="G1520" i="12"/>
  <c r="V1519" i="12"/>
  <c r="G1519" i="12"/>
  <c r="V1518" i="12"/>
  <c r="G1518" i="12"/>
  <c r="V1517" i="12"/>
  <c r="G1517" i="12"/>
  <c r="V1516" i="12"/>
  <c r="G1516" i="12"/>
  <c r="V1515" i="12"/>
  <c r="G1515" i="12"/>
  <c r="V1514" i="12"/>
  <c r="G1514" i="12"/>
  <c r="V1513" i="12"/>
  <c r="G1513" i="12"/>
  <c r="V1512" i="12"/>
  <c r="G1512" i="12"/>
  <c r="V1511" i="12"/>
  <c r="G1511" i="12"/>
  <c r="V1510" i="12"/>
  <c r="G1510" i="12"/>
  <c r="V1509" i="12"/>
  <c r="G1509" i="12"/>
  <c r="V1508" i="12"/>
  <c r="G1508" i="12"/>
  <c r="V1507" i="12"/>
  <c r="G1507" i="12"/>
  <c r="V1506" i="12"/>
  <c r="G1506" i="12"/>
  <c r="V1505" i="12"/>
  <c r="G1505" i="12"/>
  <c r="V1504" i="12"/>
  <c r="G1504" i="12"/>
  <c r="V1503" i="12"/>
  <c r="G1503" i="12"/>
  <c r="V1502" i="12"/>
  <c r="G1502" i="12"/>
  <c r="V1501" i="12"/>
  <c r="G1501" i="12"/>
  <c r="V1500" i="12"/>
  <c r="G1500" i="12"/>
  <c r="V1499" i="12"/>
  <c r="G1499" i="12"/>
  <c r="V1498" i="12"/>
  <c r="G1498" i="12"/>
  <c r="V1497" i="12"/>
  <c r="G1497" i="12"/>
  <c r="V1496" i="12"/>
  <c r="G1496" i="12"/>
  <c r="V1495" i="12"/>
  <c r="G1495" i="12"/>
  <c r="V1494" i="12"/>
  <c r="G1494" i="12"/>
  <c r="V1493" i="12"/>
  <c r="G1493" i="12"/>
  <c r="V1492" i="12"/>
  <c r="G1492" i="12"/>
  <c r="V1491" i="12"/>
  <c r="G1491" i="12"/>
  <c r="V1490" i="12"/>
  <c r="G1490" i="12"/>
  <c r="V1489" i="12"/>
  <c r="G1489" i="12"/>
  <c r="V1488" i="12"/>
  <c r="G1488" i="12"/>
  <c r="V1487" i="12"/>
  <c r="G1487" i="12"/>
  <c r="V1486" i="12"/>
  <c r="G1486" i="12"/>
  <c r="V1485" i="12"/>
  <c r="G1485" i="12"/>
  <c r="V1484" i="12"/>
  <c r="G1484" i="12"/>
  <c r="V1483" i="12"/>
  <c r="G1483" i="12"/>
  <c r="V1482" i="12"/>
  <c r="G1482" i="12"/>
  <c r="V1481" i="12"/>
  <c r="G1481" i="12"/>
  <c r="V1480" i="12"/>
  <c r="G1480" i="12"/>
  <c r="V1479" i="12"/>
  <c r="G1479" i="12"/>
  <c r="V1478" i="12"/>
  <c r="G1478" i="12"/>
  <c r="V1477" i="12"/>
  <c r="G1477" i="12"/>
  <c r="V1476" i="12"/>
  <c r="G1476" i="12"/>
  <c r="V1475" i="12"/>
  <c r="G1475" i="12"/>
  <c r="V1474" i="12"/>
  <c r="G1474" i="12"/>
  <c r="V1473" i="12"/>
  <c r="G1473" i="12"/>
  <c r="V1472" i="12"/>
  <c r="G1472" i="12"/>
  <c r="V1471" i="12"/>
  <c r="G1471" i="12"/>
  <c r="V1470" i="12"/>
  <c r="G1470" i="12"/>
  <c r="V1469" i="12"/>
  <c r="G1469" i="12"/>
  <c r="V1468" i="12"/>
  <c r="G1468" i="12"/>
  <c r="V1467" i="12"/>
  <c r="G1467" i="12"/>
  <c r="V1466" i="12"/>
  <c r="G1466" i="12"/>
  <c r="V1465" i="12"/>
  <c r="G1465" i="12"/>
  <c r="V1464" i="12"/>
  <c r="G1464" i="12"/>
  <c r="V1463" i="12"/>
  <c r="G1463" i="12"/>
  <c r="V1462" i="12"/>
  <c r="G1462" i="12"/>
  <c r="V1461" i="12"/>
  <c r="G1461" i="12"/>
  <c r="V1460" i="12"/>
  <c r="G1460" i="12"/>
  <c r="V1459" i="12"/>
  <c r="G1459" i="12"/>
  <c r="V1458" i="12"/>
  <c r="G1458" i="12"/>
  <c r="V1457" i="12"/>
  <c r="G1457" i="12"/>
  <c r="V1456" i="12"/>
  <c r="G1456" i="12"/>
  <c r="V1455" i="12"/>
  <c r="G1455" i="12"/>
  <c r="V1454" i="12"/>
  <c r="G1454" i="12"/>
  <c r="V1453" i="12"/>
  <c r="G1453" i="12"/>
  <c r="V1452" i="12"/>
  <c r="G1452" i="12"/>
  <c r="V1451" i="12"/>
  <c r="G1451" i="12"/>
  <c r="V1450" i="12"/>
  <c r="G1450" i="12"/>
  <c r="V1449" i="12"/>
  <c r="G1449" i="12"/>
  <c r="V1448" i="12"/>
  <c r="G1448" i="12"/>
  <c r="V1447" i="12"/>
  <c r="G1447" i="12"/>
  <c r="V1446" i="12"/>
  <c r="G1446" i="12"/>
  <c r="V1445" i="12"/>
  <c r="G1445" i="12"/>
  <c r="V1444" i="12"/>
  <c r="G1444" i="12"/>
  <c r="V1443" i="12"/>
  <c r="G1443" i="12"/>
  <c r="V1442" i="12"/>
  <c r="G1442" i="12"/>
  <c r="V1441" i="12"/>
  <c r="G1441" i="12"/>
  <c r="V1440" i="12"/>
  <c r="G1440" i="12"/>
  <c r="V1439" i="12"/>
  <c r="G1439" i="12"/>
  <c r="V1438" i="12"/>
  <c r="G1438" i="12"/>
  <c r="V1437" i="12"/>
  <c r="G1437" i="12"/>
  <c r="V1436" i="12"/>
  <c r="G1436" i="12"/>
  <c r="V1435" i="12"/>
  <c r="G1435" i="12"/>
  <c r="V1434" i="12"/>
  <c r="G1434" i="12"/>
  <c r="V1433" i="12"/>
  <c r="G1433" i="12"/>
  <c r="V1432" i="12"/>
  <c r="G1432" i="12"/>
  <c r="V1431" i="12"/>
  <c r="G1431" i="12"/>
  <c r="V1430" i="12"/>
  <c r="G1430" i="12"/>
  <c r="V1429" i="12"/>
  <c r="G1429" i="12"/>
  <c r="V1428" i="12"/>
  <c r="G1428" i="12"/>
  <c r="V1427" i="12"/>
  <c r="G1427" i="12"/>
  <c r="V1426" i="12"/>
  <c r="G1426" i="12"/>
  <c r="V1425" i="12"/>
  <c r="G1425" i="12"/>
  <c r="V1424" i="12"/>
  <c r="G1424" i="12"/>
  <c r="V1423" i="12"/>
  <c r="G1423" i="12"/>
  <c r="V1422" i="12"/>
  <c r="G1422" i="12"/>
  <c r="V1421" i="12"/>
  <c r="G1421" i="12"/>
  <c r="V1420" i="12"/>
  <c r="G1420" i="12"/>
  <c r="V1419" i="12"/>
  <c r="G1419" i="12"/>
  <c r="V1418" i="12"/>
  <c r="G1418" i="12"/>
  <c r="V1417" i="12"/>
  <c r="G1417" i="12"/>
  <c r="V1416" i="12"/>
  <c r="G1416" i="12"/>
  <c r="V1415" i="12"/>
  <c r="G1415" i="12"/>
  <c r="V1414" i="12"/>
  <c r="G1414" i="12"/>
  <c r="V1413" i="12"/>
  <c r="G1413" i="12"/>
  <c r="V1412" i="12"/>
  <c r="G1412" i="12"/>
  <c r="V1411" i="12"/>
  <c r="G1411" i="12"/>
  <c r="V1410" i="12"/>
  <c r="G1410" i="12"/>
  <c r="V1409" i="12"/>
  <c r="G1409" i="12"/>
  <c r="V1408" i="12"/>
  <c r="G1408" i="12"/>
  <c r="V1407" i="12"/>
  <c r="G1407" i="12"/>
  <c r="V1406" i="12"/>
  <c r="G1406" i="12"/>
  <c r="V1405" i="12"/>
  <c r="G1405" i="12"/>
  <c r="V1404" i="12"/>
  <c r="G1404" i="12"/>
  <c r="V1403" i="12"/>
  <c r="G1403" i="12"/>
  <c r="V1402" i="12"/>
  <c r="G1402" i="12"/>
  <c r="V1401" i="12"/>
  <c r="G1401" i="12"/>
  <c r="V1400" i="12"/>
  <c r="G1400" i="12"/>
  <c r="V1399" i="12"/>
  <c r="G1399" i="12"/>
  <c r="V1398" i="12"/>
  <c r="G1398" i="12"/>
  <c r="V1397" i="12"/>
  <c r="G1397" i="12"/>
  <c r="V1396" i="12"/>
  <c r="G1396" i="12"/>
  <c r="V1395" i="12"/>
  <c r="G1395" i="12"/>
  <c r="V1394" i="12"/>
  <c r="G1394" i="12"/>
  <c r="V1393" i="12"/>
  <c r="G1393" i="12"/>
  <c r="V1392" i="12"/>
  <c r="G1392" i="12"/>
  <c r="V1391" i="12"/>
  <c r="G1391" i="12"/>
  <c r="V1390" i="12"/>
  <c r="G1390" i="12"/>
  <c r="V1389" i="12"/>
  <c r="G1389" i="12"/>
  <c r="V1388" i="12"/>
  <c r="G1388" i="12"/>
  <c r="V1387" i="12"/>
  <c r="G1387" i="12"/>
  <c r="V1386" i="12"/>
  <c r="G1386" i="12"/>
  <c r="V1385" i="12"/>
  <c r="G1385" i="12"/>
  <c r="V1384" i="12"/>
  <c r="G1384" i="12"/>
  <c r="V1383" i="12"/>
  <c r="G1383" i="12"/>
  <c r="V1382" i="12"/>
  <c r="G1382" i="12"/>
  <c r="V1381" i="12"/>
  <c r="G1381" i="12"/>
  <c r="V1380" i="12"/>
  <c r="G1380" i="12"/>
  <c r="V1379" i="12"/>
  <c r="G1379" i="12"/>
  <c r="V1378" i="12"/>
  <c r="G1378" i="12"/>
  <c r="V1377" i="12"/>
  <c r="G1377" i="12"/>
  <c r="V1376" i="12"/>
  <c r="G1376" i="12"/>
  <c r="V1375" i="12"/>
  <c r="G1375" i="12"/>
  <c r="V1374" i="12"/>
  <c r="G1374" i="12"/>
  <c r="V1373" i="12"/>
  <c r="G1373" i="12"/>
  <c r="V1372" i="12"/>
  <c r="G1372" i="12"/>
  <c r="V1371" i="12"/>
  <c r="G1371" i="12"/>
  <c r="V1370" i="12"/>
  <c r="G1370" i="12"/>
  <c r="V1369" i="12"/>
  <c r="G1369" i="12"/>
  <c r="V1368" i="12"/>
  <c r="G1368" i="12"/>
  <c r="V1367" i="12"/>
  <c r="G1367" i="12"/>
  <c r="V1366" i="12"/>
  <c r="G1366" i="12"/>
  <c r="V1365" i="12"/>
  <c r="G1365" i="12"/>
  <c r="V1364" i="12"/>
  <c r="G1364" i="12"/>
  <c r="V1363" i="12"/>
  <c r="G1363" i="12"/>
  <c r="V1362" i="12"/>
  <c r="G1362" i="12"/>
  <c r="V1361" i="12"/>
  <c r="G1361" i="12"/>
  <c r="V1360" i="12"/>
  <c r="G1360" i="12"/>
  <c r="V1359" i="12"/>
  <c r="G1359" i="12"/>
  <c r="V1358" i="12"/>
  <c r="G1358" i="12"/>
  <c r="V1357" i="12"/>
  <c r="G1357" i="12"/>
  <c r="V1356" i="12"/>
  <c r="G1356" i="12"/>
  <c r="V1355" i="12"/>
  <c r="G1355" i="12"/>
  <c r="V1354" i="12"/>
  <c r="G1354" i="12"/>
  <c r="V1353" i="12"/>
  <c r="G1353" i="12"/>
  <c r="V1352" i="12"/>
  <c r="G1352" i="12"/>
  <c r="V1351" i="12"/>
  <c r="G1351" i="12"/>
  <c r="V1350" i="12"/>
  <c r="G1350" i="12"/>
  <c r="V1349" i="12"/>
  <c r="G1349" i="12"/>
  <c r="V1348" i="12"/>
  <c r="G1348" i="12"/>
  <c r="V1347" i="12"/>
  <c r="G1347" i="12"/>
  <c r="V1346" i="12"/>
  <c r="G1346" i="12"/>
  <c r="V1345" i="12"/>
  <c r="G1345" i="12"/>
  <c r="V1344" i="12"/>
  <c r="G1344" i="12"/>
  <c r="V1343" i="12"/>
  <c r="G1343" i="12"/>
  <c r="V1342" i="12"/>
  <c r="G1342" i="12"/>
  <c r="V1341" i="12"/>
  <c r="G1341" i="12"/>
  <c r="V1340" i="12"/>
  <c r="G1340" i="12"/>
  <c r="V1339" i="12"/>
  <c r="G1339" i="12"/>
  <c r="V1338" i="12"/>
  <c r="G1338" i="12"/>
  <c r="V1337" i="12"/>
  <c r="G1337" i="12"/>
  <c r="V1336" i="12"/>
  <c r="G1336" i="12"/>
  <c r="V1335" i="12"/>
  <c r="G1335" i="12"/>
  <c r="V1334" i="12"/>
  <c r="G1334" i="12"/>
  <c r="V1333" i="12"/>
  <c r="G1333" i="12"/>
  <c r="V1332" i="12"/>
  <c r="G1332" i="12"/>
  <c r="V1331" i="12"/>
  <c r="G1331" i="12"/>
  <c r="V1330" i="12"/>
  <c r="G1330" i="12"/>
  <c r="V1329" i="12"/>
  <c r="G1329" i="12"/>
  <c r="V1328" i="12"/>
  <c r="G1328" i="12"/>
  <c r="V1327" i="12"/>
  <c r="G1327" i="12"/>
  <c r="V1326" i="12"/>
  <c r="G1326" i="12"/>
  <c r="V1325" i="12"/>
  <c r="G1325" i="12"/>
  <c r="V1324" i="12"/>
  <c r="G1324" i="12"/>
  <c r="V1323" i="12"/>
  <c r="G1323" i="12"/>
  <c r="V1322" i="12"/>
  <c r="G1322" i="12"/>
  <c r="V1321" i="12"/>
  <c r="G1321" i="12"/>
  <c r="V1320" i="12"/>
  <c r="G1320" i="12"/>
  <c r="V1319" i="12"/>
  <c r="G1319" i="12"/>
  <c r="V1318" i="12"/>
  <c r="G1318" i="12"/>
  <c r="V1317" i="12"/>
  <c r="G1317" i="12"/>
  <c r="V1316" i="12"/>
  <c r="G1316" i="12"/>
  <c r="V1315" i="12"/>
  <c r="G1315" i="12"/>
  <c r="V1314" i="12"/>
  <c r="G1314" i="12"/>
  <c r="V1313" i="12"/>
  <c r="G1313" i="12"/>
  <c r="V1312" i="12"/>
  <c r="G1312" i="12"/>
  <c r="V1311" i="12"/>
  <c r="G1311" i="12"/>
  <c r="V1310" i="12"/>
  <c r="G1310" i="12"/>
  <c r="V1309" i="12"/>
  <c r="G1309" i="12"/>
  <c r="V1308" i="12"/>
  <c r="G1308" i="12"/>
  <c r="V1307" i="12"/>
  <c r="G1307" i="12"/>
  <c r="V1306" i="12"/>
  <c r="G1306" i="12"/>
  <c r="V1305" i="12"/>
  <c r="G1305" i="12"/>
  <c r="V1304" i="12"/>
  <c r="G1304" i="12"/>
  <c r="V1303" i="12"/>
  <c r="G1303" i="12"/>
  <c r="V1302" i="12"/>
  <c r="G1302" i="12"/>
  <c r="V1301" i="12"/>
  <c r="G1301" i="12"/>
  <c r="V1300" i="12"/>
  <c r="G1300" i="12"/>
  <c r="V1299" i="12"/>
  <c r="G1299" i="12"/>
  <c r="V1298" i="12"/>
  <c r="G1298" i="12"/>
  <c r="V1297" i="12"/>
  <c r="G1297" i="12"/>
  <c r="V1296" i="12"/>
  <c r="G1296" i="12"/>
  <c r="V1295" i="12"/>
  <c r="G1295" i="12"/>
  <c r="V1294" i="12"/>
  <c r="G1294" i="12"/>
  <c r="V1293" i="12"/>
  <c r="G1293" i="12"/>
  <c r="V1292" i="12"/>
  <c r="G1292" i="12"/>
  <c r="V1291" i="12"/>
  <c r="G1291" i="12"/>
  <c r="V1290" i="12"/>
  <c r="G1290" i="12"/>
  <c r="V1289" i="12"/>
  <c r="G1289" i="12"/>
  <c r="V1288" i="12"/>
  <c r="G1288" i="12"/>
  <c r="V1287" i="12"/>
  <c r="G1287" i="12"/>
  <c r="V1286" i="12"/>
  <c r="G1286" i="12"/>
  <c r="V1285" i="12"/>
  <c r="G1285" i="12"/>
  <c r="V1284" i="12"/>
  <c r="G1284" i="12"/>
  <c r="V1283" i="12"/>
  <c r="G1283" i="12"/>
  <c r="V1282" i="12"/>
  <c r="G1282" i="12"/>
  <c r="V1281" i="12"/>
  <c r="G1281" i="12"/>
  <c r="V1280" i="12"/>
  <c r="G1280" i="12"/>
  <c r="V1279" i="12"/>
  <c r="G1279" i="12"/>
  <c r="V1278" i="12"/>
  <c r="G1278" i="12"/>
  <c r="V1277" i="12"/>
  <c r="G1277" i="12"/>
  <c r="V1276" i="12"/>
  <c r="G1276" i="12"/>
  <c r="V1275" i="12"/>
  <c r="G1275" i="12"/>
  <c r="V1274" i="12"/>
  <c r="G1274" i="12"/>
  <c r="V1273" i="12"/>
  <c r="G1273" i="12"/>
  <c r="V1272" i="12"/>
  <c r="G1272" i="12"/>
  <c r="V1271" i="12"/>
  <c r="G1271" i="12"/>
  <c r="V1270" i="12"/>
  <c r="G1270" i="12"/>
  <c r="V1269" i="12"/>
  <c r="G1269" i="12"/>
  <c r="V1268" i="12"/>
  <c r="G1268" i="12"/>
  <c r="V1267" i="12"/>
  <c r="G1267" i="12"/>
  <c r="V1266" i="12"/>
  <c r="G1266" i="12"/>
  <c r="V1265" i="12"/>
  <c r="G1265" i="12"/>
  <c r="V1264" i="12"/>
  <c r="G1264" i="12"/>
  <c r="V1263" i="12"/>
  <c r="G1263" i="12"/>
  <c r="V1262" i="12"/>
  <c r="G1262" i="12"/>
  <c r="V1261" i="12"/>
  <c r="G1261" i="12"/>
  <c r="V1260" i="12"/>
  <c r="G1260" i="12"/>
  <c r="V1259" i="12"/>
  <c r="G1259" i="12"/>
  <c r="V1258" i="12"/>
  <c r="G1258" i="12"/>
  <c r="V1257" i="12"/>
  <c r="G1257" i="12"/>
  <c r="V1256" i="12"/>
  <c r="G1256" i="12"/>
  <c r="V1255" i="12"/>
  <c r="G1255" i="12"/>
  <c r="V1254" i="12"/>
  <c r="G1254" i="12"/>
  <c r="V1253" i="12"/>
  <c r="G1253" i="12"/>
  <c r="V1252" i="12"/>
  <c r="G1252" i="12"/>
  <c r="V1251" i="12"/>
  <c r="G1251" i="12"/>
  <c r="V1250" i="12"/>
  <c r="G1250" i="12"/>
  <c r="V1249" i="12"/>
  <c r="G1249" i="12"/>
  <c r="V1248" i="12"/>
  <c r="G1248" i="12"/>
  <c r="V1247" i="12"/>
  <c r="G1247" i="12"/>
  <c r="V1246" i="12"/>
  <c r="G1246" i="12"/>
  <c r="V1245" i="12"/>
  <c r="G1245" i="12"/>
  <c r="V1244" i="12"/>
  <c r="G1244" i="12"/>
  <c r="V1243" i="12"/>
  <c r="G1243" i="12"/>
  <c r="V1242" i="12"/>
  <c r="G1242" i="12"/>
  <c r="V1241" i="12"/>
  <c r="G1241" i="12"/>
  <c r="V1240" i="12"/>
  <c r="G1240" i="12"/>
  <c r="V1239" i="12"/>
  <c r="G1239" i="12"/>
  <c r="V1238" i="12"/>
  <c r="G1238" i="12"/>
  <c r="V1237" i="12"/>
  <c r="G1237" i="12"/>
  <c r="V1236" i="12"/>
  <c r="G1236" i="12"/>
  <c r="V1235" i="12"/>
  <c r="G1235" i="12"/>
  <c r="V1234" i="12"/>
  <c r="G1234" i="12"/>
  <c r="V1233" i="12"/>
  <c r="G1233" i="12"/>
  <c r="V1232" i="12"/>
  <c r="G1232" i="12"/>
  <c r="V1231" i="12"/>
  <c r="G1231" i="12"/>
  <c r="V1230" i="12"/>
  <c r="G1230" i="12"/>
  <c r="V1229" i="12"/>
  <c r="G1229" i="12"/>
  <c r="V1228" i="12"/>
  <c r="G1228" i="12"/>
  <c r="V1227" i="12"/>
  <c r="G1227" i="12"/>
  <c r="V1226" i="12"/>
  <c r="G1226" i="12"/>
  <c r="V1225" i="12"/>
  <c r="G1225" i="12"/>
  <c r="V1224" i="12"/>
  <c r="G1224" i="12"/>
  <c r="V1223" i="12"/>
  <c r="G1223" i="12"/>
  <c r="V1222" i="12"/>
  <c r="G1222" i="12"/>
  <c r="V1221" i="12"/>
  <c r="G1221" i="12"/>
  <c r="V1220" i="12"/>
  <c r="G1220" i="12"/>
  <c r="V1219" i="12"/>
  <c r="G1219" i="12"/>
  <c r="V1218" i="12"/>
  <c r="G1218" i="12"/>
  <c r="V1217" i="12"/>
  <c r="G1217" i="12"/>
  <c r="V1216" i="12"/>
  <c r="G1216" i="12"/>
  <c r="V1215" i="12"/>
  <c r="G1215" i="12"/>
  <c r="V1214" i="12"/>
  <c r="G1214" i="12"/>
  <c r="V1213" i="12"/>
  <c r="G1213" i="12"/>
  <c r="V1212" i="12"/>
  <c r="G1212" i="12"/>
  <c r="V1211" i="12"/>
  <c r="G1211" i="12"/>
  <c r="V1210" i="12"/>
  <c r="G1210" i="12"/>
  <c r="V1209" i="12"/>
  <c r="G1209" i="12"/>
  <c r="V1208" i="12"/>
  <c r="G1208" i="12"/>
  <c r="V1207" i="12"/>
  <c r="G1207" i="12"/>
  <c r="V1206" i="12"/>
  <c r="G1206" i="12"/>
  <c r="V1205" i="12"/>
  <c r="G1205" i="12"/>
  <c r="V1204" i="12"/>
  <c r="G1204" i="12"/>
  <c r="V1203" i="12"/>
  <c r="G1203" i="12"/>
  <c r="V1202" i="12"/>
  <c r="G1202" i="12"/>
  <c r="V1201" i="12"/>
  <c r="G1201" i="12"/>
  <c r="V1200" i="12"/>
  <c r="G1200" i="12"/>
  <c r="V1199" i="12"/>
  <c r="G1199" i="12"/>
  <c r="V1198" i="12"/>
  <c r="G1198" i="12"/>
  <c r="V1197" i="12"/>
  <c r="G1197" i="12"/>
  <c r="V1196" i="12"/>
  <c r="G1196" i="12"/>
  <c r="V1195" i="12"/>
  <c r="G1195" i="12"/>
  <c r="V1194" i="12"/>
  <c r="G1194" i="12"/>
  <c r="V1193" i="12"/>
  <c r="G1193" i="12"/>
  <c r="V1192" i="12"/>
  <c r="G1192" i="12"/>
  <c r="V1191" i="12"/>
  <c r="G1191" i="12"/>
  <c r="V1190" i="12"/>
  <c r="G1190" i="12"/>
  <c r="V1189" i="12"/>
  <c r="G1189" i="12"/>
  <c r="V1188" i="12"/>
  <c r="G1188" i="12"/>
  <c r="V1187" i="12"/>
  <c r="G1187" i="12"/>
  <c r="V1186" i="12"/>
  <c r="G1186" i="12"/>
  <c r="V1185" i="12"/>
  <c r="G1185" i="12"/>
  <c r="V1184" i="12"/>
  <c r="G1184" i="12"/>
  <c r="V1183" i="12"/>
  <c r="G1183" i="12"/>
  <c r="V1182" i="12"/>
  <c r="G1182" i="12"/>
  <c r="V1181" i="12"/>
  <c r="G1181" i="12"/>
  <c r="V1180" i="12"/>
  <c r="G1180" i="12"/>
  <c r="V1179" i="12"/>
  <c r="G1179" i="12"/>
  <c r="V1178" i="12"/>
  <c r="G1178" i="12"/>
  <c r="V1177" i="12"/>
  <c r="G1177" i="12"/>
  <c r="V1176" i="12"/>
  <c r="G1176" i="12"/>
  <c r="V1175" i="12"/>
  <c r="G1175" i="12"/>
  <c r="V1174" i="12"/>
  <c r="G1174" i="12"/>
  <c r="V1173" i="12"/>
  <c r="G1173" i="12"/>
  <c r="V1172" i="12"/>
  <c r="G1172" i="12"/>
  <c r="V1171" i="12"/>
  <c r="G1171" i="12"/>
  <c r="V1170" i="12"/>
  <c r="G1170" i="12"/>
  <c r="V1169" i="12"/>
  <c r="G1169" i="12"/>
  <c r="V1168" i="12"/>
  <c r="G1168" i="12"/>
  <c r="V1167" i="12"/>
  <c r="G1167" i="12"/>
  <c r="V1166" i="12"/>
  <c r="G1166" i="12"/>
  <c r="V1165" i="12"/>
  <c r="G1165" i="12"/>
  <c r="V1164" i="12"/>
  <c r="G1164" i="12"/>
  <c r="V1163" i="12"/>
  <c r="G1163" i="12"/>
  <c r="V1162" i="12"/>
  <c r="G1162" i="12"/>
  <c r="V1161" i="12"/>
  <c r="G1161" i="12"/>
  <c r="V1160" i="12"/>
  <c r="G1160" i="12"/>
  <c r="V1159" i="12"/>
  <c r="G1159" i="12"/>
  <c r="V1158" i="12"/>
  <c r="G1158" i="12"/>
  <c r="V1157" i="12"/>
  <c r="G1157" i="12"/>
  <c r="V1156" i="12"/>
  <c r="G1156" i="12"/>
  <c r="V1155" i="12"/>
  <c r="G1155" i="12"/>
  <c r="V1154" i="12"/>
  <c r="G1154" i="12"/>
  <c r="V1153" i="12"/>
  <c r="G1153" i="12"/>
  <c r="V1152" i="12"/>
  <c r="G1152" i="12"/>
  <c r="V1151" i="12"/>
  <c r="G1151" i="12"/>
  <c r="V1150" i="12"/>
  <c r="G1150" i="12"/>
  <c r="V1149" i="12"/>
  <c r="G1149" i="12"/>
  <c r="V1148" i="12"/>
  <c r="G1148" i="12"/>
  <c r="V1147" i="12"/>
  <c r="G1147" i="12"/>
  <c r="V1146" i="12"/>
  <c r="G1146" i="12"/>
  <c r="V1145" i="12"/>
  <c r="G1145" i="12"/>
  <c r="V1144" i="12"/>
  <c r="G1144" i="12"/>
  <c r="V1143" i="12"/>
  <c r="G1143" i="12"/>
  <c r="V1142" i="12"/>
  <c r="G1142" i="12"/>
  <c r="V1141" i="12"/>
  <c r="G1141" i="12"/>
  <c r="V1140" i="12"/>
  <c r="G1140" i="12"/>
  <c r="V1139" i="12"/>
  <c r="G1139" i="12"/>
  <c r="V1138" i="12"/>
  <c r="G1138" i="12"/>
  <c r="V1137" i="12"/>
  <c r="G1137" i="12"/>
  <c r="V1136" i="12"/>
  <c r="G1136" i="12"/>
  <c r="V1135" i="12"/>
  <c r="G1135" i="12"/>
  <c r="V1134" i="12"/>
  <c r="G1134" i="12"/>
  <c r="V1133" i="12"/>
  <c r="G1133" i="12"/>
  <c r="V1132" i="12"/>
  <c r="G1132" i="12"/>
  <c r="V1131" i="12"/>
  <c r="G1131" i="12"/>
  <c r="V1130" i="12"/>
  <c r="G1130" i="12"/>
  <c r="V1129" i="12"/>
  <c r="G1129" i="12"/>
  <c r="V1128" i="12"/>
  <c r="G1128" i="12"/>
  <c r="V1127" i="12"/>
  <c r="G1127" i="12"/>
  <c r="V1126" i="12"/>
  <c r="G1126" i="12"/>
  <c r="V1125" i="12"/>
  <c r="G1125" i="12"/>
  <c r="V1124" i="12"/>
  <c r="G1124" i="12"/>
  <c r="V1123" i="12"/>
  <c r="G1123" i="12"/>
  <c r="V1122" i="12"/>
  <c r="G1122" i="12"/>
  <c r="V1121" i="12"/>
  <c r="G1121" i="12"/>
  <c r="V1120" i="12"/>
  <c r="G1120" i="12"/>
  <c r="V1119" i="12"/>
  <c r="G1119" i="12"/>
  <c r="V1118" i="12"/>
  <c r="G1118" i="12"/>
  <c r="V1117" i="12"/>
  <c r="G1117" i="12"/>
  <c r="V1116" i="12"/>
  <c r="G1116" i="12"/>
  <c r="V1115" i="12"/>
  <c r="G1115" i="12"/>
  <c r="V1114" i="12"/>
  <c r="G1114" i="12"/>
  <c r="V1113" i="12"/>
  <c r="G1113" i="12"/>
  <c r="V1112" i="12"/>
  <c r="G1112" i="12"/>
  <c r="V1111" i="12"/>
  <c r="G1111" i="12"/>
  <c r="V1110" i="12"/>
  <c r="G1110" i="12"/>
  <c r="V1109" i="12"/>
  <c r="G1109" i="12"/>
  <c r="V1108" i="12"/>
  <c r="G1108" i="12"/>
  <c r="V1107" i="12"/>
  <c r="G1107" i="12"/>
  <c r="V1106" i="12"/>
  <c r="G1106" i="12"/>
  <c r="V1105" i="12"/>
  <c r="G1105" i="12"/>
  <c r="V1104" i="12"/>
  <c r="G1104" i="12"/>
  <c r="V1103" i="12"/>
  <c r="G1103" i="12"/>
  <c r="V1102" i="12"/>
  <c r="G1102" i="12"/>
  <c r="V1101" i="12"/>
  <c r="G1101" i="12"/>
  <c r="V1100" i="12"/>
  <c r="G1100" i="12"/>
  <c r="V1099" i="12"/>
  <c r="G1099" i="12"/>
  <c r="V1098" i="12"/>
  <c r="G1098" i="12"/>
  <c r="V1097" i="12"/>
  <c r="G1097" i="12"/>
  <c r="V1096" i="12"/>
  <c r="G1096" i="12"/>
  <c r="V1095" i="12"/>
  <c r="G1095" i="12"/>
  <c r="V1094" i="12"/>
  <c r="G1094" i="12"/>
  <c r="V1093" i="12"/>
  <c r="G1093" i="12"/>
  <c r="V1092" i="12"/>
  <c r="G1092" i="12"/>
  <c r="V1091" i="12"/>
  <c r="G1091" i="12"/>
  <c r="V1090" i="12"/>
  <c r="G1090" i="12"/>
  <c r="V1089" i="12"/>
  <c r="G1089" i="12"/>
  <c r="V1088" i="12"/>
  <c r="G1088" i="12"/>
  <c r="V1087" i="12"/>
  <c r="G1087" i="12"/>
  <c r="V1086" i="12"/>
  <c r="G1086" i="12"/>
  <c r="V1085" i="12"/>
  <c r="G1085" i="12"/>
  <c r="V1084" i="12"/>
  <c r="G1084" i="12"/>
  <c r="V1083" i="12"/>
  <c r="G1083" i="12"/>
  <c r="V1082" i="12"/>
  <c r="G1082" i="12"/>
  <c r="V1081" i="12"/>
  <c r="G1081" i="12"/>
  <c r="V1080" i="12"/>
  <c r="G1080" i="12"/>
  <c r="V1079" i="12"/>
  <c r="G1079" i="12"/>
  <c r="V1078" i="12"/>
  <c r="G1078" i="12"/>
  <c r="V1077" i="12"/>
  <c r="G1077" i="12"/>
  <c r="V1076" i="12"/>
  <c r="G1076" i="12"/>
  <c r="V1075" i="12"/>
  <c r="G1075" i="12"/>
  <c r="V1074" i="12"/>
  <c r="G1074" i="12"/>
  <c r="V1073" i="12"/>
  <c r="G1073" i="12"/>
  <c r="V1072" i="12"/>
  <c r="G1072" i="12"/>
  <c r="V1071" i="12"/>
  <c r="G1071" i="12"/>
  <c r="V1070" i="12"/>
  <c r="G1070" i="12"/>
  <c r="V1069" i="12"/>
  <c r="G1069" i="12"/>
  <c r="V1068" i="12"/>
  <c r="G1068" i="12"/>
  <c r="V1067" i="12"/>
  <c r="G1067" i="12"/>
  <c r="V1066" i="12"/>
  <c r="G1066" i="12"/>
  <c r="V1065" i="12"/>
  <c r="G1065" i="12"/>
  <c r="V1064" i="12"/>
  <c r="G1064" i="12"/>
  <c r="V1063" i="12"/>
  <c r="G1063" i="12"/>
  <c r="V1062" i="12"/>
  <c r="G1062" i="12"/>
  <c r="V1061" i="12"/>
  <c r="G1061" i="12"/>
  <c r="V1060" i="12"/>
  <c r="G1060" i="12"/>
  <c r="V1059" i="12"/>
  <c r="G1059" i="12"/>
  <c r="V1058" i="12"/>
  <c r="G1058" i="12"/>
  <c r="V1057" i="12"/>
  <c r="G1057" i="12"/>
  <c r="V1056" i="12"/>
  <c r="G1056" i="12"/>
  <c r="V1055" i="12"/>
  <c r="G1055" i="12"/>
  <c r="V1054" i="12"/>
  <c r="G1054" i="12"/>
  <c r="V1053" i="12"/>
  <c r="G1053" i="12"/>
  <c r="V1052" i="12"/>
  <c r="G1052" i="12"/>
  <c r="V1051" i="12"/>
  <c r="G1051" i="12"/>
  <c r="V1050" i="12"/>
  <c r="G1050" i="12"/>
  <c r="V1049" i="12"/>
  <c r="G1049" i="12"/>
  <c r="V1048" i="12"/>
  <c r="G1048" i="12"/>
  <c r="V1047" i="12"/>
  <c r="G1047" i="12"/>
  <c r="V1046" i="12"/>
  <c r="G1046" i="12"/>
  <c r="V1045" i="12"/>
  <c r="G1045" i="12"/>
  <c r="V1044" i="12"/>
  <c r="G1044" i="12"/>
  <c r="V1043" i="12"/>
  <c r="G1043" i="12"/>
  <c r="V1042" i="12"/>
  <c r="G1042" i="12"/>
  <c r="V1041" i="12"/>
  <c r="G1041" i="12"/>
  <c r="V1040" i="12"/>
  <c r="G1040" i="12"/>
  <c r="V1039" i="12"/>
  <c r="G1039" i="12"/>
  <c r="V1038" i="12"/>
  <c r="G1038" i="12"/>
  <c r="V1037" i="12"/>
  <c r="G1037" i="12"/>
  <c r="V1036" i="12"/>
  <c r="G1036" i="12"/>
  <c r="V1035" i="12"/>
  <c r="G1035" i="12"/>
  <c r="V1034" i="12"/>
  <c r="G1034" i="12"/>
  <c r="V1033" i="12"/>
  <c r="G1033" i="12"/>
  <c r="V1032" i="12"/>
  <c r="G1032" i="12"/>
  <c r="V1031" i="12"/>
  <c r="G1031" i="12"/>
  <c r="V1030" i="12"/>
  <c r="G1030" i="12"/>
  <c r="V1029" i="12"/>
  <c r="G1029" i="12"/>
  <c r="V1028" i="12"/>
  <c r="G1028" i="12"/>
  <c r="V1027" i="12"/>
  <c r="G1027" i="12"/>
  <c r="V1026" i="12"/>
  <c r="G1026" i="12"/>
  <c r="V1025" i="12"/>
  <c r="G1025" i="12"/>
  <c r="V1024" i="12"/>
  <c r="G1024" i="12"/>
  <c r="V1023" i="12"/>
  <c r="G1023" i="12"/>
  <c r="V1022" i="12"/>
  <c r="G1022" i="12"/>
  <c r="V1021" i="12"/>
  <c r="G1021" i="12"/>
  <c r="V1020" i="12"/>
  <c r="G1020" i="12"/>
  <c r="V1019" i="12"/>
  <c r="G1019" i="12"/>
  <c r="V1018" i="12"/>
  <c r="G1018" i="12"/>
  <c r="V1017" i="12"/>
  <c r="G1017" i="12"/>
  <c r="V1016" i="12"/>
  <c r="G1016" i="12"/>
  <c r="V1015" i="12"/>
  <c r="G1015" i="12"/>
  <c r="V1014" i="12"/>
  <c r="G1014" i="12"/>
  <c r="V1013" i="12"/>
  <c r="G1013" i="12"/>
  <c r="V1012" i="12"/>
  <c r="G1012" i="12"/>
  <c r="V1011" i="12"/>
  <c r="G1011" i="12"/>
  <c r="V1010" i="12"/>
  <c r="G1010" i="12"/>
  <c r="V1009" i="12"/>
  <c r="G1009" i="12"/>
  <c r="V1008" i="12"/>
  <c r="G1008" i="12"/>
  <c r="V1007" i="12"/>
  <c r="G1007" i="12"/>
  <c r="V1006" i="12"/>
  <c r="G1006" i="12"/>
  <c r="V1005" i="12"/>
  <c r="G1005" i="12"/>
  <c r="V1004" i="12"/>
  <c r="G1004" i="12"/>
  <c r="V1003" i="12"/>
  <c r="G1003" i="12"/>
  <c r="V1002" i="12"/>
  <c r="G1002" i="12"/>
  <c r="V1001" i="12"/>
  <c r="G1001" i="12"/>
  <c r="V1000" i="12"/>
  <c r="G1000" i="12"/>
  <c r="V999" i="12"/>
  <c r="G999" i="12"/>
  <c r="V998" i="12"/>
  <c r="G998" i="12"/>
  <c r="V997" i="12"/>
  <c r="G997" i="12"/>
  <c r="V996" i="12"/>
  <c r="G996" i="12"/>
  <c r="V995" i="12"/>
  <c r="G995" i="12"/>
  <c r="V994" i="12"/>
  <c r="G994" i="12"/>
  <c r="V993" i="12"/>
  <c r="G993" i="12"/>
  <c r="V992" i="12"/>
  <c r="G992" i="12"/>
  <c r="V991" i="12"/>
  <c r="G991" i="12"/>
  <c r="V990" i="12"/>
  <c r="G990" i="12"/>
  <c r="V989" i="12"/>
  <c r="G989" i="12"/>
  <c r="V988" i="12"/>
  <c r="G988" i="12"/>
  <c r="V987" i="12"/>
  <c r="G987" i="12"/>
  <c r="V986" i="12"/>
  <c r="G986" i="12"/>
  <c r="V985" i="12"/>
  <c r="G985" i="12"/>
  <c r="V984" i="12"/>
  <c r="G984" i="12"/>
  <c r="V983" i="12"/>
  <c r="G983" i="12"/>
  <c r="V982" i="12"/>
  <c r="G982" i="12"/>
  <c r="V981" i="12"/>
  <c r="G981" i="12"/>
  <c r="V980" i="12"/>
  <c r="G980" i="12"/>
  <c r="V979" i="12"/>
  <c r="G979" i="12"/>
  <c r="V978" i="12"/>
  <c r="G978" i="12"/>
  <c r="V977" i="12"/>
  <c r="G977" i="12"/>
  <c r="V976" i="12"/>
  <c r="G976" i="12"/>
  <c r="V975" i="12"/>
  <c r="G975" i="12"/>
  <c r="V974" i="12"/>
  <c r="G974" i="12"/>
  <c r="V973" i="12"/>
  <c r="G973" i="12"/>
  <c r="V972" i="12"/>
  <c r="G972" i="12"/>
  <c r="V971" i="12"/>
  <c r="G971" i="12"/>
  <c r="V970" i="12"/>
  <c r="G970" i="12"/>
  <c r="V969" i="12"/>
  <c r="G969" i="12"/>
  <c r="V968" i="12"/>
  <c r="G968" i="12"/>
  <c r="V967" i="12"/>
  <c r="G967" i="12"/>
  <c r="V966" i="12"/>
  <c r="G966" i="12"/>
  <c r="V965" i="12"/>
  <c r="G965" i="12"/>
  <c r="V964" i="12"/>
  <c r="G964" i="12"/>
  <c r="V963" i="12"/>
  <c r="G963" i="12"/>
  <c r="V962" i="12"/>
  <c r="G962" i="12"/>
  <c r="V961" i="12"/>
  <c r="G961" i="12"/>
  <c r="V960" i="12"/>
  <c r="G960" i="12"/>
  <c r="V959" i="12"/>
  <c r="G959" i="12"/>
  <c r="V958" i="12"/>
  <c r="G958" i="12"/>
  <c r="V957" i="12"/>
  <c r="G957" i="12"/>
  <c r="V956" i="12"/>
  <c r="G956" i="12"/>
  <c r="V955" i="12"/>
  <c r="G955" i="12"/>
  <c r="V954" i="12"/>
  <c r="G954" i="12"/>
  <c r="V953" i="12"/>
  <c r="G953" i="12"/>
  <c r="V952" i="12"/>
  <c r="G952" i="12"/>
  <c r="V951" i="12"/>
  <c r="G951" i="12"/>
  <c r="V950" i="12"/>
  <c r="G950" i="12"/>
  <c r="V949" i="12"/>
  <c r="G949" i="12"/>
  <c r="V948" i="12"/>
  <c r="G948" i="12"/>
  <c r="V947" i="12"/>
  <c r="G947" i="12"/>
  <c r="V946" i="12"/>
  <c r="G946" i="12"/>
  <c r="V945" i="12"/>
  <c r="G945" i="12"/>
  <c r="V944" i="12"/>
  <c r="G944" i="12"/>
  <c r="V943" i="12"/>
  <c r="G943" i="12"/>
  <c r="V942" i="12"/>
  <c r="G942" i="12"/>
  <c r="V941" i="12"/>
  <c r="G941" i="12"/>
  <c r="V940" i="12"/>
  <c r="G940" i="12"/>
  <c r="V939" i="12"/>
  <c r="G939" i="12"/>
  <c r="V938" i="12"/>
  <c r="G938" i="12"/>
  <c r="V937" i="12"/>
  <c r="G937" i="12"/>
  <c r="V936" i="12"/>
  <c r="G936" i="12"/>
  <c r="V935" i="12"/>
  <c r="G935" i="12"/>
  <c r="V934" i="12"/>
  <c r="G934" i="12"/>
  <c r="V933" i="12"/>
  <c r="G933" i="12"/>
  <c r="V932" i="12"/>
  <c r="G932" i="12"/>
  <c r="V931" i="12"/>
  <c r="G931" i="12"/>
  <c r="V930" i="12"/>
  <c r="G930" i="12"/>
  <c r="V929" i="12"/>
  <c r="G929" i="12"/>
  <c r="V928" i="12"/>
  <c r="G928" i="12"/>
  <c r="V927" i="12"/>
  <c r="G927" i="12"/>
  <c r="V926" i="12"/>
  <c r="G926" i="12"/>
  <c r="V925" i="12"/>
  <c r="G925" i="12"/>
  <c r="V924" i="12"/>
  <c r="G924" i="12"/>
  <c r="V923" i="12"/>
  <c r="G923" i="12"/>
  <c r="V922" i="12"/>
  <c r="G922" i="12"/>
  <c r="V921" i="12"/>
  <c r="G921" i="12"/>
  <c r="V920" i="12"/>
  <c r="G920" i="12"/>
  <c r="V919" i="12"/>
  <c r="G919" i="12"/>
  <c r="V918" i="12"/>
  <c r="G918" i="12"/>
  <c r="V917" i="12"/>
  <c r="G917" i="12"/>
  <c r="V916" i="12"/>
  <c r="G916" i="12"/>
  <c r="V915" i="12"/>
  <c r="G915" i="12"/>
  <c r="V914" i="12"/>
  <c r="G914" i="12"/>
  <c r="V913" i="12"/>
  <c r="G913" i="12"/>
  <c r="V912" i="12"/>
  <c r="G912" i="12"/>
  <c r="V911" i="12"/>
  <c r="G911" i="12"/>
  <c r="V910" i="12"/>
  <c r="G910" i="12"/>
  <c r="V909" i="12"/>
  <c r="G909" i="12"/>
  <c r="V908" i="12"/>
  <c r="G908" i="12"/>
  <c r="V907" i="12"/>
  <c r="G907" i="12"/>
  <c r="V906" i="12"/>
  <c r="G906" i="12"/>
  <c r="V905" i="12"/>
  <c r="G905" i="12"/>
  <c r="V904" i="12"/>
  <c r="G904" i="12"/>
  <c r="V903" i="12"/>
  <c r="G903" i="12"/>
  <c r="V902" i="12"/>
  <c r="G902" i="12"/>
  <c r="V901" i="12"/>
  <c r="G901" i="12"/>
  <c r="V900" i="12"/>
  <c r="G900" i="12"/>
  <c r="V899" i="12"/>
  <c r="G899" i="12"/>
  <c r="V898" i="12"/>
  <c r="G898" i="12"/>
  <c r="V897" i="12"/>
  <c r="G897" i="12"/>
  <c r="V896" i="12"/>
  <c r="G896" i="12"/>
  <c r="V895" i="12"/>
  <c r="G895" i="12"/>
  <c r="V894" i="12"/>
  <c r="G894" i="12"/>
  <c r="V893" i="12"/>
  <c r="G893" i="12"/>
  <c r="V892" i="12"/>
  <c r="G892" i="12"/>
  <c r="V891" i="12"/>
  <c r="G891" i="12"/>
  <c r="V890" i="12"/>
  <c r="G890" i="12"/>
  <c r="V889" i="12"/>
  <c r="G889" i="12"/>
  <c r="V888" i="12"/>
  <c r="G888" i="12"/>
  <c r="V887" i="12"/>
  <c r="G887" i="12"/>
  <c r="V886" i="12"/>
  <c r="G886" i="12"/>
  <c r="V885" i="12"/>
  <c r="G885" i="12"/>
  <c r="V884" i="12"/>
  <c r="G884" i="12"/>
  <c r="V883" i="12"/>
  <c r="G883" i="12"/>
  <c r="V882" i="12"/>
  <c r="G882" i="12"/>
  <c r="V881" i="12"/>
  <c r="G881" i="12"/>
  <c r="V880" i="12"/>
  <c r="G880" i="12"/>
  <c r="V879" i="12"/>
  <c r="G879" i="12"/>
  <c r="V878" i="12"/>
  <c r="G878" i="12"/>
  <c r="V877" i="12"/>
  <c r="G877" i="12"/>
  <c r="V876" i="12"/>
  <c r="G876" i="12"/>
  <c r="V875" i="12"/>
  <c r="G875" i="12"/>
  <c r="V874" i="12"/>
  <c r="G874" i="12"/>
  <c r="V873" i="12"/>
  <c r="G873" i="12"/>
  <c r="V872" i="12"/>
  <c r="G872" i="12"/>
  <c r="V871" i="12"/>
  <c r="G871" i="12"/>
  <c r="V870" i="12"/>
  <c r="G870" i="12"/>
  <c r="V869" i="12"/>
  <c r="G869" i="12"/>
  <c r="V868" i="12"/>
  <c r="G868" i="12"/>
  <c r="V867" i="12"/>
  <c r="G867" i="12"/>
  <c r="V866" i="12"/>
  <c r="G866" i="12"/>
  <c r="V865" i="12"/>
  <c r="G865" i="12"/>
  <c r="V864" i="12"/>
  <c r="G864" i="12"/>
  <c r="V863" i="12"/>
  <c r="G863" i="12"/>
  <c r="V862" i="12"/>
  <c r="G862" i="12"/>
  <c r="V861" i="12"/>
  <c r="G861" i="12"/>
  <c r="V860" i="12"/>
  <c r="G860" i="12"/>
  <c r="V859" i="12"/>
  <c r="G859" i="12"/>
  <c r="V858" i="12"/>
  <c r="G858" i="12"/>
  <c r="V857" i="12"/>
  <c r="G857" i="12"/>
  <c r="V856" i="12"/>
  <c r="G856" i="12"/>
  <c r="V855" i="12"/>
  <c r="G855" i="12"/>
  <c r="V854" i="12"/>
  <c r="G854" i="12"/>
  <c r="V853" i="12"/>
  <c r="G853" i="12"/>
  <c r="V852" i="12"/>
  <c r="G852" i="12"/>
  <c r="V851" i="12"/>
  <c r="G851" i="12"/>
  <c r="V850" i="12"/>
  <c r="G850" i="12"/>
  <c r="V849" i="12"/>
  <c r="G849" i="12"/>
  <c r="V848" i="12"/>
  <c r="G848" i="12"/>
  <c r="V847" i="12"/>
  <c r="G847" i="12"/>
  <c r="V846" i="12"/>
  <c r="G846" i="12"/>
  <c r="V845" i="12"/>
  <c r="G845" i="12"/>
  <c r="V844" i="12"/>
  <c r="G844" i="12"/>
  <c r="V843" i="12"/>
  <c r="G843" i="12"/>
  <c r="V842" i="12"/>
  <c r="G842" i="12"/>
  <c r="V841" i="12"/>
  <c r="G841" i="12"/>
  <c r="V840" i="12"/>
  <c r="G840" i="12"/>
  <c r="V839" i="12"/>
  <c r="G839" i="12"/>
  <c r="V838" i="12"/>
  <c r="G838" i="12"/>
  <c r="V837" i="12"/>
  <c r="G837" i="12"/>
  <c r="V836" i="12"/>
  <c r="G836" i="12"/>
  <c r="V835" i="12"/>
  <c r="G835" i="12"/>
  <c r="V834" i="12"/>
  <c r="G834" i="12"/>
  <c r="V833" i="12"/>
  <c r="G833" i="12"/>
  <c r="V832" i="12"/>
  <c r="G832" i="12"/>
  <c r="V831" i="12"/>
  <c r="G831" i="12"/>
  <c r="V830" i="12"/>
  <c r="G830" i="12"/>
  <c r="V829" i="12"/>
  <c r="G829" i="12"/>
  <c r="V828" i="12"/>
  <c r="G828" i="12"/>
  <c r="V827" i="12"/>
  <c r="G827" i="12"/>
  <c r="V826" i="12"/>
  <c r="G826" i="12"/>
  <c r="V825" i="12"/>
  <c r="G825" i="12"/>
  <c r="V824" i="12"/>
  <c r="G824" i="12"/>
  <c r="V823" i="12"/>
  <c r="G823" i="12"/>
  <c r="V822" i="12"/>
  <c r="G822" i="12"/>
  <c r="V821" i="12"/>
  <c r="G821" i="12"/>
  <c r="V820" i="12"/>
  <c r="G820" i="12"/>
  <c r="V819" i="12"/>
  <c r="G819" i="12"/>
  <c r="V818" i="12"/>
  <c r="G818" i="12"/>
  <c r="V817" i="12"/>
  <c r="G817" i="12"/>
  <c r="V816" i="12"/>
  <c r="G816" i="12"/>
  <c r="V815" i="12"/>
  <c r="G815" i="12"/>
  <c r="V814" i="12"/>
  <c r="G814" i="12"/>
  <c r="V813" i="12"/>
  <c r="G813" i="12"/>
  <c r="V812" i="12"/>
  <c r="G812" i="12"/>
  <c r="V811" i="12"/>
  <c r="G811" i="12"/>
  <c r="V810" i="12"/>
  <c r="G810" i="12"/>
  <c r="V809" i="12"/>
  <c r="G809" i="12"/>
  <c r="V808" i="12"/>
  <c r="G808" i="12"/>
  <c r="V807" i="12"/>
  <c r="G807" i="12"/>
  <c r="V806" i="12"/>
  <c r="G806" i="12"/>
  <c r="V805" i="12"/>
  <c r="G805" i="12"/>
  <c r="V804" i="12"/>
  <c r="G804" i="12"/>
  <c r="V803" i="12"/>
  <c r="G803" i="12"/>
  <c r="V802" i="12"/>
  <c r="G802" i="12"/>
  <c r="V801" i="12"/>
  <c r="G801" i="12"/>
  <c r="V800" i="12"/>
  <c r="G800" i="12"/>
  <c r="V799" i="12"/>
  <c r="G799" i="12"/>
  <c r="V798" i="12"/>
  <c r="G798" i="12"/>
  <c r="V797" i="12"/>
  <c r="G797" i="12"/>
  <c r="V796" i="12"/>
  <c r="G796" i="12"/>
  <c r="V795" i="12"/>
  <c r="G795" i="12"/>
  <c r="V794" i="12"/>
  <c r="G794" i="12"/>
  <c r="V793" i="12"/>
  <c r="G793" i="12"/>
  <c r="V792" i="12"/>
  <c r="G792" i="12"/>
  <c r="V791" i="12"/>
  <c r="G791" i="12"/>
  <c r="V790" i="12"/>
  <c r="G790" i="12"/>
  <c r="V789" i="12"/>
  <c r="G789" i="12"/>
  <c r="V788" i="12"/>
  <c r="G788" i="12"/>
  <c r="V787" i="12"/>
  <c r="G787" i="12"/>
  <c r="V786" i="12"/>
  <c r="G786" i="12"/>
  <c r="V785" i="12"/>
  <c r="G785" i="12"/>
  <c r="V784" i="12"/>
  <c r="G784" i="12"/>
  <c r="V783" i="12"/>
  <c r="G783" i="12"/>
  <c r="V782" i="12"/>
  <c r="G782" i="12"/>
  <c r="V781" i="12"/>
  <c r="G781" i="12"/>
  <c r="V780" i="12"/>
  <c r="G780" i="12"/>
  <c r="V779" i="12"/>
  <c r="G779" i="12"/>
  <c r="V778" i="12"/>
  <c r="G778" i="12"/>
  <c r="V777" i="12"/>
  <c r="G777" i="12"/>
  <c r="V776" i="12"/>
  <c r="G776" i="12"/>
  <c r="V775" i="12"/>
  <c r="G775" i="12"/>
  <c r="V774" i="12"/>
  <c r="G774" i="12"/>
  <c r="V773" i="12"/>
  <c r="G773" i="12"/>
  <c r="V772" i="12"/>
  <c r="G772" i="12"/>
  <c r="V771" i="12"/>
  <c r="G771" i="12"/>
  <c r="V770" i="12"/>
  <c r="G770" i="12"/>
  <c r="V769" i="12"/>
  <c r="G769" i="12"/>
  <c r="V768" i="12"/>
  <c r="G768" i="12"/>
  <c r="V767" i="12"/>
  <c r="G767" i="12"/>
  <c r="V766" i="12"/>
  <c r="G766" i="12"/>
  <c r="V765" i="12"/>
  <c r="G765" i="12"/>
  <c r="V764" i="12"/>
  <c r="G764" i="12"/>
  <c r="V763" i="12"/>
  <c r="G763" i="12"/>
  <c r="V762" i="12"/>
  <c r="G762" i="12"/>
  <c r="V761" i="12"/>
  <c r="G761" i="12"/>
  <c r="V760" i="12"/>
  <c r="G760" i="12"/>
  <c r="V759" i="12"/>
  <c r="G759" i="12"/>
  <c r="V758" i="12"/>
  <c r="G758" i="12"/>
  <c r="V757" i="12"/>
  <c r="G757" i="12"/>
  <c r="V756" i="12"/>
  <c r="G756" i="12"/>
  <c r="V755" i="12"/>
  <c r="G755" i="12"/>
  <c r="V754" i="12"/>
  <c r="G754" i="12"/>
  <c r="V753" i="12"/>
  <c r="G753" i="12"/>
  <c r="V752" i="12"/>
  <c r="G752" i="12"/>
  <c r="V751" i="12"/>
  <c r="G751" i="12"/>
  <c r="V750" i="12"/>
  <c r="G750" i="12"/>
  <c r="V749" i="12"/>
  <c r="G749" i="12"/>
  <c r="V748" i="12"/>
  <c r="G748" i="12"/>
  <c r="V747" i="12"/>
  <c r="G747" i="12"/>
  <c r="V746" i="12"/>
  <c r="G746" i="12"/>
  <c r="V745" i="12"/>
  <c r="G745" i="12"/>
  <c r="V744" i="12"/>
  <c r="G744" i="12"/>
  <c r="V743" i="12"/>
  <c r="G743" i="12"/>
  <c r="V742" i="12"/>
  <c r="G742" i="12"/>
  <c r="V741" i="12"/>
  <c r="G741" i="12"/>
  <c r="V740" i="12"/>
  <c r="G740" i="12"/>
  <c r="V739" i="12"/>
  <c r="G739" i="12"/>
  <c r="V738" i="12"/>
  <c r="G738" i="12"/>
  <c r="V737" i="12"/>
  <c r="G737" i="12"/>
  <c r="V736" i="12"/>
  <c r="G736" i="12"/>
  <c r="V735" i="12"/>
  <c r="G735" i="12"/>
  <c r="V734" i="12"/>
  <c r="G734" i="12"/>
  <c r="V733" i="12"/>
  <c r="G733" i="12"/>
  <c r="V732" i="12"/>
  <c r="G732" i="12"/>
  <c r="V731" i="12"/>
  <c r="G731" i="12"/>
  <c r="V730" i="12"/>
  <c r="G730" i="12"/>
  <c r="V729" i="12"/>
  <c r="G729" i="12"/>
  <c r="V728" i="12"/>
  <c r="G728" i="12"/>
  <c r="V727" i="12"/>
  <c r="G727" i="12"/>
  <c r="V726" i="12"/>
  <c r="G726" i="12"/>
  <c r="V725" i="12"/>
  <c r="G725" i="12"/>
  <c r="V724" i="12"/>
  <c r="G724" i="12"/>
  <c r="V723" i="12"/>
  <c r="G723" i="12"/>
  <c r="V722" i="12"/>
  <c r="G722" i="12"/>
  <c r="V721" i="12"/>
  <c r="G721" i="12"/>
  <c r="V720" i="12"/>
  <c r="G720" i="12"/>
  <c r="V719" i="12"/>
  <c r="G719" i="12"/>
  <c r="V718" i="12"/>
  <c r="G718" i="12"/>
  <c r="V717" i="12"/>
  <c r="G717" i="12"/>
  <c r="V716" i="12"/>
  <c r="G716" i="12"/>
  <c r="V715" i="12"/>
  <c r="G715" i="12"/>
  <c r="V714" i="12"/>
  <c r="G714" i="12"/>
  <c r="V713" i="12"/>
  <c r="G713" i="12"/>
  <c r="V712" i="12"/>
  <c r="G712" i="12"/>
  <c r="V711" i="12"/>
  <c r="G711" i="12"/>
  <c r="V710" i="12"/>
  <c r="G710" i="12"/>
  <c r="V709" i="12"/>
  <c r="G709" i="12"/>
  <c r="V708" i="12"/>
  <c r="G708" i="12"/>
  <c r="V707" i="12"/>
  <c r="G707" i="12"/>
  <c r="V706" i="12"/>
  <c r="G706" i="12"/>
  <c r="V705" i="12"/>
  <c r="G705" i="12"/>
  <c r="V704" i="12"/>
  <c r="G704" i="12"/>
  <c r="V703" i="12"/>
  <c r="G703" i="12"/>
  <c r="V702" i="12"/>
  <c r="G702" i="12"/>
  <c r="V701" i="12"/>
  <c r="G701" i="12"/>
  <c r="V700" i="12"/>
  <c r="G700" i="12"/>
  <c r="V699" i="12"/>
  <c r="G699" i="12"/>
  <c r="V698" i="12"/>
  <c r="G698" i="12"/>
  <c r="V697" i="12"/>
  <c r="G697" i="12"/>
  <c r="V696" i="12"/>
  <c r="G696" i="12"/>
  <c r="V695" i="12"/>
  <c r="G695" i="12"/>
  <c r="V694" i="12"/>
  <c r="G694" i="12"/>
  <c r="V693" i="12"/>
  <c r="G693" i="12"/>
  <c r="V692" i="12"/>
  <c r="G692" i="12"/>
  <c r="V691" i="12"/>
  <c r="G691" i="12"/>
  <c r="V690" i="12"/>
  <c r="G690" i="12"/>
  <c r="V689" i="12"/>
  <c r="G689" i="12"/>
  <c r="V688" i="12"/>
  <c r="G688" i="12"/>
  <c r="V687" i="12"/>
  <c r="G687" i="12"/>
  <c r="V686" i="12"/>
  <c r="G686" i="12"/>
  <c r="V685" i="12"/>
  <c r="G685" i="12"/>
  <c r="V684" i="12"/>
  <c r="G684" i="12"/>
  <c r="V683" i="12"/>
  <c r="G683" i="12"/>
  <c r="V682" i="12"/>
  <c r="G682" i="12"/>
  <c r="V681" i="12"/>
  <c r="G681" i="12"/>
  <c r="V680" i="12"/>
  <c r="G680" i="12"/>
  <c r="V679" i="12"/>
  <c r="G679" i="12"/>
  <c r="V678" i="12"/>
  <c r="G678" i="12"/>
  <c r="V677" i="12"/>
  <c r="G677" i="12"/>
  <c r="V676" i="12"/>
  <c r="G676" i="12"/>
  <c r="V675" i="12"/>
  <c r="G675" i="12"/>
  <c r="V674" i="12"/>
  <c r="G674" i="12"/>
  <c r="V673" i="12"/>
  <c r="G673" i="12"/>
  <c r="V672" i="12"/>
  <c r="G672" i="12"/>
  <c r="V671" i="12"/>
  <c r="G671" i="12"/>
  <c r="V670" i="12"/>
  <c r="G670" i="12"/>
  <c r="V669" i="12"/>
  <c r="G669" i="12"/>
  <c r="V668" i="12"/>
  <c r="G668" i="12"/>
  <c r="V667" i="12"/>
  <c r="G667" i="12"/>
  <c r="V666" i="12"/>
  <c r="G666" i="12"/>
  <c r="V665" i="12"/>
  <c r="G665" i="12"/>
  <c r="V664" i="12"/>
  <c r="G664" i="12"/>
  <c r="V663" i="12"/>
  <c r="G663" i="12"/>
  <c r="V662" i="12"/>
  <c r="G662" i="12"/>
  <c r="V661" i="12"/>
  <c r="G661" i="12"/>
  <c r="V660" i="12"/>
  <c r="G660" i="12"/>
  <c r="V659" i="12"/>
  <c r="G659" i="12"/>
  <c r="V658" i="12"/>
  <c r="G658" i="12"/>
  <c r="V657" i="12"/>
  <c r="G657" i="12"/>
  <c r="V656" i="12"/>
  <c r="G656" i="12"/>
  <c r="V655" i="12"/>
  <c r="G655" i="12"/>
  <c r="V654" i="12"/>
  <c r="G654" i="12"/>
  <c r="V653" i="12"/>
  <c r="G653" i="12"/>
  <c r="V652" i="12"/>
  <c r="G652" i="12"/>
  <c r="V651" i="12"/>
  <c r="G651" i="12"/>
  <c r="V650" i="12"/>
  <c r="G650" i="12"/>
  <c r="V649" i="12"/>
  <c r="G649" i="12"/>
  <c r="V648" i="12"/>
  <c r="G648" i="12"/>
  <c r="V647" i="12"/>
  <c r="G647" i="12"/>
  <c r="V646" i="12"/>
  <c r="G646" i="12"/>
  <c r="V645" i="12"/>
  <c r="G645" i="12"/>
  <c r="V644" i="12"/>
  <c r="G644" i="12"/>
  <c r="V643" i="12"/>
  <c r="G643" i="12"/>
  <c r="V642" i="12"/>
  <c r="G642" i="12"/>
  <c r="V641" i="12"/>
  <c r="G641" i="12"/>
  <c r="V640" i="12"/>
  <c r="G640" i="12"/>
  <c r="V639" i="12"/>
  <c r="G639" i="12"/>
  <c r="V638" i="12"/>
  <c r="G638" i="12"/>
  <c r="V637" i="12"/>
  <c r="G637" i="12"/>
  <c r="V636" i="12"/>
  <c r="G636" i="12"/>
  <c r="V635" i="12"/>
  <c r="G635" i="12"/>
  <c r="V634" i="12"/>
  <c r="G634" i="12"/>
  <c r="V633" i="12"/>
  <c r="G633" i="12"/>
  <c r="V632" i="12"/>
  <c r="G632" i="12"/>
  <c r="V631" i="12"/>
  <c r="G631" i="12"/>
  <c r="V630" i="12"/>
  <c r="G630" i="12"/>
  <c r="V629" i="12"/>
  <c r="G629" i="12"/>
  <c r="V628" i="12"/>
  <c r="G628" i="12"/>
  <c r="V627" i="12"/>
  <c r="G627" i="12"/>
  <c r="V626" i="12"/>
  <c r="G626" i="12"/>
  <c r="V625" i="12"/>
  <c r="G625" i="12"/>
  <c r="V624" i="12"/>
  <c r="G624" i="12"/>
  <c r="V623" i="12"/>
  <c r="G623" i="12"/>
  <c r="V622" i="12"/>
  <c r="G622" i="12"/>
  <c r="V621" i="12"/>
  <c r="G621" i="12"/>
  <c r="V620" i="12"/>
  <c r="G620" i="12"/>
  <c r="V619" i="12"/>
  <c r="G619" i="12"/>
  <c r="V618" i="12"/>
  <c r="G618" i="12"/>
  <c r="V617" i="12"/>
  <c r="G617" i="12"/>
  <c r="V616" i="12"/>
  <c r="G616" i="12"/>
  <c r="V615" i="12"/>
  <c r="G615" i="12"/>
  <c r="V614" i="12"/>
  <c r="G614" i="12"/>
  <c r="V613" i="12"/>
  <c r="G613" i="12"/>
  <c r="V612" i="12"/>
  <c r="G612" i="12"/>
  <c r="V611" i="12"/>
  <c r="G611" i="12"/>
  <c r="V610" i="12"/>
  <c r="G610" i="12"/>
  <c r="V609" i="12"/>
  <c r="G609" i="12"/>
  <c r="V608" i="12"/>
  <c r="G608" i="12"/>
  <c r="V607" i="12"/>
  <c r="G607" i="12"/>
  <c r="V606" i="12"/>
  <c r="G606" i="12"/>
  <c r="V605" i="12"/>
  <c r="G605" i="12"/>
  <c r="V604" i="12"/>
  <c r="G604" i="12"/>
  <c r="V603" i="12"/>
  <c r="G603" i="12"/>
  <c r="V602" i="12"/>
  <c r="G602" i="12"/>
  <c r="V601" i="12"/>
  <c r="G601" i="12"/>
  <c r="V600" i="12"/>
  <c r="G600" i="12"/>
  <c r="V599" i="12"/>
  <c r="G599" i="12"/>
  <c r="V598" i="12"/>
  <c r="G598" i="12"/>
  <c r="V597" i="12"/>
  <c r="G597" i="12"/>
  <c r="V596" i="12"/>
  <c r="G596" i="12"/>
  <c r="V595" i="12"/>
  <c r="G595" i="12"/>
  <c r="V594" i="12"/>
  <c r="G594" i="12"/>
  <c r="V593" i="12"/>
  <c r="G593" i="12"/>
  <c r="V592" i="12"/>
  <c r="G592" i="12"/>
  <c r="V591" i="12"/>
  <c r="G591" i="12"/>
  <c r="V590" i="12"/>
  <c r="G590" i="12"/>
  <c r="V589" i="12"/>
  <c r="G589" i="12"/>
  <c r="V588" i="12"/>
  <c r="G588" i="12"/>
  <c r="V587" i="12"/>
  <c r="G587" i="12"/>
  <c r="V586" i="12"/>
  <c r="G586" i="12"/>
  <c r="V585" i="12"/>
  <c r="G585" i="12"/>
  <c r="V584" i="12"/>
  <c r="G584" i="12"/>
  <c r="V583" i="12"/>
  <c r="G583" i="12"/>
  <c r="V582" i="12"/>
  <c r="G582" i="12"/>
  <c r="V581" i="12"/>
  <c r="G581" i="12"/>
  <c r="V580" i="12"/>
  <c r="G580" i="12"/>
  <c r="V579" i="12"/>
  <c r="G579" i="12"/>
  <c r="V578" i="12"/>
  <c r="G578" i="12"/>
  <c r="V577" i="12"/>
  <c r="G577" i="12"/>
  <c r="V576" i="12"/>
  <c r="G576" i="12"/>
  <c r="V575" i="12"/>
  <c r="G575" i="12"/>
  <c r="V574" i="12"/>
  <c r="G574" i="12"/>
  <c r="V573" i="12"/>
  <c r="G573" i="12"/>
  <c r="V572" i="12"/>
  <c r="G572" i="12"/>
  <c r="V571" i="12"/>
  <c r="G571" i="12"/>
  <c r="V570" i="12"/>
  <c r="G570" i="12"/>
  <c r="V569" i="12"/>
  <c r="G569" i="12"/>
  <c r="V568" i="12"/>
  <c r="G568" i="12"/>
  <c r="V567" i="12"/>
  <c r="G567" i="12"/>
  <c r="V566" i="12"/>
  <c r="G566" i="12"/>
  <c r="V565" i="12"/>
  <c r="G565" i="12"/>
  <c r="V564" i="12"/>
  <c r="G564" i="12"/>
  <c r="V563" i="12"/>
  <c r="G563" i="12"/>
  <c r="V562" i="12"/>
  <c r="G562" i="12"/>
  <c r="V561" i="12"/>
  <c r="G561" i="12"/>
  <c r="V560" i="12"/>
  <c r="G560" i="12"/>
  <c r="V559" i="12"/>
  <c r="G559" i="12"/>
  <c r="V558" i="12"/>
  <c r="G558" i="12"/>
  <c r="V557" i="12"/>
  <c r="G557" i="12"/>
  <c r="V556" i="12"/>
  <c r="G556" i="12"/>
  <c r="V555" i="12"/>
  <c r="G555" i="12"/>
  <c r="V554" i="12"/>
  <c r="G554" i="12"/>
  <c r="V553" i="12"/>
  <c r="G553" i="12"/>
  <c r="V552" i="12"/>
  <c r="G552" i="12"/>
  <c r="V551" i="12"/>
  <c r="G551" i="12"/>
  <c r="V550" i="12"/>
  <c r="G550" i="12"/>
  <c r="V549" i="12"/>
  <c r="G549" i="12"/>
  <c r="V548" i="12"/>
  <c r="G548" i="12"/>
  <c r="V547" i="12"/>
  <c r="G547" i="12"/>
  <c r="V546" i="12"/>
  <c r="G546" i="12"/>
  <c r="V545" i="12"/>
  <c r="G545" i="12"/>
  <c r="V544" i="12"/>
  <c r="G544" i="12"/>
  <c r="V543" i="12"/>
  <c r="G543" i="12"/>
  <c r="V542" i="12"/>
  <c r="G542" i="12"/>
  <c r="V541" i="12"/>
  <c r="G541" i="12"/>
  <c r="V540" i="12"/>
  <c r="G540" i="12"/>
  <c r="V539" i="12"/>
  <c r="G539" i="12"/>
  <c r="V538" i="12"/>
  <c r="G538" i="12"/>
  <c r="V537" i="12"/>
  <c r="G537" i="12"/>
  <c r="V536" i="12"/>
  <c r="G536" i="12"/>
  <c r="V535" i="12"/>
  <c r="G535" i="12"/>
  <c r="V534" i="12"/>
  <c r="G534" i="12"/>
  <c r="V533" i="12"/>
  <c r="G533" i="12"/>
  <c r="V532" i="12"/>
  <c r="G532" i="12"/>
  <c r="V531" i="12"/>
  <c r="G531" i="12"/>
  <c r="V530" i="12"/>
  <c r="G530" i="12"/>
  <c r="V529" i="12"/>
  <c r="G529" i="12"/>
  <c r="V528" i="12"/>
  <c r="G528" i="12"/>
  <c r="V527" i="12"/>
  <c r="G527" i="12"/>
  <c r="V526" i="12"/>
  <c r="G526" i="12"/>
  <c r="V525" i="12"/>
  <c r="G525" i="12"/>
  <c r="V524" i="12"/>
  <c r="G524" i="12"/>
  <c r="V523" i="12"/>
  <c r="G523" i="12"/>
  <c r="V522" i="12"/>
  <c r="G522" i="12"/>
  <c r="V521" i="12"/>
  <c r="G521" i="12"/>
  <c r="V520" i="12"/>
  <c r="G520" i="12"/>
  <c r="V519" i="12"/>
  <c r="G519" i="12"/>
  <c r="V518" i="12"/>
  <c r="G518" i="12"/>
  <c r="V517" i="12"/>
  <c r="G517" i="12"/>
  <c r="V516" i="12"/>
  <c r="G516" i="12"/>
  <c r="V515" i="12"/>
  <c r="G515" i="12"/>
  <c r="V514" i="12"/>
  <c r="G514" i="12"/>
  <c r="V513" i="12"/>
  <c r="G513" i="12"/>
  <c r="V512" i="12"/>
  <c r="G512" i="12"/>
  <c r="V511" i="12"/>
  <c r="G511" i="12"/>
  <c r="V510" i="12"/>
  <c r="G510" i="12"/>
  <c r="V509" i="12"/>
  <c r="G509" i="12"/>
  <c r="V508" i="12"/>
  <c r="G508" i="12"/>
  <c r="V507" i="12"/>
  <c r="G507" i="12"/>
  <c r="V506" i="12"/>
  <c r="G506" i="12"/>
  <c r="V505" i="12"/>
  <c r="G505" i="12"/>
  <c r="V504" i="12"/>
  <c r="G504" i="12"/>
  <c r="V503" i="12"/>
  <c r="G503" i="12"/>
  <c r="V502" i="12"/>
  <c r="G502" i="12"/>
  <c r="V501" i="12"/>
  <c r="G501" i="12"/>
  <c r="V500" i="12"/>
  <c r="G500" i="12"/>
  <c r="V499" i="12"/>
  <c r="G499" i="12"/>
  <c r="V498" i="12"/>
  <c r="G498" i="12"/>
  <c r="V497" i="12"/>
  <c r="G497" i="12"/>
  <c r="V496" i="12"/>
  <c r="G496" i="12"/>
  <c r="V495" i="12"/>
  <c r="G495" i="12"/>
  <c r="V494" i="12"/>
  <c r="G494" i="12"/>
  <c r="V493" i="12"/>
  <c r="G493" i="12"/>
  <c r="V492" i="12"/>
  <c r="G492" i="12"/>
  <c r="V491" i="12"/>
  <c r="G491" i="12"/>
  <c r="V490" i="12"/>
  <c r="G490" i="12"/>
  <c r="V489" i="12"/>
  <c r="G489" i="12"/>
  <c r="V488" i="12"/>
  <c r="G488" i="12"/>
  <c r="V487" i="12"/>
  <c r="G487" i="12"/>
  <c r="V486" i="12"/>
  <c r="G486" i="12"/>
  <c r="V485" i="12"/>
  <c r="G485" i="12"/>
  <c r="V484" i="12"/>
  <c r="G484" i="12"/>
  <c r="V483" i="12"/>
  <c r="G483" i="12"/>
  <c r="V482" i="12"/>
  <c r="G482" i="12"/>
  <c r="V481" i="12"/>
  <c r="G481" i="12"/>
  <c r="V480" i="12"/>
  <c r="G480" i="12"/>
  <c r="V479" i="12"/>
  <c r="G479" i="12"/>
  <c r="V478" i="12"/>
  <c r="G478" i="12"/>
  <c r="V477" i="12"/>
  <c r="G477" i="12"/>
  <c r="V476" i="12"/>
  <c r="G476" i="12"/>
  <c r="V475" i="12"/>
  <c r="G475" i="12"/>
  <c r="V474" i="12"/>
  <c r="G474" i="12"/>
  <c r="V473" i="12"/>
  <c r="G473" i="12"/>
  <c r="V472" i="12"/>
  <c r="G472" i="12"/>
  <c r="V471" i="12"/>
  <c r="G471" i="12"/>
  <c r="V470" i="12"/>
  <c r="G470" i="12"/>
  <c r="V469" i="12"/>
  <c r="G469" i="12"/>
  <c r="V468" i="12"/>
  <c r="G468" i="12"/>
  <c r="V467" i="12"/>
  <c r="G467" i="12"/>
  <c r="V466" i="12"/>
  <c r="G466" i="12"/>
  <c r="V465" i="12"/>
  <c r="G465" i="12"/>
  <c r="V464" i="12"/>
  <c r="G464" i="12"/>
  <c r="V463" i="12"/>
  <c r="G463" i="12"/>
  <c r="V462" i="12"/>
  <c r="G462" i="12"/>
  <c r="V461" i="12"/>
  <c r="G461" i="12"/>
  <c r="V460" i="12"/>
  <c r="G460" i="12"/>
  <c r="V459" i="12"/>
  <c r="G459" i="12"/>
  <c r="V458" i="12"/>
  <c r="G458" i="12"/>
  <c r="V457" i="12"/>
  <c r="G457" i="12"/>
  <c r="V456" i="12"/>
  <c r="G456" i="12"/>
  <c r="V455" i="12"/>
  <c r="G455" i="12"/>
  <c r="V454" i="12"/>
  <c r="G454" i="12"/>
  <c r="V453" i="12"/>
  <c r="G453" i="12"/>
  <c r="V452" i="12"/>
  <c r="G452" i="12"/>
  <c r="V451" i="12"/>
  <c r="G451" i="12"/>
  <c r="V450" i="12"/>
  <c r="G450" i="12"/>
  <c r="V449" i="12"/>
  <c r="G449" i="12"/>
  <c r="V448" i="12"/>
  <c r="G448" i="12"/>
  <c r="V447" i="12"/>
  <c r="G447" i="12"/>
  <c r="V446" i="12"/>
  <c r="G446" i="12"/>
  <c r="V445" i="12"/>
  <c r="G445" i="12"/>
  <c r="V444" i="12"/>
  <c r="G444" i="12"/>
  <c r="V443" i="12"/>
  <c r="G443" i="12"/>
  <c r="V442" i="12"/>
  <c r="G442" i="12"/>
  <c r="V441" i="12"/>
  <c r="G441" i="12"/>
  <c r="V440" i="12"/>
  <c r="G440" i="12"/>
  <c r="V439" i="12"/>
  <c r="G439" i="12"/>
  <c r="V438" i="12"/>
  <c r="G438" i="12"/>
  <c r="V437" i="12"/>
  <c r="G437" i="12"/>
  <c r="V436" i="12"/>
  <c r="G436" i="12"/>
  <c r="V435" i="12"/>
  <c r="G435" i="12"/>
  <c r="V434" i="12"/>
  <c r="G434" i="12"/>
  <c r="V433" i="12"/>
  <c r="G433" i="12"/>
  <c r="V432" i="12"/>
  <c r="G432" i="12"/>
  <c r="V431" i="12"/>
  <c r="G431" i="12"/>
  <c r="V430" i="12"/>
  <c r="G430" i="12"/>
  <c r="V429" i="12"/>
  <c r="G429" i="12"/>
  <c r="V428" i="12"/>
  <c r="G428" i="12"/>
  <c r="V427" i="12"/>
  <c r="G427" i="12"/>
  <c r="V426" i="12"/>
  <c r="G426" i="12"/>
  <c r="V425" i="12"/>
  <c r="G425" i="12"/>
  <c r="V424" i="12"/>
  <c r="G424" i="12"/>
  <c r="V423" i="12"/>
  <c r="G423" i="12"/>
  <c r="V422" i="12"/>
  <c r="G422" i="12"/>
  <c r="V421" i="12"/>
  <c r="G421" i="12"/>
  <c r="V420" i="12"/>
  <c r="G420" i="12"/>
  <c r="V419" i="12"/>
  <c r="G419" i="12"/>
  <c r="V418" i="12"/>
  <c r="G418" i="12"/>
  <c r="V417" i="12"/>
  <c r="G417" i="12"/>
  <c r="V416" i="12"/>
  <c r="G416" i="12"/>
  <c r="V415" i="12"/>
  <c r="G415" i="12"/>
  <c r="V414" i="12"/>
  <c r="G414" i="12"/>
  <c r="V413" i="12"/>
  <c r="G413" i="12"/>
  <c r="V412" i="12"/>
  <c r="G412" i="12"/>
  <c r="V411" i="12"/>
  <c r="G411" i="12"/>
  <c r="V410" i="12"/>
  <c r="G410" i="12"/>
  <c r="V409" i="12"/>
  <c r="G409" i="12"/>
  <c r="V408" i="12"/>
  <c r="G408" i="12"/>
  <c r="V407" i="12"/>
  <c r="G407" i="12"/>
  <c r="V406" i="12"/>
  <c r="G406" i="12"/>
  <c r="V405" i="12"/>
  <c r="G405" i="12"/>
  <c r="V404" i="12"/>
  <c r="G404" i="12"/>
  <c r="V403" i="12"/>
  <c r="G403" i="12"/>
  <c r="V402" i="12"/>
  <c r="G402" i="12"/>
  <c r="V401" i="12"/>
  <c r="G401" i="12"/>
  <c r="V400" i="12"/>
  <c r="G400" i="12"/>
  <c r="V399" i="12"/>
  <c r="G399" i="12"/>
  <c r="V398" i="12"/>
  <c r="G398" i="12"/>
  <c r="V397" i="12"/>
  <c r="G397" i="12"/>
  <c r="V396" i="12"/>
  <c r="G396" i="12"/>
  <c r="V395" i="12"/>
  <c r="G395" i="12"/>
  <c r="V394" i="12"/>
  <c r="G394" i="12"/>
  <c r="V393" i="12"/>
  <c r="G393" i="12"/>
  <c r="V392" i="12"/>
  <c r="G392" i="12"/>
  <c r="V391" i="12"/>
  <c r="G391" i="12"/>
  <c r="V390" i="12"/>
  <c r="G390" i="12"/>
  <c r="V389" i="12"/>
  <c r="G389" i="12"/>
  <c r="V388" i="12"/>
  <c r="G388" i="12"/>
  <c r="V387" i="12"/>
  <c r="G387" i="12"/>
  <c r="V386" i="12"/>
  <c r="G386" i="12"/>
  <c r="V385" i="12"/>
  <c r="G385" i="12"/>
  <c r="V384" i="12"/>
  <c r="G384" i="12"/>
  <c r="V383" i="12"/>
  <c r="G383" i="12"/>
  <c r="V382" i="12"/>
  <c r="G382" i="12"/>
  <c r="V381" i="12"/>
  <c r="G381" i="12"/>
  <c r="V380" i="12"/>
  <c r="G380" i="12"/>
  <c r="V379" i="12"/>
  <c r="G379" i="12"/>
  <c r="V378" i="12"/>
  <c r="G378" i="12"/>
  <c r="V377" i="12"/>
  <c r="G377" i="12"/>
  <c r="V376" i="12"/>
  <c r="G376" i="12"/>
  <c r="V375" i="12"/>
  <c r="G375" i="12"/>
  <c r="V374" i="12"/>
  <c r="G374" i="12"/>
  <c r="V373" i="12"/>
  <c r="G373" i="12"/>
  <c r="V372" i="12"/>
  <c r="G372" i="12"/>
  <c r="V371" i="12"/>
  <c r="G371" i="12"/>
  <c r="V370" i="12"/>
  <c r="G370" i="12"/>
  <c r="V369" i="12"/>
  <c r="G369" i="12"/>
  <c r="V368" i="12"/>
  <c r="G368" i="12"/>
  <c r="V367" i="12"/>
  <c r="G367" i="12"/>
  <c r="V366" i="12"/>
  <c r="G366" i="12"/>
  <c r="V365" i="12"/>
  <c r="G365" i="12"/>
  <c r="V364" i="12"/>
  <c r="G364" i="12"/>
  <c r="V363" i="12"/>
  <c r="G363" i="12"/>
  <c r="V362" i="12"/>
  <c r="G362" i="12"/>
  <c r="V361" i="12"/>
  <c r="G361" i="12"/>
  <c r="V360" i="12"/>
  <c r="G360" i="12"/>
  <c r="V359" i="12"/>
  <c r="G359" i="12"/>
  <c r="V358" i="12"/>
  <c r="G358" i="12"/>
  <c r="V357" i="12"/>
  <c r="G357" i="12"/>
  <c r="V356" i="12"/>
  <c r="G356" i="12"/>
  <c r="V355" i="12"/>
  <c r="G355" i="12"/>
  <c r="V354" i="12"/>
  <c r="G354" i="12"/>
  <c r="V353" i="12"/>
  <c r="G353" i="12"/>
  <c r="V352" i="12"/>
  <c r="G352" i="12"/>
  <c r="V351" i="12"/>
  <c r="G351" i="12"/>
  <c r="V350" i="12"/>
  <c r="G350" i="12"/>
  <c r="V349" i="12"/>
  <c r="G349" i="12"/>
  <c r="V348" i="12"/>
  <c r="G348" i="12"/>
  <c r="V347" i="12"/>
  <c r="G347" i="12"/>
  <c r="V346" i="12"/>
  <c r="G346" i="12"/>
  <c r="V345" i="12"/>
  <c r="G345" i="12"/>
  <c r="V344" i="12"/>
  <c r="G344" i="12"/>
  <c r="V343" i="12"/>
  <c r="G343" i="12"/>
  <c r="V342" i="12"/>
  <c r="G342" i="12"/>
  <c r="V341" i="12"/>
  <c r="G341" i="12"/>
  <c r="V340" i="12"/>
  <c r="G340" i="12"/>
  <c r="V339" i="12"/>
  <c r="G339" i="12"/>
  <c r="V338" i="12"/>
  <c r="G338" i="12"/>
  <c r="V337" i="12"/>
  <c r="G337" i="12"/>
  <c r="V336" i="12"/>
  <c r="G336" i="12"/>
  <c r="V335" i="12"/>
  <c r="G335" i="12"/>
  <c r="V334" i="12"/>
  <c r="G334" i="12"/>
  <c r="V333" i="12"/>
  <c r="G333" i="12"/>
  <c r="V332" i="12"/>
  <c r="G332" i="12"/>
  <c r="V331" i="12"/>
  <c r="G331" i="12"/>
  <c r="V330" i="12"/>
  <c r="G330" i="12"/>
  <c r="V329" i="12"/>
  <c r="G329" i="12"/>
  <c r="V328" i="12"/>
  <c r="G328" i="12"/>
  <c r="V327" i="12"/>
  <c r="G327" i="12"/>
  <c r="V326" i="12"/>
  <c r="G326" i="12"/>
  <c r="V325" i="12"/>
  <c r="G325" i="12"/>
  <c r="V324" i="12"/>
  <c r="G324" i="12"/>
  <c r="V323" i="12"/>
  <c r="G323" i="12"/>
  <c r="V322" i="12"/>
  <c r="G322" i="12"/>
  <c r="V321" i="12"/>
  <c r="G321" i="12"/>
  <c r="V320" i="12"/>
  <c r="G320" i="12"/>
  <c r="V319" i="12"/>
  <c r="G319" i="12"/>
  <c r="V318" i="12"/>
  <c r="G318" i="12"/>
  <c r="V317" i="12"/>
  <c r="G317" i="12"/>
  <c r="V316" i="12"/>
  <c r="G316" i="12"/>
  <c r="V315" i="12"/>
  <c r="G315" i="12"/>
  <c r="V314" i="12"/>
  <c r="G314" i="12"/>
  <c r="V313" i="12"/>
  <c r="G313" i="12"/>
  <c r="V312" i="12"/>
  <c r="G312" i="12"/>
  <c r="V311" i="12"/>
  <c r="G311" i="12"/>
  <c r="V310" i="12"/>
  <c r="G310" i="12"/>
  <c r="V309" i="12"/>
  <c r="G309" i="12"/>
  <c r="V308" i="12"/>
  <c r="G308" i="12"/>
  <c r="V307" i="12"/>
  <c r="G307" i="12"/>
  <c r="V306" i="12"/>
  <c r="G306" i="12"/>
  <c r="V305" i="12"/>
  <c r="G305" i="12"/>
  <c r="V304" i="12"/>
  <c r="G304" i="12"/>
  <c r="V303" i="12"/>
  <c r="G303" i="12"/>
  <c r="V302" i="12"/>
  <c r="G302" i="12"/>
  <c r="V301" i="12"/>
  <c r="G301" i="12"/>
  <c r="V300" i="12"/>
  <c r="G300" i="12"/>
  <c r="V299" i="12"/>
  <c r="G299" i="12"/>
  <c r="V298" i="12"/>
  <c r="G298" i="12"/>
  <c r="V297" i="12"/>
  <c r="G297" i="12"/>
  <c r="V296" i="12"/>
  <c r="G296" i="12"/>
  <c r="V295" i="12"/>
  <c r="G295" i="12"/>
  <c r="V294" i="12"/>
  <c r="G294" i="12"/>
  <c r="V293" i="12"/>
  <c r="G293" i="12"/>
  <c r="V292" i="12"/>
  <c r="G292" i="12"/>
  <c r="V291" i="12"/>
  <c r="G291" i="12"/>
  <c r="V290" i="12"/>
  <c r="G290" i="12"/>
  <c r="V289" i="12"/>
  <c r="G289" i="12"/>
  <c r="V288" i="12"/>
  <c r="G288" i="12"/>
  <c r="V287" i="12"/>
  <c r="G287" i="12"/>
  <c r="V286" i="12"/>
  <c r="G286" i="12"/>
  <c r="V285" i="12"/>
  <c r="G285" i="12"/>
  <c r="V284" i="12"/>
  <c r="G284" i="12"/>
  <c r="V283" i="12"/>
  <c r="G283" i="12"/>
  <c r="V282" i="12"/>
  <c r="G282" i="12"/>
  <c r="V281" i="12"/>
  <c r="G281" i="12"/>
  <c r="V280" i="12"/>
  <c r="G280" i="12"/>
  <c r="V279" i="12"/>
  <c r="G279" i="12"/>
  <c r="V278" i="12"/>
  <c r="G278" i="12"/>
  <c r="V277" i="12"/>
  <c r="G277" i="12"/>
  <c r="V276" i="12"/>
  <c r="G276" i="12"/>
  <c r="V275" i="12"/>
  <c r="G275" i="12"/>
  <c r="V274" i="12"/>
  <c r="G274" i="12"/>
  <c r="V273" i="12"/>
  <c r="G273" i="12"/>
  <c r="V272" i="12"/>
  <c r="G272" i="12"/>
  <c r="V271" i="12"/>
  <c r="G271" i="12"/>
  <c r="V270" i="12"/>
  <c r="G270" i="12"/>
  <c r="V269" i="12"/>
  <c r="G269" i="12"/>
  <c r="V268" i="12"/>
  <c r="G268" i="12"/>
  <c r="V267" i="12"/>
  <c r="G267" i="12"/>
  <c r="V266" i="12"/>
  <c r="G266" i="12"/>
  <c r="V265" i="12"/>
  <c r="G265" i="12"/>
  <c r="V264" i="12"/>
  <c r="G264" i="12"/>
  <c r="V263" i="12"/>
  <c r="G263" i="12"/>
  <c r="V262" i="12"/>
  <c r="G262" i="12"/>
  <c r="V261" i="12"/>
  <c r="G261" i="12"/>
  <c r="V260" i="12"/>
  <c r="G260" i="12"/>
  <c r="V259" i="12"/>
  <c r="G259" i="12"/>
  <c r="V258" i="12"/>
  <c r="G258" i="12"/>
  <c r="V257" i="12"/>
  <c r="G257" i="12"/>
  <c r="V256" i="12"/>
  <c r="G256" i="12"/>
  <c r="V255" i="12"/>
  <c r="G255" i="12"/>
  <c r="V254" i="12"/>
  <c r="G254" i="12"/>
  <c r="V253" i="12"/>
  <c r="G253" i="12"/>
  <c r="V252" i="12"/>
  <c r="G252" i="12"/>
  <c r="V251" i="12"/>
  <c r="G251" i="12"/>
  <c r="V250" i="12"/>
  <c r="G250" i="12"/>
  <c r="V249" i="12"/>
  <c r="G249" i="12"/>
  <c r="V248" i="12"/>
  <c r="G248" i="12"/>
  <c r="V247" i="12"/>
  <c r="G247" i="12"/>
  <c r="V246" i="12"/>
  <c r="G246" i="12"/>
  <c r="V245" i="12"/>
  <c r="G245" i="12"/>
  <c r="V244" i="12"/>
  <c r="G244" i="12"/>
  <c r="V243" i="12"/>
  <c r="G243" i="12"/>
  <c r="V242" i="12"/>
  <c r="G242" i="12"/>
  <c r="V241" i="12"/>
  <c r="G241" i="12"/>
  <c r="V240" i="12"/>
  <c r="G240" i="12"/>
  <c r="V239" i="12"/>
  <c r="G239" i="12"/>
  <c r="V238" i="12"/>
  <c r="G238" i="12"/>
  <c r="V237" i="12"/>
  <c r="G237" i="12"/>
  <c r="V236" i="12"/>
  <c r="G236" i="12"/>
  <c r="V235" i="12"/>
  <c r="G235" i="12"/>
  <c r="V234" i="12"/>
  <c r="G234" i="12"/>
  <c r="V233" i="12"/>
  <c r="G233" i="12"/>
  <c r="V232" i="12"/>
  <c r="G232" i="12"/>
  <c r="V231" i="12"/>
  <c r="G231" i="12"/>
  <c r="V230" i="12"/>
  <c r="G230" i="12"/>
  <c r="V229" i="12"/>
  <c r="G229" i="12"/>
  <c r="V228" i="12"/>
  <c r="G228" i="12"/>
  <c r="V227" i="12"/>
  <c r="G227" i="12"/>
  <c r="V226" i="12"/>
  <c r="G226" i="12"/>
  <c r="V225" i="12"/>
  <c r="G225" i="12"/>
  <c r="V224" i="12"/>
  <c r="G224" i="12"/>
  <c r="V223" i="12"/>
  <c r="G223" i="12"/>
  <c r="V222" i="12"/>
  <c r="G222" i="12"/>
  <c r="V221" i="12"/>
  <c r="G221" i="12"/>
  <c r="V220" i="12"/>
  <c r="G220" i="12"/>
  <c r="V219" i="12"/>
  <c r="G219" i="12"/>
  <c r="V218" i="12"/>
  <c r="G218" i="12"/>
  <c r="V217" i="12"/>
  <c r="G217" i="12"/>
  <c r="V216" i="12"/>
  <c r="G216" i="12"/>
  <c r="V215" i="12"/>
  <c r="G215" i="12"/>
  <c r="V214" i="12"/>
  <c r="G214" i="12"/>
  <c r="V213" i="12"/>
  <c r="G213" i="12"/>
  <c r="V212" i="12"/>
  <c r="G212" i="12"/>
  <c r="V211" i="12"/>
  <c r="G211" i="12"/>
  <c r="V210" i="12"/>
  <c r="G210" i="12"/>
  <c r="V209" i="12"/>
  <c r="G209" i="12"/>
  <c r="V208" i="12"/>
  <c r="G208" i="12"/>
  <c r="V207" i="12"/>
  <c r="G207" i="12"/>
  <c r="V206" i="12"/>
  <c r="G206" i="12"/>
  <c r="V205" i="12"/>
  <c r="G205" i="12"/>
  <c r="V204" i="12"/>
  <c r="G204" i="12"/>
  <c r="V203" i="12"/>
  <c r="G203" i="12"/>
  <c r="V202" i="12"/>
  <c r="G202" i="12"/>
  <c r="V201" i="12"/>
  <c r="G201" i="12"/>
  <c r="V200" i="12"/>
  <c r="G200" i="12"/>
  <c r="V199" i="12"/>
  <c r="G199" i="12"/>
  <c r="V198" i="12"/>
  <c r="G198" i="12"/>
  <c r="V197" i="12"/>
  <c r="G197" i="12"/>
  <c r="V196" i="12"/>
  <c r="G196" i="12"/>
  <c r="V195" i="12"/>
  <c r="G195" i="12"/>
  <c r="V194" i="12"/>
  <c r="G194" i="12"/>
  <c r="V193" i="12"/>
  <c r="G193" i="12"/>
  <c r="V192" i="12"/>
  <c r="G192" i="12"/>
  <c r="V191" i="12"/>
  <c r="G191" i="12"/>
  <c r="V190" i="12"/>
  <c r="G190" i="12"/>
  <c r="V189" i="12"/>
  <c r="G189" i="12"/>
  <c r="V188" i="12"/>
  <c r="G188" i="12"/>
  <c r="V187" i="12"/>
  <c r="G187" i="12"/>
  <c r="V186" i="12"/>
  <c r="G186" i="12"/>
  <c r="V185" i="12"/>
  <c r="G185" i="12"/>
  <c r="V184" i="12"/>
  <c r="G184" i="12"/>
  <c r="V183" i="12"/>
  <c r="G183" i="12"/>
  <c r="V182" i="12"/>
  <c r="G182" i="12"/>
  <c r="V181" i="12"/>
  <c r="G181" i="12"/>
  <c r="V180" i="12"/>
  <c r="G180" i="12"/>
  <c r="V179" i="12"/>
  <c r="G179" i="12"/>
  <c r="V178" i="12"/>
  <c r="G178" i="12"/>
  <c r="V177" i="12"/>
  <c r="G177" i="12"/>
  <c r="V176" i="12"/>
  <c r="G176" i="12"/>
  <c r="V175" i="12"/>
  <c r="G175" i="12"/>
  <c r="V174" i="12"/>
  <c r="G174" i="12"/>
  <c r="V173" i="12"/>
  <c r="G173" i="12"/>
  <c r="V172" i="12"/>
  <c r="G172" i="12"/>
  <c r="V171" i="12"/>
  <c r="G171" i="12"/>
  <c r="V170" i="12"/>
  <c r="G170" i="12"/>
  <c r="V169" i="12"/>
  <c r="G169" i="12"/>
  <c r="V168" i="12"/>
  <c r="G168" i="12"/>
  <c r="V167" i="12"/>
  <c r="G167" i="12"/>
  <c r="V166" i="12"/>
  <c r="G166" i="12"/>
  <c r="V165" i="12"/>
  <c r="G165" i="12"/>
  <c r="V164" i="12"/>
  <c r="G164" i="12"/>
  <c r="V163" i="12"/>
  <c r="G163" i="12"/>
  <c r="V162" i="12"/>
  <c r="G162" i="12"/>
  <c r="V161" i="12"/>
  <c r="G161" i="12"/>
  <c r="V160" i="12"/>
  <c r="G160" i="12"/>
  <c r="V159" i="12"/>
  <c r="G159" i="12"/>
  <c r="V158" i="12"/>
  <c r="G158" i="12"/>
  <c r="V157" i="12"/>
  <c r="G157" i="12"/>
  <c r="V156" i="12"/>
  <c r="G156" i="12"/>
  <c r="V155" i="12"/>
  <c r="G155" i="12"/>
  <c r="V154" i="12"/>
  <c r="G154" i="12"/>
  <c r="V153" i="12"/>
  <c r="G153" i="12"/>
  <c r="V152" i="12"/>
  <c r="G152" i="12"/>
  <c r="V151" i="12"/>
  <c r="G151" i="12"/>
  <c r="V150" i="12"/>
  <c r="G150" i="12"/>
  <c r="V149" i="12"/>
  <c r="G149" i="12"/>
  <c r="V148" i="12"/>
  <c r="G148" i="12"/>
  <c r="V147" i="12"/>
  <c r="G147" i="12"/>
  <c r="V146" i="12"/>
  <c r="G146" i="12"/>
  <c r="V145" i="12"/>
  <c r="G145" i="12"/>
  <c r="V144" i="12"/>
  <c r="G144" i="12"/>
  <c r="V143" i="12"/>
  <c r="G143" i="12"/>
  <c r="V142" i="12"/>
  <c r="G142" i="12"/>
  <c r="V141" i="12"/>
  <c r="G141" i="12"/>
  <c r="V140" i="12"/>
  <c r="G140" i="12"/>
  <c r="V139" i="12"/>
  <c r="G139" i="12"/>
  <c r="V138" i="12"/>
  <c r="G138" i="12"/>
  <c r="V137" i="12"/>
  <c r="G137" i="12"/>
  <c r="V136" i="12"/>
  <c r="G136" i="12"/>
  <c r="V135" i="12"/>
  <c r="G135" i="12"/>
  <c r="V134" i="12"/>
  <c r="G134" i="12"/>
  <c r="V133" i="12"/>
  <c r="G133" i="12"/>
  <c r="V132" i="12"/>
  <c r="G132" i="12"/>
  <c r="V131" i="12"/>
  <c r="G131" i="12"/>
  <c r="V130" i="12"/>
  <c r="G130" i="12"/>
  <c r="V129" i="12"/>
  <c r="G129" i="12"/>
  <c r="V128" i="12"/>
  <c r="G128" i="12"/>
  <c r="V127" i="12"/>
  <c r="G127" i="12"/>
  <c r="V126" i="12"/>
  <c r="G126" i="12"/>
  <c r="V125" i="12"/>
  <c r="G125" i="12"/>
  <c r="V124" i="12"/>
  <c r="G124" i="12"/>
  <c r="V123" i="12"/>
  <c r="G123" i="12"/>
  <c r="V122" i="12"/>
  <c r="G122" i="12"/>
  <c r="V121" i="12"/>
  <c r="G121" i="12"/>
  <c r="V120" i="12"/>
  <c r="G120" i="12"/>
  <c r="V119" i="12"/>
  <c r="G119" i="12"/>
  <c r="V118" i="12"/>
  <c r="G118" i="12"/>
  <c r="V117" i="12"/>
  <c r="G117" i="12"/>
  <c r="V116" i="12"/>
  <c r="G116" i="12"/>
  <c r="V115" i="12"/>
  <c r="G115" i="12"/>
  <c r="V114" i="12"/>
  <c r="G114" i="12"/>
  <c r="V113" i="12"/>
  <c r="G113" i="12"/>
  <c r="V112" i="12"/>
  <c r="G112" i="12"/>
  <c r="V111" i="12"/>
  <c r="G111" i="12"/>
  <c r="V110" i="12"/>
  <c r="G110" i="12"/>
  <c r="V109" i="12"/>
  <c r="G109" i="12"/>
  <c r="V108" i="12"/>
  <c r="G108" i="12"/>
  <c r="V107" i="12"/>
  <c r="G107" i="12"/>
  <c r="V106" i="12"/>
  <c r="G106" i="12"/>
  <c r="V105" i="12"/>
  <c r="G105" i="12"/>
  <c r="V104" i="12"/>
  <c r="G104" i="12"/>
  <c r="V103" i="12"/>
  <c r="G103" i="12"/>
  <c r="V102" i="12"/>
  <c r="G102" i="12"/>
  <c r="V101" i="12"/>
  <c r="G101" i="12"/>
  <c r="V100" i="12"/>
  <c r="G100" i="12"/>
  <c r="V99" i="12"/>
  <c r="G99" i="12"/>
  <c r="V98" i="12"/>
  <c r="G98" i="12"/>
  <c r="V97" i="12"/>
  <c r="G97" i="12"/>
  <c r="V96" i="12"/>
  <c r="G96" i="12"/>
  <c r="V95" i="12"/>
  <c r="G95" i="12"/>
  <c r="V94" i="12"/>
  <c r="G94" i="12"/>
  <c r="V93" i="12"/>
  <c r="G93" i="12"/>
  <c r="V92" i="12"/>
  <c r="G92" i="12"/>
  <c r="V91" i="12"/>
  <c r="G91" i="12"/>
  <c r="V90" i="12"/>
  <c r="G90" i="12"/>
  <c r="V89" i="12"/>
  <c r="G89" i="12"/>
  <c r="V88" i="12"/>
  <c r="G88" i="12"/>
  <c r="V87" i="12"/>
  <c r="G87" i="12"/>
  <c r="V86" i="12"/>
  <c r="G86" i="12"/>
  <c r="V85" i="12"/>
  <c r="G85" i="12"/>
  <c r="V84" i="12"/>
  <c r="G84" i="12"/>
  <c r="V83" i="12"/>
  <c r="G83" i="12"/>
  <c r="V82" i="12"/>
  <c r="G82" i="12"/>
  <c r="V81" i="12"/>
  <c r="G81" i="12"/>
  <c r="V80" i="12"/>
  <c r="G80" i="12"/>
  <c r="V79" i="12"/>
  <c r="G79" i="12"/>
  <c r="V78" i="12"/>
  <c r="G78" i="12"/>
  <c r="V77" i="12"/>
  <c r="G77" i="12"/>
  <c r="V76" i="12"/>
  <c r="G76" i="12"/>
  <c r="V75" i="12"/>
  <c r="G75" i="12"/>
  <c r="V74" i="12"/>
  <c r="G74" i="12"/>
  <c r="V73" i="12"/>
  <c r="G73" i="12"/>
  <c r="V72" i="12"/>
  <c r="G72" i="12"/>
  <c r="V71" i="12"/>
  <c r="G71" i="12"/>
  <c r="V70" i="12"/>
  <c r="G70" i="12"/>
  <c r="V69" i="12"/>
  <c r="G69" i="12"/>
  <c r="V68" i="12"/>
  <c r="G68" i="12"/>
  <c r="V67" i="12"/>
  <c r="G67" i="12"/>
  <c r="V66" i="12"/>
  <c r="G66" i="12"/>
  <c r="V65" i="12"/>
  <c r="G65" i="12"/>
  <c r="V64" i="12"/>
  <c r="G64" i="12"/>
  <c r="V63" i="12"/>
  <c r="G63" i="12"/>
  <c r="V62" i="12"/>
  <c r="G62" i="12"/>
  <c r="V61" i="12"/>
  <c r="G61" i="12"/>
  <c r="V60" i="12"/>
  <c r="G60" i="12"/>
  <c r="V59" i="12"/>
  <c r="G59" i="12"/>
  <c r="V58" i="12"/>
  <c r="G58" i="12"/>
  <c r="V57" i="12"/>
  <c r="G57" i="12"/>
  <c r="V56" i="12"/>
  <c r="G56" i="12"/>
  <c r="V55" i="12"/>
  <c r="G55" i="12"/>
  <c r="V54" i="12"/>
  <c r="G54" i="12"/>
  <c r="V53" i="12"/>
  <c r="G53" i="12"/>
  <c r="V52" i="12"/>
  <c r="G52" i="12"/>
  <c r="V51" i="12"/>
  <c r="G51" i="12"/>
  <c r="V50" i="12"/>
  <c r="G50" i="12"/>
  <c r="V49" i="12"/>
  <c r="G49" i="12"/>
  <c r="V48" i="12"/>
  <c r="G48" i="12"/>
  <c r="V47" i="12"/>
  <c r="G47" i="12"/>
  <c r="V46" i="12"/>
  <c r="G46" i="12"/>
  <c r="V45" i="12"/>
  <c r="G45" i="12"/>
  <c r="V44" i="12"/>
  <c r="G44" i="12"/>
  <c r="V43" i="12"/>
  <c r="G43" i="12"/>
  <c r="V42" i="12"/>
  <c r="G42" i="12"/>
  <c r="V41" i="12"/>
  <c r="G41" i="12"/>
  <c r="V40" i="12"/>
  <c r="G40" i="12"/>
  <c r="V39" i="12"/>
  <c r="G39" i="12"/>
  <c r="V38" i="12"/>
  <c r="G38" i="12"/>
  <c r="V37" i="12"/>
  <c r="G37" i="12"/>
  <c r="V36" i="12"/>
  <c r="G36" i="12"/>
  <c r="V35" i="12"/>
  <c r="G35" i="12"/>
  <c r="V34" i="12"/>
  <c r="G34" i="12"/>
  <c r="V33" i="12"/>
  <c r="G33" i="12"/>
  <c r="V32" i="12"/>
  <c r="G32" i="12"/>
  <c r="V31" i="12"/>
  <c r="G31" i="12"/>
  <c r="V30" i="12"/>
  <c r="G30" i="12"/>
  <c r="V29" i="12"/>
  <c r="G29" i="12"/>
  <c r="V28" i="12"/>
  <c r="G28" i="12"/>
  <c r="V27" i="12"/>
  <c r="G27" i="12"/>
  <c r="V26" i="12"/>
  <c r="G26" i="12"/>
  <c r="V25" i="12"/>
  <c r="G25" i="12"/>
  <c r="V24" i="12"/>
  <c r="G24" i="12"/>
  <c r="V23" i="12"/>
  <c r="G23" i="12"/>
  <c r="V22" i="12"/>
  <c r="G22" i="12"/>
  <c r="V21" i="12"/>
  <c r="G21" i="12"/>
  <c r="V20" i="12"/>
  <c r="G20" i="12"/>
  <c r="V19" i="12"/>
  <c r="G19" i="12"/>
  <c r="V18" i="12"/>
  <c r="G18" i="12"/>
  <c r="V17" i="12"/>
  <c r="G17" i="12"/>
  <c r="V16" i="12"/>
  <c r="G16" i="12"/>
  <c r="V15" i="12"/>
  <c r="G15" i="12"/>
  <c r="V14" i="12"/>
  <c r="G14" i="12"/>
  <c r="V13" i="12"/>
  <c r="G13" i="12"/>
  <c r="V12" i="12"/>
  <c r="G12" i="12"/>
  <c r="V11" i="12"/>
  <c r="G11" i="12"/>
  <c r="V10" i="12"/>
  <c r="G10" i="12"/>
  <c r="V9" i="12"/>
  <c r="G9" i="12"/>
  <c r="V8" i="12"/>
  <c r="G8" i="12"/>
  <c r="B18" i="1" l="1"/>
</calcChain>
</file>

<file path=xl/sharedStrings.xml><?xml version="1.0" encoding="utf-8"?>
<sst xmlns="http://schemas.openxmlformats.org/spreadsheetml/2006/main" count="3694" uniqueCount="55">
  <si>
    <t>Age</t>
  </si>
  <si>
    <t>age range</t>
  </si>
  <si>
    <t>Gender</t>
  </si>
  <si>
    <t>Weight (kg)</t>
  </si>
  <si>
    <t>Height (m)</t>
  </si>
  <si>
    <t>Max_BPM</t>
  </si>
  <si>
    <t>Avg_BPM</t>
  </si>
  <si>
    <t>Resting_BPM</t>
  </si>
  <si>
    <t>Session_Duration (hours)</t>
  </si>
  <si>
    <t>Calories_Burned</t>
  </si>
  <si>
    <t>Workout_Type</t>
  </si>
  <si>
    <t>fitness level</t>
  </si>
  <si>
    <t>Fat_Percentage</t>
  </si>
  <si>
    <t>Water_Intake (liters)</t>
  </si>
  <si>
    <t>Workout_Frequency (days/week)</t>
  </si>
  <si>
    <t>Experience_Level</t>
  </si>
  <si>
    <t>BMI</t>
  </si>
  <si>
    <t>Female</t>
  </si>
  <si>
    <t>Strength</t>
  </si>
  <si>
    <t>Male</t>
  </si>
  <si>
    <t>Cardio</t>
  </si>
  <si>
    <t>HIIT</t>
  </si>
  <si>
    <t>Yoga</t>
  </si>
  <si>
    <t>Others</t>
  </si>
  <si>
    <t>\t182</t>
  </si>
  <si>
    <t>\n175</t>
  </si>
  <si>
    <t>Row Labels</t>
  </si>
  <si>
    <t>Grand Total</t>
  </si>
  <si>
    <t>18-24</t>
  </si>
  <si>
    <t>25-34</t>
  </si>
  <si>
    <t>35-44</t>
  </si>
  <si>
    <t>45-54</t>
  </si>
  <si>
    <t>55-64</t>
  </si>
  <si>
    <t>Column Labels</t>
  </si>
  <si>
    <t>Count of age range</t>
  </si>
  <si>
    <t>Fitnesss</t>
  </si>
  <si>
    <t>Obese</t>
  </si>
  <si>
    <t>Count of fitness level</t>
  </si>
  <si>
    <t>Normal</t>
  </si>
  <si>
    <t>Severly Obese</t>
  </si>
  <si>
    <t>Underweight</t>
  </si>
  <si>
    <t>Count of Age</t>
  </si>
  <si>
    <t>Average of Weight (kg)</t>
  </si>
  <si>
    <t>Average of Age</t>
  </si>
  <si>
    <t>Average of BMI</t>
  </si>
  <si>
    <t>Average of Height (m)</t>
  </si>
  <si>
    <t>Average of Fat_Percentage</t>
  </si>
  <si>
    <t>Average of Water_Intake (liters)</t>
  </si>
  <si>
    <t>Average of Workout_Frequency (days/week)</t>
  </si>
  <si>
    <t>RATING</t>
  </si>
  <si>
    <t>TOTAL</t>
  </si>
  <si>
    <t>Overweight</t>
  </si>
  <si>
    <t>BMI LEVEL</t>
  </si>
  <si>
    <t>INTAKE</t>
  </si>
  <si>
    <t>FITNESS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</si>
</sst>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1"/>
      <color rgb="FF000000"/>
      <name val="Times New Roman"/>
      <family val="1"/>
    </font>
  </fonts>
  <fills count="5">
    <fill>
      <patternFill patternType="none"/>
    </fill>
    <fill>
      <patternFill patternType="gray125"/>
    </fill>
    <fill>
      <patternFill patternType="solid">
        <fgColor theme="4" tint="0.79998168889431442"/>
        <bgColor theme="4" tint="0.79998168889431442"/>
      </patternFill>
    </fill>
    <fill>
      <patternFill patternType="solid">
        <fgColor theme="1" tint="0.14999847407452621"/>
        <bgColor indexed="64"/>
      </patternFill>
    </fill>
    <fill>
      <patternFill patternType="solid">
        <fgColor theme="1"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0" borderId="0" xfId="0" pivotButton="1"/>
    <xf numFmtId="0" fontId="0" fillId="0" borderId="0" xfId="0" applyAlignment="1">
      <alignment horizontal="left"/>
    </xf>
    <xf numFmtId="0" fontId="0" fillId="3" borderId="0" xfId="0" applyFill="1"/>
    <xf numFmtId="0" fontId="0" fillId="4" borderId="0" xfId="0" applyFill="1"/>
    <xf numFmtId="2" fontId="0" fillId="0" borderId="0" xfId="0" applyNumberFormat="1"/>
    <xf numFmtId="164" fontId="0" fillId="0" borderId="0" xfId="0" applyNumberFormat="1"/>
    <xf numFmtId="1" fontId="0" fillId="0" borderId="0" xfId="0" applyNumberFormat="1"/>
    <xf numFmtId="0" fontId="0" fillId="0" borderId="1" xfId="0" applyBorder="1"/>
    <xf numFmtId="164" fontId="0" fillId="0" borderId="1" xfId="0" applyNumberFormat="1" applyBorder="1"/>
    <xf numFmtId="0" fontId="0" fillId="0" borderId="1" xfId="0" applyBorder="1" applyAlignment="1">
      <alignment horizontal="left"/>
    </xf>
    <xf numFmtId="10" fontId="0" fillId="0" borderId="0" xfId="0" applyNumberFormat="1"/>
    <xf numFmtId="0" fontId="2" fillId="2" borderId="1" xfId="0" applyFont="1" applyFill="1" applyBorder="1" applyAlignment="1">
      <alignment wrapText="1"/>
    </xf>
    <xf numFmtId="10" fontId="0" fillId="0" borderId="0" xfId="1" applyNumberFormat="1" applyFont="1"/>
    <xf numFmtId="0" fontId="0" fillId="0" borderId="7" xfId="0" applyBorder="1"/>
    <xf numFmtId="0" fontId="0" fillId="0" borderId="2" xfId="0" applyBorder="1"/>
    <xf numFmtId="0" fontId="0" fillId="0" borderId="8" xfId="0" applyBorder="1"/>
    <xf numFmtId="0" fontId="0" fillId="0" borderId="6" xfId="0" applyBorder="1"/>
    <xf numFmtId="0" fontId="0" fillId="0" borderId="9" xfId="0" applyBorder="1"/>
    <xf numFmtId="0" fontId="0" fillId="0" borderId="4" xfId="0" applyBorder="1"/>
    <xf numFmtId="0" fontId="0" fillId="0" borderId="5" xfId="0" applyBorder="1"/>
    <xf numFmtId="0" fontId="0" fillId="0" borderId="3" xfId="0" applyBorder="1"/>
    <xf numFmtId="0" fontId="3" fillId="0" borderId="0" xfId="0" applyFont="1"/>
    <xf numFmtId="0" fontId="0" fillId="0" borderId="0" xfId="0" applyNumberFormat="1"/>
  </cellXfs>
  <cellStyles count="2">
    <cellStyle name="Normal" xfId="0" builtinId="0"/>
    <cellStyle name="Percent" xfId="1" builtinId="5"/>
  </cellStyles>
  <dxfs count="30">
    <dxf>
      <fill>
        <patternFill patternType="none">
          <fgColor indexed="64"/>
          <bgColor auto="1"/>
        </patternFill>
      </fill>
      <border diagonalUp="0" diagonalDown="0" outline="0">
        <left style="thin">
          <color indexed="64"/>
        </left>
        <right/>
        <top style="thin">
          <color indexed="64"/>
        </top>
        <bottom style="thin">
          <color indexed="64"/>
        </bottom>
      </border>
    </dxf>
    <dxf>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ill>
        <patternFill patternType="none">
          <fgColor indexed="64"/>
          <bgColor auto="1"/>
        </patternFill>
      </fill>
      <border diagonalUp="0" diagonalDown="0" outline="0">
        <left style="thin">
          <color indexed="64"/>
        </left>
        <right style="thin">
          <color indexed="64"/>
        </right>
        <top/>
        <bottom/>
      </border>
    </dxf>
    <dxf>
      <font>
        <b/>
        <i val="0"/>
        <color theme="1"/>
        <name val="Times New Roman"/>
        <family val="1"/>
        <scheme val="none"/>
      </font>
      <border diagonalUp="0" diagonalDown="0">
        <left style="medium">
          <color auto="1"/>
        </left>
        <right style="medium">
          <color auto="1"/>
        </right>
        <top style="medium">
          <color auto="1"/>
        </top>
        <bottom style="medium">
          <color auto="1"/>
        </bottom>
        <vertical/>
        <horizontal/>
      </border>
    </dxf>
    <dxf>
      <font>
        <color theme="1"/>
      </font>
      <fill>
        <patternFill>
          <bgColor theme="2" tint="-0.499984740745262"/>
        </patternFill>
      </fill>
      <border>
        <left style="medium">
          <color theme="1"/>
        </left>
        <right style="medium">
          <color theme="1"/>
        </right>
        <top style="medium">
          <color theme="1"/>
        </top>
        <bottom style="medium">
          <color theme="1"/>
        </bottom>
        <vertical/>
        <horizontal/>
      </border>
    </dxf>
    <dxf>
      <border>
        <left style="medium">
          <color auto="1"/>
        </left>
        <right style="medium">
          <color auto="1"/>
        </right>
        <top style="medium">
          <color auto="1"/>
        </top>
        <bottom style="medium">
          <color auto="1"/>
        </bottom>
      </border>
    </dxf>
    <dxf>
      <fill>
        <patternFill>
          <fgColor theme="2" tint="-9.9887081514938816E-2"/>
          <bgColor theme="2" tint="-0.499984740745262"/>
        </patternFill>
      </fill>
      <border>
        <left style="medium">
          <color auto="1"/>
        </left>
        <right style="medium">
          <color auto="1"/>
        </right>
        <top style="medium">
          <color auto="1"/>
        </top>
        <bottom style="medium">
          <color auto="1"/>
        </bottom>
      </border>
    </dxf>
    <dxf>
      <fill>
        <patternFill>
          <fgColor theme="2" tint="-0.24994659260841701"/>
          <bgColor theme="2" tint="-0.24994659260841701"/>
        </patternFill>
      </fill>
    </dxf>
    <dxf>
      <fill>
        <patternFill>
          <bgColor theme="2" tint="-0.24994659260841701"/>
        </patternFill>
      </fill>
    </dxf>
    <dxf>
      <font>
        <u val="double"/>
      </font>
    </dxf>
  </dxfs>
  <tableStyles count="4" defaultTableStyle="TableStyleMedium2" defaultPivotStyle="PivotStyleLight16">
    <tableStyle name="Slicer Style 1" pivot="0" table="0" count="1" xr9:uid="{8585CDFC-F765-4E40-8D7B-056EA6413355}">
      <tableStyleElement type="headerRow" dxfId="29"/>
    </tableStyle>
    <tableStyle name="Slicer Style 2" pivot="0" table="0" count="10" xr9:uid="{1EF4687E-39DB-4499-9BAC-D7943501A12C}">
      <tableStyleElement type="wholeTable" dxfId="28"/>
      <tableStyleElement type="headerRow" dxfId="27"/>
    </tableStyle>
    <tableStyle name="Slicer Style 3" pivot="0" table="0" count="6" xr9:uid="{2906ADE7-7450-43CE-8871-83DD493F9FBE}">
      <tableStyleElement type="wholeTable" dxfId="26"/>
      <tableStyleElement type="headerRow" dxfId="25"/>
    </tableStyle>
    <tableStyle name="SlicerStyleDark3 2" pivot="0" table="0" count="10" xr9:uid="{EFE41E19-7B1D-4D18-B486-40F6F1A3D6E6}">
      <tableStyleElement type="wholeTable" dxfId="24"/>
      <tableStyleElement type="headerRow" dxfId="23"/>
    </tableStyle>
  </tableStyles>
  <extLst>
    <ext xmlns:x14="http://schemas.microsoft.com/office/spreadsheetml/2009/9/main" uri="{46F421CA-312F-682f-3DD2-61675219B42D}">
      <x14:dxfs count="20">
        <dxf>
          <font>
            <color rgb="FF000000"/>
            <name val="Times New Roman"/>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Times New Roman"/>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Times New Roman"/>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name val="Times New Roman"/>
            <family val="1"/>
            <scheme val="none"/>
          </font>
          <fill>
            <patternFill patternType="solid">
              <fgColor theme="6" tint="0.59999389629810485"/>
              <bgColor theme="6" tint="0.59999389629810485"/>
            </patternFill>
          </fill>
          <border diagonalUp="0" diagonalDown="0">
            <left style="thin">
              <color auto="1"/>
            </left>
            <right style="thin">
              <color auto="1"/>
            </right>
            <top style="thin">
              <color auto="1"/>
            </top>
            <bottom style="thin">
              <color auto="1"/>
            </bottom>
            <vertical/>
            <horizontal/>
          </border>
        </dxf>
        <dxf>
          <font>
            <color theme="1"/>
            <name val="Times New Roman"/>
            <family val="1"/>
            <scheme val="none"/>
          </font>
          <fill>
            <patternFill patternType="solid">
              <fgColor theme="0" tint="-4.9989318521683403E-2"/>
              <bgColor theme="0" tint="-4.9989318521683403E-2"/>
            </patternFill>
          </fill>
          <border diagonalUp="0" diagonalDown="0">
            <left style="medium">
              <color theme="1"/>
            </left>
            <right style="medium">
              <color theme="1"/>
            </right>
            <top style="medium">
              <color theme="1"/>
            </top>
            <bottom style="medium">
              <color theme="1"/>
            </bottom>
            <vertical/>
            <horizontal/>
          </border>
        </dxf>
        <dxf>
          <font>
            <color rgb="FF959595"/>
            <name val="Times New Roman"/>
            <family val="1"/>
            <scheme val="none"/>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name val="Times New Roman"/>
            <family val="1"/>
            <scheme val="none"/>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theme="0" tint="-4.9989318521683403E-2"/>
            </patternFill>
          </fill>
          <border>
            <left style="medium">
              <color auto="1"/>
            </left>
            <right style="medium">
              <color auto="1"/>
            </right>
            <top style="medium">
              <color auto="1"/>
            </top>
            <bottom style="medium">
              <color auto="1"/>
            </bottom>
          </border>
        </dxf>
        <dxf>
          <border>
            <left style="thick">
              <color auto="1"/>
            </left>
            <right style="thick">
              <color auto="1"/>
            </right>
            <top style="thick">
              <color auto="1"/>
            </top>
            <bottom style="thick">
              <color auto="1"/>
            </bottom>
          </border>
        </dxf>
        <dxf>
          <fill>
            <patternFill>
              <fgColor theme="0" tint="-0.14996795556505021"/>
            </patternFill>
          </fill>
        </dxf>
        <dxf>
          <border>
            <left style="thick">
              <color auto="1"/>
            </left>
            <right style="thick">
              <color auto="1"/>
            </right>
            <top style="thick">
              <color auto="1"/>
            </top>
            <bottom style="thick">
              <color auto="1"/>
            </bottom>
          </border>
        </dxf>
        <dxf>
          <fill>
            <patternFill>
              <bgColor theme="0"/>
            </patternFill>
          </fill>
        </dxf>
        <dxf>
          <fill>
            <patternFill>
              <bgColor theme="2" tint="-0.24994659260841701"/>
            </patternFill>
          </fill>
        </dxf>
        <dxf>
          <fill>
            <patternFill>
              <bgColor theme="2" tint="-0.24994659260841701"/>
            </patternFill>
          </fill>
        </dxf>
        <dxf>
          <fill>
            <patternFill>
              <bgColor theme="2" tint="-0.24994659260841701"/>
            </patternFill>
          </fill>
        </dxf>
        <dxf>
          <fill>
            <patternFill>
              <bgColor theme="2" tint="-0.24994659260841701"/>
            </patternFill>
          </fill>
        </dxf>
        <dxf>
          <font>
            <color theme="0" tint="-0.14996795556505021"/>
          </font>
        </dxf>
        <dxf>
          <fill>
            <patternFill>
              <bgColor theme="2" tint="-0.24994659260841701"/>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9"/>
            <x14:slicerStyleElement type="unselectedItemWithNoData" dxfId="18"/>
            <x14:slicerStyleElement type="selectedItemWithData" dxfId="17"/>
            <x14:slicerStyleElement type="selectedItemWithNoData" dxfId="16"/>
            <x14:slicerStyleElement type="hoveredUnselectedItemWithData" dxfId="15"/>
            <x14:slicerStyleElement type="hoveredSelectedItemWithData" dxfId="14"/>
            <x14:slicerStyleElement type="hoveredUnselectedItemWithNoData" dxfId="13"/>
            <x14:slicerStyleElement type="hoveredSelectedItemWithNoData" dxfId="12"/>
          </x14:slicerStyleElements>
        </x14:slicerStyle>
        <x14:slicerStyle name="Slicer Style 3">
          <x14:slicerStyleElements>
            <x14:slicerStyleElement type="unselectedItemWithData" dxfId="11"/>
            <x14:slicerStyleElement type="selectedItemWithData" dxfId="10"/>
            <x14:slicerStyleElement type="selectedItemWithNoData" dxfId="9"/>
            <x14:slicerStyleElement type="hoveredUnselectedItemWithData" dxfId="8"/>
          </x14:slicerStyleElements>
        </x14:slicerStyle>
        <x14:slicerStyle name="SlicerStyleDark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801686975368E-2"/>
          <c:y val="9.1584414662498115E-2"/>
          <c:w val="0.93812908453557398"/>
          <c:h val="1"/>
        </c:manualLayout>
      </c:layout>
      <c:doughnutChart>
        <c:varyColors val="1"/>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1.xlsx]AA!PivotTable29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latin typeface="Times New Roman" panose="02020603050405020304" pitchFamily="18" charset="0"/>
                <a:cs typeface="Times New Roman" panose="02020603050405020304" pitchFamily="18" charset="0"/>
              </a:rPr>
              <a:t>GENDER</a:t>
            </a:r>
            <a:r>
              <a:rPr lang="en-US" sz="1400" baseline="0">
                <a:latin typeface="Times New Roman" panose="02020603050405020304" pitchFamily="18" charset="0"/>
                <a:cs typeface="Times New Roman" panose="02020603050405020304" pitchFamily="18" charset="0"/>
              </a:rPr>
              <a:t> DIVERSIFICATION</a:t>
            </a:r>
            <a:endParaRPr lang="en-US" sz="1400">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7716328998201067"/>
          <c:y val="0.18634311512415352"/>
          <c:w val="0.66814562505529507"/>
          <c:h val="0.67116208385915643"/>
        </c:manualLayout>
      </c:layout>
      <c:doughnutChart>
        <c:varyColors val="1"/>
        <c:ser>
          <c:idx val="0"/>
          <c:order val="0"/>
          <c:tx>
            <c:strRef>
              <c:f>AA!$K$2</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DF7-4189-8C89-F4D2422200E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DF7-4189-8C89-F4D2422200E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DF7-4189-8C89-F4D2422200EA}"/>
              </c:ext>
            </c:extLst>
          </c:dPt>
          <c:dLbls>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AA!$J$3:$J$6</c:f>
              <c:strCache>
                <c:ptCount val="3"/>
                <c:pt idx="0">
                  <c:v>Female</c:v>
                </c:pt>
                <c:pt idx="1">
                  <c:v>Male</c:v>
                </c:pt>
                <c:pt idx="2">
                  <c:v>Others</c:v>
                </c:pt>
              </c:strCache>
            </c:strRef>
          </c:cat>
          <c:val>
            <c:numRef>
              <c:f>AA!$K$3:$K$6</c:f>
              <c:numCache>
                <c:formatCode>General</c:formatCode>
                <c:ptCount val="3"/>
                <c:pt idx="0">
                  <c:v>180</c:v>
                </c:pt>
                <c:pt idx="1">
                  <c:v>234</c:v>
                </c:pt>
                <c:pt idx="2">
                  <c:v>25</c:v>
                </c:pt>
              </c:numCache>
            </c:numRef>
          </c:val>
          <c:extLst>
            <c:ext xmlns:c16="http://schemas.microsoft.com/office/drawing/2014/chart" uri="{C3380CC4-5D6E-409C-BE32-E72D297353CC}">
              <c16:uniqueId val="{00000006-FDF7-4189-8C89-F4D2422200E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9.9891769146834161E-2"/>
          <c:y val="0.8838407896529864"/>
          <c:w val="0.79647084844731486"/>
          <c:h val="9.3585846915862386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1.xlsx]AA!PivotTable30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latin typeface="Times New Roman" panose="02020603050405020304" pitchFamily="18" charset="0"/>
                <a:cs typeface="Times New Roman" panose="02020603050405020304" pitchFamily="18" charset="0"/>
              </a:rPr>
              <a:t>WORKOUT TYPE VS BMI</a:t>
            </a:r>
            <a:r>
              <a:rPr lang="en-IN" sz="1400" baseline="0">
                <a:latin typeface="Times New Roman" panose="02020603050405020304" pitchFamily="18" charset="0"/>
                <a:cs typeface="Times New Roman" panose="02020603050405020304" pitchFamily="18" charset="0"/>
              </a:rPr>
              <a:t> LEVEL</a:t>
            </a:r>
            <a:r>
              <a:rPr lang="en-IN" sz="1400">
                <a:latin typeface="Times New Roman" panose="02020603050405020304" pitchFamily="18" charset="0"/>
                <a:cs typeface="Times New Roman" panose="02020603050405020304" pitchFamily="18" charset="0"/>
              </a:rPr>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AA!$E$8:$E$9</c:f>
              <c:strCache>
                <c:ptCount val="1"/>
                <c:pt idx="0">
                  <c:v>Underweight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AA!$D$10:$D$11</c:f>
              <c:strCache>
                <c:ptCount val="1"/>
                <c:pt idx="0">
                  <c:v>Cardio</c:v>
                </c:pt>
              </c:strCache>
            </c:strRef>
          </c:cat>
          <c:val>
            <c:numRef>
              <c:f>AA!$E$10:$E$11</c:f>
              <c:numCache>
                <c:formatCode>General</c:formatCode>
                <c:ptCount val="1"/>
                <c:pt idx="0">
                  <c:v>99</c:v>
                </c:pt>
              </c:numCache>
            </c:numRef>
          </c:val>
          <c:extLst>
            <c:ext xmlns:c16="http://schemas.microsoft.com/office/drawing/2014/chart" uri="{C3380CC4-5D6E-409C-BE32-E72D297353CC}">
              <c16:uniqueId val="{00000000-455E-433D-B7AD-D8DC124B2E24}"/>
            </c:ext>
          </c:extLst>
        </c:ser>
        <c:ser>
          <c:idx val="1"/>
          <c:order val="1"/>
          <c:tx>
            <c:strRef>
              <c:f>AA!$F$8:$F$9</c:f>
              <c:strCache>
                <c:ptCount val="1"/>
                <c:pt idx="0">
                  <c:v>Severly Obese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AA!$D$10:$D$11</c:f>
              <c:strCache>
                <c:ptCount val="1"/>
                <c:pt idx="0">
                  <c:v>Cardio</c:v>
                </c:pt>
              </c:strCache>
            </c:strRef>
          </c:cat>
          <c:val>
            <c:numRef>
              <c:f>AA!$F$10:$F$11</c:f>
              <c:numCache>
                <c:formatCode>General</c:formatCode>
                <c:ptCount val="1"/>
                <c:pt idx="0">
                  <c:v>3</c:v>
                </c:pt>
              </c:numCache>
            </c:numRef>
          </c:val>
          <c:extLst>
            <c:ext xmlns:c16="http://schemas.microsoft.com/office/drawing/2014/chart" uri="{C3380CC4-5D6E-409C-BE32-E72D297353CC}">
              <c16:uniqueId val="{00000001-455E-433D-B7AD-D8DC124B2E24}"/>
            </c:ext>
          </c:extLst>
        </c:ser>
        <c:ser>
          <c:idx val="2"/>
          <c:order val="2"/>
          <c:tx>
            <c:strRef>
              <c:f>AA!$G$8:$G$9</c:f>
              <c:strCache>
                <c:ptCount val="1"/>
                <c:pt idx="0">
                  <c:v>Overweight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AA!$D$10:$D$11</c:f>
              <c:strCache>
                <c:ptCount val="1"/>
                <c:pt idx="0">
                  <c:v>Cardio</c:v>
                </c:pt>
              </c:strCache>
            </c:strRef>
          </c:cat>
          <c:val>
            <c:numRef>
              <c:f>AA!$G$10:$G$11</c:f>
              <c:numCache>
                <c:formatCode>General</c:formatCode>
                <c:ptCount val="1"/>
                <c:pt idx="0">
                  <c:v>14</c:v>
                </c:pt>
              </c:numCache>
            </c:numRef>
          </c:val>
          <c:extLst>
            <c:ext xmlns:c16="http://schemas.microsoft.com/office/drawing/2014/chart" uri="{C3380CC4-5D6E-409C-BE32-E72D297353CC}">
              <c16:uniqueId val="{0000002E-455E-433D-B7AD-D8DC124B2E24}"/>
            </c:ext>
          </c:extLst>
        </c:ser>
        <c:ser>
          <c:idx val="3"/>
          <c:order val="3"/>
          <c:tx>
            <c:strRef>
              <c:f>AA!$H$8:$H$9</c:f>
              <c:strCache>
                <c:ptCount val="1"/>
                <c:pt idx="0">
                  <c:v>Obese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AA!$D$10:$D$11</c:f>
              <c:strCache>
                <c:ptCount val="1"/>
                <c:pt idx="0">
                  <c:v>Cardio</c:v>
                </c:pt>
              </c:strCache>
            </c:strRef>
          </c:cat>
          <c:val>
            <c:numRef>
              <c:f>AA!$H$10:$H$11</c:f>
              <c:numCache>
                <c:formatCode>General</c:formatCode>
                <c:ptCount val="1"/>
                <c:pt idx="0">
                  <c:v>15</c:v>
                </c:pt>
              </c:numCache>
            </c:numRef>
          </c:val>
          <c:extLst>
            <c:ext xmlns:c16="http://schemas.microsoft.com/office/drawing/2014/chart" uri="{C3380CC4-5D6E-409C-BE32-E72D297353CC}">
              <c16:uniqueId val="{00000002-B534-4E25-B6FB-CFDCFCE56C9A}"/>
            </c:ext>
          </c:extLst>
        </c:ser>
        <c:ser>
          <c:idx val="4"/>
          <c:order val="4"/>
          <c:tx>
            <c:strRef>
              <c:f>AA!$I$8:$I$9</c:f>
              <c:strCache>
                <c:ptCount val="1"/>
                <c:pt idx="0">
                  <c:v>Normal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AA!$D$10:$D$11</c:f>
              <c:strCache>
                <c:ptCount val="1"/>
                <c:pt idx="0">
                  <c:v>Cardio</c:v>
                </c:pt>
              </c:strCache>
            </c:strRef>
          </c:cat>
          <c:val>
            <c:numRef>
              <c:f>AA!$I$10:$I$11</c:f>
              <c:numCache>
                <c:formatCode>General</c:formatCode>
                <c:ptCount val="1"/>
                <c:pt idx="0">
                  <c:v>49</c:v>
                </c:pt>
              </c:numCache>
            </c:numRef>
          </c:val>
          <c:extLst>
            <c:ext xmlns:c16="http://schemas.microsoft.com/office/drawing/2014/chart" uri="{C3380CC4-5D6E-409C-BE32-E72D297353CC}">
              <c16:uniqueId val="{00000003-B534-4E25-B6FB-CFDCFCE56C9A}"/>
            </c:ext>
          </c:extLst>
        </c:ser>
        <c:dLbls>
          <c:dLblPos val="ctr"/>
          <c:showLegendKey val="0"/>
          <c:showVal val="1"/>
          <c:showCatName val="0"/>
          <c:showSerName val="0"/>
          <c:showPercent val="0"/>
          <c:showBubbleSize val="0"/>
        </c:dLbls>
        <c:gapWidth val="100"/>
        <c:overlap val="-24"/>
        <c:axId val="1038461087"/>
        <c:axId val="1038457727"/>
      </c:barChart>
      <c:catAx>
        <c:axId val="10384610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457727"/>
        <c:crosses val="autoZero"/>
        <c:auto val="1"/>
        <c:lblAlgn val="ctr"/>
        <c:lblOffset val="100"/>
        <c:noMultiLvlLbl val="0"/>
      </c:catAx>
      <c:valAx>
        <c:axId val="10384577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3846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1.xlsx]AA!PivotTable31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latin typeface="Times New Roman" panose="02020603050405020304" pitchFamily="18" charset="0"/>
                <a:cs typeface="Times New Roman" panose="02020603050405020304" pitchFamily="18" charset="0"/>
              </a:rPr>
              <a:t>AGE RANGE</a:t>
            </a:r>
          </a:p>
        </c:rich>
      </c:tx>
      <c:layout>
        <c:manualLayout>
          <c:xMode val="edge"/>
          <c:yMode val="edge"/>
          <c:x val="0.43199099401821478"/>
          <c:y val="1.214356950185548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04158021726088E-2"/>
          <c:y val="0.28643620657837232"/>
          <c:w val="0.77923513136748357"/>
          <c:h val="0.48702558033510263"/>
        </c:manualLayout>
      </c:layout>
      <c:barChart>
        <c:barDir val="bar"/>
        <c:grouping val="percentStacked"/>
        <c:varyColors val="0"/>
        <c:ser>
          <c:idx val="0"/>
          <c:order val="0"/>
          <c:tx>
            <c:strRef>
              <c:f>AA!$E$19:$E$20</c:f>
              <c:strCache>
                <c:ptCount val="1"/>
                <c:pt idx="0">
                  <c:v>18-24</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AA!$D$21</c:f>
              <c:strCache>
                <c:ptCount val="1"/>
                <c:pt idx="0">
                  <c:v>Total</c:v>
                </c:pt>
              </c:strCache>
            </c:strRef>
          </c:cat>
          <c:val>
            <c:numRef>
              <c:f>AA!$E$21</c:f>
              <c:numCache>
                <c:formatCode>General</c:formatCode>
                <c:ptCount val="1"/>
                <c:pt idx="0">
                  <c:v>47</c:v>
                </c:pt>
              </c:numCache>
            </c:numRef>
          </c:val>
          <c:extLst>
            <c:ext xmlns:c16="http://schemas.microsoft.com/office/drawing/2014/chart" uri="{C3380CC4-5D6E-409C-BE32-E72D297353CC}">
              <c16:uniqueId val="{00000000-3CCC-4A7B-B476-88FECD563F35}"/>
            </c:ext>
          </c:extLst>
        </c:ser>
        <c:ser>
          <c:idx val="1"/>
          <c:order val="1"/>
          <c:tx>
            <c:strRef>
              <c:f>AA!$F$19:$F$20</c:f>
              <c:strCache>
                <c:ptCount val="1"/>
                <c:pt idx="0">
                  <c:v>25-34</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AA!$D$21</c:f>
              <c:strCache>
                <c:ptCount val="1"/>
                <c:pt idx="0">
                  <c:v>Total</c:v>
                </c:pt>
              </c:strCache>
            </c:strRef>
          </c:cat>
          <c:val>
            <c:numRef>
              <c:f>AA!$F$21</c:f>
              <c:numCache>
                <c:formatCode>General</c:formatCode>
                <c:ptCount val="1"/>
                <c:pt idx="0">
                  <c:v>44</c:v>
                </c:pt>
              </c:numCache>
            </c:numRef>
          </c:val>
          <c:extLst>
            <c:ext xmlns:c16="http://schemas.microsoft.com/office/drawing/2014/chart" uri="{C3380CC4-5D6E-409C-BE32-E72D297353CC}">
              <c16:uniqueId val="{00000001-3CCC-4A7B-B476-88FECD563F35}"/>
            </c:ext>
          </c:extLst>
        </c:ser>
        <c:ser>
          <c:idx val="2"/>
          <c:order val="2"/>
          <c:tx>
            <c:strRef>
              <c:f>AA!$G$19:$G$20</c:f>
              <c:strCache>
                <c:ptCount val="1"/>
                <c:pt idx="0">
                  <c:v>35-44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AA!$D$21</c:f>
              <c:strCache>
                <c:ptCount val="1"/>
                <c:pt idx="0">
                  <c:v>Total</c:v>
                </c:pt>
              </c:strCache>
            </c:strRef>
          </c:cat>
          <c:val>
            <c:numRef>
              <c:f>AA!$G$21</c:f>
              <c:numCache>
                <c:formatCode>General</c:formatCode>
                <c:ptCount val="1"/>
                <c:pt idx="0">
                  <c:v>34</c:v>
                </c:pt>
              </c:numCache>
            </c:numRef>
          </c:val>
          <c:extLst>
            <c:ext xmlns:c16="http://schemas.microsoft.com/office/drawing/2014/chart" uri="{C3380CC4-5D6E-409C-BE32-E72D297353CC}">
              <c16:uniqueId val="{00000002-3CCC-4A7B-B476-88FECD563F35}"/>
            </c:ext>
          </c:extLst>
        </c:ser>
        <c:ser>
          <c:idx val="3"/>
          <c:order val="3"/>
          <c:tx>
            <c:strRef>
              <c:f>AA!$H$19:$H$20</c:f>
              <c:strCache>
                <c:ptCount val="1"/>
                <c:pt idx="0">
                  <c:v>45-54</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AA!$D$21</c:f>
              <c:strCache>
                <c:ptCount val="1"/>
                <c:pt idx="0">
                  <c:v>Total</c:v>
                </c:pt>
              </c:strCache>
            </c:strRef>
          </c:cat>
          <c:val>
            <c:numRef>
              <c:f>AA!$H$21</c:f>
              <c:numCache>
                <c:formatCode>General</c:formatCode>
                <c:ptCount val="1"/>
                <c:pt idx="0">
                  <c:v>40</c:v>
                </c:pt>
              </c:numCache>
            </c:numRef>
          </c:val>
          <c:extLst>
            <c:ext xmlns:c16="http://schemas.microsoft.com/office/drawing/2014/chart" uri="{C3380CC4-5D6E-409C-BE32-E72D297353CC}">
              <c16:uniqueId val="{0000001C-3CCC-4A7B-B476-88FECD563F35}"/>
            </c:ext>
          </c:extLst>
        </c:ser>
        <c:ser>
          <c:idx val="4"/>
          <c:order val="4"/>
          <c:tx>
            <c:strRef>
              <c:f>AA!$I$19:$I$20</c:f>
              <c:strCache>
                <c:ptCount val="1"/>
                <c:pt idx="0">
                  <c:v>55-64</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AA!$D$21</c:f>
              <c:strCache>
                <c:ptCount val="1"/>
                <c:pt idx="0">
                  <c:v>Total</c:v>
                </c:pt>
              </c:strCache>
            </c:strRef>
          </c:cat>
          <c:val>
            <c:numRef>
              <c:f>AA!$I$21</c:f>
              <c:numCache>
                <c:formatCode>General</c:formatCode>
                <c:ptCount val="1"/>
                <c:pt idx="0">
                  <c:v>15</c:v>
                </c:pt>
              </c:numCache>
            </c:numRef>
          </c:val>
          <c:extLst>
            <c:ext xmlns:c16="http://schemas.microsoft.com/office/drawing/2014/chart" uri="{C3380CC4-5D6E-409C-BE32-E72D297353CC}">
              <c16:uniqueId val="{0000001D-3CCC-4A7B-B476-88FECD563F35}"/>
            </c:ext>
          </c:extLst>
        </c:ser>
        <c:dLbls>
          <c:dLblPos val="ctr"/>
          <c:showLegendKey val="0"/>
          <c:showVal val="1"/>
          <c:showCatName val="0"/>
          <c:showSerName val="0"/>
          <c:showPercent val="0"/>
          <c:showBubbleSize val="0"/>
        </c:dLbls>
        <c:gapWidth val="150"/>
        <c:overlap val="100"/>
        <c:axId val="1103483103"/>
        <c:axId val="1103475423"/>
      </c:barChart>
      <c:catAx>
        <c:axId val="1103483103"/>
        <c:scaling>
          <c:orientation val="minMax"/>
        </c:scaling>
        <c:delete val="1"/>
        <c:axPos val="l"/>
        <c:numFmt formatCode="General" sourceLinked="1"/>
        <c:majorTickMark val="none"/>
        <c:minorTickMark val="none"/>
        <c:tickLblPos val="nextTo"/>
        <c:crossAx val="1103475423"/>
        <c:crosses val="autoZero"/>
        <c:auto val="1"/>
        <c:lblAlgn val="ctr"/>
        <c:lblOffset val="100"/>
        <c:noMultiLvlLbl val="0"/>
      </c:catAx>
      <c:valAx>
        <c:axId val="1103475423"/>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03483103"/>
        <c:crosses val="autoZero"/>
        <c:crossBetween val="between"/>
      </c:valAx>
      <c:spPr>
        <a:noFill/>
        <a:ln>
          <a:noFill/>
        </a:ln>
        <a:effectLst/>
      </c:spPr>
    </c:plotArea>
    <c:legend>
      <c:legendPos val="r"/>
      <c:layout>
        <c:manualLayout>
          <c:xMode val="edge"/>
          <c:yMode val="edge"/>
          <c:x val="0.8585779495304251"/>
          <c:y val="0.1203095435508217"/>
          <c:w val="0.1319814915488414"/>
          <c:h val="0.759380912898356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AA!$B$8</c:f>
              <c:strCache>
                <c:ptCount val="1"/>
                <c:pt idx="0">
                  <c:v>Average of Water_Intake (liters)</c:v>
                </c:pt>
              </c:strCache>
            </c:strRef>
          </c:tx>
          <c:spPr>
            <a:ln>
              <a:solidFill>
                <a:schemeClr val="accent3">
                  <a:lumMod val="50000"/>
                </a:schemeClr>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c:spPr>
            <c:extLst>
              <c:ext xmlns:c16="http://schemas.microsoft.com/office/drawing/2014/chart" uri="{C3380CC4-5D6E-409C-BE32-E72D297353CC}">
                <c16:uniqueId val="{00000001-82E8-49CD-8394-9E5F89B921E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accent3">
                    <a:lumMod val="50000"/>
                  </a:schemeClr>
                </a:solidFill>
              </a:ln>
              <a:effectLst/>
            </c:spPr>
            <c:extLst>
              <c:ext xmlns:c16="http://schemas.microsoft.com/office/drawing/2014/chart" uri="{C3380CC4-5D6E-409C-BE32-E72D297353CC}">
                <c16:uniqueId val="{00000003-82E8-49CD-8394-9E5F89B921EE}"/>
              </c:ext>
            </c:extLst>
          </c:dPt>
          <c:dLbls>
            <c:dLbl>
              <c:idx val="0"/>
              <c:layout>
                <c:manualLayout>
                  <c:x val="-3.7997267459834651E-2"/>
                  <c:y val="-4.3577317894299304E-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3950614821537204"/>
                      <c:h val="0.98779723362247074"/>
                    </c:manualLayout>
                  </c15:layout>
                </c:ext>
                <c:ext xmlns:c16="http://schemas.microsoft.com/office/drawing/2014/chart" uri="{C3380CC4-5D6E-409C-BE32-E72D297353CC}">
                  <c16:uniqueId val="{00000001-82E8-49CD-8394-9E5F89B921EE}"/>
                </c:ext>
              </c:extLst>
            </c:dLbl>
            <c:dLbl>
              <c:idx val="1"/>
              <c:delete val="1"/>
              <c:extLst>
                <c:ext xmlns:c15="http://schemas.microsoft.com/office/drawing/2012/chart" uri="{CE6537A1-D6FC-4f65-9D91-7224C49458BB}"/>
                <c:ext xmlns:c16="http://schemas.microsoft.com/office/drawing/2014/chart" uri="{C3380CC4-5D6E-409C-BE32-E72D297353CC}">
                  <c16:uniqueId val="{00000003-82E8-49CD-8394-9E5F89B921E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AA!$A$9:$A$10</c:f>
              <c:strCache>
                <c:ptCount val="2"/>
                <c:pt idx="0">
                  <c:v>INTAKE</c:v>
                </c:pt>
                <c:pt idx="1">
                  <c:v>TOTAL</c:v>
                </c:pt>
              </c:strCache>
            </c:strRef>
          </c:cat>
          <c:val>
            <c:numRef>
              <c:f>AA!$B$9:$B$10</c:f>
              <c:numCache>
                <c:formatCode>0.0</c:formatCode>
                <c:ptCount val="2"/>
                <c:pt idx="0">
                  <c:v>2.7713483146067421</c:v>
                </c:pt>
                <c:pt idx="1">
                  <c:v>0.22865168539325786</c:v>
                </c:pt>
              </c:numCache>
            </c:numRef>
          </c:val>
          <c:extLst>
            <c:ext xmlns:c16="http://schemas.microsoft.com/office/drawing/2014/chart" uri="{C3380CC4-5D6E-409C-BE32-E72D297353CC}">
              <c16:uniqueId val="{00000004-82E8-49CD-8394-9E5F89B921EE}"/>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2284209154706728"/>
          <c:y val="0.24768419099127761"/>
          <c:w val="0.44887846466000259"/>
          <c:h val="0.63931175269757945"/>
        </c:manualLayout>
      </c:layout>
      <c:doughnutChart>
        <c:varyColors val="1"/>
        <c:ser>
          <c:idx val="0"/>
          <c:order val="0"/>
          <c:tx>
            <c:strRef>
              <c:f>AA!$B$17</c:f>
              <c:strCache>
                <c:ptCount val="1"/>
                <c:pt idx="0">
                  <c:v>Average of Workout_Frequency (days/week)</c:v>
                </c:pt>
              </c:strCache>
            </c:strRef>
          </c:tx>
          <c:spPr>
            <a:ln>
              <a:solidFill>
                <a:schemeClr val="accent3">
                  <a:lumMod val="50000"/>
                </a:schemeClr>
              </a:solidFill>
            </a:ln>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95000"/>
                    <a:lumOff val="5000"/>
                  </a:schemeClr>
                </a:solidFill>
              </a:ln>
              <a:effectLst/>
            </c:spPr>
            <c:extLst>
              <c:ext xmlns:c16="http://schemas.microsoft.com/office/drawing/2014/chart" uri="{C3380CC4-5D6E-409C-BE32-E72D297353CC}">
                <c16:uniqueId val="{00000001-A161-4ABF-BC08-8AFB724D202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accent3">
                    <a:lumMod val="50000"/>
                  </a:schemeClr>
                </a:solidFill>
              </a:ln>
              <a:effectLst/>
            </c:spPr>
            <c:extLst>
              <c:ext xmlns:c16="http://schemas.microsoft.com/office/drawing/2014/chart" uri="{C3380CC4-5D6E-409C-BE32-E72D297353CC}">
                <c16:uniqueId val="{00000003-A161-4ABF-BC08-8AFB724D2028}"/>
              </c:ext>
            </c:extLst>
          </c:dPt>
          <c:dLbls>
            <c:dLbl>
              <c:idx val="0"/>
              <c:layout>
                <c:manualLayout>
                  <c:x val="-4.680775773053523E-7"/>
                  <c:y val="-1.2808897335140998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9048866362915523"/>
                      <c:h val="0.84231433663196453"/>
                    </c:manualLayout>
                  </c15:layout>
                </c:ext>
                <c:ext xmlns:c16="http://schemas.microsoft.com/office/drawing/2014/chart" uri="{C3380CC4-5D6E-409C-BE32-E72D297353CC}">
                  <c16:uniqueId val="{00000001-A161-4ABF-BC08-8AFB724D2028}"/>
                </c:ext>
              </c:extLst>
            </c:dLbl>
            <c:dLbl>
              <c:idx val="1"/>
              <c:delete val="1"/>
              <c:extLst>
                <c:ext xmlns:c15="http://schemas.microsoft.com/office/drawing/2012/chart" uri="{CE6537A1-D6FC-4f65-9D91-7224C49458BB}"/>
                <c:ext xmlns:c16="http://schemas.microsoft.com/office/drawing/2014/chart" uri="{C3380CC4-5D6E-409C-BE32-E72D297353CC}">
                  <c16:uniqueId val="{00000003-A161-4ABF-BC08-8AFB724D202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AA!$A$18:$A$19</c:f>
              <c:strCache>
                <c:ptCount val="2"/>
                <c:pt idx="0">
                  <c:v>INTAKE</c:v>
                </c:pt>
                <c:pt idx="1">
                  <c:v>TOTAL</c:v>
                </c:pt>
              </c:strCache>
            </c:strRef>
          </c:cat>
          <c:val>
            <c:numRef>
              <c:f>AA!$B$18:$B$19</c:f>
              <c:numCache>
                <c:formatCode>0.0</c:formatCode>
                <c:ptCount val="2"/>
                <c:pt idx="0">
                  <c:v>3.3372093023255816</c:v>
                </c:pt>
                <c:pt idx="1">
                  <c:v>1.6627906976744184</c:v>
                </c:pt>
              </c:numCache>
            </c:numRef>
          </c:val>
          <c:extLst>
            <c:ext xmlns:c16="http://schemas.microsoft.com/office/drawing/2014/chart" uri="{C3380CC4-5D6E-409C-BE32-E72D297353CC}">
              <c16:uniqueId val="{00000004-A161-4ABF-BC08-8AFB724D2028}"/>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1.xlsx]AA!PivotTable37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latin typeface="Times New Roman" panose="02020603050405020304" pitchFamily="18" charset="0"/>
                <a:cs typeface="Times New Roman" panose="02020603050405020304" pitchFamily="18" charset="0"/>
              </a:rPr>
              <a:t>WORKOUT TYPE VS FITNESS LEVEL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672595267248803E-2"/>
          <c:y val="7.6023391812865493E-2"/>
          <c:w val="0.82426063796508975"/>
          <c:h val="0.80001013031265833"/>
        </c:manualLayout>
      </c:layout>
      <c:barChart>
        <c:barDir val="col"/>
        <c:grouping val="clustered"/>
        <c:varyColors val="0"/>
        <c:ser>
          <c:idx val="0"/>
          <c:order val="0"/>
          <c:tx>
            <c:strRef>
              <c:f>AA!$C$24:$C$25</c:f>
              <c:strCache>
                <c:ptCount val="1"/>
                <c:pt idx="0">
                  <c:v>Cardio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AA!$B$26:$B$27</c:f>
              <c:strCache>
                <c:ptCount val="1"/>
                <c:pt idx="0">
                  <c:v>Fitnesss</c:v>
                </c:pt>
              </c:strCache>
            </c:strRef>
          </c:cat>
          <c:val>
            <c:numRef>
              <c:f>AA!$C$26:$C$27</c:f>
              <c:numCache>
                <c:formatCode>General</c:formatCode>
                <c:ptCount val="1"/>
                <c:pt idx="0">
                  <c:v>7</c:v>
                </c:pt>
              </c:numCache>
            </c:numRef>
          </c:val>
          <c:extLst>
            <c:ext xmlns:c16="http://schemas.microsoft.com/office/drawing/2014/chart" uri="{C3380CC4-5D6E-409C-BE32-E72D297353CC}">
              <c16:uniqueId val="{00000000-62D9-4F78-A88C-C702DD8A23D2}"/>
            </c:ext>
          </c:extLst>
        </c:ser>
        <c:ser>
          <c:idx val="1"/>
          <c:order val="1"/>
          <c:tx>
            <c:strRef>
              <c:f>AA!$D$24:$D$25</c:f>
              <c:strCache>
                <c:ptCount val="1"/>
                <c:pt idx="0">
                  <c:v>HIIT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AA!$B$26:$B$27</c:f>
              <c:strCache>
                <c:ptCount val="1"/>
                <c:pt idx="0">
                  <c:v>Fitnesss</c:v>
                </c:pt>
              </c:strCache>
            </c:strRef>
          </c:cat>
          <c:val>
            <c:numRef>
              <c:f>AA!$D$26:$D$27</c:f>
              <c:numCache>
                <c:formatCode>General</c:formatCode>
                <c:ptCount val="1"/>
                <c:pt idx="0">
                  <c:v>7</c:v>
                </c:pt>
              </c:numCache>
            </c:numRef>
          </c:val>
          <c:extLst>
            <c:ext xmlns:c16="http://schemas.microsoft.com/office/drawing/2014/chart" uri="{C3380CC4-5D6E-409C-BE32-E72D297353CC}">
              <c16:uniqueId val="{00000001-62D9-4F78-A88C-C702DD8A23D2}"/>
            </c:ext>
          </c:extLst>
        </c:ser>
        <c:ser>
          <c:idx val="2"/>
          <c:order val="2"/>
          <c:tx>
            <c:strRef>
              <c:f>AA!$E$24:$E$25</c:f>
              <c:strCache>
                <c:ptCount val="1"/>
                <c:pt idx="0">
                  <c:v>Strength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AA!$B$26:$B$27</c:f>
              <c:strCache>
                <c:ptCount val="1"/>
                <c:pt idx="0">
                  <c:v>Fitnesss</c:v>
                </c:pt>
              </c:strCache>
            </c:strRef>
          </c:cat>
          <c:val>
            <c:numRef>
              <c:f>AA!$E$26:$E$27</c:f>
              <c:numCache>
                <c:formatCode>General</c:formatCode>
                <c:ptCount val="1"/>
                <c:pt idx="0">
                  <c:v>10</c:v>
                </c:pt>
              </c:numCache>
            </c:numRef>
          </c:val>
          <c:extLst>
            <c:ext xmlns:c16="http://schemas.microsoft.com/office/drawing/2014/chart" uri="{C3380CC4-5D6E-409C-BE32-E72D297353CC}">
              <c16:uniqueId val="{00000008-62D9-4F78-A88C-C702DD8A23D2}"/>
            </c:ext>
          </c:extLst>
        </c:ser>
        <c:ser>
          <c:idx val="3"/>
          <c:order val="3"/>
          <c:tx>
            <c:strRef>
              <c:f>AA!$F$24:$F$25</c:f>
              <c:strCache>
                <c:ptCount val="1"/>
                <c:pt idx="0">
                  <c:v>Yoga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AA!$B$26:$B$27</c:f>
              <c:strCache>
                <c:ptCount val="1"/>
                <c:pt idx="0">
                  <c:v>Fitnesss</c:v>
                </c:pt>
              </c:strCache>
            </c:strRef>
          </c:cat>
          <c:val>
            <c:numRef>
              <c:f>AA!$F$26:$F$27</c:f>
              <c:numCache>
                <c:formatCode>General</c:formatCode>
                <c:ptCount val="1"/>
                <c:pt idx="0">
                  <c:v>6</c:v>
                </c:pt>
              </c:numCache>
            </c:numRef>
          </c:val>
          <c:extLst>
            <c:ext xmlns:c16="http://schemas.microsoft.com/office/drawing/2014/chart" uri="{C3380CC4-5D6E-409C-BE32-E72D297353CC}">
              <c16:uniqueId val="{00000009-62D9-4F78-A88C-C702DD8A23D2}"/>
            </c:ext>
          </c:extLst>
        </c:ser>
        <c:dLbls>
          <c:dLblPos val="outEnd"/>
          <c:showLegendKey val="0"/>
          <c:showVal val="1"/>
          <c:showCatName val="0"/>
          <c:showSerName val="0"/>
          <c:showPercent val="0"/>
          <c:showBubbleSize val="0"/>
        </c:dLbls>
        <c:gapWidth val="100"/>
        <c:overlap val="-24"/>
        <c:axId val="990975007"/>
        <c:axId val="990960127"/>
      </c:barChart>
      <c:catAx>
        <c:axId val="9909750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960127"/>
        <c:crosses val="autoZero"/>
        <c:auto val="1"/>
        <c:lblAlgn val="ctr"/>
        <c:lblOffset val="100"/>
        <c:noMultiLvlLbl val="0"/>
      </c:catAx>
      <c:valAx>
        <c:axId val="9909601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975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1.xlsx]DASH2!PivotTable49</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latin typeface="Times New Roman" panose="02020603050405020304" pitchFamily="18" charset="0"/>
                <a:cs typeface="Times New Roman" panose="02020603050405020304" pitchFamily="18" charset="0"/>
              </a:rPr>
              <a:t>EXP YEARS VS WORKOUT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DASH2!$O$27:$O$28</c:f>
              <c:strCache>
                <c:ptCount val="1"/>
                <c:pt idx="0">
                  <c:v>Cardio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DASH2!$N$29:$N$30</c:f>
              <c:strCache>
                <c:ptCount val="1"/>
                <c:pt idx="0">
                  <c:v>3</c:v>
                </c:pt>
              </c:strCache>
            </c:strRef>
          </c:cat>
          <c:val>
            <c:numRef>
              <c:f>DASH2!$O$29:$O$30</c:f>
              <c:numCache>
                <c:formatCode>General</c:formatCode>
                <c:ptCount val="1"/>
                <c:pt idx="0">
                  <c:v>7</c:v>
                </c:pt>
              </c:numCache>
            </c:numRef>
          </c:val>
          <c:extLst>
            <c:ext xmlns:c16="http://schemas.microsoft.com/office/drawing/2014/chart" uri="{C3380CC4-5D6E-409C-BE32-E72D297353CC}">
              <c16:uniqueId val="{00000000-0544-462D-84DD-3764063DC1A4}"/>
            </c:ext>
          </c:extLst>
        </c:ser>
        <c:ser>
          <c:idx val="1"/>
          <c:order val="1"/>
          <c:tx>
            <c:strRef>
              <c:f>DASH2!$P$27:$P$28</c:f>
              <c:strCache>
                <c:ptCount val="1"/>
                <c:pt idx="0">
                  <c:v>HIIT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DASH2!$N$29:$N$30</c:f>
              <c:strCache>
                <c:ptCount val="1"/>
                <c:pt idx="0">
                  <c:v>3</c:v>
                </c:pt>
              </c:strCache>
            </c:strRef>
          </c:cat>
          <c:val>
            <c:numRef>
              <c:f>DASH2!$P$29:$P$30</c:f>
              <c:numCache>
                <c:formatCode>General</c:formatCode>
                <c:ptCount val="1"/>
                <c:pt idx="0">
                  <c:v>7</c:v>
                </c:pt>
              </c:numCache>
            </c:numRef>
          </c:val>
          <c:extLst>
            <c:ext xmlns:c16="http://schemas.microsoft.com/office/drawing/2014/chart" uri="{C3380CC4-5D6E-409C-BE32-E72D297353CC}">
              <c16:uniqueId val="{00000001-0544-462D-84DD-3764063DC1A4}"/>
            </c:ext>
          </c:extLst>
        </c:ser>
        <c:ser>
          <c:idx val="2"/>
          <c:order val="2"/>
          <c:tx>
            <c:strRef>
              <c:f>DASH2!$Q$27:$Q$28</c:f>
              <c:strCache>
                <c:ptCount val="1"/>
                <c:pt idx="0">
                  <c:v>Strength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DASH2!$N$29:$N$30</c:f>
              <c:strCache>
                <c:ptCount val="1"/>
                <c:pt idx="0">
                  <c:v>3</c:v>
                </c:pt>
              </c:strCache>
            </c:strRef>
          </c:cat>
          <c:val>
            <c:numRef>
              <c:f>DASH2!$Q$29:$Q$30</c:f>
              <c:numCache>
                <c:formatCode>General</c:formatCode>
                <c:ptCount val="1"/>
                <c:pt idx="0">
                  <c:v>10</c:v>
                </c:pt>
              </c:numCache>
            </c:numRef>
          </c:val>
          <c:extLst>
            <c:ext xmlns:c16="http://schemas.microsoft.com/office/drawing/2014/chart" uri="{C3380CC4-5D6E-409C-BE32-E72D297353CC}">
              <c16:uniqueId val="{00000002-0544-462D-84DD-3764063DC1A4}"/>
            </c:ext>
          </c:extLst>
        </c:ser>
        <c:ser>
          <c:idx val="3"/>
          <c:order val="3"/>
          <c:tx>
            <c:strRef>
              <c:f>DASH2!$R$27:$R$28</c:f>
              <c:strCache>
                <c:ptCount val="1"/>
                <c:pt idx="0">
                  <c:v>Yoga</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DASH2!$N$29:$N$30</c:f>
              <c:strCache>
                <c:ptCount val="1"/>
                <c:pt idx="0">
                  <c:v>3</c:v>
                </c:pt>
              </c:strCache>
            </c:strRef>
          </c:cat>
          <c:val>
            <c:numRef>
              <c:f>DASH2!$R$29:$R$30</c:f>
              <c:numCache>
                <c:formatCode>General</c:formatCode>
                <c:ptCount val="1"/>
                <c:pt idx="0">
                  <c:v>6</c:v>
                </c:pt>
              </c:numCache>
            </c:numRef>
          </c:val>
          <c:extLst>
            <c:ext xmlns:c16="http://schemas.microsoft.com/office/drawing/2014/chart" uri="{C3380CC4-5D6E-409C-BE32-E72D297353CC}">
              <c16:uniqueId val="{00000003-0544-462D-84DD-3764063DC1A4}"/>
            </c:ext>
          </c:extLst>
        </c:ser>
        <c:dLbls>
          <c:dLblPos val="outEnd"/>
          <c:showLegendKey val="0"/>
          <c:showVal val="1"/>
          <c:showCatName val="0"/>
          <c:showSerName val="0"/>
          <c:showPercent val="0"/>
          <c:showBubbleSize val="0"/>
        </c:dLbls>
        <c:gapWidth val="115"/>
        <c:overlap val="-20"/>
        <c:axId val="990961087"/>
        <c:axId val="990962527"/>
      </c:barChart>
      <c:catAx>
        <c:axId val="990961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962527"/>
        <c:crosses val="autoZero"/>
        <c:auto val="1"/>
        <c:lblAlgn val="ctr"/>
        <c:lblOffset val="100"/>
        <c:noMultiLvlLbl val="0"/>
      </c:catAx>
      <c:valAx>
        <c:axId val="9909625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9096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1.xlsx]AA!PivotTable48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358705161854767E-2"/>
          <c:y val="0.16564596092155148"/>
          <c:w val="0.56360804899387573"/>
          <c:h val="0.75010279965004378"/>
        </c:manualLayout>
      </c:layout>
      <c:barChart>
        <c:barDir val="col"/>
        <c:grouping val="clustered"/>
        <c:varyColors val="0"/>
        <c:ser>
          <c:idx val="0"/>
          <c:order val="0"/>
          <c:tx>
            <c:strRef>
              <c:f>AA!$B$32</c:f>
              <c:strCache>
                <c:ptCount val="1"/>
                <c:pt idx="0">
                  <c:v>Average of Age</c:v>
                </c:pt>
              </c:strCache>
            </c:strRef>
          </c:tx>
          <c:spPr>
            <a:solidFill>
              <a:schemeClr val="accent1"/>
            </a:solidFill>
            <a:ln>
              <a:noFill/>
            </a:ln>
            <a:effectLst/>
          </c:spPr>
          <c:invertIfNegative val="0"/>
          <c:cat>
            <c:strRef>
              <c:f>AA!$B$33</c:f>
              <c:strCache>
                <c:ptCount val="1"/>
                <c:pt idx="0">
                  <c:v>Total</c:v>
                </c:pt>
              </c:strCache>
            </c:strRef>
          </c:cat>
          <c:val>
            <c:numRef>
              <c:f>AA!$B$33</c:f>
              <c:numCache>
                <c:formatCode>General</c:formatCode>
                <c:ptCount val="1"/>
                <c:pt idx="0">
                  <c:v>33.9</c:v>
                </c:pt>
              </c:numCache>
            </c:numRef>
          </c:val>
          <c:extLst>
            <c:ext xmlns:c16="http://schemas.microsoft.com/office/drawing/2014/chart" uri="{C3380CC4-5D6E-409C-BE32-E72D297353CC}">
              <c16:uniqueId val="{00000000-3671-477B-A67D-39FBF1297988}"/>
            </c:ext>
          </c:extLst>
        </c:ser>
        <c:ser>
          <c:idx val="1"/>
          <c:order val="1"/>
          <c:tx>
            <c:strRef>
              <c:f>AA!$C$32</c:f>
              <c:strCache>
                <c:ptCount val="1"/>
                <c:pt idx="0">
                  <c:v>Average of Height (m)</c:v>
                </c:pt>
              </c:strCache>
            </c:strRef>
          </c:tx>
          <c:spPr>
            <a:solidFill>
              <a:schemeClr val="accent2"/>
            </a:solidFill>
            <a:ln>
              <a:noFill/>
            </a:ln>
            <a:effectLst/>
          </c:spPr>
          <c:invertIfNegative val="0"/>
          <c:cat>
            <c:strRef>
              <c:f>AA!$B$33</c:f>
              <c:strCache>
                <c:ptCount val="1"/>
                <c:pt idx="0">
                  <c:v>Total</c:v>
                </c:pt>
              </c:strCache>
            </c:strRef>
          </c:cat>
          <c:val>
            <c:numRef>
              <c:f>AA!$C$33</c:f>
              <c:numCache>
                <c:formatCode>General</c:formatCode>
                <c:ptCount val="1"/>
                <c:pt idx="0">
                  <c:v>1.7136666666666664</c:v>
                </c:pt>
              </c:numCache>
            </c:numRef>
          </c:val>
          <c:extLst>
            <c:ext xmlns:c16="http://schemas.microsoft.com/office/drawing/2014/chart" uri="{C3380CC4-5D6E-409C-BE32-E72D297353CC}">
              <c16:uniqueId val="{00000003-3671-477B-A67D-39FBF1297988}"/>
            </c:ext>
          </c:extLst>
        </c:ser>
        <c:ser>
          <c:idx val="2"/>
          <c:order val="2"/>
          <c:tx>
            <c:strRef>
              <c:f>AA!$D$32</c:f>
              <c:strCache>
                <c:ptCount val="1"/>
                <c:pt idx="0">
                  <c:v>Average of Weight (kg)</c:v>
                </c:pt>
              </c:strCache>
            </c:strRef>
          </c:tx>
          <c:spPr>
            <a:solidFill>
              <a:schemeClr val="accent3"/>
            </a:solidFill>
            <a:ln>
              <a:noFill/>
            </a:ln>
            <a:effectLst/>
          </c:spPr>
          <c:invertIfNegative val="0"/>
          <c:cat>
            <c:strRef>
              <c:f>AA!$B$33</c:f>
              <c:strCache>
                <c:ptCount val="1"/>
                <c:pt idx="0">
                  <c:v>Total</c:v>
                </c:pt>
              </c:strCache>
            </c:strRef>
          </c:cat>
          <c:val>
            <c:numRef>
              <c:f>AA!$D$33</c:f>
              <c:numCache>
                <c:formatCode>General</c:formatCode>
                <c:ptCount val="1"/>
                <c:pt idx="0">
                  <c:v>68.97</c:v>
                </c:pt>
              </c:numCache>
            </c:numRef>
          </c:val>
          <c:extLst>
            <c:ext xmlns:c16="http://schemas.microsoft.com/office/drawing/2014/chart" uri="{C3380CC4-5D6E-409C-BE32-E72D297353CC}">
              <c16:uniqueId val="{00000004-3671-477B-A67D-39FBF1297988}"/>
            </c:ext>
          </c:extLst>
        </c:ser>
        <c:ser>
          <c:idx val="3"/>
          <c:order val="3"/>
          <c:tx>
            <c:strRef>
              <c:f>AA!$E$32</c:f>
              <c:strCache>
                <c:ptCount val="1"/>
                <c:pt idx="0">
                  <c:v>Average of BMI</c:v>
                </c:pt>
              </c:strCache>
            </c:strRef>
          </c:tx>
          <c:spPr>
            <a:solidFill>
              <a:schemeClr val="accent4"/>
            </a:solidFill>
            <a:ln>
              <a:noFill/>
            </a:ln>
            <a:effectLst/>
          </c:spPr>
          <c:invertIfNegative val="0"/>
          <c:cat>
            <c:strRef>
              <c:f>AA!$B$33</c:f>
              <c:strCache>
                <c:ptCount val="1"/>
                <c:pt idx="0">
                  <c:v>Total</c:v>
                </c:pt>
              </c:strCache>
            </c:strRef>
          </c:cat>
          <c:val>
            <c:numRef>
              <c:f>AA!$E$33</c:f>
              <c:numCache>
                <c:formatCode>General</c:formatCode>
                <c:ptCount val="1"/>
                <c:pt idx="0">
                  <c:v>20.555862068965524</c:v>
                </c:pt>
              </c:numCache>
            </c:numRef>
          </c:val>
          <c:extLst>
            <c:ext xmlns:c16="http://schemas.microsoft.com/office/drawing/2014/chart" uri="{C3380CC4-5D6E-409C-BE32-E72D297353CC}">
              <c16:uniqueId val="{00000005-3671-477B-A67D-39FBF1297988}"/>
            </c:ext>
          </c:extLst>
        </c:ser>
        <c:ser>
          <c:idx val="4"/>
          <c:order val="4"/>
          <c:tx>
            <c:strRef>
              <c:f>AA!$F$32</c:f>
              <c:strCache>
                <c:ptCount val="1"/>
                <c:pt idx="0">
                  <c:v>Average of Fat_Percentage</c:v>
                </c:pt>
              </c:strCache>
            </c:strRef>
          </c:tx>
          <c:spPr>
            <a:solidFill>
              <a:schemeClr val="accent5"/>
            </a:solidFill>
            <a:ln>
              <a:noFill/>
            </a:ln>
            <a:effectLst/>
          </c:spPr>
          <c:invertIfNegative val="0"/>
          <c:cat>
            <c:strRef>
              <c:f>AA!$B$33</c:f>
              <c:strCache>
                <c:ptCount val="1"/>
                <c:pt idx="0">
                  <c:v>Total</c:v>
                </c:pt>
              </c:strCache>
            </c:strRef>
          </c:cat>
          <c:val>
            <c:numRef>
              <c:f>AA!$F$33</c:f>
              <c:numCache>
                <c:formatCode>General</c:formatCode>
                <c:ptCount val="1"/>
                <c:pt idx="0">
                  <c:v>22.486666666666665</c:v>
                </c:pt>
              </c:numCache>
            </c:numRef>
          </c:val>
          <c:extLst>
            <c:ext xmlns:c16="http://schemas.microsoft.com/office/drawing/2014/chart" uri="{C3380CC4-5D6E-409C-BE32-E72D297353CC}">
              <c16:uniqueId val="{00000006-3671-477B-A67D-39FBF1297988}"/>
            </c:ext>
          </c:extLst>
        </c:ser>
        <c:dLbls>
          <c:showLegendKey val="0"/>
          <c:showVal val="0"/>
          <c:showCatName val="0"/>
          <c:showSerName val="0"/>
          <c:showPercent val="0"/>
          <c:showBubbleSize val="0"/>
        </c:dLbls>
        <c:gapWidth val="219"/>
        <c:overlap val="-27"/>
        <c:axId val="2061255199"/>
        <c:axId val="2061241279"/>
      </c:barChart>
      <c:catAx>
        <c:axId val="206125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241279"/>
        <c:crosses val="autoZero"/>
        <c:auto val="1"/>
        <c:lblAlgn val="ctr"/>
        <c:lblOffset val="100"/>
        <c:noMultiLvlLbl val="0"/>
      </c:catAx>
      <c:valAx>
        <c:axId val="2061241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25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3.png"/><Relationship Id="rId5" Type="http://schemas.openxmlformats.org/officeDocument/2006/relationships/hyperlink" Target="#DASH2!A1"/><Relationship Id="rId10" Type="http://schemas.openxmlformats.org/officeDocument/2006/relationships/chart" Target="../charts/chart6.xml"/><Relationship Id="rId4" Type="http://schemas.openxmlformats.org/officeDocument/2006/relationships/hyperlink" Target="#'RAW DATA'!A1"/><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hyperlink" Target="#'RAW DATA'!A1"/><Relationship Id="rId7"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hyperlink" Target="#DASH1!A1"/></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1!A1"/><Relationship Id="rId1" Type="http://schemas.openxmlformats.org/officeDocument/2006/relationships/hyperlink" Target="#DASH2!A1"/><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106680</xdr:colOff>
      <xdr:row>39</xdr:row>
      <xdr:rowOff>7620</xdr:rowOff>
    </xdr:to>
    <xdr:sp macro="" textlink="">
      <xdr:nvSpPr>
        <xdr:cNvPr id="43" name="Rectangle 42">
          <a:extLst>
            <a:ext uri="{FF2B5EF4-FFF2-40B4-BE49-F238E27FC236}">
              <a16:creationId xmlns:a16="http://schemas.microsoft.com/office/drawing/2014/main" id="{15EFB338-1A01-608B-9002-64AA9813B7E1}"/>
            </a:ext>
          </a:extLst>
        </xdr:cNvPr>
        <xdr:cNvSpPr/>
      </xdr:nvSpPr>
      <xdr:spPr>
        <a:xfrm>
          <a:off x="0" y="0"/>
          <a:ext cx="15956280" cy="7139940"/>
        </a:xfrm>
        <a:prstGeom prst="rect">
          <a:avLst/>
        </a:prstGeom>
        <a:solidFill>
          <a:schemeClr val="tx1">
            <a:lumMod val="85000"/>
            <a:lumOff val="15000"/>
          </a:schemeClr>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000"/>
        </a:p>
      </xdr:txBody>
    </xdr:sp>
    <xdr:clientData/>
  </xdr:twoCellAnchor>
  <xdr:twoCellAnchor>
    <xdr:from>
      <xdr:col>0</xdr:col>
      <xdr:colOff>175260</xdr:colOff>
      <xdr:row>1</xdr:row>
      <xdr:rowOff>30480</xdr:rowOff>
    </xdr:from>
    <xdr:to>
      <xdr:col>17</xdr:col>
      <xdr:colOff>474900</xdr:colOff>
      <xdr:row>5</xdr:row>
      <xdr:rowOff>18960</xdr:rowOff>
    </xdr:to>
    <xdr:sp macro="" textlink="">
      <xdr:nvSpPr>
        <xdr:cNvPr id="2" name="Rectangle 1">
          <a:extLst>
            <a:ext uri="{FF2B5EF4-FFF2-40B4-BE49-F238E27FC236}">
              <a16:creationId xmlns:a16="http://schemas.microsoft.com/office/drawing/2014/main" id="{56CF11BB-32B7-A3D0-86B4-F565E70F3E69}"/>
            </a:ext>
          </a:extLst>
        </xdr:cNvPr>
        <xdr:cNvSpPr/>
      </xdr:nvSpPr>
      <xdr:spPr>
        <a:xfrm>
          <a:off x="175260" y="213360"/>
          <a:ext cx="10662840" cy="720000"/>
        </a:xfrm>
        <a:prstGeom prst="rect">
          <a:avLst/>
        </a:prstGeom>
        <a:solidFill>
          <a:schemeClr val="tx1">
            <a:lumMod val="50000"/>
            <a:lumOff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xdr:colOff>
      <xdr:row>1</xdr:row>
      <xdr:rowOff>30480</xdr:rowOff>
    </xdr:from>
    <xdr:to>
      <xdr:col>23</xdr:col>
      <xdr:colOff>50100</xdr:colOff>
      <xdr:row>5</xdr:row>
      <xdr:rowOff>18960</xdr:rowOff>
    </xdr:to>
    <xdr:sp macro="" textlink="">
      <xdr:nvSpPr>
        <xdr:cNvPr id="3" name="Rectangle 2">
          <a:extLst>
            <a:ext uri="{FF2B5EF4-FFF2-40B4-BE49-F238E27FC236}">
              <a16:creationId xmlns:a16="http://schemas.microsoft.com/office/drawing/2014/main" id="{52734A41-0D0A-934C-AA96-8C8EBCE09758}"/>
            </a:ext>
          </a:extLst>
        </xdr:cNvPr>
        <xdr:cNvSpPr/>
      </xdr:nvSpPr>
      <xdr:spPr>
        <a:xfrm>
          <a:off x="11010900" y="213360"/>
          <a:ext cx="3060000" cy="7200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6</xdr:row>
      <xdr:rowOff>60960</xdr:rowOff>
    </xdr:from>
    <xdr:to>
      <xdr:col>3</xdr:col>
      <xdr:colOff>169320</xdr:colOff>
      <xdr:row>32</xdr:row>
      <xdr:rowOff>53340</xdr:rowOff>
    </xdr:to>
    <xdr:sp macro="" textlink="">
      <xdr:nvSpPr>
        <xdr:cNvPr id="4" name="Rectangle 3">
          <a:extLst>
            <a:ext uri="{FF2B5EF4-FFF2-40B4-BE49-F238E27FC236}">
              <a16:creationId xmlns:a16="http://schemas.microsoft.com/office/drawing/2014/main" id="{22B06700-0946-4CC7-5AA2-5DEBCF35D4E8}"/>
            </a:ext>
          </a:extLst>
        </xdr:cNvPr>
        <xdr:cNvSpPr/>
      </xdr:nvSpPr>
      <xdr:spPr>
        <a:xfrm>
          <a:off x="198120" y="1158240"/>
          <a:ext cx="1800000" cy="4747260"/>
        </a:xfrm>
        <a:prstGeom prst="rect">
          <a:avLst/>
        </a:prstGeom>
        <a:solidFill>
          <a:schemeClr val="tx1">
            <a:lumMod val="50000"/>
            <a:lumOff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370729</xdr:colOff>
      <xdr:row>11</xdr:row>
      <xdr:rowOff>65599</xdr:rowOff>
    </xdr:from>
    <xdr:to>
      <xdr:col>22</xdr:col>
      <xdr:colOff>605381</xdr:colOff>
      <xdr:row>11</xdr:row>
      <xdr:rowOff>155599</xdr:rowOff>
    </xdr:to>
    <xdr:sp macro="" textlink="">
      <xdr:nvSpPr>
        <xdr:cNvPr id="25" name="Oval 24">
          <a:extLst>
            <a:ext uri="{FF2B5EF4-FFF2-40B4-BE49-F238E27FC236}">
              <a16:creationId xmlns:a16="http://schemas.microsoft.com/office/drawing/2014/main" id="{5873F79B-A9BE-F98B-C19E-25F1668817A3}"/>
            </a:ext>
          </a:extLst>
        </xdr:cNvPr>
        <xdr:cNvSpPr/>
      </xdr:nvSpPr>
      <xdr:spPr>
        <a:xfrm>
          <a:off x="2199529" y="2077279"/>
          <a:ext cx="11817052" cy="90000"/>
        </a:xfrm>
        <a:prstGeom prst="ellipse">
          <a:avLst/>
        </a:prstGeom>
        <a:solidFill>
          <a:schemeClr val="bg2">
            <a:lumMod val="75000"/>
          </a:schemeClr>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159850</xdr:colOff>
      <xdr:row>13</xdr:row>
      <xdr:rowOff>67552</xdr:rowOff>
    </xdr:from>
    <xdr:to>
      <xdr:col>9</xdr:col>
      <xdr:colOff>249850</xdr:colOff>
      <xdr:row>31</xdr:row>
      <xdr:rowOff>71193</xdr:rowOff>
    </xdr:to>
    <xdr:sp macro="" textlink="">
      <xdr:nvSpPr>
        <xdr:cNvPr id="36" name="Oval 35">
          <a:extLst>
            <a:ext uri="{FF2B5EF4-FFF2-40B4-BE49-F238E27FC236}">
              <a16:creationId xmlns:a16="http://schemas.microsoft.com/office/drawing/2014/main" id="{BBC66120-2987-1B38-87F2-F125D9009B52}"/>
            </a:ext>
          </a:extLst>
        </xdr:cNvPr>
        <xdr:cNvSpPr/>
      </xdr:nvSpPr>
      <xdr:spPr>
        <a:xfrm>
          <a:off x="5646250" y="2444992"/>
          <a:ext cx="90000" cy="3295481"/>
        </a:xfrm>
        <a:prstGeom prst="ellipse">
          <a:avLst/>
        </a:prstGeom>
        <a:solidFill>
          <a:schemeClr val="bg2">
            <a:lumMod val="75000"/>
          </a:schemeClr>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556260</xdr:colOff>
      <xdr:row>25</xdr:row>
      <xdr:rowOff>121920</xdr:rowOff>
    </xdr:from>
    <xdr:to>
      <xdr:col>22</xdr:col>
      <xdr:colOff>551460</xdr:colOff>
      <xdr:row>26</xdr:row>
      <xdr:rowOff>29040</xdr:rowOff>
    </xdr:to>
    <xdr:sp macro="" textlink="">
      <xdr:nvSpPr>
        <xdr:cNvPr id="38" name="Oval 37">
          <a:extLst>
            <a:ext uri="{FF2B5EF4-FFF2-40B4-BE49-F238E27FC236}">
              <a16:creationId xmlns:a16="http://schemas.microsoft.com/office/drawing/2014/main" id="{777B1303-CE34-2A16-A3C3-B09095882DB6}"/>
            </a:ext>
          </a:extLst>
        </xdr:cNvPr>
        <xdr:cNvSpPr/>
      </xdr:nvSpPr>
      <xdr:spPr>
        <a:xfrm>
          <a:off x="6042660" y="4693920"/>
          <a:ext cx="7920000" cy="90000"/>
        </a:xfrm>
        <a:prstGeom prst="ellipse">
          <a:avLst/>
        </a:prstGeom>
        <a:solidFill>
          <a:schemeClr val="bg2">
            <a:lumMod val="75000"/>
          </a:schemeClr>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412328</xdr:colOff>
      <xdr:row>1</xdr:row>
      <xdr:rowOff>87498</xdr:rowOff>
    </xdr:from>
    <xdr:to>
      <xdr:col>22</xdr:col>
      <xdr:colOff>34150</xdr:colOff>
      <xdr:row>4</xdr:row>
      <xdr:rowOff>126676</xdr:rowOff>
    </xdr:to>
    <xdr:sp macro="" textlink="">
      <xdr:nvSpPr>
        <xdr:cNvPr id="42" name="TextBox 41">
          <a:extLst>
            <a:ext uri="{FF2B5EF4-FFF2-40B4-BE49-F238E27FC236}">
              <a16:creationId xmlns:a16="http://schemas.microsoft.com/office/drawing/2014/main" id="{95C44845-08C4-2D93-4A10-7C60DF9A42BB}"/>
            </a:ext>
          </a:extLst>
        </xdr:cNvPr>
        <xdr:cNvSpPr txBox="1"/>
      </xdr:nvSpPr>
      <xdr:spPr>
        <a:xfrm>
          <a:off x="12604328" y="270378"/>
          <a:ext cx="841022" cy="587818"/>
        </a:xfrm>
        <a:prstGeom prst="rect">
          <a:avLst/>
        </a:prstGeom>
        <a:solidFill>
          <a:schemeClr val="accent6">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00" b="1"/>
            <a:t>AVERAGE</a:t>
          </a:r>
          <a:r>
            <a:rPr lang="en-IN" sz="1000" b="1" baseline="0"/>
            <a:t> </a:t>
          </a:r>
          <a:r>
            <a:rPr lang="en-IN" sz="1000" b="1"/>
            <a:t>WORKOUT FREQUENCY</a:t>
          </a:r>
        </a:p>
      </xdr:txBody>
    </xdr:sp>
    <xdr:clientData/>
  </xdr:twoCellAnchor>
  <xdr:twoCellAnchor>
    <xdr:from>
      <xdr:col>18</xdr:col>
      <xdr:colOff>113171</xdr:colOff>
      <xdr:row>1</xdr:row>
      <xdr:rowOff>87498</xdr:rowOff>
    </xdr:from>
    <xdr:to>
      <xdr:col>19</xdr:col>
      <xdr:colOff>345971</xdr:colOff>
      <xdr:row>4</xdr:row>
      <xdr:rowOff>125231</xdr:rowOff>
    </xdr:to>
    <xdr:sp macro="" textlink="">
      <xdr:nvSpPr>
        <xdr:cNvPr id="54" name="Rectangle 53">
          <a:extLst>
            <a:ext uri="{FF2B5EF4-FFF2-40B4-BE49-F238E27FC236}">
              <a16:creationId xmlns:a16="http://schemas.microsoft.com/office/drawing/2014/main" id="{86020CF4-EB28-8EA5-148B-8E128DEDC115}"/>
            </a:ext>
          </a:extLst>
        </xdr:cNvPr>
        <xdr:cNvSpPr/>
      </xdr:nvSpPr>
      <xdr:spPr>
        <a:xfrm>
          <a:off x="11085971" y="270378"/>
          <a:ext cx="842400" cy="586373"/>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chemeClr val="tx1">
                  <a:lumMod val="95000"/>
                  <a:lumOff val="5000"/>
                </a:schemeClr>
              </a:solidFill>
            </a:rPr>
            <a:t>AVERAGE WATER INTAKE LTR</a:t>
          </a:r>
        </a:p>
      </xdr:txBody>
    </xdr:sp>
    <xdr:clientData/>
  </xdr:twoCellAnchor>
  <xdr:twoCellAnchor>
    <xdr:from>
      <xdr:col>1</xdr:col>
      <xdr:colOff>121920</xdr:colOff>
      <xdr:row>1</xdr:row>
      <xdr:rowOff>45720</xdr:rowOff>
    </xdr:from>
    <xdr:to>
      <xdr:col>16</xdr:col>
      <xdr:colOff>22860</xdr:colOff>
      <xdr:row>5</xdr:row>
      <xdr:rowOff>0</xdr:rowOff>
    </xdr:to>
    <xdr:sp macro="" textlink="">
      <xdr:nvSpPr>
        <xdr:cNvPr id="56" name="TextBox 55">
          <a:extLst>
            <a:ext uri="{FF2B5EF4-FFF2-40B4-BE49-F238E27FC236}">
              <a16:creationId xmlns:a16="http://schemas.microsoft.com/office/drawing/2014/main" id="{CF9587BF-3D25-F6F7-906D-8E35DFE4DAD0}"/>
            </a:ext>
          </a:extLst>
        </xdr:cNvPr>
        <xdr:cNvSpPr txBox="1"/>
      </xdr:nvSpPr>
      <xdr:spPr>
        <a:xfrm>
          <a:off x="731520" y="228600"/>
          <a:ext cx="90449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Times New Roman" panose="02020603050405020304" pitchFamily="18" charset="0"/>
              <a:cs typeface="Times New Roman" panose="02020603050405020304" pitchFamily="18" charset="0"/>
            </a:rPr>
            <a:t>GYM MEMBER TRACKING DASHBORD</a:t>
          </a:r>
        </a:p>
      </xdr:txBody>
    </xdr:sp>
    <xdr:clientData/>
  </xdr:twoCellAnchor>
  <xdr:twoCellAnchor editAs="oneCell">
    <xdr:from>
      <xdr:col>15</xdr:col>
      <xdr:colOff>518160</xdr:colOff>
      <xdr:row>1</xdr:row>
      <xdr:rowOff>0</xdr:rowOff>
    </xdr:from>
    <xdr:to>
      <xdr:col>17</xdr:col>
      <xdr:colOff>213360</xdr:colOff>
      <xdr:row>4</xdr:row>
      <xdr:rowOff>175260</xdr:rowOff>
    </xdr:to>
    <xdr:pic>
      <xdr:nvPicPr>
        <xdr:cNvPr id="62" name="Graphic 61" descr="Body builder">
          <a:extLst>
            <a:ext uri="{FF2B5EF4-FFF2-40B4-BE49-F238E27FC236}">
              <a16:creationId xmlns:a16="http://schemas.microsoft.com/office/drawing/2014/main" id="{DBC94C91-B7C3-0EC0-269D-BCAC735512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662160" y="182880"/>
          <a:ext cx="914400" cy="723900"/>
        </a:xfrm>
        <a:prstGeom prst="rect">
          <a:avLst/>
        </a:prstGeom>
      </xdr:spPr>
    </xdr:pic>
    <xdr:clientData/>
  </xdr:twoCellAnchor>
  <xdr:twoCellAnchor>
    <xdr:from>
      <xdr:col>19</xdr:col>
      <xdr:colOff>392029</xdr:colOff>
      <xdr:row>1</xdr:row>
      <xdr:rowOff>18247</xdr:rowOff>
    </xdr:from>
    <xdr:to>
      <xdr:col>20</xdr:col>
      <xdr:colOff>369169</xdr:colOff>
      <xdr:row>4</xdr:row>
      <xdr:rowOff>153000</xdr:rowOff>
    </xdr:to>
    <xdr:graphicFrame macro="">
      <xdr:nvGraphicFramePr>
        <xdr:cNvPr id="64" name="Chart 63">
          <a:extLst>
            <a:ext uri="{FF2B5EF4-FFF2-40B4-BE49-F238E27FC236}">
              <a16:creationId xmlns:a16="http://schemas.microsoft.com/office/drawing/2014/main" id="{9D5543FD-97DF-4147-B8A4-4037EF3FF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327660</xdr:colOff>
      <xdr:row>13</xdr:row>
      <xdr:rowOff>137160</xdr:rowOff>
    </xdr:from>
    <xdr:to>
      <xdr:col>3</xdr:col>
      <xdr:colOff>28860</xdr:colOff>
      <xdr:row>15</xdr:row>
      <xdr:rowOff>59400</xdr:rowOff>
    </xdr:to>
    <xdr:sp macro="" textlink="">
      <xdr:nvSpPr>
        <xdr:cNvPr id="67" name="Rectangle: Diagonal Corners Snipped 66">
          <a:hlinkClick xmlns:r="http://schemas.openxmlformats.org/officeDocument/2006/relationships" r:id="rId4"/>
          <a:extLst>
            <a:ext uri="{FF2B5EF4-FFF2-40B4-BE49-F238E27FC236}">
              <a16:creationId xmlns:a16="http://schemas.microsoft.com/office/drawing/2014/main" id="{CBDF91CF-7B1C-A30A-B939-2D7FFF5E7955}"/>
            </a:ext>
          </a:extLst>
        </xdr:cNvPr>
        <xdr:cNvSpPr/>
      </xdr:nvSpPr>
      <xdr:spPr>
        <a:xfrm>
          <a:off x="327660" y="2514600"/>
          <a:ext cx="1530000" cy="288000"/>
        </a:xfrm>
        <a:prstGeom prst="snip2DiagRect">
          <a:avLst/>
        </a:prstGeom>
        <a:solidFill>
          <a:schemeClr val="bg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327660</xdr:colOff>
      <xdr:row>10</xdr:row>
      <xdr:rowOff>10520</xdr:rowOff>
    </xdr:from>
    <xdr:to>
      <xdr:col>3</xdr:col>
      <xdr:colOff>28860</xdr:colOff>
      <xdr:row>11</xdr:row>
      <xdr:rowOff>115640</xdr:rowOff>
    </xdr:to>
    <xdr:sp macro="" textlink="">
      <xdr:nvSpPr>
        <xdr:cNvPr id="68" name="Rectangle: Diagonal Corners Snipped 67">
          <a:extLst>
            <a:ext uri="{FF2B5EF4-FFF2-40B4-BE49-F238E27FC236}">
              <a16:creationId xmlns:a16="http://schemas.microsoft.com/office/drawing/2014/main" id="{1F682BFE-93E2-4332-B93F-1216A9D6A8DE}"/>
            </a:ext>
          </a:extLst>
        </xdr:cNvPr>
        <xdr:cNvSpPr/>
      </xdr:nvSpPr>
      <xdr:spPr>
        <a:xfrm>
          <a:off x="327660" y="1839320"/>
          <a:ext cx="1530000" cy="288000"/>
        </a:xfrm>
        <a:prstGeom prst="snip2DiagRect">
          <a:avLst/>
        </a:prstGeom>
        <a:solidFill>
          <a:schemeClr val="bg1">
            <a:lumMod val="8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320040</xdr:colOff>
      <xdr:row>11</xdr:row>
      <xdr:rowOff>165280</xdr:rowOff>
    </xdr:from>
    <xdr:to>
      <xdr:col>3</xdr:col>
      <xdr:colOff>21240</xdr:colOff>
      <xdr:row>13</xdr:row>
      <xdr:rowOff>87520</xdr:rowOff>
    </xdr:to>
    <xdr:sp macro="" textlink="">
      <xdr:nvSpPr>
        <xdr:cNvPr id="69" name="Rectangle: Diagonal Corners Snipped 68">
          <a:extLst>
            <a:ext uri="{FF2B5EF4-FFF2-40B4-BE49-F238E27FC236}">
              <a16:creationId xmlns:a16="http://schemas.microsoft.com/office/drawing/2014/main" id="{69535A06-01D6-4646-BC76-CDD85EDDE8CD}"/>
            </a:ext>
          </a:extLst>
        </xdr:cNvPr>
        <xdr:cNvSpPr/>
      </xdr:nvSpPr>
      <xdr:spPr>
        <a:xfrm>
          <a:off x="320040" y="2176960"/>
          <a:ext cx="1530000" cy="288000"/>
        </a:xfrm>
        <a:prstGeom prst="snip2DiagRect">
          <a:avLst/>
        </a:prstGeom>
        <a:solidFill>
          <a:schemeClr val="bg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327660</xdr:colOff>
      <xdr:row>6</xdr:row>
      <xdr:rowOff>106680</xdr:rowOff>
    </xdr:from>
    <xdr:to>
      <xdr:col>3</xdr:col>
      <xdr:colOff>118860</xdr:colOff>
      <xdr:row>9</xdr:row>
      <xdr:rowOff>98040</xdr:rowOff>
    </xdr:to>
    <xdr:sp macro="" textlink="">
      <xdr:nvSpPr>
        <xdr:cNvPr id="70" name="Arrow: Pentagon 69">
          <a:extLst>
            <a:ext uri="{FF2B5EF4-FFF2-40B4-BE49-F238E27FC236}">
              <a16:creationId xmlns:a16="http://schemas.microsoft.com/office/drawing/2014/main" id="{D01C74B9-4D74-9866-45BC-F7C04F0C831B}"/>
            </a:ext>
          </a:extLst>
        </xdr:cNvPr>
        <xdr:cNvSpPr/>
      </xdr:nvSpPr>
      <xdr:spPr>
        <a:xfrm>
          <a:off x="327660" y="1203960"/>
          <a:ext cx="1620000" cy="540000"/>
        </a:xfrm>
        <a:prstGeom prst="homePlate">
          <a:avLst/>
        </a:prstGeom>
        <a:solidFill>
          <a:schemeClr val="accent3">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403860</xdr:colOff>
      <xdr:row>10</xdr:row>
      <xdr:rowOff>30480</xdr:rowOff>
    </xdr:from>
    <xdr:to>
      <xdr:col>2</xdr:col>
      <xdr:colOff>502920</xdr:colOff>
      <xdr:row>11</xdr:row>
      <xdr:rowOff>76200</xdr:rowOff>
    </xdr:to>
    <xdr:sp macro="" textlink="">
      <xdr:nvSpPr>
        <xdr:cNvPr id="71" name="TextBox 70">
          <a:extLst>
            <a:ext uri="{FF2B5EF4-FFF2-40B4-BE49-F238E27FC236}">
              <a16:creationId xmlns:a16="http://schemas.microsoft.com/office/drawing/2014/main" id="{F0A41852-0345-D795-D522-21207A9C1DE1}"/>
            </a:ext>
          </a:extLst>
        </xdr:cNvPr>
        <xdr:cNvSpPr txBox="1"/>
      </xdr:nvSpPr>
      <xdr:spPr>
        <a:xfrm>
          <a:off x="403860" y="1859280"/>
          <a:ext cx="13182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GENERAL DATA</a:t>
          </a:r>
        </a:p>
      </xdr:txBody>
    </xdr:sp>
    <xdr:clientData/>
  </xdr:twoCellAnchor>
  <xdr:twoCellAnchor>
    <xdr:from>
      <xdr:col>0</xdr:col>
      <xdr:colOff>426720</xdr:colOff>
      <xdr:row>11</xdr:row>
      <xdr:rowOff>175260</xdr:rowOff>
    </xdr:from>
    <xdr:to>
      <xdr:col>2</xdr:col>
      <xdr:colOff>571500</xdr:colOff>
      <xdr:row>13</xdr:row>
      <xdr:rowOff>76200</xdr:rowOff>
    </xdr:to>
    <xdr:sp macro="" textlink="">
      <xdr:nvSpPr>
        <xdr:cNvPr id="72" name="TextBox 71">
          <a:hlinkClick xmlns:r="http://schemas.openxmlformats.org/officeDocument/2006/relationships" r:id="rId5"/>
          <a:extLst>
            <a:ext uri="{FF2B5EF4-FFF2-40B4-BE49-F238E27FC236}">
              <a16:creationId xmlns:a16="http://schemas.microsoft.com/office/drawing/2014/main" id="{990F7BDD-5075-2E76-35D3-027F9CB41E48}"/>
            </a:ext>
          </a:extLst>
        </xdr:cNvPr>
        <xdr:cNvSpPr txBox="1"/>
      </xdr:nvSpPr>
      <xdr:spPr>
        <a:xfrm>
          <a:off x="426720" y="2186940"/>
          <a:ext cx="13639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FITNESS LEVEL</a:t>
          </a:r>
        </a:p>
      </xdr:txBody>
    </xdr:sp>
    <xdr:clientData/>
  </xdr:twoCellAnchor>
  <xdr:twoCellAnchor>
    <xdr:from>
      <xdr:col>3</xdr:col>
      <xdr:colOff>362656</xdr:colOff>
      <xdr:row>6</xdr:row>
      <xdr:rowOff>60960</xdr:rowOff>
    </xdr:from>
    <xdr:to>
      <xdr:col>23</xdr:col>
      <xdr:colOff>5768</xdr:colOff>
      <xdr:row>10</xdr:row>
      <xdr:rowOff>49442</xdr:rowOff>
    </xdr:to>
    <xdr:grpSp>
      <xdr:nvGrpSpPr>
        <xdr:cNvPr id="82" name="Group 81">
          <a:extLst>
            <a:ext uri="{FF2B5EF4-FFF2-40B4-BE49-F238E27FC236}">
              <a16:creationId xmlns:a16="http://schemas.microsoft.com/office/drawing/2014/main" id="{A60BFD76-463D-2174-6DE7-C3B327A603ED}"/>
            </a:ext>
          </a:extLst>
        </xdr:cNvPr>
        <xdr:cNvGrpSpPr/>
      </xdr:nvGrpSpPr>
      <xdr:grpSpPr>
        <a:xfrm>
          <a:off x="2182125" y="1180633"/>
          <a:ext cx="11772908" cy="734931"/>
          <a:chOff x="2186592" y="1179641"/>
          <a:chExt cx="11802687" cy="734269"/>
        </a:xfrm>
      </xdr:grpSpPr>
      <xdr:sp macro="" textlink="">
        <xdr:nvSpPr>
          <xdr:cNvPr id="5" name="Rectangle 4">
            <a:extLst>
              <a:ext uri="{FF2B5EF4-FFF2-40B4-BE49-F238E27FC236}">
                <a16:creationId xmlns:a16="http://schemas.microsoft.com/office/drawing/2014/main" id="{56528E04-D2BF-ABB8-7BE2-DC3FB8E2C91F}"/>
              </a:ext>
            </a:extLst>
          </xdr:cNvPr>
          <xdr:cNvSpPr/>
        </xdr:nvSpPr>
        <xdr:spPr>
          <a:xfrm>
            <a:off x="2186592" y="1179641"/>
            <a:ext cx="2150102" cy="734267"/>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4427B50E-02B6-B431-FC1F-A529C9E648DB}"/>
              </a:ext>
            </a:extLst>
          </xdr:cNvPr>
          <xdr:cNvSpPr txBox="1"/>
        </xdr:nvSpPr>
        <xdr:spPr>
          <a:xfrm>
            <a:off x="2192410" y="1185398"/>
            <a:ext cx="2132744" cy="3671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AGE</a:t>
            </a:r>
          </a:p>
        </xdr:txBody>
      </xdr:sp>
      <xdr:sp macro="" textlink="AA!G4">
        <xdr:nvSpPr>
          <xdr:cNvPr id="7" name="TextBox 6">
            <a:extLst>
              <a:ext uri="{FF2B5EF4-FFF2-40B4-BE49-F238E27FC236}">
                <a16:creationId xmlns:a16="http://schemas.microsoft.com/office/drawing/2014/main" id="{448A5CE5-C0CC-7BF8-D611-DA79B6CDF8F9}"/>
              </a:ext>
            </a:extLst>
          </xdr:cNvPr>
          <xdr:cNvSpPr txBox="1"/>
        </xdr:nvSpPr>
        <xdr:spPr>
          <a:xfrm>
            <a:off x="2195379" y="1537344"/>
            <a:ext cx="2132744"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DC1E8D-CE2D-4C81-A232-894B61D53D29}"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36</a:t>
            </a:fld>
            <a:endParaRPr lang="en-US" sz="2000" b="1">
              <a:latin typeface="Times New Roman" panose="02020603050405020304" pitchFamily="18" charset="0"/>
              <a:cs typeface="Times New Roman" panose="02020603050405020304" pitchFamily="18" charset="0"/>
            </a:endParaRPr>
          </a:p>
        </xdr:txBody>
      </xdr:sp>
      <xdr:sp macro="" textlink="">
        <xdr:nvSpPr>
          <xdr:cNvPr id="10" name="Rectangle 9">
            <a:extLst>
              <a:ext uri="{FF2B5EF4-FFF2-40B4-BE49-F238E27FC236}">
                <a16:creationId xmlns:a16="http://schemas.microsoft.com/office/drawing/2014/main" id="{157A0D17-C5BE-A7CB-8A5A-6CB9402D82C2}"/>
              </a:ext>
            </a:extLst>
          </xdr:cNvPr>
          <xdr:cNvSpPr/>
        </xdr:nvSpPr>
        <xdr:spPr>
          <a:xfrm>
            <a:off x="4598689" y="1179641"/>
            <a:ext cx="2152202" cy="734269"/>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a:t>
            </a:r>
          </a:p>
        </xdr:txBody>
      </xdr:sp>
      <xdr:sp macro="" textlink="">
        <xdr:nvSpPr>
          <xdr:cNvPr id="11" name="TextBox 10">
            <a:extLst>
              <a:ext uri="{FF2B5EF4-FFF2-40B4-BE49-F238E27FC236}">
                <a16:creationId xmlns:a16="http://schemas.microsoft.com/office/drawing/2014/main" id="{9E91397D-E70E-5D13-7545-D04549A70C78}"/>
              </a:ext>
            </a:extLst>
          </xdr:cNvPr>
          <xdr:cNvSpPr txBox="1"/>
        </xdr:nvSpPr>
        <xdr:spPr>
          <a:xfrm>
            <a:off x="4604513" y="1185399"/>
            <a:ext cx="2134828"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HEIGHT</a:t>
            </a:r>
          </a:p>
        </xdr:txBody>
      </xdr:sp>
      <xdr:sp macro="" textlink="">
        <xdr:nvSpPr>
          <xdr:cNvPr id="14" name="Rectangle 13">
            <a:extLst>
              <a:ext uri="{FF2B5EF4-FFF2-40B4-BE49-F238E27FC236}">
                <a16:creationId xmlns:a16="http://schemas.microsoft.com/office/drawing/2014/main" id="{9F16A67D-219E-86DC-45AE-A3B2BCE146B4}"/>
              </a:ext>
            </a:extLst>
          </xdr:cNvPr>
          <xdr:cNvSpPr/>
        </xdr:nvSpPr>
        <xdr:spPr>
          <a:xfrm>
            <a:off x="7012885" y="1179641"/>
            <a:ext cx="2147273" cy="734268"/>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TextBox 14">
            <a:extLst>
              <a:ext uri="{FF2B5EF4-FFF2-40B4-BE49-F238E27FC236}">
                <a16:creationId xmlns:a16="http://schemas.microsoft.com/office/drawing/2014/main" id="{04253E41-FBE3-04B8-4FED-66910C260C16}"/>
              </a:ext>
            </a:extLst>
          </xdr:cNvPr>
          <xdr:cNvSpPr txBox="1"/>
        </xdr:nvSpPr>
        <xdr:spPr>
          <a:xfrm>
            <a:off x="7018695" y="1185398"/>
            <a:ext cx="2129938" cy="3671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WEIGHT</a:t>
            </a:r>
          </a:p>
        </xdr:txBody>
      </xdr:sp>
      <xdr:sp macro="" textlink="AA!B4">
        <xdr:nvSpPr>
          <xdr:cNvPr id="16" name="TextBox 15">
            <a:extLst>
              <a:ext uri="{FF2B5EF4-FFF2-40B4-BE49-F238E27FC236}">
                <a16:creationId xmlns:a16="http://schemas.microsoft.com/office/drawing/2014/main" id="{0DAEAA53-792E-FF1D-2E59-B0523005A63B}"/>
              </a:ext>
            </a:extLst>
          </xdr:cNvPr>
          <xdr:cNvSpPr txBox="1"/>
        </xdr:nvSpPr>
        <xdr:spPr>
          <a:xfrm>
            <a:off x="7021661" y="1537344"/>
            <a:ext cx="2129938"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E3F1A0-ABF6-40C4-80DA-5D2D9A95D376}"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67</a:t>
            </a:fld>
            <a:endParaRPr lang="en-IN" sz="2000" b="1">
              <a:latin typeface="Times New Roman" panose="02020603050405020304" pitchFamily="18" charset="0"/>
              <a:cs typeface="Times New Roman" panose="02020603050405020304" pitchFamily="18" charset="0"/>
            </a:endParaRPr>
          </a:p>
        </xdr:txBody>
      </xdr:sp>
      <xdr:sp macro="" textlink="">
        <xdr:nvSpPr>
          <xdr:cNvPr id="18" name="Rectangle 17">
            <a:extLst>
              <a:ext uri="{FF2B5EF4-FFF2-40B4-BE49-F238E27FC236}">
                <a16:creationId xmlns:a16="http://schemas.microsoft.com/office/drawing/2014/main" id="{C555C736-FBA2-C1F1-59A9-97E653D9DDAF}"/>
              </a:ext>
            </a:extLst>
          </xdr:cNvPr>
          <xdr:cNvSpPr/>
        </xdr:nvSpPr>
        <xdr:spPr>
          <a:xfrm>
            <a:off x="9422153" y="1179641"/>
            <a:ext cx="2150101" cy="734268"/>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CCE2A44C-43A6-AD43-3C24-4434302B813F}"/>
              </a:ext>
            </a:extLst>
          </xdr:cNvPr>
          <xdr:cNvSpPr txBox="1"/>
        </xdr:nvSpPr>
        <xdr:spPr>
          <a:xfrm>
            <a:off x="9427971" y="1185398"/>
            <a:ext cx="2132743" cy="3671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BMI</a:t>
            </a:r>
            <a:r>
              <a:rPr lang="en-IN" sz="1400" b="1" baseline="0">
                <a:solidFill>
                  <a:schemeClr val="accent5">
                    <a:lumMod val="75000"/>
                  </a:schemeClr>
                </a:solidFill>
                <a:latin typeface="Times New Roman" panose="02020603050405020304" pitchFamily="18" charset="0"/>
                <a:cs typeface="Times New Roman" panose="02020603050405020304" pitchFamily="18" charset="0"/>
              </a:rPr>
              <a:t> </a:t>
            </a:r>
            <a:endParaRPr lang="en-IN" sz="1400" b="1">
              <a:solidFill>
                <a:schemeClr val="accent5">
                  <a:lumMod val="75000"/>
                </a:schemeClr>
              </a:solidFill>
              <a:latin typeface="Times New Roman" panose="02020603050405020304" pitchFamily="18" charset="0"/>
              <a:cs typeface="Times New Roman" panose="02020603050405020304" pitchFamily="18" charset="0"/>
            </a:endParaRPr>
          </a:p>
        </xdr:txBody>
      </xdr:sp>
      <xdr:sp macro="" textlink="">
        <xdr:nvSpPr>
          <xdr:cNvPr id="22" name="Rectangle 21">
            <a:extLst>
              <a:ext uri="{FF2B5EF4-FFF2-40B4-BE49-F238E27FC236}">
                <a16:creationId xmlns:a16="http://schemas.microsoft.com/office/drawing/2014/main" id="{671B2511-2290-2DD8-0A83-5A583A4E2D4B}"/>
              </a:ext>
            </a:extLst>
          </xdr:cNvPr>
          <xdr:cNvSpPr/>
        </xdr:nvSpPr>
        <xdr:spPr>
          <a:xfrm>
            <a:off x="11834249" y="1179641"/>
            <a:ext cx="2155030" cy="734267"/>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A4D95978-74B7-278E-B736-C0D6BE24CA0A}"/>
              </a:ext>
            </a:extLst>
          </xdr:cNvPr>
          <xdr:cNvSpPr txBox="1"/>
        </xdr:nvSpPr>
        <xdr:spPr>
          <a:xfrm>
            <a:off x="11840080" y="1185398"/>
            <a:ext cx="2139254" cy="3671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BODY FAT</a:t>
            </a:r>
          </a:p>
        </xdr:txBody>
      </xdr:sp>
      <xdr:sp macro="" textlink="AA!C4">
        <xdr:nvSpPr>
          <xdr:cNvPr id="79" name="TextBox 78">
            <a:extLst>
              <a:ext uri="{FF2B5EF4-FFF2-40B4-BE49-F238E27FC236}">
                <a16:creationId xmlns:a16="http://schemas.microsoft.com/office/drawing/2014/main" id="{707EBB20-6582-45AF-B750-B72FA12C50E3}"/>
              </a:ext>
            </a:extLst>
          </xdr:cNvPr>
          <xdr:cNvSpPr txBox="1"/>
        </xdr:nvSpPr>
        <xdr:spPr>
          <a:xfrm>
            <a:off x="4602336" y="1539442"/>
            <a:ext cx="2132744"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89B963-AFA5-47DE-8496-603C8A7F59D7}"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1.72</a:t>
            </a:fld>
            <a:endParaRPr lang="en-US" sz="2000" b="1">
              <a:latin typeface="Times New Roman" panose="02020603050405020304" pitchFamily="18" charset="0"/>
              <a:cs typeface="Times New Roman" panose="02020603050405020304" pitchFamily="18" charset="0"/>
            </a:endParaRPr>
          </a:p>
        </xdr:txBody>
      </xdr:sp>
      <xdr:sp macro="" textlink="AA!D4">
        <xdr:nvSpPr>
          <xdr:cNvPr id="80" name="TextBox 79">
            <a:extLst>
              <a:ext uri="{FF2B5EF4-FFF2-40B4-BE49-F238E27FC236}">
                <a16:creationId xmlns:a16="http://schemas.microsoft.com/office/drawing/2014/main" id="{677662BF-70F1-4668-8B00-7D0EDEC6C87F}"/>
              </a:ext>
            </a:extLst>
          </xdr:cNvPr>
          <xdr:cNvSpPr txBox="1"/>
        </xdr:nvSpPr>
        <xdr:spPr>
          <a:xfrm>
            <a:off x="11846838" y="1539442"/>
            <a:ext cx="2129351"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96635F-E07D-415A-B0DB-DC4399E5DC2D}"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23.74%</a:t>
            </a:fld>
            <a:endParaRPr lang="en-IN" sz="2000" b="1">
              <a:latin typeface="Times New Roman" panose="02020603050405020304" pitchFamily="18" charset="0"/>
              <a:cs typeface="Times New Roman" panose="02020603050405020304" pitchFamily="18" charset="0"/>
            </a:endParaRPr>
          </a:p>
        </xdr:txBody>
      </xdr:sp>
      <xdr:sp macro="" textlink="AA!H4">
        <xdr:nvSpPr>
          <xdr:cNvPr id="81" name="TextBox 80">
            <a:extLst>
              <a:ext uri="{FF2B5EF4-FFF2-40B4-BE49-F238E27FC236}">
                <a16:creationId xmlns:a16="http://schemas.microsoft.com/office/drawing/2014/main" id="{FE4413EC-4016-422F-9810-F6B1328E7656}"/>
              </a:ext>
            </a:extLst>
          </xdr:cNvPr>
          <xdr:cNvSpPr txBox="1"/>
        </xdr:nvSpPr>
        <xdr:spPr>
          <a:xfrm>
            <a:off x="9427513" y="1541540"/>
            <a:ext cx="2132744"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A70FE5-95FC-450A-BDB3-2E20A8705952}"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lgn="ctr"/>
              <a:t>19</a:t>
            </a:fld>
            <a:endParaRPr lang="en-US" sz="2000" b="1">
              <a:latin typeface="Times New Roman" panose="02020603050405020304" pitchFamily="18" charset="0"/>
              <a:cs typeface="Times New Roman" panose="02020603050405020304" pitchFamily="18" charset="0"/>
            </a:endParaRPr>
          </a:p>
        </xdr:txBody>
      </xdr:sp>
    </xdr:grpSp>
    <xdr:clientData/>
  </xdr:twoCellAnchor>
  <xdr:twoCellAnchor>
    <xdr:from>
      <xdr:col>3</xdr:col>
      <xdr:colOff>297180</xdr:colOff>
      <xdr:row>12</xdr:row>
      <xdr:rowOff>137160</xdr:rowOff>
    </xdr:from>
    <xdr:to>
      <xdr:col>9</xdr:col>
      <xdr:colOff>30480</xdr:colOff>
      <xdr:row>32</xdr:row>
      <xdr:rowOff>30480</xdr:rowOff>
    </xdr:to>
    <xdr:graphicFrame macro="">
      <xdr:nvGraphicFramePr>
        <xdr:cNvPr id="83" name="Chart 82">
          <a:extLst>
            <a:ext uri="{FF2B5EF4-FFF2-40B4-BE49-F238E27FC236}">
              <a16:creationId xmlns:a16="http://schemas.microsoft.com/office/drawing/2014/main" id="{46711D5F-66A0-4F85-B152-C0E77D6A1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190500</xdr:colOff>
      <xdr:row>25</xdr:row>
      <xdr:rowOff>122796</xdr:rowOff>
    </xdr:from>
    <xdr:to>
      <xdr:col>3</xdr:col>
      <xdr:colOff>161842</xdr:colOff>
      <xdr:row>32</xdr:row>
      <xdr:rowOff>8495</xdr:rowOff>
    </xdr:to>
    <mc:AlternateContent xmlns:mc="http://schemas.openxmlformats.org/markup-compatibility/2006" xmlns:a14="http://schemas.microsoft.com/office/drawing/2010/main">
      <mc:Choice Requires="a14">
        <xdr:graphicFrame macro="">
          <xdr:nvGraphicFramePr>
            <xdr:cNvPr id="84" name="Gender">
              <a:extLst>
                <a:ext uri="{FF2B5EF4-FFF2-40B4-BE49-F238E27FC236}">
                  <a16:creationId xmlns:a16="http://schemas.microsoft.com/office/drawing/2014/main" id="{2FEEC425-CA47-4931-78F1-D65A5A21B7A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90500" y="4788102"/>
              <a:ext cx="1790811" cy="1191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198119</xdr:colOff>
      <xdr:row>15</xdr:row>
      <xdr:rowOff>114300</xdr:rowOff>
    </xdr:from>
    <xdr:to>
      <xdr:col>3</xdr:col>
      <xdr:colOff>167190</xdr:colOff>
      <xdr:row>25</xdr:row>
      <xdr:rowOff>107155</xdr:rowOff>
    </xdr:to>
    <mc:AlternateContent xmlns:mc="http://schemas.openxmlformats.org/markup-compatibility/2006" xmlns:a14="http://schemas.microsoft.com/office/drawing/2010/main">
      <mc:Choice Requires="a14">
        <xdr:graphicFrame macro="">
          <xdr:nvGraphicFramePr>
            <xdr:cNvPr id="85" name="Workout_Type">
              <a:extLst>
                <a:ext uri="{FF2B5EF4-FFF2-40B4-BE49-F238E27FC236}">
                  <a16:creationId xmlns:a16="http://schemas.microsoft.com/office/drawing/2014/main" id="{EECAF234-6B88-16CC-6BFB-00B176EA68BF}"/>
                </a:ext>
              </a:extLst>
            </xdr:cNvPr>
            <xdr:cNvGraphicFramePr/>
          </xdr:nvGraphicFramePr>
          <xdr:xfrm>
            <a:off x="0" y="0"/>
            <a:ext cx="0" cy="0"/>
          </xdr:xfrm>
          <a:graphic>
            <a:graphicData uri="http://schemas.microsoft.com/office/drawing/2010/slicer">
              <sle:slicer xmlns:sle="http://schemas.microsoft.com/office/drawing/2010/slicer" name="Workout_Type"/>
            </a:graphicData>
          </a:graphic>
        </xdr:graphicFrame>
      </mc:Choice>
      <mc:Fallback xmlns="">
        <xdr:sp macro="" textlink="">
          <xdr:nvSpPr>
            <xdr:cNvPr id="0" name=""/>
            <xdr:cNvSpPr>
              <a:spLocks noTextEdit="1"/>
            </xdr:cNvSpPr>
          </xdr:nvSpPr>
          <xdr:spPr>
            <a:xfrm>
              <a:off x="198119" y="2913484"/>
              <a:ext cx="1788540" cy="1858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424832</xdr:colOff>
      <xdr:row>12</xdr:row>
      <xdr:rowOff>155098</xdr:rowOff>
    </xdr:from>
    <xdr:to>
      <xdr:col>22</xdr:col>
      <xdr:colOff>583259</xdr:colOff>
      <xdr:row>25</xdr:row>
      <xdr:rowOff>18814</xdr:rowOff>
    </xdr:to>
    <xdr:graphicFrame macro="">
      <xdr:nvGraphicFramePr>
        <xdr:cNvPr id="86" name="Chart 85">
          <a:extLst>
            <a:ext uri="{FF2B5EF4-FFF2-40B4-BE49-F238E27FC236}">
              <a16:creationId xmlns:a16="http://schemas.microsoft.com/office/drawing/2014/main" id="{2307FB1D-0833-422C-A145-F01E5A73A1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404518</xdr:colOff>
      <xdr:row>26</xdr:row>
      <xdr:rowOff>150518</xdr:rowOff>
    </xdr:from>
    <xdr:to>
      <xdr:col>22</xdr:col>
      <xdr:colOff>526814</xdr:colOff>
      <xdr:row>32</xdr:row>
      <xdr:rowOff>99059</xdr:rowOff>
    </xdr:to>
    <xdr:graphicFrame macro="">
      <xdr:nvGraphicFramePr>
        <xdr:cNvPr id="87" name="Chart 86">
          <a:extLst>
            <a:ext uri="{FF2B5EF4-FFF2-40B4-BE49-F238E27FC236}">
              <a16:creationId xmlns:a16="http://schemas.microsoft.com/office/drawing/2014/main" id="{7EA690E4-78CA-40F5-B956-9F6675A28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175260</xdr:colOff>
      <xdr:row>0</xdr:row>
      <xdr:rowOff>114300</xdr:rowOff>
    </xdr:from>
    <xdr:to>
      <xdr:col>20</xdr:col>
      <xdr:colOff>571500</xdr:colOff>
      <xdr:row>5</xdr:row>
      <xdr:rowOff>76200</xdr:rowOff>
    </xdr:to>
    <xdr:graphicFrame macro="">
      <xdr:nvGraphicFramePr>
        <xdr:cNvPr id="90" name="Chart 89">
          <a:extLst>
            <a:ext uri="{FF2B5EF4-FFF2-40B4-BE49-F238E27FC236}">
              <a16:creationId xmlns:a16="http://schemas.microsoft.com/office/drawing/2014/main" id="{176A07CD-741A-4436-A506-A151E21D4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396240</xdr:colOff>
      <xdr:row>0</xdr:row>
      <xdr:rowOff>137160</xdr:rowOff>
    </xdr:from>
    <xdr:to>
      <xdr:col>23</xdr:col>
      <xdr:colOff>251460</xdr:colOff>
      <xdr:row>4</xdr:row>
      <xdr:rowOff>160020</xdr:rowOff>
    </xdr:to>
    <xdr:graphicFrame macro="">
      <xdr:nvGraphicFramePr>
        <xdr:cNvPr id="91" name="Chart 90">
          <a:extLst>
            <a:ext uri="{FF2B5EF4-FFF2-40B4-BE49-F238E27FC236}">
              <a16:creationId xmlns:a16="http://schemas.microsoft.com/office/drawing/2014/main" id="{D7976B3E-A4BC-43D3-AEE6-BCA1C7740C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257681</xdr:colOff>
      <xdr:row>6</xdr:row>
      <xdr:rowOff>162042</xdr:rowOff>
    </xdr:from>
    <xdr:to>
      <xdr:col>3</xdr:col>
      <xdr:colOff>69980</xdr:colOff>
      <xdr:row>9</xdr:row>
      <xdr:rowOff>71638</xdr:rowOff>
    </xdr:to>
    <xdr:pic>
      <xdr:nvPicPr>
        <xdr:cNvPr id="93" name="Picture 92">
          <a:extLst>
            <a:ext uri="{FF2B5EF4-FFF2-40B4-BE49-F238E27FC236}">
              <a16:creationId xmlns:a16="http://schemas.microsoft.com/office/drawing/2014/main" id="{7A996352-07E0-02C8-75BC-129BD0F96840}"/>
            </a:ext>
          </a:extLst>
        </xdr:cNvPr>
        <xdr:cNvPicPr>
          <a:picLocks noChangeAspect="1"/>
        </xdr:cNvPicPr>
      </xdr:nvPicPr>
      <xdr:blipFill>
        <a:blip xmlns:r="http://schemas.openxmlformats.org/officeDocument/2006/relationships" r:embed="rId11"/>
        <a:stretch>
          <a:fillRect/>
        </a:stretch>
      </xdr:blipFill>
      <xdr:spPr>
        <a:xfrm>
          <a:off x="257681" y="1281715"/>
          <a:ext cx="1631768" cy="469433"/>
        </a:xfrm>
        <a:prstGeom prst="rect">
          <a:avLst/>
        </a:prstGeom>
      </xdr:spPr>
    </xdr:pic>
    <xdr:clientData/>
  </xdr:twoCellAnchor>
  <xdr:twoCellAnchor>
    <xdr:from>
      <xdr:col>0</xdr:col>
      <xdr:colOff>459377</xdr:colOff>
      <xdr:row>13</xdr:row>
      <xdr:rowOff>166396</xdr:rowOff>
    </xdr:from>
    <xdr:to>
      <xdr:col>2</xdr:col>
      <xdr:colOff>295469</xdr:colOff>
      <xdr:row>15</xdr:row>
      <xdr:rowOff>52251</xdr:rowOff>
    </xdr:to>
    <xdr:sp macro="" textlink="">
      <xdr:nvSpPr>
        <xdr:cNvPr id="94" name="TextBox 93">
          <a:hlinkClick xmlns:r="http://schemas.openxmlformats.org/officeDocument/2006/relationships" r:id="rId4"/>
          <a:extLst>
            <a:ext uri="{FF2B5EF4-FFF2-40B4-BE49-F238E27FC236}">
              <a16:creationId xmlns:a16="http://schemas.microsoft.com/office/drawing/2014/main" id="{552F6774-6EA4-4683-A309-7FF6CAFF6545}"/>
            </a:ext>
          </a:extLst>
        </xdr:cNvPr>
        <xdr:cNvSpPr txBox="1"/>
      </xdr:nvSpPr>
      <xdr:spPr>
        <a:xfrm>
          <a:off x="459377" y="2592355"/>
          <a:ext cx="1049072"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RAW</a:t>
          </a:r>
          <a:r>
            <a:rPr lang="en-IN" sz="1100" b="1" baseline="0">
              <a:latin typeface="Times New Roman" panose="02020603050405020304" pitchFamily="18" charset="0"/>
              <a:cs typeface="Times New Roman" panose="02020603050405020304" pitchFamily="18" charset="0"/>
            </a:rPr>
            <a:t> DATA</a:t>
          </a:r>
          <a:endParaRPr lang="en-IN" sz="1100" b="1">
            <a:latin typeface="Times New Roman" panose="02020603050405020304" pitchFamily="18"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1</xdr:row>
      <xdr:rowOff>22860</xdr:rowOff>
    </xdr:from>
    <xdr:to>
      <xdr:col>16</xdr:col>
      <xdr:colOff>510540</xdr:colOff>
      <xdr:row>5</xdr:row>
      <xdr:rowOff>11340</xdr:rowOff>
    </xdr:to>
    <xdr:sp macro="" textlink="">
      <xdr:nvSpPr>
        <xdr:cNvPr id="3" name="Rectangle 2">
          <a:extLst>
            <a:ext uri="{FF2B5EF4-FFF2-40B4-BE49-F238E27FC236}">
              <a16:creationId xmlns:a16="http://schemas.microsoft.com/office/drawing/2014/main" id="{68B896A2-BBFC-44E9-B58B-927615406847}"/>
            </a:ext>
          </a:extLst>
        </xdr:cNvPr>
        <xdr:cNvSpPr/>
      </xdr:nvSpPr>
      <xdr:spPr>
        <a:xfrm>
          <a:off x="190500" y="205740"/>
          <a:ext cx="10690860" cy="720000"/>
        </a:xfrm>
        <a:prstGeom prst="rect">
          <a:avLst/>
        </a:prstGeom>
        <a:solidFill>
          <a:schemeClr val="tx1">
            <a:lumMod val="50000"/>
            <a:lumOff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53340</xdr:colOff>
      <xdr:row>1</xdr:row>
      <xdr:rowOff>22860</xdr:rowOff>
    </xdr:from>
    <xdr:to>
      <xdr:col>22</xdr:col>
      <xdr:colOff>99060</xdr:colOff>
      <xdr:row>5</xdr:row>
      <xdr:rowOff>11340</xdr:rowOff>
    </xdr:to>
    <xdr:sp macro="" textlink="">
      <xdr:nvSpPr>
        <xdr:cNvPr id="4" name="Rectangle 3">
          <a:extLst>
            <a:ext uri="{FF2B5EF4-FFF2-40B4-BE49-F238E27FC236}">
              <a16:creationId xmlns:a16="http://schemas.microsoft.com/office/drawing/2014/main" id="{21C959D0-C303-44F0-9CA8-75449FAA16F0}"/>
            </a:ext>
          </a:extLst>
        </xdr:cNvPr>
        <xdr:cNvSpPr/>
      </xdr:nvSpPr>
      <xdr:spPr>
        <a:xfrm>
          <a:off x="11300460" y="205740"/>
          <a:ext cx="2712720" cy="7200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213360</xdr:colOff>
      <xdr:row>6</xdr:row>
      <xdr:rowOff>45720</xdr:rowOff>
    </xdr:from>
    <xdr:to>
      <xdr:col>3</xdr:col>
      <xdr:colOff>184560</xdr:colOff>
      <xdr:row>32</xdr:row>
      <xdr:rowOff>38100</xdr:rowOff>
    </xdr:to>
    <xdr:sp macro="" textlink="">
      <xdr:nvSpPr>
        <xdr:cNvPr id="5" name="Rectangle 4">
          <a:extLst>
            <a:ext uri="{FF2B5EF4-FFF2-40B4-BE49-F238E27FC236}">
              <a16:creationId xmlns:a16="http://schemas.microsoft.com/office/drawing/2014/main" id="{3C9E7B62-47C0-4865-871D-BB6EF637B323}"/>
            </a:ext>
          </a:extLst>
        </xdr:cNvPr>
        <xdr:cNvSpPr/>
      </xdr:nvSpPr>
      <xdr:spPr>
        <a:xfrm>
          <a:off x="213360" y="1143000"/>
          <a:ext cx="1800000" cy="4747260"/>
        </a:xfrm>
        <a:prstGeom prst="rect">
          <a:avLst/>
        </a:prstGeom>
        <a:solidFill>
          <a:schemeClr val="tx1">
            <a:lumMod val="50000"/>
            <a:lumOff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385969</xdr:colOff>
      <xdr:row>11</xdr:row>
      <xdr:rowOff>57979</xdr:rowOff>
    </xdr:from>
    <xdr:to>
      <xdr:col>23</xdr:col>
      <xdr:colOff>11021</xdr:colOff>
      <xdr:row>11</xdr:row>
      <xdr:rowOff>147979</xdr:rowOff>
    </xdr:to>
    <xdr:sp macro="" textlink="">
      <xdr:nvSpPr>
        <xdr:cNvPr id="11" name="Oval 10">
          <a:extLst>
            <a:ext uri="{FF2B5EF4-FFF2-40B4-BE49-F238E27FC236}">
              <a16:creationId xmlns:a16="http://schemas.microsoft.com/office/drawing/2014/main" id="{83766B2A-A279-4D9C-ADA3-4B13305A8BCA}"/>
            </a:ext>
          </a:extLst>
        </xdr:cNvPr>
        <xdr:cNvSpPr/>
      </xdr:nvSpPr>
      <xdr:spPr>
        <a:xfrm>
          <a:off x="2214769" y="2069659"/>
          <a:ext cx="11817052" cy="90000"/>
        </a:xfrm>
        <a:prstGeom prst="ellipse">
          <a:avLst/>
        </a:prstGeom>
        <a:solidFill>
          <a:schemeClr val="bg2">
            <a:lumMod val="75000"/>
          </a:schemeClr>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182710</xdr:colOff>
      <xdr:row>13</xdr:row>
      <xdr:rowOff>21832</xdr:rowOff>
    </xdr:from>
    <xdr:to>
      <xdr:col>11</xdr:col>
      <xdr:colOff>272710</xdr:colOff>
      <xdr:row>31</xdr:row>
      <xdr:rowOff>25473</xdr:rowOff>
    </xdr:to>
    <xdr:sp macro="" textlink="">
      <xdr:nvSpPr>
        <xdr:cNvPr id="12" name="Oval 11">
          <a:extLst>
            <a:ext uri="{FF2B5EF4-FFF2-40B4-BE49-F238E27FC236}">
              <a16:creationId xmlns:a16="http://schemas.microsoft.com/office/drawing/2014/main" id="{75DD5236-BEB4-417B-B8ED-B1E4C14D34A2}"/>
            </a:ext>
          </a:extLst>
        </xdr:cNvPr>
        <xdr:cNvSpPr/>
      </xdr:nvSpPr>
      <xdr:spPr>
        <a:xfrm>
          <a:off x="6888310" y="2399272"/>
          <a:ext cx="90000" cy="3295481"/>
        </a:xfrm>
        <a:prstGeom prst="ellipse">
          <a:avLst/>
        </a:prstGeom>
        <a:solidFill>
          <a:schemeClr val="bg2">
            <a:lumMod val="75000"/>
          </a:schemeClr>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457200</xdr:colOff>
      <xdr:row>24</xdr:row>
      <xdr:rowOff>152400</xdr:rowOff>
    </xdr:from>
    <xdr:to>
      <xdr:col>22</xdr:col>
      <xdr:colOff>231600</xdr:colOff>
      <xdr:row>25</xdr:row>
      <xdr:rowOff>59520</xdr:rowOff>
    </xdr:to>
    <xdr:sp macro="" textlink="">
      <xdr:nvSpPr>
        <xdr:cNvPr id="13" name="Oval 12">
          <a:extLst>
            <a:ext uri="{FF2B5EF4-FFF2-40B4-BE49-F238E27FC236}">
              <a16:creationId xmlns:a16="http://schemas.microsoft.com/office/drawing/2014/main" id="{ECBFAB06-07AC-40B2-880A-54286E83A841}"/>
            </a:ext>
          </a:extLst>
        </xdr:cNvPr>
        <xdr:cNvSpPr/>
      </xdr:nvSpPr>
      <xdr:spPr>
        <a:xfrm>
          <a:off x="7162800" y="4541520"/>
          <a:ext cx="7059120" cy="90000"/>
        </a:xfrm>
        <a:prstGeom prst="ellipse">
          <a:avLst/>
        </a:prstGeom>
        <a:solidFill>
          <a:schemeClr val="bg2">
            <a:lumMod val="75000"/>
          </a:schemeClr>
        </a:solidFill>
        <a:ln>
          <a:solidFill>
            <a:schemeClr val="accent3">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137160</xdr:colOff>
      <xdr:row>1</xdr:row>
      <xdr:rowOff>38100</xdr:rowOff>
    </xdr:from>
    <xdr:to>
      <xdr:col>16</xdr:col>
      <xdr:colOff>38100</xdr:colOff>
      <xdr:row>4</xdr:row>
      <xdr:rowOff>175260</xdr:rowOff>
    </xdr:to>
    <xdr:sp macro="" textlink="">
      <xdr:nvSpPr>
        <xdr:cNvPr id="15" name="TextBox 14">
          <a:extLst>
            <a:ext uri="{FF2B5EF4-FFF2-40B4-BE49-F238E27FC236}">
              <a16:creationId xmlns:a16="http://schemas.microsoft.com/office/drawing/2014/main" id="{E3C7CB66-A77F-4951-87F2-1C2589D10F6F}"/>
            </a:ext>
          </a:extLst>
        </xdr:cNvPr>
        <xdr:cNvSpPr txBox="1"/>
      </xdr:nvSpPr>
      <xdr:spPr>
        <a:xfrm>
          <a:off x="746760" y="220980"/>
          <a:ext cx="90449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Times New Roman" panose="02020603050405020304" pitchFamily="18" charset="0"/>
              <a:cs typeface="Times New Roman" panose="02020603050405020304" pitchFamily="18" charset="0"/>
            </a:rPr>
            <a:t>GYM MEMBER TRACKING DASHBORD</a:t>
          </a:r>
        </a:p>
      </xdr:txBody>
    </xdr:sp>
    <xdr:clientData/>
  </xdr:twoCellAnchor>
  <xdr:twoCellAnchor editAs="oneCell">
    <xdr:from>
      <xdr:col>14</xdr:col>
      <xdr:colOff>144780</xdr:colOff>
      <xdr:row>1</xdr:row>
      <xdr:rowOff>0</xdr:rowOff>
    </xdr:from>
    <xdr:to>
      <xdr:col>15</xdr:col>
      <xdr:colOff>27790</xdr:colOff>
      <xdr:row>4</xdr:row>
      <xdr:rowOff>175260</xdr:rowOff>
    </xdr:to>
    <xdr:pic>
      <xdr:nvPicPr>
        <xdr:cNvPr id="16" name="Graphic 15" descr="Body builder">
          <a:extLst>
            <a:ext uri="{FF2B5EF4-FFF2-40B4-BE49-F238E27FC236}">
              <a16:creationId xmlns:a16="http://schemas.microsoft.com/office/drawing/2014/main" id="{6DE48246-6AD6-4FB2-9928-3B0D3D35835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76460" y="182880"/>
          <a:ext cx="911710" cy="723900"/>
        </a:xfrm>
        <a:prstGeom prst="rect">
          <a:avLst/>
        </a:prstGeom>
      </xdr:spPr>
    </xdr:pic>
    <xdr:clientData/>
  </xdr:twoCellAnchor>
  <xdr:twoCellAnchor>
    <xdr:from>
      <xdr:col>0</xdr:col>
      <xdr:colOff>342900</xdr:colOff>
      <xdr:row>13</xdr:row>
      <xdr:rowOff>129540</xdr:rowOff>
    </xdr:from>
    <xdr:to>
      <xdr:col>3</xdr:col>
      <xdr:colOff>44100</xdr:colOff>
      <xdr:row>15</xdr:row>
      <xdr:rowOff>51780</xdr:rowOff>
    </xdr:to>
    <xdr:sp macro="" textlink="">
      <xdr:nvSpPr>
        <xdr:cNvPr id="17" name="Rectangle: Diagonal Corners Snipped 16">
          <a:hlinkClick xmlns:r="http://schemas.openxmlformats.org/officeDocument/2006/relationships" r:id="rId3"/>
          <a:extLst>
            <a:ext uri="{FF2B5EF4-FFF2-40B4-BE49-F238E27FC236}">
              <a16:creationId xmlns:a16="http://schemas.microsoft.com/office/drawing/2014/main" id="{57A7B13D-91BD-4D20-AD6F-01DF0487E1FF}"/>
            </a:ext>
          </a:extLst>
        </xdr:cNvPr>
        <xdr:cNvSpPr/>
      </xdr:nvSpPr>
      <xdr:spPr>
        <a:xfrm>
          <a:off x="342900" y="2506980"/>
          <a:ext cx="1530000" cy="288000"/>
        </a:xfrm>
        <a:prstGeom prst="snip2DiagRect">
          <a:avLst/>
        </a:prstGeom>
        <a:solidFill>
          <a:schemeClr val="bg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342900</xdr:colOff>
      <xdr:row>10</xdr:row>
      <xdr:rowOff>2900</xdr:rowOff>
    </xdr:from>
    <xdr:to>
      <xdr:col>3</xdr:col>
      <xdr:colOff>44100</xdr:colOff>
      <xdr:row>11</xdr:row>
      <xdr:rowOff>108020</xdr:rowOff>
    </xdr:to>
    <xdr:sp macro="" textlink="">
      <xdr:nvSpPr>
        <xdr:cNvPr id="18" name="Rectangle: Diagonal Corners Snipped 17">
          <a:extLst>
            <a:ext uri="{FF2B5EF4-FFF2-40B4-BE49-F238E27FC236}">
              <a16:creationId xmlns:a16="http://schemas.microsoft.com/office/drawing/2014/main" id="{5C2FC543-9A11-4CA4-85F7-FD002C6AAD88}"/>
            </a:ext>
          </a:extLst>
        </xdr:cNvPr>
        <xdr:cNvSpPr/>
      </xdr:nvSpPr>
      <xdr:spPr>
        <a:xfrm>
          <a:off x="342900" y="1831700"/>
          <a:ext cx="1530000" cy="288000"/>
        </a:xfrm>
        <a:prstGeom prst="snip2DiagRect">
          <a:avLst/>
        </a:prstGeom>
        <a:solidFill>
          <a:schemeClr val="tx1">
            <a:lumMod val="50000"/>
            <a:lumOff val="50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335280</xdr:colOff>
      <xdr:row>11</xdr:row>
      <xdr:rowOff>157660</xdr:rowOff>
    </xdr:from>
    <xdr:to>
      <xdr:col>3</xdr:col>
      <xdr:colOff>36480</xdr:colOff>
      <xdr:row>13</xdr:row>
      <xdr:rowOff>79900</xdr:rowOff>
    </xdr:to>
    <xdr:sp macro="" textlink="">
      <xdr:nvSpPr>
        <xdr:cNvPr id="19" name="Rectangle: Diagonal Corners Snipped 18">
          <a:extLst>
            <a:ext uri="{FF2B5EF4-FFF2-40B4-BE49-F238E27FC236}">
              <a16:creationId xmlns:a16="http://schemas.microsoft.com/office/drawing/2014/main" id="{DADD01A1-1F86-4613-8B6F-5065C1827A79}"/>
            </a:ext>
          </a:extLst>
        </xdr:cNvPr>
        <xdr:cNvSpPr/>
      </xdr:nvSpPr>
      <xdr:spPr>
        <a:xfrm>
          <a:off x="335280" y="2169340"/>
          <a:ext cx="1530000" cy="288000"/>
        </a:xfrm>
        <a:prstGeom prst="snip2DiagRect">
          <a:avLst/>
        </a:prstGeom>
        <a:solidFill>
          <a:schemeClr val="bg1">
            <a:lumMod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342900</xdr:colOff>
      <xdr:row>6</xdr:row>
      <xdr:rowOff>99060</xdr:rowOff>
    </xdr:from>
    <xdr:to>
      <xdr:col>3</xdr:col>
      <xdr:colOff>134100</xdr:colOff>
      <xdr:row>9</xdr:row>
      <xdr:rowOff>90420</xdr:rowOff>
    </xdr:to>
    <xdr:sp macro="" textlink="">
      <xdr:nvSpPr>
        <xdr:cNvPr id="20" name="Arrow: Pentagon 19">
          <a:extLst>
            <a:ext uri="{FF2B5EF4-FFF2-40B4-BE49-F238E27FC236}">
              <a16:creationId xmlns:a16="http://schemas.microsoft.com/office/drawing/2014/main" id="{A178D6F3-50D2-4698-8BA3-D225CA6940F5}"/>
            </a:ext>
          </a:extLst>
        </xdr:cNvPr>
        <xdr:cNvSpPr/>
      </xdr:nvSpPr>
      <xdr:spPr>
        <a:xfrm>
          <a:off x="342900" y="1196340"/>
          <a:ext cx="1620000" cy="540000"/>
        </a:xfrm>
        <a:prstGeom prst="homePlate">
          <a:avLst/>
        </a:prstGeom>
        <a:solidFill>
          <a:schemeClr val="accent3">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449580</xdr:colOff>
      <xdr:row>10</xdr:row>
      <xdr:rowOff>15240</xdr:rowOff>
    </xdr:from>
    <xdr:to>
      <xdr:col>2</xdr:col>
      <xdr:colOff>548640</xdr:colOff>
      <xdr:row>11</xdr:row>
      <xdr:rowOff>60960</xdr:rowOff>
    </xdr:to>
    <xdr:sp macro="" textlink="">
      <xdr:nvSpPr>
        <xdr:cNvPr id="21" name="TextBox 20">
          <a:hlinkClick xmlns:r="http://schemas.openxmlformats.org/officeDocument/2006/relationships" r:id="rId4"/>
          <a:extLst>
            <a:ext uri="{FF2B5EF4-FFF2-40B4-BE49-F238E27FC236}">
              <a16:creationId xmlns:a16="http://schemas.microsoft.com/office/drawing/2014/main" id="{12C14C33-AFDA-46EB-A33A-0F8CF147DE17}"/>
            </a:ext>
          </a:extLst>
        </xdr:cNvPr>
        <xdr:cNvSpPr txBox="1"/>
      </xdr:nvSpPr>
      <xdr:spPr>
        <a:xfrm>
          <a:off x="449580" y="1844040"/>
          <a:ext cx="13182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GENERAL DATA</a:t>
          </a:r>
        </a:p>
      </xdr:txBody>
    </xdr:sp>
    <xdr:clientData/>
  </xdr:twoCellAnchor>
  <xdr:twoCellAnchor>
    <xdr:from>
      <xdr:col>0</xdr:col>
      <xdr:colOff>472440</xdr:colOff>
      <xdr:row>11</xdr:row>
      <xdr:rowOff>160020</xdr:rowOff>
    </xdr:from>
    <xdr:to>
      <xdr:col>3</xdr:col>
      <xdr:colOff>7620</xdr:colOff>
      <xdr:row>13</xdr:row>
      <xdr:rowOff>60960</xdr:rowOff>
    </xdr:to>
    <xdr:sp macro="" textlink="">
      <xdr:nvSpPr>
        <xdr:cNvPr id="22" name="TextBox 21">
          <a:extLst>
            <a:ext uri="{FF2B5EF4-FFF2-40B4-BE49-F238E27FC236}">
              <a16:creationId xmlns:a16="http://schemas.microsoft.com/office/drawing/2014/main" id="{42C76A18-C4BC-4049-90A3-F467E69EA84B}"/>
            </a:ext>
          </a:extLst>
        </xdr:cNvPr>
        <xdr:cNvSpPr txBox="1"/>
      </xdr:nvSpPr>
      <xdr:spPr>
        <a:xfrm>
          <a:off x="472440" y="2171700"/>
          <a:ext cx="13639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FITNESS LEVEL</a:t>
          </a:r>
        </a:p>
      </xdr:txBody>
    </xdr:sp>
    <xdr:clientData/>
  </xdr:twoCellAnchor>
  <xdr:twoCellAnchor>
    <xdr:from>
      <xdr:col>3</xdr:col>
      <xdr:colOff>287013</xdr:colOff>
      <xdr:row>6</xdr:row>
      <xdr:rowOff>68580</xdr:rowOff>
    </xdr:from>
    <xdr:to>
      <xdr:col>22</xdr:col>
      <xdr:colOff>83820</xdr:colOff>
      <xdr:row>10</xdr:row>
      <xdr:rowOff>71329</xdr:rowOff>
    </xdr:to>
    <xdr:grpSp>
      <xdr:nvGrpSpPr>
        <xdr:cNvPr id="43" name="Group 42">
          <a:extLst>
            <a:ext uri="{FF2B5EF4-FFF2-40B4-BE49-F238E27FC236}">
              <a16:creationId xmlns:a16="http://schemas.microsoft.com/office/drawing/2014/main" id="{8BF6EA31-B62B-4BEE-A677-265C1E8FD18E}"/>
            </a:ext>
          </a:extLst>
        </xdr:cNvPr>
        <xdr:cNvGrpSpPr/>
      </xdr:nvGrpSpPr>
      <xdr:grpSpPr>
        <a:xfrm>
          <a:off x="2115813" y="1165860"/>
          <a:ext cx="12164067" cy="734269"/>
          <a:chOff x="2186592" y="1179641"/>
          <a:chExt cx="11802687" cy="734269"/>
        </a:xfrm>
      </xdr:grpSpPr>
      <xdr:sp macro="" textlink="">
        <xdr:nvSpPr>
          <xdr:cNvPr id="44" name="Rectangle 43">
            <a:extLst>
              <a:ext uri="{FF2B5EF4-FFF2-40B4-BE49-F238E27FC236}">
                <a16:creationId xmlns:a16="http://schemas.microsoft.com/office/drawing/2014/main" id="{1D0646A8-5450-68E3-9A4E-37D0871DA678}"/>
              </a:ext>
            </a:extLst>
          </xdr:cNvPr>
          <xdr:cNvSpPr/>
        </xdr:nvSpPr>
        <xdr:spPr>
          <a:xfrm>
            <a:off x="2186592" y="1179641"/>
            <a:ext cx="2150102" cy="734267"/>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45" name="TextBox 44">
            <a:extLst>
              <a:ext uri="{FF2B5EF4-FFF2-40B4-BE49-F238E27FC236}">
                <a16:creationId xmlns:a16="http://schemas.microsoft.com/office/drawing/2014/main" id="{F68AF38A-99BD-5B2D-0623-F465F0E76F33}"/>
              </a:ext>
            </a:extLst>
          </xdr:cNvPr>
          <xdr:cNvSpPr txBox="1"/>
        </xdr:nvSpPr>
        <xdr:spPr>
          <a:xfrm>
            <a:off x="2192410" y="1185398"/>
            <a:ext cx="2132744" cy="3671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AGE</a:t>
            </a:r>
          </a:p>
        </xdr:txBody>
      </xdr:sp>
      <xdr:sp macro="" textlink="AA!B41">
        <xdr:nvSpPr>
          <xdr:cNvPr id="46" name="TextBox 45">
            <a:extLst>
              <a:ext uri="{FF2B5EF4-FFF2-40B4-BE49-F238E27FC236}">
                <a16:creationId xmlns:a16="http://schemas.microsoft.com/office/drawing/2014/main" id="{AA5DFDD5-B8B4-2784-B494-1850AA5CBC53}"/>
              </a:ext>
            </a:extLst>
          </xdr:cNvPr>
          <xdr:cNvSpPr txBox="1"/>
        </xdr:nvSpPr>
        <xdr:spPr>
          <a:xfrm>
            <a:off x="2195379" y="1537344"/>
            <a:ext cx="2132744"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45C1BE-30E6-4FCD-B59B-B2940721B714}"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34</a:t>
            </a:fld>
            <a:endParaRPr lang="en-US" sz="1800" b="1">
              <a:latin typeface="Times New Roman" panose="02020603050405020304" pitchFamily="18" charset="0"/>
              <a:cs typeface="Times New Roman" panose="02020603050405020304" pitchFamily="18" charset="0"/>
            </a:endParaRPr>
          </a:p>
        </xdr:txBody>
      </xdr:sp>
      <xdr:sp macro="" textlink="">
        <xdr:nvSpPr>
          <xdr:cNvPr id="47" name="Rectangle 46">
            <a:extLst>
              <a:ext uri="{FF2B5EF4-FFF2-40B4-BE49-F238E27FC236}">
                <a16:creationId xmlns:a16="http://schemas.microsoft.com/office/drawing/2014/main" id="{378297A3-4711-22AA-D1EF-25295DE61802}"/>
              </a:ext>
            </a:extLst>
          </xdr:cNvPr>
          <xdr:cNvSpPr/>
        </xdr:nvSpPr>
        <xdr:spPr>
          <a:xfrm>
            <a:off x="4598689" y="1179641"/>
            <a:ext cx="2152202" cy="734269"/>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a:t>
            </a:r>
          </a:p>
        </xdr:txBody>
      </xdr:sp>
      <xdr:sp macro="" textlink="">
        <xdr:nvSpPr>
          <xdr:cNvPr id="48" name="TextBox 47">
            <a:extLst>
              <a:ext uri="{FF2B5EF4-FFF2-40B4-BE49-F238E27FC236}">
                <a16:creationId xmlns:a16="http://schemas.microsoft.com/office/drawing/2014/main" id="{45425874-BC74-0FE3-BCC8-921BD081CBAE}"/>
              </a:ext>
            </a:extLst>
          </xdr:cNvPr>
          <xdr:cNvSpPr txBox="1"/>
        </xdr:nvSpPr>
        <xdr:spPr>
          <a:xfrm>
            <a:off x="4604513" y="1185399"/>
            <a:ext cx="2134828"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HEIGHT</a:t>
            </a:r>
          </a:p>
        </xdr:txBody>
      </xdr:sp>
      <xdr:sp macro="" textlink="">
        <xdr:nvSpPr>
          <xdr:cNvPr id="49" name="Rectangle 48">
            <a:extLst>
              <a:ext uri="{FF2B5EF4-FFF2-40B4-BE49-F238E27FC236}">
                <a16:creationId xmlns:a16="http://schemas.microsoft.com/office/drawing/2014/main" id="{990B154E-A91D-6B16-E16A-211BF6630D5D}"/>
              </a:ext>
            </a:extLst>
          </xdr:cNvPr>
          <xdr:cNvSpPr/>
        </xdr:nvSpPr>
        <xdr:spPr>
          <a:xfrm>
            <a:off x="7012885" y="1179641"/>
            <a:ext cx="2147273" cy="734268"/>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0" name="TextBox 49">
            <a:extLst>
              <a:ext uri="{FF2B5EF4-FFF2-40B4-BE49-F238E27FC236}">
                <a16:creationId xmlns:a16="http://schemas.microsoft.com/office/drawing/2014/main" id="{A8570976-E9A6-05B5-8D4E-29DCDD79AEAD}"/>
              </a:ext>
            </a:extLst>
          </xdr:cNvPr>
          <xdr:cNvSpPr txBox="1"/>
        </xdr:nvSpPr>
        <xdr:spPr>
          <a:xfrm>
            <a:off x="7018695" y="1185398"/>
            <a:ext cx="2129938" cy="3671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WEIGHT</a:t>
            </a:r>
          </a:p>
        </xdr:txBody>
      </xdr:sp>
      <xdr:sp macro="" textlink="AA!D41">
        <xdr:nvSpPr>
          <xdr:cNvPr id="51" name="TextBox 50">
            <a:extLst>
              <a:ext uri="{FF2B5EF4-FFF2-40B4-BE49-F238E27FC236}">
                <a16:creationId xmlns:a16="http://schemas.microsoft.com/office/drawing/2014/main" id="{7A46C859-3C22-EB00-29D5-16BB2BBF2A76}"/>
              </a:ext>
            </a:extLst>
          </xdr:cNvPr>
          <xdr:cNvSpPr txBox="1"/>
        </xdr:nvSpPr>
        <xdr:spPr>
          <a:xfrm>
            <a:off x="7021661" y="1537344"/>
            <a:ext cx="2129938"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2562C1C-A2C0-427C-B582-AB09A70FA6C5}"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69</a:t>
            </a:fld>
            <a:endParaRPr lang="en-IN" sz="1800" b="1">
              <a:latin typeface="Times New Roman" panose="02020603050405020304" pitchFamily="18" charset="0"/>
              <a:cs typeface="Times New Roman" panose="02020603050405020304" pitchFamily="18" charset="0"/>
            </a:endParaRPr>
          </a:p>
        </xdr:txBody>
      </xdr:sp>
      <xdr:sp macro="" textlink="">
        <xdr:nvSpPr>
          <xdr:cNvPr id="52" name="Rectangle 51">
            <a:extLst>
              <a:ext uri="{FF2B5EF4-FFF2-40B4-BE49-F238E27FC236}">
                <a16:creationId xmlns:a16="http://schemas.microsoft.com/office/drawing/2014/main" id="{DD20B7C0-AE3A-2F1C-75D0-6BF0E0EF9F3E}"/>
              </a:ext>
            </a:extLst>
          </xdr:cNvPr>
          <xdr:cNvSpPr/>
        </xdr:nvSpPr>
        <xdr:spPr>
          <a:xfrm>
            <a:off x="9422153" y="1179641"/>
            <a:ext cx="2150101" cy="734268"/>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3" name="TextBox 52">
            <a:extLst>
              <a:ext uri="{FF2B5EF4-FFF2-40B4-BE49-F238E27FC236}">
                <a16:creationId xmlns:a16="http://schemas.microsoft.com/office/drawing/2014/main" id="{CD212042-1F89-4922-01B0-C0F4E78355C1}"/>
              </a:ext>
            </a:extLst>
          </xdr:cNvPr>
          <xdr:cNvSpPr txBox="1"/>
        </xdr:nvSpPr>
        <xdr:spPr>
          <a:xfrm>
            <a:off x="9427971" y="1185398"/>
            <a:ext cx="2132743" cy="3671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BMI</a:t>
            </a:r>
            <a:r>
              <a:rPr lang="en-IN" sz="1400" b="1" baseline="0">
                <a:solidFill>
                  <a:schemeClr val="accent5">
                    <a:lumMod val="75000"/>
                  </a:schemeClr>
                </a:solidFill>
                <a:latin typeface="Times New Roman" panose="02020603050405020304" pitchFamily="18" charset="0"/>
                <a:cs typeface="Times New Roman" panose="02020603050405020304" pitchFamily="18" charset="0"/>
              </a:rPr>
              <a:t> </a:t>
            </a:r>
            <a:endParaRPr lang="en-IN" sz="1400" b="1">
              <a:solidFill>
                <a:schemeClr val="accent5">
                  <a:lumMod val="75000"/>
                </a:schemeClr>
              </a:solidFill>
              <a:latin typeface="Times New Roman" panose="02020603050405020304" pitchFamily="18" charset="0"/>
              <a:cs typeface="Times New Roman" panose="02020603050405020304" pitchFamily="18" charset="0"/>
            </a:endParaRPr>
          </a:p>
        </xdr:txBody>
      </xdr:sp>
      <xdr:sp macro="" textlink="">
        <xdr:nvSpPr>
          <xdr:cNvPr id="54" name="Rectangle 53">
            <a:extLst>
              <a:ext uri="{FF2B5EF4-FFF2-40B4-BE49-F238E27FC236}">
                <a16:creationId xmlns:a16="http://schemas.microsoft.com/office/drawing/2014/main" id="{803D650C-83F3-5718-2A35-C57C27918845}"/>
              </a:ext>
            </a:extLst>
          </xdr:cNvPr>
          <xdr:cNvSpPr/>
        </xdr:nvSpPr>
        <xdr:spPr>
          <a:xfrm>
            <a:off x="11834249" y="1179641"/>
            <a:ext cx="2155030" cy="734267"/>
          </a:xfrm>
          <a:prstGeom prst="rect">
            <a:avLst/>
          </a:prstGeom>
          <a:ln>
            <a:solidFill>
              <a:srgbClr val="00B05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55" name="TextBox 54">
            <a:extLst>
              <a:ext uri="{FF2B5EF4-FFF2-40B4-BE49-F238E27FC236}">
                <a16:creationId xmlns:a16="http://schemas.microsoft.com/office/drawing/2014/main" id="{588C93EE-3339-AF9F-4A97-1D3EA9BE1D8B}"/>
              </a:ext>
            </a:extLst>
          </xdr:cNvPr>
          <xdr:cNvSpPr txBox="1"/>
        </xdr:nvSpPr>
        <xdr:spPr>
          <a:xfrm>
            <a:off x="11840080" y="1185398"/>
            <a:ext cx="2139254" cy="3671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75000"/>
                  </a:schemeClr>
                </a:solidFill>
                <a:latin typeface="Times New Roman" panose="02020603050405020304" pitchFamily="18" charset="0"/>
                <a:cs typeface="Times New Roman" panose="02020603050405020304" pitchFamily="18" charset="0"/>
              </a:rPr>
              <a:t>AVERAGE BODY FAT</a:t>
            </a:r>
          </a:p>
        </xdr:txBody>
      </xdr:sp>
      <xdr:sp macro="" textlink="AA!C41">
        <xdr:nvSpPr>
          <xdr:cNvPr id="56" name="TextBox 55">
            <a:extLst>
              <a:ext uri="{FF2B5EF4-FFF2-40B4-BE49-F238E27FC236}">
                <a16:creationId xmlns:a16="http://schemas.microsoft.com/office/drawing/2014/main" id="{BDD45044-B424-8B4D-3E09-4BE1BDFBC5C2}"/>
              </a:ext>
            </a:extLst>
          </xdr:cNvPr>
          <xdr:cNvSpPr txBox="1"/>
        </xdr:nvSpPr>
        <xdr:spPr>
          <a:xfrm>
            <a:off x="4602336" y="1539442"/>
            <a:ext cx="2132744"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50EB83-8572-4FC4-BF0A-EEECCFDEBD0F}"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1.71</a:t>
            </a:fld>
            <a:endParaRPr lang="en-US" sz="1800" b="1">
              <a:latin typeface="Times New Roman" panose="02020603050405020304" pitchFamily="18" charset="0"/>
              <a:cs typeface="Times New Roman" panose="02020603050405020304" pitchFamily="18" charset="0"/>
            </a:endParaRPr>
          </a:p>
        </xdr:txBody>
      </xdr:sp>
      <xdr:sp macro="" textlink="AA!F41">
        <xdr:nvSpPr>
          <xdr:cNvPr id="57" name="TextBox 56">
            <a:extLst>
              <a:ext uri="{FF2B5EF4-FFF2-40B4-BE49-F238E27FC236}">
                <a16:creationId xmlns:a16="http://schemas.microsoft.com/office/drawing/2014/main" id="{3CE13DB9-6949-37FA-C01A-7B62B20C401F}"/>
              </a:ext>
            </a:extLst>
          </xdr:cNvPr>
          <xdr:cNvSpPr txBox="1"/>
        </xdr:nvSpPr>
        <xdr:spPr>
          <a:xfrm>
            <a:off x="11846838" y="1539442"/>
            <a:ext cx="2134872"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589C52-7A56-42BD-B6D8-D3DA081C6BE7}"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22.49%</a:t>
            </a:fld>
            <a:endParaRPr lang="en-IN" sz="1800" b="1">
              <a:latin typeface="Times New Roman" panose="02020603050405020304" pitchFamily="18" charset="0"/>
              <a:cs typeface="Times New Roman" panose="02020603050405020304" pitchFamily="18" charset="0"/>
            </a:endParaRPr>
          </a:p>
        </xdr:txBody>
      </xdr:sp>
      <xdr:sp macro="" textlink="AA!E41">
        <xdr:nvSpPr>
          <xdr:cNvPr id="58" name="TextBox 57">
            <a:extLst>
              <a:ext uri="{FF2B5EF4-FFF2-40B4-BE49-F238E27FC236}">
                <a16:creationId xmlns:a16="http://schemas.microsoft.com/office/drawing/2014/main" id="{561B1FF6-BD76-411D-762A-0B42BF2A9610}"/>
              </a:ext>
            </a:extLst>
          </xdr:cNvPr>
          <xdr:cNvSpPr txBox="1"/>
        </xdr:nvSpPr>
        <xdr:spPr>
          <a:xfrm>
            <a:off x="9427513" y="1541540"/>
            <a:ext cx="2132744" cy="3671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6DD928-3938-406B-AC30-DA54751BF3D0}" type="TxLink">
              <a:rPr lang="en-US" sz="1800" b="1" i="0" u="none" strike="noStrike">
                <a:solidFill>
                  <a:srgbClr val="000000"/>
                </a:solidFill>
                <a:latin typeface="Times New Roman" panose="02020603050405020304" pitchFamily="18" charset="0"/>
                <a:ea typeface="Calibri"/>
                <a:cs typeface="Times New Roman" panose="02020603050405020304" pitchFamily="18" charset="0"/>
              </a:rPr>
              <a:pPr algn="ctr"/>
              <a:t>20.6</a:t>
            </a:fld>
            <a:endParaRPr lang="en-US" sz="1800" b="1">
              <a:latin typeface="Times New Roman" panose="02020603050405020304" pitchFamily="18" charset="0"/>
              <a:cs typeface="Times New Roman" panose="02020603050405020304" pitchFamily="18" charset="0"/>
            </a:endParaRPr>
          </a:p>
        </xdr:txBody>
      </xdr:sp>
    </xdr:grpSp>
    <xdr:clientData/>
  </xdr:twoCellAnchor>
  <xdr:twoCellAnchor>
    <xdr:from>
      <xdr:col>11</xdr:col>
      <xdr:colOff>434340</xdr:colOff>
      <xdr:row>12</xdr:row>
      <xdr:rowOff>76200</xdr:rowOff>
    </xdr:from>
    <xdr:to>
      <xdr:col>22</xdr:col>
      <xdr:colOff>53340</xdr:colOff>
      <xdr:row>24</xdr:row>
      <xdr:rowOff>53340</xdr:rowOff>
    </xdr:to>
    <xdr:graphicFrame macro="">
      <xdr:nvGraphicFramePr>
        <xdr:cNvPr id="62" name="Chart 61">
          <a:extLst>
            <a:ext uri="{FF2B5EF4-FFF2-40B4-BE49-F238E27FC236}">
              <a16:creationId xmlns:a16="http://schemas.microsoft.com/office/drawing/2014/main" id="{F2DE094D-CCAC-4419-AF77-4E2AB129C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213360</xdr:colOff>
      <xdr:row>15</xdr:row>
      <xdr:rowOff>152401</xdr:rowOff>
    </xdr:from>
    <xdr:to>
      <xdr:col>3</xdr:col>
      <xdr:colOff>198120</xdr:colOff>
      <xdr:row>24</xdr:row>
      <xdr:rowOff>1</xdr:rowOff>
    </xdr:to>
    <mc:AlternateContent xmlns:mc="http://schemas.openxmlformats.org/markup-compatibility/2006" xmlns:a14="http://schemas.microsoft.com/office/drawing/2010/main">
      <mc:Choice Requires="a14">
        <xdr:graphicFrame macro="">
          <xdr:nvGraphicFramePr>
            <xdr:cNvPr id="63" name="fitness level">
              <a:extLst>
                <a:ext uri="{FF2B5EF4-FFF2-40B4-BE49-F238E27FC236}">
                  <a16:creationId xmlns:a16="http://schemas.microsoft.com/office/drawing/2014/main" id="{D535FB8C-7AD9-0171-20FA-92ABAC3EB6D2}"/>
                </a:ext>
              </a:extLst>
            </xdr:cNvPr>
            <xdr:cNvGraphicFramePr/>
          </xdr:nvGraphicFramePr>
          <xdr:xfrm>
            <a:off x="0" y="0"/>
            <a:ext cx="0" cy="0"/>
          </xdr:xfrm>
          <a:graphic>
            <a:graphicData uri="http://schemas.microsoft.com/office/drawing/2010/slicer">
              <sle:slicer xmlns:sle="http://schemas.microsoft.com/office/drawing/2010/slicer" name="fitness level"/>
            </a:graphicData>
          </a:graphic>
        </xdr:graphicFrame>
      </mc:Choice>
      <mc:Fallback xmlns="">
        <xdr:sp macro="" textlink="">
          <xdr:nvSpPr>
            <xdr:cNvPr id="0" name=""/>
            <xdr:cNvSpPr>
              <a:spLocks noTextEdit="1"/>
            </xdr:cNvSpPr>
          </xdr:nvSpPr>
          <xdr:spPr>
            <a:xfrm>
              <a:off x="213360" y="2895601"/>
              <a:ext cx="181356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68580</xdr:colOff>
      <xdr:row>1</xdr:row>
      <xdr:rowOff>15241</xdr:rowOff>
    </xdr:from>
    <xdr:to>
      <xdr:col>22</xdr:col>
      <xdr:colOff>6724</xdr:colOff>
      <xdr:row>5</xdr:row>
      <xdr:rowOff>0</xdr:rowOff>
    </xdr:to>
    <mc:AlternateContent xmlns:mc="http://schemas.openxmlformats.org/markup-compatibility/2006" xmlns:a14="http://schemas.microsoft.com/office/drawing/2010/main">
      <mc:Choice Requires="a14">
        <xdr:graphicFrame macro="">
          <xdr:nvGraphicFramePr>
            <xdr:cNvPr id="70" name="Gender 1">
              <a:extLst>
                <a:ext uri="{FF2B5EF4-FFF2-40B4-BE49-F238E27FC236}">
                  <a16:creationId xmlns:a16="http://schemas.microsoft.com/office/drawing/2014/main" id="{E97730F0-09B9-9313-DCE4-6E05FBD63F1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049000" y="198121"/>
              <a:ext cx="3062344" cy="716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358588</xdr:colOff>
      <xdr:row>13</xdr:row>
      <xdr:rowOff>8964</xdr:rowOff>
    </xdr:from>
    <xdr:to>
      <xdr:col>11</xdr:col>
      <xdr:colOff>53788</xdr:colOff>
      <xdr:row>31</xdr:row>
      <xdr:rowOff>71717</xdr:rowOff>
    </xdr:to>
    <xdr:graphicFrame macro="">
      <xdr:nvGraphicFramePr>
        <xdr:cNvPr id="71" name="Chart 70">
          <a:extLst>
            <a:ext uri="{FF2B5EF4-FFF2-40B4-BE49-F238E27FC236}">
              <a16:creationId xmlns:a16="http://schemas.microsoft.com/office/drawing/2014/main" id="{CA8557DC-3B20-4B8D-A7A1-87F16434D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213360</xdr:colOff>
      <xdr:row>24</xdr:row>
      <xdr:rowOff>1</xdr:rowOff>
    </xdr:from>
    <xdr:to>
      <xdr:col>3</xdr:col>
      <xdr:colOff>198120</xdr:colOff>
      <xdr:row>32</xdr:row>
      <xdr:rowOff>0</xdr:rowOff>
    </xdr:to>
    <mc:AlternateContent xmlns:mc="http://schemas.openxmlformats.org/markup-compatibility/2006" xmlns:a14="http://schemas.microsoft.com/office/drawing/2010/main">
      <mc:Choice Requires="a14">
        <xdr:graphicFrame macro="">
          <xdr:nvGraphicFramePr>
            <xdr:cNvPr id="72" name="Experience_Level">
              <a:extLst>
                <a:ext uri="{FF2B5EF4-FFF2-40B4-BE49-F238E27FC236}">
                  <a16:creationId xmlns:a16="http://schemas.microsoft.com/office/drawing/2014/main" id="{094AC9BA-89AD-8632-E734-B756E792519D}"/>
                </a:ext>
              </a:extLst>
            </xdr:cNvPr>
            <xdr:cNvGraphicFramePr/>
          </xdr:nvGraphicFramePr>
          <xdr:xfrm>
            <a:off x="0" y="0"/>
            <a:ext cx="0" cy="0"/>
          </xdr:xfrm>
          <a:graphic>
            <a:graphicData uri="http://schemas.microsoft.com/office/drawing/2010/slicer">
              <sle:slicer xmlns:sle="http://schemas.microsoft.com/office/drawing/2010/slicer" name="Experience_Level"/>
            </a:graphicData>
          </a:graphic>
        </xdr:graphicFrame>
      </mc:Choice>
      <mc:Fallback xmlns="">
        <xdr:sp macro="" textlink="">
          <xdr:nvSpPr>
            <xdr:cNvPr id="0" name=""/>
            <xdr:cNvSpPr>
              <a:spLocks noTextEdit="1"/>
            </xdr:cNvSpPr>
          </xdr:nvSpPr>
          <xdr:spPr>
            <a:xfrm>
              <a:off x="213360" y="4389121"/>
              <a:ext cx="181356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259080</xdr:colOff>
      <xdr:row>6</xdr:row>
      <xdr:rowOff>167640</xdr:rowOff>
    </xdr:from>
    <xdr:to>
      <xdr:col>3</xdr:col>
      <xdr:colOff>62048</xdr:colOff>
      <xdr:row>9</xdr:row>
      <xdr:rowOff>88433</xdr:rowOff>
    </xdr:to>
    <xdr:pic>
      <xdr:nvPicPr>
        <xdr:cNvPr id="73" name="Picture 72">
          <a:extLst>
            <a:ext uri="{FF2B5EF4-FFF2-40B4-BE49-F238E27FC236}">
              <a16:creationId xmlns:a16="http://schemas.microsoft.com/office/drawing/2014/main" id="{D09734EB-1EF9-4EFE-9108-AE96934D1CCA}"/>
            </a:ext>
          </a:extLst>
        </xdr:cNvPr>
        <xdr:cNvPicPr>
          <a:picLocks noChangeAspect="1"/>
        </xdr:cNvPicPr>
      </xdr:nvPicPr>
      <xdr:blipFill>
        <a:blip xmlns:r="http://schemas.openxmlformats.org/officeDocument/2006/relationships" r:embed="rId7"/>
        <a:stretch>
          <a:fillRect/>
        </a:stretch>
      </xdr:blipFill>
      <xdr:spPr>
        <a:xfrm>
          <a:off x="259080" y="1264920"/>
          <a:ext cx="1631768" cy="469433"/>
        </a:xfrm>
        <a:prstGeom prst="rect">
          <a:avLst/>
        </a:prstGeom>
      </xdr:spPr>
    </xdr:pic>
    <xdr:clientData/>
  </xdr:twoCellAnchor>
  <xdr:twoCellAnchor>
    <xdr:from>
      <xdr:col>0</xdr:col>
      <xdr:colOff>480060</xdr:colOff>
      <xdr:row>13</xdr:row>
      <xdr:rowOff>137160</xdr:rowOff>
    </xdr:from>
    <xdr:to>
      <xdr:col>2</xdr:col>
      <xdr:colOff>259080</xdr:colOff>
      <xdr:row>15</xdr:row>
      <xdr:rowOff>30480</xdr:rowOff>
    </xdr:to>
    <xdr:sp macro="" textlink="">
      <xdr:nvSpPr>
        <xdr:cNvPr id="74" name="TextBox 73">
          <a:hlinkClick xmlns:r="http://schemas.openxmlformats.org/officeDocument/2006/relationships" r:id="rId3"/>
          <a:extLst>
            <a:ext uri="{FF2B5EF4-FFF2-40B4-BE49-F238E27FC236}">
              <a16:creationId xmlns:a16="http://schemas.microsoft.com/office/drawing/2014/main" id="{AF2E3DB9-3C56-43B8-A875-3231657C73FE}"/>
            </a:ext>
          </a:extLst>
        </xdr:cNvPr>
        <xdr:cNvSpPr txBox="1"/>
      </xdr:nvSpPr>
      <xdr:spPr>
        <a:xfrm>
          <a:off x="480060" y="2514600"/>
          <a:ext cx="9982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RAW</a:t>
          </a:r>
          <a:r>
            <a:rPr lang="en-IN" sz="1100" b="1" baseline="0">
              <a:latin typeface="Times New Roman" panose="02020603050405020304" pitchFamily="18" charset="0"/>
              <a:cs typeface="Times New Roman" panose="02020603050405020304" pitchFamily="18" charset="0"/>
            </a:rPr>
            <a:t> DATA</a:t>
          </a:r>
          <a:endParaRPr lang="en-IN" sz="1100" b="1">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5</xdr:row>
      <xdr:rowOff>160020</xdr:rowOff>
    </xdr:from>
    <xdr:to>
      <xdr:col>4</xdr:col>
      <xdr:colOff>182880</xdr:colOff>
      <xdr:row>31</xdr:row>
      <xdr:rowOff>152400</xdr:rowOff>
    </xdr:to>
    <xdr:sp macro="" textlink="">
      <xdr:nvSpPr>
        <xdr:cNvPr id="4" name="Rectangle 3">
          <a:extLst>
            <a:ext uri="{FF2B5EF4-FFF2-40B4-BE49-F238E27FC236}">
              <a16:creationId xmlns:a16="http://schemas.microsoft.com/office/drawing/2014/main" id="{33EF4E75-846A-4BA9-8899-B7B5A9FD11BD}"/>
            </a:ext>
          </a:extLst>
        </xdr:cNvPr>
        <xdr:cNvSpPr/>
      </xdr:nvSpPr>
      <xdr:spPr>
        <a:xfrm>
          <a:off x="342900" y="1074420"/>
          <a:ext cx="2278380" cy="4747260"/>
        </a:xfrm>
        <a:prstGeom prst="rect">
          <a:avLst/>
        </a:prstGeom>
        <a:solidFill>
          <a:schemeClr val="tx1">
            <a:lumMod val="50000"/>
            <a:lumOff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472439</xdr:colOff>
      <xdr:row>13</xdr:row>
      <xdr:rowOff>60960</xdr:rowOff>
    </xdr:from>
    <xdr:to>
      <xdr:col>3</xdr:col>
      <xdr:colOff>580262</xdr:colOff>
      <xdr:row>14</xdr:row>
      <xdr:rowOff>166080</xdr:rowOff>
    </xdr:to>
    <xdr:sp macro="" textlink="">
      <xdr:nvSpPr>
        <xdr:cNvPr id="5" name="Rectangle: Diagonal Corners Snipped 4">
          <a:extLst>
            <a:ext uri="{FF2B5EF4-FFF2-40B4-BE49-F238E27FC236}">
              <a16:creationId xmlns:a16="http://schemas.microsoft.com/office/drawing/2014/main" id="{A4B792A5-6E49-4681-943A-1EBD45A725C2}"/>
            </a:ext>
          </a:extLst>
        </xdr:cNvPr>
        <xdr:cNvSpPr/>
      </xdr:nvSpPr>
      <xdr:spPr>
        <a:xfrm>
          <a:off x="472439" y="2438400"/>
          <a:ext cx="1936623" cy="288000"/>
        </a:xfrm>
        <a:prstGeom prst="snip2DiagRect">
          <a:avLst/>
        </a:prstGeom>
        <a:solidFill>
          <a:schemeClr val="bg1">
            <a:lumMod val="9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350520</xdr:colOff>
      <xdr:row>0</xdr:row>
      <xdr:rowOff>129540</xdr:rowOff>
    </xdr:from>
    <xdr:to>
      <xdr:col>22</xdr:col>
      <xdr:colOff>487680</xdr:colOff>
      <xdr:row>4</xdr:row>
      <xdr:rowOff>118020</xdr:rowOff>
    </xdr:to>
    <xdr:sp macro="" textlink="">
      <xdr:nvSpPr>
        <xdr:cNvPr id="3" name="Rectangle 2">
          <a:extLst>
            <a:ext uri="{FF2B5EF4-FFF2-40B4-BE49-F238E27FC236}">
              <a16:creationId xmlns:a16="http://schemas.microsoft.com/office/drawing/2014/main" id="{35AB4D7B-1A08-4D03-8461-12F8CF6FA329}"/>
            </a:ext>
          </a:extLst>
        </xdr:cNvPr>
        <xdr:cNvSpPr/>
      </xdr:nvSpPr>
      <xdr:spPr>
        <a:xfrm>
          <a:off x="350520" y="129540"/>
          <a:ext cx="20840700" cy="720000"/>
        </a:xfrm>
        <a:prstGeom prst="rect">
          <a:avLst/>
        </a:prstGeom>
        <a:solidFill>
          <a:schemeClr val="tx1">
            <a:lumMod val="50000"/>
            <a:lumOff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472440</xdr:colOff>
      <xdr:row>6</xdr:row>
      <xdr:rowOff>30480</xdr:rowOff>
    </xdr:from>
    <xdr:to>
      <xdr:col>4</xdr:col>
      <xdr:colOff>84582</xdr:colOff>
      <xdr:row>9</xdr:row>
      <xdr:rowOff>21840</xdr:rowOff>
    </xdr:to>
    <xdr:sp macro="" textlink="">
      <xdr:nvSpPr>
        <xdr:cNvPr id="6" name="Arrow: Pentagon 5">
          <a:extLst>
            <a:ext uri="{FF2B5EF4-FFF2-40B4-BE49-F238E27FC236}">
              <a16:creationId xmlns:a16="http://schemas.microsoft.com/office/drawing/2014/main" id="{0492D8CF-FC66-4A73-85BD-E724C9007976}"/>
            </a:ext>
          </a:extLst>
        </xdr:cNvPr>
        <xdr:cNvSpPr/>
      </xdr:nvSpPr>
      <xdr:spPr>
        <a:xfrm>
          <a:off x="472440" y="1127760"/>
          <a:ext cx="2050542" cy="540000"/>
        </a:xfrm>
        <a:prstGeom prst="homePlate">
          <a:avLst/>
        </a:prstGeom>
        <a:solidFill>
          <a:schemeClr val="accent3">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480059</xdr:colOff>
      <xdr:row>11</xdr:row>
      <xdr:rowOff>91440</xdr:rowOff>
    </xdr:from>
    <xdr:to>
      <xdr:col>3</xdr:col>
      <xdr:colOff>587882</xdr:colOff>
      <xdr:row>13</xdr:row>
      <xdr:rowOff>13680</xdr:rowOff>
    </xdr:to>
    <xdr:sp macro="" textlink="">
      <xdr:nvSpPr>
        <xdr:cNvPr id="9" name="Rectangle: Diagonal Corners Snipped 8">
          <a:hlinkClick xmlns:r="http://schemas.openxmlformats.org/officeDocument/2006/relationships" r:id="rId1"/>
          <a:extLst>
            <a:ext uri="{FF2B5EF4-FFF2-40B4-BE49-F238E27FC236}">
              <a16:creationId xmlns:a16="http://schemas.microsoft.com/office/drawing/2014/main" id="{C6B694E3-7A5F-4E35-9933-DD35AF02539A}"/>
            </a:ext>
          </a:extLst>
        </xdr:cNvPr>
        <xdr:cNvSpPr/>
      </xdr:nvSpPr>
      <xdr:spPr>
        <a:xfrm>
          <a:off x="480059" y="2103120"/>
          <a:ext cx="1936623" cy="288000"/>
        </a:xfrm>
        <a:prstGeom prst="snip2DiagRect">
          <a:avLst/>
        </a:prstGeom>
        <a:solidFill>
          <a:schemeClr val="bg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480059</xdr:colOff>
      <xdr:row>9</xdr:row>
      <xdr:rowOff>121920</xdr:rowOff>
    </xdr:from>
    <xdr:to>
      <xdr:col>3</xdr:col>
      <xdr:colOff>587882</xdr:colOff>
      <xdr:row>11</xdr:row>
      <xdr:rowOff>44160</xdr:rowOff>
    </xdr:to>
    <xdr:sp macro="" textlink="">
      <xdr:nvSpPr>
        <xdr:cNvPr id="10" name="Rectangle: Diagonal Corners Snipped 9">
          <a:extLst>
            <a:ext uri="{FF2B5EF4-FFF2-40B4-BE49-F238E27FC236}">
              <a16:creationId xmlns:a16="http://schemas.microsoft.com/office/drawing/2014/main" id="{686909C9-403C-4134-88F5-41E5953B754D}"/>
            </a:ext>
          </a:extLst>
        </xdr:cNvPr>
        <xdr:cNvSpPr/>
      </xdr:nvSpPr>
      <xdr:spPr>
        <a:xfrm>
          <a:off x="480059" y="1767840"/>
          <a:ext cx="1936623" cy="288000"/>
        </a:xfrm>
        <a:prstGeom prst="snip2DiagRect">
          <a:avLst/>
        </a:prstGeom>
        <a:solidFill>
          <a:schemeClr val="bg1">
            <a:lumMod val="5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579120</xdr:colOff>
      <xdr:row>9</xdr:row>
      <xdr:rowOff>129540</xdr:rowOff>
    </xdr:from>
    <xdr:to>
      <xdr:col>3</xdr:col>
      <xdr:colOff>418930</xdr:colOff>
      <xdr:row>10</xdr:row>
      <xdr:rowOff>175260</xdr:rowOff>
    </xdr:to>
    <xdr:sp macro="" textlink="">
      <xdr:nvSpPr>
        <xdr:cNvPr id="7" name="TextBox 6">
          <a:hlinkClick xmlns:r="http://schemas.openxmlformats.org/officeDocument/2006/relationships" r:id="rId2"/>
          <a:extLst>
            <a:ext uri="{FF2B5EF4-FFF2-40B4-BE49-F238E27FC236}">
              <a16:creationId xmlns:a16="http://schemas.microsoft.com/office/drawing/2014/main" id="{8586FE07-3353-4A03-91CF-0CD49043CAE0}"/>
            </a:ext>
          </a:extLst>
        </xdr:cNvPr>
        <xdr:cNvSpPr txBox="1"/>
      </xdr:nvSpPr>
      <xdr:spPr>
        <a:xfrm>
          <a:off x="579120" y="1775460"/>
          <a:ext cx="166861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GENERAL DATA</a:t>
          </a:r>
        </a:p>
      </xdr:txBody>
    </xdr:sp>
    <xdr:clientData/>
  </xdr:twoCellAnchor>
  <xdr:twoCellAnchor>
    <xdr:from>
      <xdr:col>0</xdr:col>
      <xdr:colOff>601980</xdr:colOff>
      <xdr:row>11</xdr:row>
      <xdr:rowOff>91440</xdr:rowOff>
    </xdr:from>
    <xdr:to>
      <xdr:col>3</xdr:col>
      <xdr:colOff>83820</xdr:colOff>
      <xdr:row>12</xdr:row>
      <xdr:rowOff>175260</xdr:rowOff>
    </xdr:to>
    <xdr:sp macro="" textlink="">
      <xdr:nvSpPr>
        <xdr:cNvPr id="8" name="TextBox 7">
          <a:hlinkClick xmlns:r="http://schemas.openxmlformats.org/officeDocument/2006/relationships" r:id="rId1"/>
          <a:extLst>
            <a:ext uri="{FF2B5EF4-FFF2-40B4-BE49-F238E27FC236}">
              <a16:creationId xmlns:a16="http://schemas.microsoft.com/office/drawing/2014/main" id="{76222F66-5C4B-45BB-991E-D987469F9505}"/>
            </a:ext>
          </a:extLst>
        </xdr:cNvPr>
        <xdr:cNvSpPr txBox="1"/>
      </xdr:nvSpPr>
      <xdr:spPr>
        <a:xfrm>
          <a:off x="601980" y="2103120"/>
          <a:ext cx="13106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FITNESS LEVEL</a:t>
          </a:r>
        </a:p>
      </xdr:txBody>
    </xdr:sp>
    <xdr:clientData/>
  </xdr:twoCellAnchor>
  <xdr:twoCellAnchor>
    <xdr:from>
      <xdr:col>0</xdr:col>
      <xdr:colOff>571500</xdr:colOff>
      <xdr:row>13</xdr:row>
      <xdr:rowOff>76200</xdr:rowOff>
    </xdr:from>
    <xdr:to>
      <xdr:col>3</xdr:col>
      <xdr:colOff>571500</xdr:colOff>
      <xdr:row>14</xdr:row>
      <xdr:rowOff>152400</xdr:rowOff>
    </xdr:to>
    <xdr:sp macro="" textlink="">
      <xdr:nvSpPr>
        <xdr:cNvPr id="11" name="TextBox 10">
          <a:extLst>
            <a:ext uri="{FF2B5EF4-FFF2-40B4-BE49-F238E27FC236}">
              <a16:creationId xmlns:a16="http://schemas.microsoft.com/office/drawing/2014/main" id="{085A6BD9-B2B4-8180-F026-3B63F9E4E3D8}"/>
            </a:ext>
          </a:extLst>
        </xdr:cNvPr>
        <xdr:cNvSpPr txBox="1"/>
      </xdr:nvSpPr>
      <xdr:spPr>
        <a:xfrm>
          <a:off x="571500" y="2453640"/>
          <a:ext cx="18288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Times New Roman" panose="02020603050405020304" pitchFamily="18" charset="0"/>
              <a:cs typeface="Times New Roman" panose="02020603050405020304" pitchFamily="18" charset="0"/>
            </a:rPr>
            <a:t>RAW</a:t>
          </a:r>
          <a:r>
            <a:rPr lang="en-IN" sz="1100" b="1" baseline="0">
              <a:latin typeface="Times New Roman" panose="02020603050405020304" pitchFamily="18" charset="0"/>
              <a:cs typeface="Times New Roman" panose="02020603050405020304" pitchFamily="18" charset="0"/>
            </a:rPr>
            <a:t> DATA</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0</xdr:col>
      <xdr:colOff>487680</xdr:colOff>
      <xdr:row>6</xdr:row>
      <xdr:rowOff>137160</xdr:rowOff>
    </xdr:from>
    <xdr:to>
      <xdr:col>3</xdr:col>
      <xdr:colOff>464820</xdr:colOff>
      <xdr:row>8</xdr:row>
      <xdr:rowOff>99060</xdr:rowOff>
    </xdr:to>
    <xdr:sp macro="" textlink="">
      <xdr:nvSpPr>
        <xdr:cNvPr id="12" name="TextBox 11">
          <a:extLst>
            <a:ext uri="{FF2B5EF4-FFF2-40B4-BE49-F238E27FC236}">
              <a16:creationId xmlns:a16="http://schemas.microsoft.com/office/drawing/2014/main" id="{E673D0B1-3D28-57A5-B785-BC45880E23BF}"/>
            </a:ext>
          </a:extLst>
        </xdr:cNvPr>
        <xdr:cNvSpPr txBox="1"/>
      </xdr:nvSpPr>
      <xdr:spPr>
        <a:xfrm>
          <a:off x="487680" y="1234440"/>
          <a:ext cx="18059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u="sng">
              <a:latin typeface="Times New Roman" panose="02020603050405020304" pitchFamily="18" charset="0"/>
              <a:cs typeface="Times New Roman" panose="02020603050405020304" pitchFamily="18" charset="0"/>
            </a:rPr>
            <a:t>GYM MENBER</a:t>
          </a:r>
        </a:p>
      </xdr:txBody>
    </xdr:sp>
    <xdr:clientData/>
  </xdr:twoCellAnchor>
  <xdr:twoCellAnchor>
    <xdr:from>
      <xdr:col>3</xdr:col>
      <xdr:colOff>198120</xdr:colOff>
      <xdr:row>0</xdr:row>
      <xdr:rowOff>137160</xdr:rowOff>
    </xdr:from>
    <xdr:to>
      <xdr:col>13</xdr:col>
      <xdr:colOff>722967</xdr:colOff>
      <xdr:row>4</xdr:row>
      <xdr:rowOff>106369</xdr:rowOff>
    </xdr:to>
    <xdr:sp macro="" textlink="">
      <xdr:nvSpPr>
        <xdr:cNvPr id="13" name="TextBox 12">
          <a:extLst>
            <a:ext uri="{FF2B5EF4-FFF2-40B4-BE49-F238E27FC236}">
              <a16:creationId xmlns:a16="http://schemas.microsoft.com/office/drawing/2014/main" id="{ACFD5ECB-FEA6-49BF-B476-6DAD8B0B7B98}"/>
            </a:ext>
          </a:extLst>
        </xdr:cNvPr>
        <xdr:cNvSpPr txBox="1"/>
      </xdr:nvSpPr>
      <xdr:spPr>
        <a:xfrm>
          <a:off x="2026920" y="137160"/>
          <a:ext cx="8998287" cy="700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Times New Roman" panose="02020603050405020304" pitchFamily="18" charset="0"/>
              <a:cs typeface="Times New Roman" panose="02020603050405020304" pitchFamily="18" charset="0"/>
            </a:rPr>
            <a:t>GYM MEMBER TRACKING DASHBORD</a:t>
          </a:r>
        </a:p>
      </xdr:txBody>
    </xdr:sp>
    <xdr:clientData/>
  </xdr:twoCellAnchor>
  <xdr:twoCellAnchor editAs="oneCell">
    <xdr:from>
      <xdr:col>13</xdr:col>
      <xdr:colOff>611777</xdr:colOff>
      <xdr:row>0</xdr:row>
      <xdr:rowOff>91440</xdr:rowOff>
    </xdr:from>
    <xdr:to>
      <xdr:col>14</xdr:col>
      <xdr:colOff>354097</xdr:colOff>
      <xdr:row>4</xdr:row>
      <xdr:rowOff>95017</xdr:rowOff>
    </xdr:to>
    <xdr:pic>
      <xdr:nvPicPr>
        <xdr:cNvPr id="14" name="Graphic 13" descr="Body builder">
          <a:extLst>
            <a:ext uri="{FF2B5EF4-FFF2-40B4-BE49-F238E27FC236}">
              <a16:creationId xmlns:a16="http://schemas.microsoft.com/office/drawing/2014/main" id="{CFC29220-8B43-417A-A2BC-ECF2CA048B7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914017" y="91440"/>
          <a:ext cx="908180" cy="73509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956554</xdr:colOff>
      <xdr:row>19</xdr:row>
      <xdr:rowOff>144294</xdr:rowOff>
    </xdr:from>
    <xdr:to>
      <xdr:col>12</xdr:col>
      <xdr:colOff>1734766</xdr:colOff>
      <xdr:row>35</xdr:row>
      <xdr:rowOff>34048</xdr:rowOff>
    </xdr:to>
    <xdr:graphicFrame macro="">
      <xdr:nvGraphicFramePr>
        <xdr:cNvPr id="24" name="Chart 23">
          <a:extLst>
            <a:ext uri="{FF2B5EF4-FFF2-40B4-BE49-F238E27FC236}">
              <a16:creationId xmlns:a16="http://schemas.microsoft.com/office/drawing/2014/main" id="{48C615C9-9446-AC75-EA46-DA4C42013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Rane" refreshedDate="45922.693631134258" createdVersion="8" refreshedVersion="8" minRefreshableVersion="3" recordCount="1800" xr:uid="{7317A321-172A-4303-B945-97B04EFF0958}">
  <cacheSource type="worksheet">
    <worksheetSource name="Table13"/>
  </cacheSource>
  <cacheFields count="18">
    <cacheField name="Age" numFmtId="0">
      <sharedItems containsSemiMixedTypes="0" containsString="0" containsNumber="1" containsInteger="1" minValue="18" maxValue="111"/>
    </cacheField>
    <cacheField name="age range" numFmtId="0">
      <sharedItems count="5">
        <s v="25-34"/>
        <s v="18-24"/>
        <s v="45-54"/>
        <s v="35-44"/>
        <s v="55-64"/>
      </sharedItems>
    </cacheField>
    <cacheField name="Gender" numFmtId="0">
      <sharedItems count="3">
        <s v="Female"/>
        <s v="Male"/>
        <s v="Others"/>
      </sharedItems>
    </cacheField>
    <cacheField name="Weight (kg)" numFmtId="0">
      <sharedItems containsString="0" containsBlank="1" containsNumber="1" minValue="40" maxValue="129.9"/>
    </cacheField>
    <cacheField name="Height (m)" numFmtId="0">
      <sharedItems containsString="0" containsBlank="1" containsNumber="1" minValue="1.5" maxValue="2"/>
    </cacheField>
    <cacheField name="Max_BPM" numFmtId="0">
      <sharedItems containsBlank="1" containsMixedTypes="1" containsNumber="1" containsInteger="1" minValue="160" maxValue="199"/>
    </cacheField>
    <cacheField name="Avg_BPM" numFmtId="0">
      <sharedItems containsString="0" containsBlank="1" containsNumber="1" containsInteger="1" minValue="120" maxValue="169"/>
    </cacheField>
    <cacheField name="Resting_BPM" numFmtId="0">
      <sharedItems containsSemiMixedTypes="0" containsString="0" containsNumber="1" containsInteger="1" minValue="18" maxValue="74"/>
    </cacheField>
    <cacheField name="Session_Duration (hours)" numFmtId="0">
      <sharedItems containsString="0" containsBlank="1" containsNumber="1" minValue="0.5" maxValue="2"/>
    </cacheField>
    <cacheField name="Calories_Burned" numFmtId="0">
      <sharedItems containsString="0" containsBlank="1" containsNumber="1" containsInteger="1" minValue="303" maxValue="1783"/>
    </cacheField>
    <cacheField name="Workout_Type" numFmtId="0">
      <sharedItems count="5">
        <s v="Strength"/>
        <s v="Cardio"/>
        <s v="HIIT"/>
        <s v="Yoga"/>
        <s v="Others"/>
      </sharedItems>
    </cacheField>
    <cacheField name="fitness level" numFmtId="0">
      <sharedItems count="5">
        <s v="Athletes"/>
        <s v="Acceptable"/>
        <s v="Obese"/>
        <s v="Fitnesss"/>
        <s v="Atcceptable"/>
      </sharedItems>
    </cacheField>
    <cacheField name="Fat_Percentage" numFmtId="0">
      <sharedItems containsString="0" containsBlank="1" containsNumber="1" minValue="10" maxValue="35"/>
    </cacheField>
    <cacheField name="Water_Intake (liters)" numFmtId="0">
      <sharedItems containsString="0" containsBlank="1" containsNumber="1" minValue="1.5" maxValue="3.7"/>
    </cacheField>
    <cacheField name="Workout_Frequency (days/week)" numFmtId="0">
      <sharedItems containsString="0" containsBlank="1" containsNumber="1" containsInteger="1" minValue="2" maxValue="5"/>
    </cacheField>
    <cacheField name="Experience_Level" numFmtId="0">
      <sharedItems containsString="0" containsBlank="1" containsNumber="1" containsInteger="1" minValue="1" maxValue="3"/>
    </cacheField>
    <cacheField name="BMI LEVEL" numFmtId="0">
      <sharedItems count="5">
        <s v="Underweight"/>
        <s v="Obese"/>
        <s v="Normal"/>
        <s v="Severly Obese"/>
        <s v="Overweight"/>
      </sharedItems>
    </cacheField>
    <cacheField name="BMI" numFmtId="0">
      <sharedItems containsString="0" containsBlank="1" containsNumber="1" minValue="12.32" maxValue="49.84"/>
    </cacheField>
  </cacheFields>
  <extLst>
    <ext xmlns:x14="http://schemas.microsoft.com/office/spreadsheetml/2009/9/main" uri="{725AE2AE-9491-48be-B2B4-4EB974FC3084}">
      <x14:pivotCacheDefinition pivotCacheId="8562150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Rane" refreshedDate="45922.791140972222" createdVersion="8" refreshedVersion="8" minRefreshableVersion="3" recordCount="1799" xr:uid="{8CDB245E-2A38-4C70-8B26-1443C7232D1E}">
  <cacheSource type="worksheet">
    <worksheetSource ref="F7:W1806" sheet="RAW DATA"/>
  </cacheSource>
  <cacheFields count="18">
    <cacheField name="Age" numFmtId="0">
      <sharedItems containsSemiMixedTypes="0" containsString="0" containsNumber="1" containsInteger="1" minValue="18" maxValue="111"/>
    </cacheField>
    <cacheField name="age range" numFmtId="0">
      <sharedItems count="5">
        <s v="25-34"/>
        <s v="18-24"/>
        <s v="45-54"/>
        <s v="35-44"/>
        <s v="55-64"/>
      </sharedItems>
    </cacheField>
    <cacheField name="Gender" numFmtId="0">
      <sharedItems count="3">
        <s v="Female"/>
        <s v="Male"/>
        <s v="Others"/>
      </sharedItems>
    </cacheField>
    <cacheField name="Weight (kg)" numFmtId="0">
      <sharedItems containsString="0" containsBlank="1" containsNumber="1" minValue="40" maxValue="129.9"/>
    </cacheField>
    <cacheField name="Height (m)" numFmtId="0">
      <sharedItems containsString="0" containsBlank="1" containsNumber="1" minValue="1.5" maxValue="2"/>
    </cacheField>
    <cacheField name="Max_BPM" numFmtId="0">
      <sharedItems containsBlank="1" containsMixedTypes="1" containsNumber="1" containsInteger="1" minValue="160" maxValue="199"/>
    </cacheField>
    <cacheField name="Avg_BPM" numFmtId="0">
      <sharedItems containsString="0" containsBlank="1" containsNumber="1" containsInteger="1" minValue="120" maxValue="169"/>
    </cacheField>
    <cacheField name="Resting_BPM" numFmtId="0">
      <sharedItems containsSemiMixedTypes="0" containsString="0" containsNumber="1" containsInteger="1" minValue="18" maxValue="74"/>
    </cacheField>
    <cacheField name="Session_Duration (hours)" numFmtId="0">
      <sharedItems containsString="0" containsBlank="1" containsNumber="1" minValue="0.5" maxValue="2"/>
    </cacheField>
    <cacheField name="Calories_Burned" numFmtId="0">
      <sharedItems containsString="0" containsBlank="1" containsNumber="1" containsInteger="1" minValue="303" maxValue="1783"/>
    </cacheField>
    <cacheField name="Workout_Type" numFmtId="0">
      <sharedItems count="5">
        <s v="Strength"/>
        <s v="Cardio"/>
        <s v="HIIT"/>
        <s v="Yoga"/>
        <s v="Others"/>
      </sharedItems>
    </cacheField>
    <cacheField name="fitness level" numFmtId="0">
      <sharedItems count="4">
        <s v="Athletes"/>
        <s v="Acceptable"/>
        <s v="Obese"/>
        <s v="Fitnesss"/>
      </sharedItems>
    </cacheField>
    <cacheField name="Fat_Percentage" numFmtId="0">
      <sharedItems containsString="0" containsBlank="1" containsNumber="1" minValue="10" maxValue="35"/>
    </cacheField>
    <cacheField name="Water_Intake (liters)" numFmtId="0">
      <sharedItems containsString="0" containsBlank="1" containsNumber="1" minValue="1.5" maxValue="3.7"/>
    </cacheField>
    <cacheField name="Workout_Frequency (days/week)" numFmtId="0">
      <sharedItems containsString="0" containsBlank="1" containsNumber="1" containsInteger="1" minValue="2" maxValue="5"/>
    </cacheField>
    <cacheField name="Experience_Level" numFmtId="0">
      <sharedItems containsString="0" containsBlank="1" containsNumber="1" containsInteger="1" minValue="1" maxValue="3" count="4">
        <n v="2"/>
        <n v="1"/>
        <n v="3"/>
        <m/>
      </sharedItems>
    </cacheField>
    <cacheField name="BMI LEVEL" numFmtId="0">
      <sharedItems count="5">
        <s v="Underweight"/>
        <s v="Obese"/>
        <s v="Normal"/>
        <s v="Severly Obese"/>
        <s v="Overweight"/>
      </sharedItems>
    </cacheField>
    <cacheField name="BMI" numFmtId="0">
      <sharedItems containsString="0" containsBlank="1" containsNumber="1" minValue="12.32" maxValue="49.84"/>
    </cacheField>
  </cacheFields>
  <extLst>
    <ext xmlns:x14="http://schemas.microsoft.com/office/spreadsheetml/2009/9/main" uri="{725AE2AE-9491-48be-B2B4-4EB974FC3084}">
      <x14:pivotCacheDefinition pivotCacheId="15758937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n v="34"/>
    <x v="0"/>
    <x v="0"/>
    <n v="86.7"/>
    <n v="1.86"/>
    <n v="174"/>
    <n v="152"/>
    <n v="74"/>
    <n v="1.1200000000000001"/>
    <n v="712"/>
    <x v="0"/>
    <x v="0"/>
    <n v="12.8"/>
    <n v="2.4"/>
    <n v="5"/>
    <n v="2"/>
    <x v="0"/>
    <n v="14.31"/>
  </r>
  <r>
    <n v="26"/>
    <x v="0"/>
    <x v="0"/>
    <n v="84.7"/>
    <n v="1.83"/>
    <n v="166"/>
    <n v="156"/>
    <n v="73"/>
    <n v="1"/>
    <n v="833"/>
    <x v="0"/>
    <x v="1"/>
    <n v="27.9"/>
    <n v="2.8"/>
    <n v="5"/>
    <n v="2"/>
    <x v="1"/>
    <n v="33.49"/>
  </r>
  <r>
    <n v="22"/>
    <x v="1"/>
    <x v="1"/>
    <n v="64.8"/>
    <n v="1.85"/>
    <n v="187"/>
    <n v="166"/>
    <n v="64"/>
    <n v="1.24"/>
    <n v="1678"/>
    <x v="1"/>
    <x v="2"/>
    <n v="28.7"/>
    <n v="1.9"/>
    <n v="3"/>
    <n v="2"/>
    <x v="0"/>
    <n v="12.73"/>
  </r>
  <r>
    <n v="54"/>
    <x v="2"/>
    <x v="0"/>
    <n v="75.3"/>
    <n v="1.82"/>
    <n v="187"/>
    <n v="169"/>
    <n v="58"/>
    <n v="1.45"/>
    <n v="628"/>
    <x v="1"/>
    <x v="2"/>
    <n v="31.8"/>
    <n v="2.4"/>
    <n v="4"/>
    <n v="1"/>
    <x v="2"/>
    <n v="20.37"/>
  </r>
  <r>
    <n v="34"/>
    <x v="0"/>
    <x v="0"/>
    <n v="52.8"/>
    <n v="1.74"/>
    <n v="177"/>
    <n v="169"/>
    <n v="66"/>
    <n v="1.6"/>
    <n v="1286"/>
    <x v="0"/>
    <x v="1"/>
    <n v="26.4"/>
    <n v="3.2"/>
    <n v="4"/>
    <n v="2"/>
    <x v="2"/>
    <n v="20.83"/>
  </r>
  <r>
    <n v="38"/>
    <x v="3"/>
    <x v="0"/>
    <n v="53"/>
    <n v="1.58"/>
    <n v="161"/>
    <n v="128"/>
    <n v="74"/>
    <n v="1.62"/>
    <n v="953"/>
    <x v="2"/>
    <x v="3"/>
    <n v="23.4"/>
    <n v="2.5"/>
    <n v="2"/>
    <n v="2"/>
    <x v="0"/>
    <n v="13.02"/>
  </r>
  <r>
    <n v="44"/>
    <x v="3"/>
    <x v="0"/>
    <n v="46.5"/>
    <n v="1.81"/>
    <n v="191"/>
    <n v="142"/>
    <n v="74"/>
    <n v="1.46"/>
    <n v="1238"/>
    <x v="1"/>
    <x v="0"/>
    <n v="11.9"/>
    <n v="3.7"/>
    <n v="2"/>
    <n v="2"/>
    <x v="0"/>
    <n v="18.12"/>
  </r>
  <r>
    <n v="50"/>
    <x v="2"/>
    <x v="0"/>
    <n v="88.5"/>
    <n v="1.63"/>
    <n v="181"/>
    <n v="136"/>
    <n v="63"/>
    <n v="1.63"/>
    <n v="829"/>
    <x v="0"/>
    <x v="0"/>
    <n v="11.6"/>
    <n v="1.8"/>
    <n v="4"/>
    <n v="2"/>
    <x v="2"/>
    <n v="19.16"/>
  </r>
  <r>
    <n v="18"/>
    <x v="1"/>
    <x v="0"/>
    <n v="82.9"/>
    <n v="1.54"/>
    <n v="174"/>
    <n v="169"/>
    <n v="64"/>
    <n v="0.77"/>
    <n v="802"/>
    <x v="2"/>
    <x v="1"/>
    <n v="27.8"/>
    <n v="2.2000000000000002"/>
    <n v="3"/>
    <n v="1"/>
    <x v="3"/>
    <n v="49.84"/>
  </r>
  <r>
    <n v="34"/>
    <x v="0"/>
    <x v="0"/>
    <n v="65.900000000000006"/>
    <n v="1.74"/>
    <n v="195"/>
    <n v="169"/>
    <n v="73"/>
    <n v="2"/>
    <n v="1231"/>
    <x v="3"/>
    <x v="1"/>
    <n v="30.5"/>
    <n v="3.2"/>
    <n v="5"/>
    <n v="2"/>
    <x v="0"/>
    <n v="12.32"/>
  </r>
  <r>
    <n v="39"/>
    <x v="3"/>
    <x v="0"/>
    <n v="47"/>
    <n v="1.78"/>
    <n v="181"/>
    <n v="155"/>
    <n v="55"/>
    <n v="1.89"/>
    <n v="747"/>
    <x v="3"/>
    <x v="2"/>
    <n v="31.7"/>
    <n v="2.2999999999999998"/>
    <n v="3"/>
    <n v="3"/>
    <x v="4"/>
    <n v="28.39"/>
  </r>
  <r>
    <n v="46"/>
    <x v="2"/>
    <x v="1"/>
    <n v="40"/>
    <n v="1.88"/>
    <n v="168"/>
    <n v="131"/>
    <n v="69"/>
    <n v="2"/>
    <n v="672"/>
    <x v="4"/>
    <x v="2"/>
    <n v="25.4"/>
    <n v="2.4"/>
    <n v="2"/>
    <n v="2"/>
    <x v="0"/>
    <n v="12.32"/>
  </r>
  <r>
    <n v="19"/>
    <x v="1"/>
    <x v="1"/>
    <n v="87.7"/>
    <n v="1.98"/>
    <n v="186"/>
    <n v="145"/>
    <n v="50"/>
    <n v="1.61"/>
    <n v="1705"/>
    <x v="0"/>
    <x v="3"/>
    <n v="14.1"/>
    <n v="2.2999999999999998"/>
    <n v="3"/>
    <n v="2"/>
    <x v="0"/>
    <n v="15.99"/>
  </r>
  <r>
    <n v="56"/>
    <x v="4"/>
    <x v="0"/>
    <n v="107.4"/>
    <n v="1.73"/>
    <n v="176"/>
    <n v="141"/>
    <n v="71"/>
    <n v="0.65"/>
    <n v="1564"/>
    <x v="2"/>
    <x v="1"/>
    <n v="26"/>
    <n v="3"/>
    <n v="2"/>
    <n v="3"/>
    <x v="0"/>
    <n v="14.48"/>
  </r>
  <r>
    <n v="19"/>
    <x v="1"/>
    <x v="0"/>
    <n v="71.7"/>
    <n v="1.91"/>
    <n v="197"/>
    <n v="148"/>
    <n v="74"/>
    <n v="1.1499999999999999"/>
    <n v="464"/>
    <x v="1"/>
    <x v="2"/>
    <n v="32.5"/>
    <n v="2.7"/>
    <n v="4"/>
    <n v="2"/>
    <x v="2"/>
    <n v="19.09"/>
  </r>
  <r>
    <n v="30"/>
    <x v="0"/>
    <x v="0"/>
    <n v="90.6"/>
    <n v="1.6"/>
    <n v="161"/>
    <n v="125"/>
    <n v="52"/>
    <n v="1.03"/>
    <n v="1410"/>
    <x v="3"/>
    <x v="0"/>
    <n v="16"/>
    <n v="3.5"/>
    <n v="4"/>
    <n v="2"/>
    <x v="0"/>
    <n v="13.91"/>
  </r>
  <r>
    <n v="23"/>
    <x v="1"/>
    <x v="1"/>
    <n v="56.2"/>
    <n v="1.76"/>
    <n v="195"/>
    <n v="141"/>
    <n v="55"/>
    <n v="1.45"/>
    <n v="1195"/>
    <x v="2"/>
    <x v="4"/>
    <n v="23.9"/>
    <n v="3.2"/>
    <n v="4"/>
    <n v="1"/>
    <x v="2"/>
    <n v="22.61"/>
  </r>
  <r>
    <n v="39"/>
    <x v="3"/>
    <x v="0"/>
    <n v="71.3"/>
    <n v="1.77"/>
    <n v="171"/>
    <n v="124"/>
    <n v="74"/>
    <n v="0.69"/>
    <n v="871"/>
    <x v="1"/>
    <x v="3"/>
    <n v="21.9"/>
    <n v="2.1"/>
    <n v="5"/>
    <n v="1"/>
    <x v="0"/>
    <n v="14.31"/>
  </r>
  <r>
    <n v="54"/>
    <x v="2"/>
    <x v="0"/>
    <n v="47.7"/>
    <n v="1.56"/>
    <n v="181"/>
    <n v="128"/>
    <n v="74"/>
    <n v="1.5"/>
    <n v="853"/>
    <x v="3"/>
    <x v="1"/>
    <n v="26.5"/>
    <n v="1.5"/>
    <n v="3"/>
    <n v="1"/>
    <x v="2"/>
    <n v="23.64"/>
  </r>
  <r>
    <n v="18"/>
    <x v="1"/>
    <x v="1"/>
    <n v="63"/>
    <n v="1.51"/>
    <n v="184"/>
    <n v="169"/>
    <n v="71"/>
    <n v="1.3"/>
    <n v="1136"/>
    <x v="1"/>
    <x v="4"/>
    <n v="23.8"/>
    <n v="2.2999999999999998"/>
    <n v="3"/>
    <n v="2"/>
    <x v="2"/>
    <n v="22.69"/>
  </r>
  <r>
    <n v="26"/>
    <x v="0"/>
    <x v="1"/>
    <n v="129.9"/>
    <n v="1.71"/>
    <n v="196"/>
    <n v="136"/>
    <n v="74"/>
    <n v="1.27"/>
    <n v="931"/>
    <x v="3"/>
    <x v="2"/>
    <n v="26.6"/>
    <n v="1.8"/>
    <n v="5"/>
    <n v="1"/>
    <x v="2"/>
    <n v="21.04"/>
  </r>
  <r>
    <n v="22"/>
    <x v="1"/>
    <x v="0"/>
    <n v="102.4"/>
    <n v="1.5"/>
    <n v="173"/>
    <n v="156"/>
    <n v="55"/>
    <n v="1.44"/>
    <n v="453"/>
    <x v="2"/>
    <x v="0"/>
    <n v="17.5"/>
    <n v="1.6"/>
    <n v="4"/>
    <n v="3"/>
    <x v="0"/>
    <n v="18.23"/>
  </r>
  <r>
    <n v="36"/>
    <x v="3"/>
    <x v="0"/>
    <n v="64.2"/>
    <n v="1.78"/>
    <n v="192"/>
    <n v="130"/>
    <n v="74"/>
    <n v="1.38"/>
    <n v="1708"/>
    <x v="3"/>
    <x v="2"/>
    <n v="31.9"/>
    <n v="2.1"/>
    <m/>
    <n v="1"/>
    <x v="4"/>
    <n v="25.59"/>
  </r>
  <r>
    <n v="18"/>
    <x v="1"/>
    <x v="1"/>
    <n v="129.4"/>
    <n v="1.5"/>
    <n v="177"/>
    <n v="145"/>
    <n v="71"/>
    <m/>
    <n v="772"/>
    <x v="0"/>
    <x v="4"/>
    <n v="22"/>
    <n v="1.7"/>
    <n v="5"/>
    <n v="1"/>
    <x v="0"/>
    <n v="18.07"/>
  </r>
  <r>
    <n v="25"/>
    <x v="0"/>
    <x v="1"/>
    <n v="57.2"/>
    <n v="1.82"/>
    <n v="184"/>
    <n v="140"/>
    <n v="74"/>
    <n v="1.1499999999999999"/>
    <n v="888"/>
    <x v="0"/>
    <x v="2"/>
    <n v="26.9"/>
    <n v="2.6"/>
    <n v="4"/>
    <n v="2"/>
    <x v="0"/>
    <n v="15.23"/>
  </r>
  <r>
    <n v="59"/>
    <x v="4"/>
    <x v="1"/>
    <n v="71.8"/>
    <n v="1.5"/>
    <n v="165"/>
    <n v="152"/>
    <n v="74"/>
    <n v="1.94"/>
    <n v="758"/>
    <x v="3"/>
    <x v="2"/>
    <n v="28.9"/>
    <n v="3.3"/>
    <n v="3"/>
    <n v="1"/>
    <x v="0"/>
    <n v="16.87"/>
  </r>
  <r>
    <n v="18"/>
    <x v="1"/>
    <x v="1"/>
    <n v="112.4"/>
    <n v="1.71"/>
    <n v="177"/>
    <n v="165"/>
    <n v="55"/>
    <n v="1.56"/>
    <n v="1044"/>
    <x v="2"/>
    <x v="2"/>
    <n v="33.5"/>
    <n v="1.7"/>
    <n v="2"/>
    <n v="2"/>
    <x v="2"/>
    <n v="24.43"/>
  </r>
  <r>
    <n v="18"/>
    <x v="1"/>
    <x v="1"/>
    <n v="40"/>
    <n v="1.72"/>
    <n v="188"/>
    <n v="155"/>
    <n v="74"/>
    <n v="1.51"/>
    <n v="1266"/>
    <x v="1"/>
    <x v="2"/>
    <n v="26.4"/>
    <n v="2.5"/>
    <n v="2"/>
    <m/>
    <x v="0"/>
    <n v="17.79"/>
  </r>
  <r>
    <n v="25"/>
    <x v="0"/>
    <x v="0"/>
    <n v="64.3"/>
    <n v="1.65"/>
    <n v="183"/>
    <n v="169"/>
    <n v="67"/>
    <n v="1.28"/>
    <n v="1783"/>
    <x v="1"/>
    <x v="3"/>
    <n v="20"/>
    <n v="3.2"/>
    <n v="2"/>
    <n v="3"/>
    <x v="2"/>
    <n v="20.59"/>
  </r>
  <r>
    <n v="32"/>
    <x v="0"/>
    <x v="1"/>
    <n v="72.400000000000006"/>
    <n v="1.74"/>
    <n v="189"/>
    <n v="127"/>
    <n v="60"/>
    <n v="1.4"/>
    <n v="1090"/>
    <x v="3"/>
    <x v="3"/>
    <n v="16.899999999999999"/>
    <n v="1.6"/>
    <n v="2"/>
    <n v="1"/>
    <x v="0"/>
    <n v="17.68"/>
  </r>
  <r>
    <n v="28"/>
    <x v="0"/>
    <x v="1"/>
    <n v="62.4"/>
    <n v="1.56"/>
    <n v="193"/>
    <n v="141"/>
    <n v="55"/>
    <n v="2"/>
    <n v="861"/>
    <x v="1"/>
    <x v="2"/>
    <n v="32.200000000000003"/>
    <n v="3.6"/>
    <n v="3"/>
    <n v="1"/>
    <x v="2"/>
    <n v="18.61"/>
  </r>
  <r>
    <n v="27"/>
    <x v="0"/>
    <x v="0"/>
    <n v="78.599999999999994"/>
    <n v="1.65"/>
    <n v="198"/>
    <n v="127"/>
    <n v="66"/>
    <n v="1.61"/>
    <n v="938"/>
    <x v="3"/>
    <x v="1"/>
    <n v="26.8"/>
    <n v="3.1"/>
    <n v="3"/>
    <n v="1"/>
    <x v="0"/>
    <n v="17.920000000000002"/>
  </r>
  <r>
    <n v="44"/>
    <x v="3"/>
    <x v="0"/>
    <n v="45"/>
    <n v="1.53"/>
    <n v="199"/>
    <n v="158"/>
    <n v="50"/>
    <n v="0.7"/>
    <n v="930"/>
    <x v="0"/>
    <x v="3"/>
    <n v="21.9"/>
    <n v="3.6"/>
    <n v="4"/>
    <n v="1"/>
    <x v="4"/>
    <n v="27.74"/>
  </r>
  <r>
    <n v="20"/>
    <x v="1"/>
    <x v="0"/>
    <n v="103.4"/>
    <n v="1.53"/>
    <n v="180"/>
    <n v="166"/>
    <n v="56"/>
    <n v="1.28"/>
    <n v="631"/>
    <x v="2"/>
    <x v="3"/>
    <n v="23"/>
    <n v="3"/>
    <n v="4"/>
    <n v="1"/>
    <x v="2"/>
    <n v="19.18"/>
  </r>
  <r>
    <n v="51"/>
    <x v="2"/>
    <x v="1"/>
    <n v="79.2"/>
    <n v="1.85"/>
    <n v="178"/>
    <n v="147"/>
    <n v="51"/>
    <n v="1.52"/>
    <n v="1355"/>
    <x v="0"/>
    <x v="4"/>
    <n v="23.2"/>
    <n v="2"/>
    <n v="4"/>
    <n v="1"/>
    <x v="2"/>
    <n v="18.95"/>
  </r>
  <r>
    <n v="52"/>
    <x v="2"/>
    <x v="0"/>
    <n v="40"/>
    <n v="1.84"/>
    <s v="\t182"/>
    <n v="156"/>
    <n v="56"/>
    <n v="1.2"/>
    <n v="1258"/>
    <x v="1"/>
    <x v="1"/>
    <n v="25"/>
    <n v="2"/>
    <n v="4"/>
    <n v="2"/>
    <x v="0"/>
    <n v="12.32"/>
  </r>
  <r>
    <n v="35"/>
    <x v="3"/>
    <x v="1"/>
    <n v="75.7"/>
    <n v="1.61"/>
    <n v="192"/>
    <n v="147"/>
    <n v="52"/>
    <n v="0.92"/>
    <n v="1211"/>
    <x v="0"/>
    <x v="4"/>
    <n v="21.2"/>
    <n v="2.4"/>
    <n v="3"/>
    <n v="2"/>
    <x v="2"/>
    <n v="23.19"/>
  </r>
  <r>
    <n v="21"/>
    <x v="1"/>
    <x v="1"/>
    <n v="76.8"/>
    <n v="1.75"/>
    <n v="166"/>
    <n v="125"/>
    <n v="74"/>
    <n v="1.56"/>
    <n v="1152"/>
    <x v="0"/>
    <x v="2"/>
    <n v="25.1"/>
    <n v="2.7"/>
    <n v="3"/>
    <n v="1"/>
    <x v="0"/>
    <n v="16.66"/>
  </r>
  <r>
    <n v="48"/>
    <x v="2"/>
    <x v="0"/>
    <n v="112.6"/>
    <n v="1.69"/>
    <n v="160"/>
    <n v="162"/>
    <n v="63"/>
    <n v="0.89"/>
    <n v="1482"/>
    <x v="1"/>
    <x v="3"/>
    <n v="22.6"/>
    <n v="2.5"/>
    <n v="4"/>
    <n v="2"/>
    <x v="0"/>
    <n v="12.32"/>
  </r>
  <r>
    <n v="18"/>
    <x v="1"/>
    <x v="1"/>
    <n v="73.7"/>
    <n v="1.78"/>
    <n v="192"/>
    <n v="154"/>
    <n v="73"/>
    <n v="1.18"/>
    <n v="851"/>
    <x v="0"/>
    <x v="2"/>
    <n v="27.4"/>
    <n v="2.6"/>
    <n v="2"/>
    <n v="2"/>
    <x v="2"/>
    <n v="21.08"/>
  </r>
  <r>
    <n v="18"/>
    <x v="1"/>
    <x v="0"/>
    <n v="84"/>
    <n v="1.71"/>
    <n v="194"/>
    <n v="148"/>
    <n v="52"/>
    <n v="0.92"/>
    <n v="621"/>
    <x v="0"/>
    <x v="1"/>
    <n v="28.3"/>
    <n v="3.4"/>
    <n v="3"/>
    <n v="3"/>
    <x v="0"/>
    <n v="17.989999999999998"/>
  </r>
  <r>
    <n v="28"/>
    <x v="0"/>
    <x v="1"/>
    <n v="68"/>
    <n v="1.7"/>
    <n v="174"/>
    <n v="155"/>
    <n v="68"/>
    <n v="0.74"/>
    <n v="1464"/>
    <x v="3"/>
    <x v="4"/>
    <n v="17"/>
    <n v="2.2999999999999998"/>
    <n v="3"/>
    <n v="2"/>
    <x v="2"/>
    <n v="21.67"/>
  </r>
  <r>
    <n v="23"/>
    <x v="1"/>
    <x v="1"/>
    <n v="107.6"/>
    <n v="1.5"/>
    <m/>
    <n v="136"/>
    <n v="71"/>
    <n v="1.53"/>
    <n v="1062"/>
    <x v="1"/>
    <x v="0"/>
    <n v="10"/>
    <n v="2.2999999999999998"/>
    <n v="5"/>
    <n v="3"/>
    <x v="2"/>
    <n v="23.77"/>
  </r>
  <r>
    <n v="30"/>
    <x v="0"/>
    <x v="0"/>
    <n v="54.3"/>
    <n v="1.82"/>
    <n v="185"/>
    <n v="168"/>
    <n v="66"/>
    <n v="1.4"/>
    <n v="1415"/>
    <x v="4"/>
    <x v="1"/>
    <n v="25.4"/>
    <n v="3.6"/>
    <n v="3"/>
    <n v="1"/>
    <x v="4"/>
    <n v="26.4"/>
  </r>
  <r>
    <n v="18"/>
    <x v="1"/>
    <x v="0"/>
    <n v="42.8"/>
    <n v="1.89"/>
    <n v="194"/>
    <n v="162"/>
    <n v="73"/>
    <n v="2"/>
    <n v="736"/>
    <x v="4"/>
    <x v="3"/>
    <n v="22.5"/>
    <n v="1.5"/>
    <n v="3"/>
    <n v="2"/>
    <x v="2"/>
    <n v="18.54"/>
  </r>
  <r>
    <n v="37"/>
    <x v="3"/>
    <x v="2"/>
    <n v="55.4"/>
    <n v="1.68"/>
    <n v="197"/>
    <m/>
    <n v="52"/>
    <n v="1.04"/>
    <n v="338"/>
    <x v="1"/>
    <x v="4"/>
    <n v="27.4"/>
    <n v="3.2"/>
    <m/>
    <n v="3"/>
    <x v="0"/>
    <n v="17.71"/>
  </r>
  <r>
    <n v="49"/>
    <x v="2"/>
    <x v="0"/>
    <n v="102.4"/>
    <n v="1.65"/>
    <n v="185"/>
    <n v="148"/>
    <n v="68"/>
    <n v="1.27"/>
    <n v="980"/>
    <x v="1"/>
    <x v="2"/>
    <n v="34.799999999999997"/>
    <n v="2"/>
    <n v="5"/>
    <m/>
    <x v="0"/>
    <n v="15.52"/>
  </r>
  <r>
    <n v="42"/>
    <x v="3"/>
    <x v="0"/>
    <n v="95.5"/>
    <n v="1.95"/>
    <n v="168"/>
    <n v="125"/>
    <n v="72"/>
    <n v="1.91"/>
    <n v="632"/>
    <x v="2"/>
    <x v="1"/>
    <n v="26.1"/>
    <n v="2"/>
    <n v="4"/>
    <n v="1"/>
    <x v="0"/>
    <n v="12.32"/>
  </r>
  <r>
    <n v="27"/>
    <x v="0"/>
    <x v="0"/>
    <n v="58.7"/>
    <n v="1.98"/>
    <n v="199"/>
    <n v="145"/>
    <n v="52"/>
    <n v="2"/>
    <n v="1119"/>
    <x v="1"/>
    <x v="3"/>
    <n v="23"/>
    <n v="2.7"/>
    <n v="2"/>
    <n v="3"/>
    <x v="2"/>
    <n v="18.989999999999998"/>
  </r>
  <r>
    <n v="35"/>
    <x v="3"/>
    <x v="0"/>
    <n v="49.7"/>
    <n v="1.86"/>
    <n v="161"/>
    <m/>
    <n v="62"/>
    <n v="1.1200000000000001"/>
    <n v="867"/>
    <x v="0"/>
    <x v="0"/>
    <n v="15.2"/>
    <n v="1.8"/>
    <n v="4"/>
    <n v="3"/>
    <x v="0"/>
    <n v="12.32"/>
  </r>
  <r>
    <n v="24"/>
    <x v="1"/>
    <x v="0"/>
    <n v="86.5"/>
    <n v="1.65"/>
    <n v="196"/>
    <n v="169"/>
    <n v="59"/>
    <n v="1.08"/>
    <n v="771"/>
    <x v="1"/>
    <x v="1"/>
    <n v="27.3"/>
    <n v="2.1"/>
    <n v="3"/>
    <n v="1"/>
    <x v="0"/>
    <n v="12.9"/>
  </r>
  <r>
    <n v="44"/>
    <x v="3"/>
    <x v="0"/>
    <n v="63.6"/>
    <n v="1.78"/>
    <n v="167"/>
    <n v="129"/>
    <n v="74"/>
    <n v="1.34"/>
    <n v="1165"/>
    <x v="3"/>
    <x v="0"/>
    <n v="10.7"/>
    <n v="3.4"/>
    <n v="4"/>
    <n v="1"/>
    <x v="0"/>
    <n v="15.73"/>
  </r>
  <r>
    <n v="52"/>
    <x v="2"/>
    <x v="1"/>
    <n v="58.7"/>
    <n v="1.58"/>
    <n v="169"/>
    <n v="131"/>
    <n v="53"/>
    <n v="1.1399999999999999"/>
    <n v="900"/>
    <x v="2"/>
    <x v="2"/>
    <n v="28.5"/>
    <n v="3.3"/>
    <n v="3"/>
    <m/>
    <x v="2"/>
    <n v="19.62"/>
  </r>
  <r>
    <n v="49"/>
    <x v="2"/>
    <x v="0"/>
    <n v="56.6"/>
    <n v="1.75"/>
    <n v="198"/>
    <n v="120"/>
    <n v="72"/>
    <n v="1.1200000000000001"/>
    <n v="1767"/>
    <x v="3"/>
    <x v="3"/>
    <n v="23.6"/>
    <n v="2.6"/>
    <n v="2"/>
    <n v="2"/>
    <x v="1"/>
    <n v="34.369999999999997"/>
  </r>
  <r>
    <n v="36"/>
    <x v="3"/>
    <x v="0"/>
    <n v="40"/>
    <n v="1.71"/>
    <n v="178"/>
    <n v="169"/>
    <n v="69"/>
    <n v="1.3"/>
    <n v="1519"/>
    <x v="2"/>
    <x v="1"/>
    <n v="27.5"/>
    <n v="2.7"/>
    <n v="4"/>
    <n v="1"/>
    <x v="3"/>
    <n v="39.74"/>
  </r>
  <r>
    <n v="23"/>
    <x v="1"/>
    <x v="0"/>
    <n v="67.7"/>
    <n v="1.73"/>
    <n v="188"/>
    <n v="162"/>
    <n v="54"/>
    <n v="1.76"/>
    <n v="954"/>
    <x v="3"/>
    <x v="0"/>
    <n v="18"/>
    <n v="3.2"/>
    <n v="3"/>
    <n v="1"/>
    <x v="0"/>
    <n v="16.07"/>
  </r>
  <r>
    <n v="56"/>
    <x v="4"/>
    <x v="0"/>
    <n v="40"/>
    <n v="1.74"/>
    <n v="172"/>
    <n v="146"/>
    <n v="74"/>
    <n v="1.43"/>
    <n v="876"/>
    <x v="3"/>
    <x v="1"/>
    <n v="26"/>
    <n v="3.4"/>
    <n v="2"/>
    <n v="1"/>
    <x v="2"/>
    <n v="19.63"/>
  </r>
  <r>
    <n v="48"/>
    <x v="2"/>
    <x v="2"/>
    <n v="68"/>
    <n v="1.69"/>
    <n v="185"/>
    <n v="144"/>
    <n v="68"/>
    <n v="1.23"/>
    <n v="695"/>
    <x v="3"/>
    <x v="0"/>
    <n v="14.2"/>
    <n v="2.6"/>
    <n v="2"/>
    <n v="1"/>
    <x v="4"/>
    <n v="28.93"/>
  </r>
  <r>
    <n v="24"/>
    <x v="1"/>
    <x v="1"/>
    <n v="68.3"/>
    <n v="1.74"/>
    <n v="184"/>
    <n v="161"/>
    <n v="51"/>
    <n v="1.9"/>
    <n v="566"/>
    <x v="1"/>
    <x v="2"/>
    <n v="27.5"/>
    <n v="3.5"/>
    <n v="4"/>
    <m/>
    <x v="0"/>
    <n v="16.260000000000002"/>
  </r>
  <r>
    <n v="22"/>
    <x v="1"/>
    <x v="0"/>
    <n v="99.1"/>
    <n v="1.72"/>
    <n v="182"/>
    <n v="169"/>
    <n v="62"/>
    <n v="1.1399999999999999"/>
    <n v="1105"/>
    <x v="3"/>
    <x v="2"/>
    <n v="31.4"/>
    <n v="3.6"/>
    <n v="4"/>
    <n v="1"/>
    <x v="0"/>
    <n v="16.91"/>
  </r>
  <r>
    <n v="20"/>
    <x v="1"/>
    <x v="0"/>
    <n v="72.900000000000006"/>
    <n v="1.63"/>
    <n v="164"/>
    <n v="156"/>
    <n v="51"/>
    <n v="1.1100000000000001"/>
    <n v="582"/>
    <x v="0"/>
    <x v="1"/>
    <n v="27.1"/>
    <n v="3.2"/>
    <n v="3"/>
    <n v="2"/>
    <x v="2"/>
    <n v="19.829999999999998"/>
  </r>
  <r>
    <n v="44"/>
    <x v="3"/>
    <x v="0"/>
    <n v="40"/>
    <n v="1.68"/>
    <n v="175"/>
    <n v="156"/>
    <n v="74"/>
    <n v="1.04"/>
    <n v="1010"/>
    <x v="1"/>
    <x v="1"/>
    <n v="28.1"/>
    <n v="1.8"/>
    <n v="3"/>
    <n v="3"/>
    <x v="0"/>
    <n v="12.32"/>
  </r>
  <r>
    <n v="33"/>
    <x v="0"/>
    <x v="0"/>
    <n v="58.3"/>
    <n v="1.77"/>
    <n v="167"/>
    <n v="153"/>
    <n v="74"/>
    <n v="1.41"/>
    <n v="969"/>
    <x v="0"/>
    <x v="1"/>
    <n v="29.5"/>
    <n v="2.6"/>
    <n v="2"/>
    <n v="1"/>
    <x v="2"/>
    <n v="20.47"/>
  </r>
  <r>
    <n v="18"/>
    <x v="1"/>
    <x v="1"/>
    <n v="40"/>
    <n v="1.64"/>
    <n v="177"/>
    <n v="134"/>
    <n v="53"/>
    <n v="0.98"/>
    <n v="468"/>
    <x v="0"/>
    <x v="2"/>
    <n v="25.6"/>
    <n v="2.1"/>
    <n v="3"/>
    <n v="3"/>
    <x v="2"/>
    <n v="18.78"/>
  </r>
  <r>
    <n v="59"/>
    <x v="4"/>
    <x v="1"/>
    <n v="45.8"/>
    <n v="1.5"/>
    <n v="163"/>
    <n v="137"/>
    <n v="55"/>
    <n v="1.98"/>
    <n v="1306"/>
    <x v="1"/>
    <x v="4"/>
    <n v="24"/>
    <n v="2.9"/>
    <n v="4"/>
    <n v="2"/>
    <x v="4"/>
    <n v="26.25"/>
  </r>
  <r>
    <n v="27"/>
    <x v="0"/>
    <x v="1"/>
    <n v="52.3"/>
    <n v="1.75"/>
    <n v="180"/>
    <n v="128"/>
    <n v="61"/>
    <n v="1.92"/>
    <n v="931"/>
    <x v="0"/>
    <x v="3"/>
    <n v="15"/>
    <n v="2.5"/>
    <n v="4"/>
    <n v="2"/>
    <x v="2"/>
    <n v="23.23"/>
  </r>
  <r>
    <n v="33"/>
    <x v="0"/>
    <x v="0"/>
    <n v="76.3"/>
    <n v="1.95"/>
    <n v="188"/>
    <n v="125"/>
    <n v="72"/>
    <n v="0.95"/>
    <n v="899"/>
    <x v="0"/>
    <x v="3"/>
    <n v="21.7"/>
    <n v="2.2999999999999998"/>
    <n v="5"/>
    <n v="1"/>
    <x v="4"/>
    <n v="26.08"/>
  </r>
  <r>
    <n v="47"/>
    <x v="2"/>
    <x v="1"/>
    <n v="77.5"/>
    <n v="1.72"/>
    <n v="176"/>
    <n v="151"/>
    <n v="56"/>
    <n v="1.39"/>
    <n v="679"/>
    <x v="1"/>
    <x v="3"/>
    <n v="13.3"/>
    <n v="3.5"/>
    <n v="2"/>
    <n v="3"/>
    <x v="2"/>
    <n v="24.32"/>
  </r>
  <r>
    <n v="18"/>
    <x v="1"/>
    <x v="1"/>
    <m/>
    <n v="1.8"/>
    <n v="197"/>
    <n v="165"/>
    <n v="56"/>
    <n v="0.74"/>
    <n v="1208"/>
    <x v="2"/>
    <x v="2"/>
    <n v="26.1"/>
    <n v="3.3"/>
    <n v="3"/>
    <n v="3"/>
    <x v="0"/>
    <n v="12.32"/>
  </r>
  <r>
    <n v="46"/>
    <x v="2"/>
    <x v="0"/>
    <n v="40"/>
    <n v="1.58"/>
    <n v="177"/>
    <n v="132"/>
    <n v="58"/>
    <n v="1.29"/>
    <n v="1189"/>
    <x v="0"/>
    <x v="2"/>
    <n v="31.1"/>
    <n v="2.5"/>
    <m/>
    <n v="2"/>
    <x v="0"/>
    <n v="12.73"/>
  </r>
  <r>
    <n v="27"/>
    <x v="0"/>
    <x v="1"/>
    <n v="96.3"/>
    <n v="1.61"/>
    <n v="198"/>
    <n v="159"/>
    <n v="70"/>
    <n v="1.1599999999999999"/>
    <n v="1203"/>
    <x v="1"/>
    <x v="2"/>
    <n v="32.1"/>
    <n v="3.1"/>
    <n v="3"/>
    <n v="1"/>
    <x v="0"/>
    <n v="12.32"/>
  </r>
  <r>
    <n v="34"/>
    <x v="0"/>
    <x v="0"/>
    <n v="49.6"/>
    <n v="1.52"/>
    <n v="191"/>
    <m/>
    <n v="59"/>
    <n v="1.59"/>
    <n v="744"/>
    <x v="2"/>
    <x v="3"/>
    <n v="22.2"/>
    <n v="1.6"/>
    <n v="3"/>
    <n v="1"/>
    <x v="2"/>
    <n v="20.97"/>
  </r>
  <r>
    <n v="45"/>
    <x v="2"/>
    <x v="1"/>
    <n v="86.4"/>
    <n v="1.51"/>
    <m/>
    <n v="159"/>
    <n v="69"/>
    <n v="1.23"/>
    <n v="1313"/>
    <x v="1"/>
    <x v="2"/>
    <n v="35"/>
    <n v="3.3"/>
    <n v="3"/>
    <n v="3"/>
    <x v="0"/>
    <n v="16.059999999999999"/>
  </r>
  <r>
    <n v="55"/>
    <x v="4"/>
    <x v="0"/>
    <n v="68.400000000000006"/>
    <n v="1.85"/>
    <n v="175"/>
    <n v="150"/>
    <n v="58"/>
    <n v="1.1599999999999999"/>
    <n v="1020"/>
    <x v="1"/>
    <x v="1"/>
    <n v="29.2"/>
    <n v="2.5"/>
    <n v="4"/>
    <n v="2"/>
    <x v="2"/>
    <n v="22.87"/>
  </r>
  <r>
    <n v="18"/>
    <x v="1"/>
    <x v="0"/>
    <n v="56.9"/>
    <n v="1.77"/>
    <n v="183"/>
    <n v="131"/>
    <n v="57"/>
    <n v="1.28"/>
    <n v="1052"/>
    <x v="1"/>
    <x v="3"/>
    <n v="20.7"/>
    <n v="3.5"/>
    <n v="4"/>
    <n v="2"/>
    <x v="2"/>
    <n v="18.57"/>
  </r>
  <r>
    <n v="41"/>
    <x v="3"/>
    <x v="0"/>
    <n v="51.1"/>
    <n v="1.94"/>
    <m/>
    <n v="137"/>
    <n v="72"/>
    <n v="1.23"/>
    <n v="1084"/>
    <x v="4"/>
    <x v="0"/>
    <n v="16.399999999999999"/>
    <n v="2.2999999999999998"/>
    <n v="3"/>
    <n v="2"/>
    <x v="0"/>
    <n v="16.41"/>
  </r>
  <r>
    <n v="24"/>
    <x v="1"/>
    <x v="1"/>
    <n v="47.6"/>
    <n v="1.51"/>
    <n v="175"/>
    <n v="120"/>
    <n v="70"/>
    <n v="0.78"/>
    <n v="583"/>
    <x v="0"/>
    <x v="4"/>
    <n v="22.6"/>
    <n v="1.7"/>
    <n v="5"/>
    <n v="1"/>
    <x v="0"/>
    <n v="13.71"/>
  </r>
  <r>
    <n v="26"/>
    <x v="0"/>
    <x v="0"/>
    <n v="88.8"/>
    <n v="1.7"/>
    <n v="193"/>
    <n v="169"/>
    <n v="68"/>
    <n v="1.91"/>
    <n v="1145"/>
    <x v="0"/>
    <x v="0"/>
    <n v="18.100000000000001"/>
    <n v="3.7"/>
    <n v="2"/>
    <n v="2"/>
    <x v="1"/>
    <n v="30.34"/>
  </r>
  <r>
    <n v="18"/>
    <x v="1"/>
    <x v="2"/>
    <n v="67.5"/>
    <n v="1.69"/>
    <n v="177"/>
    <n v="169"/>
    <n v="72"/>
    <n v="1.07"/>
    <n v="975"/>
    <x v="4"/>
    <x v="4"/>
    <n v="26.2"/>
    <n v="1.6"/>
    <n v="4"/>
    <n v="3"/>
    <x v="0"/>
    <n v="14.08"/>
  </r>
  <r>
    <n v="29"/>
    <x v="0"/>
    <x v="1"/>
    <n v="96.7"/>
    <n v="1.7"/>
    <n v="175"/>
    <n v="141"/>
    <n v="54"/>
    <n v="2"/>
    <n v="880"/>
    <x v="3"/>
    <x v="2"/>
    <n v="32.9"/>
    <n v="2.2999999999999998"/>
    <n v="2"/>
    <n v="3"/>
    <x v="0"/>
    <n v="13.16"/>
  </r>
  <r>
    <n v="26"/>
    <x v="0"/>
    <x v="2"/>
    <n v="55.7"/>
    <n v="1.99"/>
    <n v="172"/>
    <n v="142"/>
    <n v="68"/>
    <n v="2"/>
    <n v="1583"/>
    <x v="0"/>
    <x v="0"/>
    <n v="18.899999999999999"/>
    <n v="3.2"/>
    <n v="4"/>
    <n v="1"/>
    <x v="0"/>
    <n v="12.32"/>
  </r>
  <r>
    <n v="43"/>
    <x v="3"/>
    <x v="1"/>
    <n v="112"/>
    <n v="1.71"/>
    <n v="166"/>
    <n v="146"/>
    <n v="58"/>
    <n v="1.62"/>
    <n v="815"/>
    <x v="2"/>
    <x v="2"/>
    <n v="31.2"/>
    <n v="2.6"/>
    <n v="3"/>
    <n v="1"/>
    <x v="2"/>
    <n v="21.1"/>
  </r>
  <r>
    <n v="48"/>
    <x v="2"/>
    <x v="1"/>
    <n v="75.2"/>
    <n v="1.72"/>
    <n v="193"/>
    <n v="169"/>
    <n v="59"/>
    <n v="1.54"/>
    <n v="1726"/>
    <x v="1"/>
    <x v="2"/>
    <n v="30.9"/>
    <n v="1.9"/>
    <n v="2"/>
    <m/>
    <x v="2"/>
    <n v="18.64"/>
  </r>
  <r>
    <n v="29"/>
    <x v="0"/>
    <x v="0"/>
    <n v="72"/>
    <n v="1.66"/>
    <n v="167"/>
    <n v="144"/>
    <n v="68"/>
    <n v="0.87"/>
    <n v="1248"/>
    <x v="2"/>
    <x v="0"/>
    <n v="10"/>
    <n v="3.6"/>
    <n v="4"/>
    <n v="3"/>
    <x v="0"/>
    <n v="17.55"/>
  </r>
  <r>
    <n v="57"/>
    <x v="4"/>
    <x v="0"/>
    <n v="63.6"/>
    <n v="1.87"/>
    <n v="170"/>
    <n v="158"/>
    <n v="18"/>
    <n v="1.56"/>
    <n v="840"/>
    <x v="0"/>
    <x v="3"/>
    <n v="23.7"/>
    <n v="3.6"/>
    <n v="4"/>
    <n v="1"/>
    <x v="0"/>
    <n v="12.32"/>
  </r>
  <r>
    <n v="22"/>
    <x v="1"/>
    <x v="0"/>
    <n v="75.7"/>
    <n v="1.56"/>
    <n v="194"/>
    <n v="142"/>
    <n v="61"/>
    <n v="1.23"/>
    <n v="643"/>
    <x v="0"/>
    <x v="1"/>
    <n v="28.8"/>
    <n v="2.2999999999999998"/>
    <n v="3"/>
    <n v="3"/>
    <x v="0"/>
    <n v="13.93"/>
  </r>
  <r>
    <n v="20"/>
    <x v="1"/>
    <x v="1"/>
    <n v="59.1"/>
    <n v="1.62"/>
    <n v="191"/>
    <n v="127"/>
    <n v="54"/>
    <n v="1.02"/>
    <n v="995"/>
    <x v="4"/>
    <x v="2"/>
    <n v="26.2"/>
    <n v="3.4"/>
    <n v="3"/>
    <m/>
    <x v="0"/>
    <n v="12.46"/>
  </r>
  <r>
    <n v="39"/>
    <x v="3"/>
    <x v="0"/>
    <n v="41.3"/>
    <n v="1.76"/>
    <n v="175"/>
    <n v="136"/>
    <n v="69"/>
    <n v="1.42"/>
    <n v="1096"/>
    <x v="3"/>
    <x v="1"/>
    <n v="24.3"/>
    <n v="3.2"/>
    <n v="3"/>
    <n v="2"/>
    <x v="0"/>
    <n v="15.36"/>
  </r>
  <r>
    <n v="41"/>
    <x v="3"/>
    <x v="1"/>
    <n v="40"/>
    <n v="1.77"/>
    <n v="176"/>
    <n v="148"/>
    <n v="65"/>
    <n v="1.03"/>
    <n v="1238"/>
    <x v="3"/>
    <x v="0"/>
    <n v="11.6"/>
    <n v="1.9"/>
    <n v="5"/>
    <n v="1"/>
    <x v="2"/>
    <n v="22.98"/>
  </r>
  <r>
    <n v="41"/>
    <x v="3"/>
    <x v="0"/>
    <n v="63.7"/>
    <n v="1.93"/>
    <n v="195"/>
    <n v="155"/>
    <n v="61"/>
    <n v="1.18"/>
    <n v="1064"/>
    <x v="2"/>
    <x v="3"/>
    <n v="21.2"/>
    <n v="3.4"/>
    <n v="4"/>
    <n v="1"/>
    <x v="0"/>
    <n v="15.76"/>
  </r>
  <r>
    <n v="31"/>
    <x v="0"/>
    <x v="0"/>
    <n v="100"/>
    <n v="1.75"/>
    <n v="190"/>
    <n v="169"/>
    <n v="67"/>
    <n v="1.46"/>
    <n v="1573"/>
    <x v="2"/>
    <x v="3"/>
    <n v="20.8"/>
    <n v="3.4"/>
    <n v="4"/>
    <n v="2"/>
    <x v="0"/>
    <m/>
  </r>
  <r>
    <n v="20"/>
    <x v="1"/>
    <x v="1"/>
    <n v="45"/>
    <n v="1.68"/>
    <n v="171"/>
    <n v="154"/>
    <n v="74"/>
    <n v="1.5"/>
    <n v="1692"/>
    <x v="3"/>
    <x v="0"/>
    <n v="10"/>
    <n v="2.4"/>
    <n v="4"/>
    <n v="1"/>
    <x v="0"/>
    <n v="12.32"/>
  </r>
  <r>
    <n v="26"/>
    <x v="0"/>
    <x v="1"/>
    <n v="47.1"/>
    <n v="1.61"/>
    <n v="189"/>
    <n v="138"/>
    <n v="52"/>
    <n v="1.26"/>
    <n v="1095"/>
    <x v="3"/>
    <x v="4"/>
    <n v="19.3"/>
    <n v="3.6"/>
    <n v="3"/>
    <n v="3"/>
    <x v="1"/>
    <n v="29.91"/>
  </r>
  <r>
    <n v="37"/>
    <x v="3"/>
    <x v="0"/>
    <n v="72.099999999999994"/>
    <n v="1.83"/>
    <n v="164"/>
    <n v="152"/>
    <n v="58"/>
    <n v="1.58"/>
    <n v="1091"/>
    <x v="1"/>
    <x v="2"/>
    <n v="34.4"/>
    <n v="3.3"/>
    <n v="4"/>
    <n v="2"/>
    <x v="0"/>
    <n v="16.920000000000002"/>
  </r>
  <r>
    <n v="59"/>
    <x v="4"/>
    <x v="1"/>
    <n v="57.5"/>
    <n v="1.81"/>
    <n v="175"/>
    <n v="169"/>
    <n v="58"/>
    <n v="1.47"/>
    <n v="1349"/>
    <x v="1"/>
    <x v="4"/>
    <n v="24.7"/>
    <n v="2.5"/>
    <n v="5"/>
    <n v="2"/>
    <x v="0"/>
    <n v="12.32"/>
  </r>
  <r>
    <n v="22"/>
    <x v="1"/>
    <x v="1"/>
    <n v="54.3"/>
    <n v="1.85"/>
    <n v="165"/>
    <n v="144"/>
    <n v="53"/>
    <n v="2"/>
    <n v="1740"/>
    <x v="1"/>
    <x v="2"/>
    <n v="26.6"/>
    <n v="3.7"/>
    <n v="4"/>
    <n v="2"/>
    <x v="2"/>
    <n v="20.04"/>
  </r>
  <r>
    <n v="25"/>
    <x v="0"/>
    <x v="1"/>
    <n v="63.9"/>
    <n v="1.67"/>
    <n v="178"/>
    <n v="144"/>
    <n v="61"/>
    <n v="1.56"/>
    <n v="868"/>
    <x v="0"/>
    <x v="4"/>
    <n v="24.8"/>
    <n v="2.4"/>
    <n v="3"/>
    <n v="2"/>
    <x v="2"/>
    <n v="24.51"/>
  </r>
  <r>
    <n v="32"/>
    <x v="0"/>
    <x v="1"/>
    <n v="56.6"/>
    <n v="2"/>
    <n v="190"/>
    <n v="123"/>
    <n v="65"/>
    <n v="1.25"/>
    <n v="1309"/>
    <x v="2"/>
    <x v="3"/>
    <n v="14.7"/>
    <n v="3.5"/>
    <n v="4"/>
    <n v="3"/>
    <x v="0"/>
    <n v="17.829999999999998"/>
  </r>
  <r>
    <n v="37"/>
    <x v="3"/>
    <x v="0"/>
    <n v="68.900000000000006"/>
    <n v="1.65"/>
    <n v="171"/>
    <n v="132"/>
    <n v="50"/>
    <n v="1.19"/>
    <n v="767"/>
    <x v="0"/>
    <x v="3"/>
    <n v="23"/>
    <m/>
    <n v="3"/>
    <n v="3"/>
    <x v="2"/>
    <n v="20.71"/>
  </r>
  <r>
    <n v="29"/>
    <x v="0"/>
    <x v="0"/>
    <n v="95.3"/>
    <n v="1.72"/>
    <n v="190"/>
    <n v="169"/>
    <n v="74"/>
    <n v="1.49"/>
    <n v="733"/>
    <x v="2"/>
    <x v="1"/>
    <n v="29.2"/>
    <n v="3.7"/>
    <n v="5"/>
    <n v="3"/>
    <x v="2"/>
    <n v="20.059999999999999"/>
  </r>
  <r>
    <n v="30"/>
    <x v="0"/>
    <x v="0"/>
    <n v="96.3"/>
    <n v="2"/>
    <n v="173"/>
    <n v="136"/>
    <n v="74"/>
    <n v="2"/>
    <n v="1095"/>
    <x v="2"/>
    <x v="3"/>
    <n v="20.399999999999999"/>
    <n v="1.5"/>
    <n v="5"/>
    <n v="2"/>
    <x v="4"/>
    <n v="25.83"/>
  </r>
  <r>
    <n v="28"/>
    <x v="0"/>
    <x v="1"/>
    <n v="84.4"/>
    <n v="1.74"/>
    <s v="\t182"/>
    <n v="142"/>
    <n v="52"/>
    <n v="1.45"/>
    <n v="1392"/>
    <x v="0"/>
    <x v="4"/>
    <n v="22"/>
    <n v="2.6"/>
    <n v="2"/>
    <n v="1"/>
    <x v="1"/>
    <n v="34.01"/>
  </r>
  <r>
    <n v="33"/>
    <x v="0"/>
    <x v="1"/>
    <n v="60.5"/>
    <n v="1.54"/>
    <n v="195"/>
    <n v="126"/>
    <n v="56"/>
    <n v="1.27"/>
    <n v="1237"/>
    <x v="1"/>
    <x v="2"/>
    <n v="29.1"/>
    <n v="3.7"/>
    <n v="4"/>
    <n v="2"/>
    <x v="2"/>
    <n v="21.23"/>
  </r>
  <r>
    <n v="48"/>
    <x v="2"/>
    <x v="0"/>
    <n v="49.8"/>
    <n v="1.69"/>
    <n v="184"/>
    <n v="143"/>
    <n v="56"/>
    <n v="1.37"/>
    <m/>
    <x v="0"/>
    <x v="0"/>
    <n v="17.7"/>
    <n v="2.7"/>
    <n v="3"/>
    <n v="3"/>
    <x v="4"/>
    <n v="25.57"/>
  </r>
  <r>
    <n v="32"/>
    <x v="0"/>
    <x v="1"/>
    <n v="47.2"/>
    <n v="1.81"/>
    <n v="187"/>
    <n v="129"/>
    <n v="18"/>
    <n v="1.19"/>
    <n v="919"/>
    <x v="2"/>
    <x v="2"/>
    <n v="30.5"/>
    <n v="1.9"/>
    <n v="4"/>
    <n v="2"/>
    <x v="1"/>
    <n v="31.5"/>
  </r>
  <r>
    <n v="54"/>
    <x v="2"/>
    <x v="2"/>
    <n v="56.3"/>
    <n v="1.59"/>
    <n v="172"/>
    <n v="169"/>
    <n v="68"/>
    <n v="1.47"/>
    <n v="936"/>
    <x v="1"/>
    <x v="0"/>
    <n v="19.600000000000001"/>
    <n v="3.1"/>
    <n v="4"/>
    <n v="2"/>
    <x v="2"/>
    <n v="18.7"/>
  </r>
  <r>
    <n v="49"/>
    <x v="2"/>
    <x v="1"/>
    <n v="45"/>
    <n v="1.84"/>
    <n v="190"/>
    <n v="159"/>
    <n v="53"/>
    <n v="1.3"/>
    <n v="864"/>
    <x v="2"/>
    <x v="2"/>
    <n v="26.5"/>
    <n v="1.5"/>
    <n v="4"/>
    <n v="2"/>
    <x v="0"/>
    <n v="17.11"/>
  </r>
  <r>
    <n v="53"/>
    <x v="2"/>
    <x v="1"/>
    <n v="87.7"/>
    <n v="1.84"/>
    <n v="164"/>
    <n v="152"/>
    <n v="53"/>
    <n v="1.37"/>
    <n v="1066"/>
    <x v="1"/>
    <x v="4"/>
    <n v="24.7"/>
    <n v="2.6"/>
    <n v="5"/>
    <n v="2"/>
    <x v="4"/>
    <n v="25.16"/>
  </r>
  <r>
    <n v="54"/>
    <x v="2"/>
    <x v="0"/>
    <n v="46.1"/>
    <n v="1.85"/>
    <n v="187"/>
    <n v="162"/>
    <n v="63"/>
    <n v="1.35"/>
    <n v="772"/>
    <x v="0"/>
    <x v="1"/>
    <n v="25.7"/>
    <n v="3.6"/>
    <n v="4"/>
    <n v="1"/>
    <x v="2"/>
    <n v="20.62"/>
  </r>
  <r>
    <n v="18"/>
    <x v="1"/>
    <x v="0"/>
    <n v="69.8"/>
    <n v="1.82"/>
    <n v="178"/>
    <n v="168"/>
    <n v="58"/>
    <n v="1.9"/>
    <n v="963"/>
    <x v="2"/>
    <x v="2"/>
    <n v="31.4"/>
    <n v="3.7"/>
    <n v="5"/>
    <n v="2"/>
    <x v="1"/>
    <n v="34.21"/>
  </r>
  <r>
    <n v="18"/>
    <x v="1"/>
    <x v="1"/>
    <n v="79.2"/>
    <n v="1.77"/>
    <n v="198"/>
    <n v="137"/>
    <n v="66"/>
    <n v="1.2"/>
    <n v="1429"/>
    <x v="3"/>
    <x v="0"/>
    <n v="12.9"/>
    <n v="3.7"/>
    <n v="3"/>
    <n v="2"/>
    <x v="2"/>
    <n v="19.07"/>
  </r>
  <r>
    <n v="29"/>
    <x v="0"/>
    <x v="1"/>
    <n v="60.6"/>
    <n v="1.76"/>
    <n v="188"/>
    <n v="148"/>
    <n v="50"/>
    <n v="1.38"/>
    <n v="676"/>
    <x v="0"/>
    <x v="2"/>
    <n v="30.2"/>
    <n v="2.5"/>
    <n v="3"/>
    <m/>
    <x v="2"/>
    <n v="23.73"/>
  </r>
  <r>
    <n v="22"/>
    <x v="1"/>
    <x v="0"/>
    <n v="53.3"/>
    <n v="1.73"/>
    <n v="172"/>
    <n v="144"/>
    <n v="71"/>
    <n v="1.1000000000000001"/>
    <n v="1235"/>
    <x v="0"/>
    <x v="3"/>
    <n v="22.8"/>
    <n v="2.6"/>
    <n v="3"/>
    <n v="1"/>
    <x v="0"/>
    <n v="13.13"/>
  </r>
  <r>
    <n v="20"/>
    <x v="1"/>
    <x v="1"/>
    <n v="95.7"/>
    <n v="1.85"/>
    <n v="196"/>
    <n v="136"/>
    <n v="58"/>
    <n v="1.44"/>
    <n v="987"/>
    <x v="2"/>
    <x v="4"/>
    <n v="23.8"/>
    <n v="1.5"/>
    <n v="3"/>
    <n v="2"/>
    <x v="0"/>
    <n v="15.47"/>
  </r>
  <r>
    <n v="29"/>
    <x v="0"/>
    <x v="0"/>
    <n v="57.4"/>
    <n v="1.74"/>
    <n v="198"/>
    <n v="165"/>
    <n v="67"/>
    <n v="1.58"/>
    <n v="880"/>
    <x v="0"/>
    <x v="3"/>
    <n v="20.9"/>
    <n v="3.3"/>
    <n v="4"/>
    <n v="1"/>
    <x v="0"/>
    <m/>
  </r>
  <r>
    <n v="47"/>
    <x v="2"/>
    <x v="1"/>
    <n v="87.3"/>
    <n v="1.9"/>
    <n v="194"/>
    <n v="164"/>
    <n v="74"/>
    <n v="1.87"/>
    <n v="1073"/>
    <x v="2"/>
    <x v="4"/>
    <n v="23.7"/>
    <n v="3.5"/>
    <n v="5"/>
    <n v="2"/>
    <x v="2"/>
    <n v="20.100000000000001"/>
  </r>
  <r>
    <n v="20"/>
    <x v="1"/>
    <x v="0"/>
    <m/>
    <n v="1.75"/>
    <n v="193"/>
    <n v="136"/>
    <n v="51"/>
    <n v="0.57999999999999996"/>
    <n v="1218"/>
    <x v="3"/>
    <x v="1"/>
    <n v="28.4"/>
    <n v="3"/>
    <n v="4"/>
    <n v="1"/>
    <x v="2"/>
    <n v="19.66"/>
  </r>
  <r>
    <n v="18"/>
    <x v="1"/>
    <x v="1"/>
    <n v="79.2"/>
    <n v="1.66"/>
    <n v="176"/>
    <n v="154"/>
    <n v="72"/>
    <n v="1.58"/>
    <n v="1493"/>
    <x v="0"/>
    <x v="4"/>
    <n v="18.100000000000001"/>
    <n v="2.2999999999999998"/>
    <n v="3"/>
    <n v="1"/>
    <x v="0"/>
    <n v="14.27"/>
  </r>
  <r>
    <n v="18"/>
    <x v="1"/>
    <x v="1"/>
    <n v="73.8"/>
    <n v="1.75"/>
    <n v="187"/>
    <n v="149"/>
    <n v="74"/>
    <n v="1.64"/>
    <n v="1065"/>
    <x v="2"/>
    <x v="4"/>
    <n v="17.7"/>
    <n v="2.4"/>
    <n v="3"/>
    <n v="1"/>
    <x v="0"/>
    <n v="17.79"/>
  </r>
  <r>
    <n v="33"/>
    <x v="0"/>
    <x v="0"/>
    <n v="66.3"/>
    <n v="1.76"/>
    <n v="164"/>
    <n v="120"/>
    <n v="74"/>
    <n v="1.44"/>
    <n v="419"/>
    <x v="4"/>
    <x v="1"/>
    <n v="25.4"/>
    <n v="2.6"/>
    <n v="3"/>
    <n v="3"/>
    <x v="2"/>
    <n v="20.67"/>
  </r>
  <r>
    <n v="27"/>
    <x v="0"/>
    <x v="1"/>
    <n v="72.8"/>
    <n v="1.82"/>
    <n v="162"/>
    <n v="136"/>
    <n v="57"/>
    <n v="1.23"/>
    <n v="780"/>
    <x v="2"/>
    <x v="0"/>
    <n v="11.4"/>
    <n v="3.5"/>
    <n v="4"/>
    <n v="3"/>
    <x v="2"/>
    <n v="22.59"/>
  </r>
  <r>
    <n v="38"/>
    <x v="3"/>
    <x v="1"/>
    <n v="50"/>
    <n v="1.75"/>
    <n v="186"/>
    <n v="135"/>
    <n v="59"/>
    <n v="2"/>
    <n v="695"/>
    <x v="0"/>
    <x v="4"/>
    <n v="23.4"/>
    <n v="1.6"/>
    <n v="4"/>
    <n v="1"/>
    <x v="3"/>
    <n v="49.84"/>
  </r>
  <r>
    <n v="29"/>
    <x v="0"/>
    <x v="0"/>
    <n v="93.5"/>
    <n v="1.85"/>
    <n v="166"/>
    <n v="167"/>
    <n v="74"/>
    <n v="1.01"/>
    <n v="670"/>
    <x v="1"/>
    <x v="3"/>
    <n v="23.2"/>
    <n v="2.6"/>
    <n v="3"/>
    <n v="1"/>
    <x v="2"/>
    <n v="19.829999999999998"/>
  </r>
  <r>
    <n v="54"/>
    <x v="2"/>
    <x v="1"/>
    <n v="84"/>
    <n v="1.94"/>
    <n v="178"/>
    <n v="133"/>
    <n v="53"/>
    <n v="1.47"/>
    <n v="942"/>
    <x v="3"/>
    <x v="2"/>
    <n v="30.7"/>
    <n v="1.5"/>
    <n v="4"/>
    <n v="1"/>
    <x v="0"/>
    <n v="16.61"/>
  </r>
  <r>
    <n v="37"/>
    <x v="3"/>
    <x v="0"/>
    <n v="55.3"/>
    <n v="1.73"/>
    <n v="183"/>
    <n v="134"/>
    <n v="51"/>
    <n v="1.1000000000000001"/>
    <n v="976"/>
    <x v="3"/>
    <x v="2"/>
    <n v="31.3"/>
    <n v="2.8"/>
    <n v="2"/>
    <n v="2"/>
    <x v="0"/>
    <n v="16.260000000000002"/>
  </r>
  <r>
    <n v="21"/>
    <x v="1"/>
    <x v="1"/>
    <n v="66.599999999999994"/>
    <n v="1.85"/>
    <n v="189"/>
    <n v="121"/>
    <n v="56"/>
    <n v="0.88"/>
    <n v="993"/>
    <x v="2"/>
    <x v="3"/>
    <n v="13.9"/>
    <n v="3.4"/>
    <n v="5"/>
    <n v="1"/>
    <x v="0"/>
    <n v="12.32"/>
  </r>
  <r>
    <n v="21"/>
    <x v="1"/>
    <x v="2"/>
    <n v="65.8"/>
    <n v="1.62"/>
    <n v="172"/>
    <n v="127"/>
    <n v="62"/>
    <n v="1.35"/>
    <n v="1307"/>
    <x v="1"/>
    <x v="4"/>
    <n v="26"/>
    <n v="3.4"/>
    <n v="3"/>
    <n v="1"/>
    <x v="0"/>
    <n v="15.3"/>
  </r>
  <r>
    <n v="26"/>
    <x v="0"/>
    <x v="0"/>
    <n v="59.8"/>
    <n v="1.6"/>
    <n v="180"/>
    <n v="151"/>
    <n v="58"/>
    <n v="1.2"/>
    <n v="611"/>
    <x v="2"/>
    <x v="0"/>
    <n v="16.399999999999999"/>
    <n v="2.5"/>
    <n v="3"/>
    <n v="3"/>
    <x v="0"/>
    <n v="12.63"/>
  </r>
  <r>
    <n v="42"/>
    <x v="3"/>
    <x v="0"/>
    <n v="80.3"/>
    <n v="1.94"/>
    <n v="192"/>
    <n v="169"/>
    <n v="52"/>
    <n v="1.72"/>
    <n v="753"/>
    <x v="3"/>
    <x v="1"/>
    <n v="24.6"/>
    <n v="3.5"/>
    <n v="5"/>
    <n v="2"/>
    <x v="1"/>
    <n v="33.99"/>
  </r>
  <r>
    <n v="31"/>
    <x v="0"/>
    <x v="0"/>
    <n v="129.9"/>
    <n v="1.7"/>
    <n v="190"/>
    <n v="169"/>
    <n v="69"/>
    <n v="1.38"/>
    <n v="735"/>
    <x v="0"/>
    <x v="0"/>
    <n v="10"/>
    <n v="2.1"/>
    <n v="3"/>
    <n v="3"/>
    <x v="0"/>
    <n v="16.07"/>
  </r>
  <r>
    <n v="50"/>
    <x v="2"/>
    <x v="0"/>
    <n v="40"/>
    <n v="1.75"/>
    <n v="162"/>
    <n v="169"/>
    <n v="55"/>
    <n v="2"/>
    <n v="1449"/>
    <x v="3"/>
    <x v="2"/>
    <n v="31.7"/>
    <n v="3.5"/>
    <n v="4"/>
    <n v="3"/>
    <x v="4"/>
    <n v="28.18"/>
  </r>
  <r>
    <n v="51"/>
    <x v="2"/>
    <x v="0"/>
    <n v="91.7"/>
    <n v="1.72"/>
    <n v="168"/>
    <n v="137"/>
    <n v="58"/>
    <n v="0.86"/>
    <n v="1529"/>
    <x v="1"/>
    <x v="0"/>
    <n v="10"/>
    <n v="1.7"/>
    <m/>
    <n v="1"/>
    <x v="0"/>
    <n v="14.15"/>
  </r>
  <r>
    <n v="18"/>
    <x v="1"/>
    <x v="1"/>
    <n v="64.8"/>
    <n v="1.82"/>
    <n v="169"/>
    <n v="156"/>
    <n v="69"/>
    <n v="1.93"/>
    <n v="1516"/>
    <x v="0"/>
    <x v="4"/>
    <n v="21.9"/>
    <n v="3.5"/>
    <n v="3"/>
    <n v="2"/>
    <x v="0"/>
    <n v="17.690000000000001"/>
  </r>
  <r>
    <n v="54"/>
    <x v="2"/>
    <x v="1"/>
    <n v="60.1"/>
    <n v="1.63"/>
    <n v="174"/>
    <n v="159"/>
    <n v="72"/>
    <n v="0.52"/>
    <n v="893"/>
    <x v="1"/>
    <x v="4"/>
    <n v="18.399999999999999"/>
    <n v="3.6"/>
    <n v="4"/>
    <n v="1"/>
    <x v="2"/>
    <n v="20.56"/>
  </r>
  <r>
    <n v="38"/>
    <x v="3"/>
    <x v="0"/>
    <n v="59"/>
    <m/>
    <n v="169"/>
    <n v="134"/>
    <n v="67"/>
    <n v="1.36"/>
    <n v="1783"/>
    <x v="3"/>
    <x v="1"/>
    <n v="24.5"/>
    <n v="2.4"/>
    <n v="3"/>
    <n v="1"/>
    <x v="0"/>
    <n v="12.32"/>
  </r>
  <r>
    <n v="37"/>
    <x v="3"/>
    <x v="1"/>
    <n v="46.3"/>
    <n v="1.69"/>
    <n v="181"/>
    <n v="141"/>
    <n v="67"/>
    <n v="1.64"/>
    <n v="1445"/>
    <x v="0"/>
    <x v="4"/>
    <n v="20.7"/>
    <n v="2.5"/>
    <n v="4"/>
    <n v="2"/>
    <x v="2"/>
    <n v="19.11"/>
  </r>
  <r>
    <n v="21"/>
    <x v="1"/>
    <x v="1"/>
    <n v="66.900000000000006"/>
    <n v="1.69"/>
    <n v="197"/>
    <n v="149"/>
    <n v="74"/>
    <n v="1.37"/>
    <n v="872"/>
    <x v="3"/>
    <x v="3"/>
    <n v="16.600000000000001"/>
    <n v="2.6"/>
    <n v="5"/>
    <n v="2"/>
    <x v="1"/>
    <n v="33.07"/>
  </r>
  <r>
    <n v="19"/>
    <x v="1"/>
    <x v="0"/>
    <n v="40"/>
    <n v="1.93"/>
    <n v="167"/>
    <n v="158"/>
    <n v="74"/>
    <n v="1.19"/>
    <n v="1265"/>
    <x v="3"/>
    <x v="1"/>
    <n v="24.7"/>
    <n v="2.6"/>
    <n v="4"/>
    <n v="3"/>
    <x v="0"/>
    <n v="12.32"/>
  </r>
  <r>
    <n v="32"/>
    <x v="0"/>
    <x v="0"/>
    <n v="79"/>
    <n v="1.6"/>
    <n v="165"/>
    <n v="149"/>
    <n v="18"/>
    <n v="1.59"/>
    <n v="1245"/>
    <x v="3"/>
    <x v="0"/>
    <m/>
    <n v="2.2000000000000002"/>
    <n v="3"/>
    <n v="2"/>
    <x v="2"/>
    <n v="18.690000000000001"/>
  </r>
  <r>
    <n v="36"/>
    <x v="3"/>
    <x v="0"/>
    <n v="50.1"/>
    <n v="1.85"/>
    <n v="199"/>
    <n v="140"/>
    <n v="68"/>
    <n v="0.91"/>
    <n v="1243"/>
    <x v="0"/>
    <x v="1"/>
    <n v="30.7"/>
    <n v="2.8"/>
    <n v="4"/>
    <n v="2"/>
    <x v="4"/>
    <n v="25.82"/>
  </r>
  <r>
    <n v="23"/>
    <x v="1"/>
    <x v="1"/>
    <n v="71.3"/>
    <n v="1.77"/>
    <n v="171"/>
    <n v="134"/>
    <n v="50"/>
    <n v="1.34"/>
    <n v="1239"/>
    <x v="1"/>
    <x v="2"/>
    <n v="35"/>
    <n v="2.5"/>
    <n v="3"/>
    <n v="3"/>
    <x v="0"/>
    <n v="18.170000000000002"/>
  </r>
  <r>
    <n v="45"/>
    <x v="2"/>
    <x v="2"/>
    <n v="68.3"/>
    <n v="1.75"/>
    <n v="185"/>
    <n v="133"/>
    <n v="65"/>
    <n v="1.31"/>
    <n v="1595"/>
    <x v="4"/>
    <x v="4"/>
    <n v="29.1"/>
    <n v="2.5"/>
    <n v="4"/>
    <n v="2"/>
    <x v="0"/>
    <n v="13.23"/>
  </r>
  <r>
    <n v="39"/>
    <x v="3"/>
    <x v="0"/>
    <n v="66.8"/>
    <n v="1.61"/>
    <n v="177"/>
    <n v="127"/>
    <n v="59"/>
    <n v="1.64"/>
    <n v="770"/>
    <x v="3"/>
    <x v="1"/>
    <n v="28"/>
    <n v="3.1"/>
    <n v="4"/>
    <n v="1"/>
    <x v="0"/>
    <n v="17.16"/>
  </r>
  <r>
    <n v="45"/>
    <x v="2"/>
    <x v="1"/>
    <n v="53.9"/>
    <n v="1.68"/>
    <n v="169"/>
    <n v="141"/>
    <n v="71"/>
    <n v="1.59"/>
    <n v="1031"/>
    <x v="3"/>
    <x v="4"/>
    <n v="19.2"/>
    <n v="2.1"/>
    <n v="3"/>
    <n v="3"/>
    <x v="2"/>
    <n v="20.62"/>
  </r>
  <r>
    <n v="33"/>
    <x v="0"/>
    <x v="0"/>
    <n v="97.1"/>
    <n v="1.86"/>
    <n v="166"/>
    <n v="127"/>
    <n v="72"/>
    <n v="1.39"/>
    <n v="1783"/>
    <x v="2"/>
    <x v="0"/>
    <n v="11"/>
    <n v="1.5"/>
    <n v="4"/>
    <n v="1"/>
    <x v="0"/>
    <n v="16.27"/>
  </r>
  <r>
    <n v="27"/>
    <x v="0"/>
    <x v="0"/>
    <n v="40"/>
    <n v="1.57"/>
    <n v="178"/>
    <n v="169"/>
    <n v="52"/>
    <n v="1.32"/>
    <n v="949"/>
    <x v="0"/>
    <x v="1"/>
    <n v="28.4"/>
    <n v="3.1"/>
    <n v="3"/>
    <n v="2"/>
    <x v="2"/>
    <n v="21.11"/>
  </r>
  <r>
    <n v="37"/>
    <x v="3"/>
    <x v="1"/>
    <n v="62.1"/>
    <n v="1.85"/>
    <n v="196"/>
    <n v="151"/>
    <n v="64"/>
    <n v="1.28"/>
    <n v="943"/>
    <x v="2"/>
    <x v="2"/>
    <n v="26.7"/>
    <n v="3.3"/>
    <n v="4"/>
    <n v="1"/>
    <x v="2"/>
    <n v="20.37"/>
  </r>
  <r>
    <n v="28"/>
    <x v="0"/>
    <x v="1"/>
    <n v="60.7"/>
    <n v="1.73"/>
    <n v="198"/>
    <n v="124"/>
    <n v="70"/>
    <n v="1.34"/>
    <n v="1212"/>
    <x v="1"/>
    <x v="4"/>
    <n v="24.8"/>
    <n v="2"/>
    <n v="2"/>
    <n v="1"/>
    <x v="2"/>
    <n v="20.21"/>
  </r>
  <r>
    <n v="18"/>
    <x v="1"/>
    <x v="1"/>
    <n v="46.9"/>
    <n v="1.84"/>
    <n v="185"/>
    <n v="147"/>
    <n v="65"/>
    <n v="1.29"/>
    <n v="1040"/>
    <x v="2"/>
    <x v="4"/>
    <n v="21.8"/>
    <n v="1.7"/>
    <n v="3"/>
    <n v="1"/>
    <x v="0"/>
    <n v="13"/>
  </r>
  <r>
    <n v="18"/>
    <x v="1"/>
    <x v="0"/>
    <n v="90.8"/>
    <n v="1.66"/>
    <n v="182"/>
    <n v="134"/>
    <n v="56"/>
    <n v="1.77"/>
    <n v="990"/>
    <x v="3"/>
    <x v="0"/>
    <n v="10"/>
    <n v="1.8"/>
    <n v="4"/>
    <n v="2"/>
    <x v="2"/>
    <n v="22.03"/>
  </r>
  <r>
    <n v="24"/>
    <x v="1"/>
    <x v="0"/>
    <n v="44"/>
    <n v="1.79"/>
    <n v="193"/>
    <n v="164"/>
    <n v="62"/>
    <n v="1.84"/>
    <n v="622"/>
    <x v="0"/>
    <x v="1"/>
    <n v="26.3"/>
    <n v="3.5"/>
    <n v="4"/>
    <n v="2"/>
    <x v="0"/>
    <n v="14.27"/>
  </r>
  <r>
    <n v="27"/>
    <x v="0"/>
    <x v="0"/>
    <n v="75.099999999999994"/>
    <n v="1.86"/>
    <n v="175"/>
    <n v="165"/>
    <n v="70"/>
    <n v="1.29"/>
    <n v="765"/>
    <x v="4"/>
    <x v="1"/>
    <n v="27"/>
    <n v="3.5"/>
    <n v="4"/>
    <n v="2"/>
    <x v="0"/>
    <n v="14.22"/>
  </r>
  <r>
    <n v="23"/>
    <x v="1"/>
    <x v="0"/>
    <n v="74.2"/>
    <n v="1.71"/>
    <n v="199"/>
    <n v="150"/>
    <n v="57"/>
    <n v="1.05"/>
    <n v="1166"/>
    <x v="1"/>
    <x v="2"/>
    <n v="34.5"/>
    <n v="3.3"/>
    <m/>
    <n v="1"/>
    <x v="0"/>
    <n v="12.32"/>
  </r>
  <r>
    <n v="23"/>
    <x v="1"/>
    <x v="0"/>
    <n v="58.2"/>
    <n v="1.85"/>
    <n v="196"/>
    <n v="130"/>
    <n v="57"/>
    <n v="1.36"/>
    <n v="582"/>
    <x v="2"/>
    <x v="1"/>
    <n v="25.7"/>
    <n v="1.5"/>
    <n v="4"/>
    <n v="1"/>
    <x v="1"/>
    <n v="35.08"/>
  </r>
  <r>
    <n v="25"/>
    <x v="0"/>
    <x v="0"/>
    <n v="65.900000000000006"/>
    <m/>
    <n v="180"/>
    <n v="151"/>
    <n v="56"/>
    <n v="1.66"/>
    <n v="825"/>
    <x v="1"/>
    <x v="0"/>
    <n v="10"/>
    <n v="2.5"/>
    <m/>
    <n v="1"/>
    <x v="0"/>
    <n v="15.58"/>
  </r>
  <r>
    <n v="23"/>
    <x v="1"/>
    <x v="0"/>
    <n v="78.7"/>
    <n v="1.68"/>
    <n v="191"/>
    <n v="132"/>
    <n v="70"/>
    <n v="1.28"/>
    <n v="1319"/>
    <x v="4"/>
    <x v="3"/>
    <n v="21.1"/>
    <n v="3.5"/>
    <n v="2"/>
    <n v="2"/>
    <x v="2"/>
    <n v="20.39"/>
  </r>
  <r>
    <n v="43"/>
    <x v="3"/>
    <x v="1"/>
    <n v="74.2"/>
    <n v="1.76"/>
    <n v="188"/>
    <n v="141"/>
    <n v="68"/>
    <n v="0.98"/>
    <n v="1426"/>
    <x v="1"/>
    <x v="4"/>
    <n v="21.2"/>
    <n v="3.1"/>
    <n v="2"/>
    <n v="3"/>
    <x v="2"/>
    <n v="20.52"/>
  </r>
  <r>
    <n v="18"/>
    <x v="1"/>
    <x v="1"/>
    <n v="56.1"/>
    <n v="2"/>
    <n v="180"/>
    <n v="120"/>
    <n v="57"/>
    <n v="1.04"/>
    <n v="1461"/>
    <x v="2"/>
    <x v="2"/>
    <n v="27.4"/>
    <n v="2"/>
    <n v="5"/>
    <n v="2"/>
    <x v="0"/>
    <n v="12.32"/>
  </r>
  <r>
    <n v="45"/>
    <x v="2"/>
    <x v="0"/>
    <n v="42.1"/>
    <n v="1.86"/>
    <n v="194"/>
    <n v="129"/>
    <n v="74"/>
    <n v="0.91"/>
    <n v="1176"/>
    <x v="0"/>
    <x v="3"/>
    <n v="22.1"/>
    <n v="3.6"/>
    <n v="5"/>
    <n v="1"/>
    <x v="1"/>
    <n v="33"/>
  </r>
  <r>
    <n v="18"/>
    <x v="1"/>
    <x v="1"/>
    <n v="40"/>
    <n v="1.73"/>
    <n v="168"/>
    <n v="121"/>
    <n v="73"/>
    <n v="0.64"/>
    <n v="1153"/>
    <x v="2"/>
    <x v="2"/>
    <n v="29.9"/>
    <n v="3.1"/>
    <n v="2"/>
    <n v="3"/>
    <x v="2"/>
    <n v="18.62"/>
  </r>
  <r>
    <n v="18"/>
    <x v="1"/>
    <x v="1"/>
    <n v="40"/>
    <n v="1.85"/>
    <n v="175"/>
    <n v="144"/>
    <n v="51"/>
    <n v="2"/>
    <n v="1318"/>
    <x v="4"/>
    <x v="2"/>
    <n v="32.700000000000003"/>
    <n v="2"/>
    <n v="4"/>
    <n v="2"/>
    <x v="2"/>
    <n v="21.16"/>
  </r>
  <r>
    <n v="20"/>
    <x v="1"/>
    <x v="1"/>
    <m/>
    <n v="1.81"/>
    <n v="171"/>
    <n v="168"/>
    <n v="74"/>
    <n v="0.75"/>
    <n v="793"/>
    <x v="0"/>
    <x v="4"/>
    <n v="24.4"/>
    <n v="2.1"/>
    <n v="3"/>
    <n v="2"/>
    <x v="2"/>
    <n v="22.57"/>
  </r>
  <r>
    <n v="22"/>
    <x v="1"/>
    <x v="0"/>
    <n v="40"/>
    <n v="1.75"/>
    <n v="181"/>
    <n v="155"/>
    <n v="50"/>
    <n v="2"/>
    <n v="998"/>
    <x v="0"/>
    <x v="1"/>
    <n v="27"/>
    <n v="1.8"/>
    <m/>
    <n v="1"/>
    <x v="0"/>
    <n v="12.82"/>
  </r>
  <r>
    <n v="28"/>
    <x v="0"/>
    <x v="0"/>
    <n v="107.7"/>
    <n v="1.99"/>
    <n v="188"/>
    <n v="129"/>
    <n v="55"/>
    <n v="2"/>
    <n v="1127"/>
    <x v="3"/>
    <x v="0"/>
    <n v="10"/>
    <n v="2"/>
    <n v="2"/>
    <n v="1"/>
    <x v="0"/>
    <n v="17.86"/>
  </r>
  <r>
    <n v="18"/>
    <x v="1"/>
    <x v="0"/>
    <n v="40"/>
    <n v="1.8"/>
    <n v="196"/>
    <n v="120"/>
    <n v="70"/>
    <n v="2"/>
    <n v="979"/>
    <x v="1"/>
    <x v="0"/>
    <n v="10"/>
    <n v="2.6"/>
    <n v="4"/>
    <n v="1"/>
    <x v="2"/>
    <n v="20.059999999999999"/>
  </r>
  <r>
    <n v="57"/>
    <x v="4"/>
    <x v="0"/>
    <n v="70"/>
    <n v="1.81"/>
    <n v="167"/>
    <n v="154"/>
    <n v="53"/>
    <n v="1.3"/>
    <n v="1149"/>
    <x v="3"/>
    <x v="1"/>
    <n v="26.6"/>
    <n v="1.5"/>
    <n v="3"/>
    <n v="3"/>
    <x v="0"/>
    <n v="12.32"/>
  </r>
  <r>
    <n v="55"/>
    <x v="4"/>
    <x v="0"/>
    <n v="63.2"/>
    <n v="1.59"/>
    <n v="161"/>
    <n v="168"/>
    <n v="69"/>
    <n v="1.49"/>
    <n v="1094"/>
    <x v="3"/>
    <x v="0"/>
    <n v="19"/>
    <n v="3.6"/>
    <n v="3"/>
    <n v="2"/>
    <x v="0"/>
    <n v="17.45"/>
  </r>
  <r>
    <n v="50"/>
    <x v="2"/>
    <x v="1"/>
    <n v="69.599999999999994"/>
    <n v="1.71"/>
    <n v="167"/>
    <n v="169"/>
    <n v="57"/>
    <n v="0.98"/>
    <n v="470"/>
    <x v="3"/>
    <x v="2"/>
    <n v="27.2"/>
    <n v="2.7"/>
    <n v="2"/>
    <n v="2"/>
    <x v="2"/>
    <n v="20.420000000000002"/>
  </r>
  <r>
    <n v="32"/>
    <x v="0"/>
    <x v="1"/>
    <n v="57"/>
    <n v="1.76"/>
    <n v="170"/>
    <n v="160"/>
    <n v="71"/>
    <n v="1.82"/>
    <n v="904"/>
    <x v="0"/>
    <x v="2"/>
    <n v="30.9"/>
    <n v="3.3"/>
    <n v="4"/>
    <n v="3"/>
    <x v="0"/>
    <n v="16.010000000000002"/>
  </r>
  <r>
    <n v="20"/>
    <x v="1"/>
    <x v="0"/>
    <n v="75.8"/>
    <n v="1.87"/>
    <n v="160"/>
    <n v="163"/>
    <n v="63"/>
    <n v="2"/>
    <n v="988"/>
    <x v="2"/>
    <x v="3"/>
    <n v="23.5"/>
    <n v="2.7"/>
    <n v="4"/>
    <n v="3"/>
    <x v="0"/>
    <n v="12.32"/>
  </r>
  <r>
    <n v="18"/>
    <x v="1"/>
    <x v="1"/>
    <n v="54.7"/>
    <n v="1.6"/>
    <n v="167"/>
    <n v="156"/>
    <n v="57"/>
    <n v="1.63"/>
    <n v="1134"/>
    <x v="3"/>
    <x v="4"/>
    <n v="22.7"/>
    <n v="3.4"/>
    <n v="4"/>
    <n v="2"/>
    <x v="0"/>
    <n v="15.86"/>
  </r>
  <r>
    <n v="30"/>
    <x v="0"/>
    <x v="1"/>
    <n v="62.2"/>
    <n v="1.69"/>
    <n v="164"/>
    <n v="134"/>
    <n v="67"/>
    <n v="1.24"/>
    <n v="1783"/>
    <x v="1"/>
    <x v="2"/>
    <n v="30.3"/>
    <n v="3.2"/>
    <n v="3"/>
    <n v="2"/>
    <x v="4"/>
    <n v="25.59"/>
  </r>
  <r>
    <n v="18"/>
    <x v="1"/>
    <x v="1"/>
    <n v="97.5"/>
    <n v="2"/>
    <n v="169"/>
    <n v="159"/>
    <n v="68"/>
    <n v="1.17"/>
    <n v="782"/>
    <x v="0"/>
    <x v="4"/>
    <n v="24.8"/>
    <n v="1.8"/>
    <n v="2"/>
    <n v="1"/>
    <x v="3"/>
    <n v="42.88"/>
  </r>
  <r>
    <n v="31"/>
    <x v="0"/>
    <x v="0"/>
    <n v="51"/>
    <n v="1.56"/>
    <n v="193"/>
    <n v="140"/>
    <n v="64"/>
    <n v="1.41"/>
    <n v="1347"/>
    <x v="1"/>
    <x v="1"/>
    <n v="28.6"/>
    <n v="3.5"/>
    <n v="2"/>
    <n v="2"/>
    <x v="4"/>
    <n v="25.42"/>
  </r>
  <r>
    <n v="18"/>
    <x v="1"/>
    <x v="1"/>
    <n v="50.6"/>
    <n v="1.89"/>
    <n v="189"/>
    <n v="130"/>
    <n v="66"/>
    <m/>
    <n v="1278"/>
    <x v="2"/>
    <x v="2"/>
    <n v="28.5"/>
    <n v="3.7"/>
    <n v="4"/>
    <n v="2"/>
    <x v="4"/>
    <n v="27.87"/>
  </r>
  <r>
    <n v="31"/>
    <x v="0"/>
    <x v="0"/>
    <n v="71"/>
    <n v="1.81"/>
    <n v="199"/>
    <n v="158"/>
    <n v="68"/>
    <n v="1.87"/>
    <n v="1228"/>
    <x v="0"/>
    <x v="1"/>
    <n v="29.6"/>
    <n v="2.7"/>
    <n v="2"/>
    <n v="2"/>
    <x v="0"/>
    <n v="14.52"/>
  </r>
  <r>
    <n v="28"/>
    <x v="0"/>
    <x v="0"/>
    <n v="70"/>
    <n v="1.74"/>
    <n v="198"/>
    <n v="169"/>
    <n v="69"/>
    <n v="2"/>
    <n v="1468"/>
    <x v="1"/>
    <x v="1"/>
    <n v="28.4"/>
    <n v="2.8"/>
    <n v="4"/>
    <n v="2"/>
    <x v="2"/>
    <n v="21.91"/>
  </r>
  <r>
    <n v="23"/>
    <x v="1"/>
    <x v="1"/>
    <n v="57.8"/>
    <n v="1.87"/>
    <n v="172"/>
    <n v="142"/>
    <n v="54"/>
    <n v="1.46"/>
    <n v="1741"/>
    <x v="4"/>
    <x v="2"/>
    <n v="28.7"/>
    <n v="3.5"/>
    <n v="3"/>
    <n v="2"/>
    <x v="0"/>
    <n v="13.33"/>
  </r>
  <r>
    <n v="48"/>
    <x v="2"/>
    <x v="1"/>
    <n v="67.3"/>
    <n v="1.61"/>
    <n v="173"/>
    <n v="139"/>
    <n v="59"/>
    <n v="0.86"/>
    <n v="659"/>
    <x v="1"/>
    <x v="4"/>
    <n v="20.5"/>
    <n v="2.7"/>
    <n v="3"/>
    <m/>
    <x v="0"/>
    <n v="18.23"/>
  </r>
  <r>
    <n v="52"/>
    <x v="2"/>
    <x v="0"/>
    <n v="73.5"/>
    <n v="1.78"/>
    <n v="181"/>
    <n v="162"/>
    <n v="67"/>
    <n v="2"/>
    <n v="1325"/>
    <x v="3"/>
    <x v="3"/>
    <n v="21.1"/>
    <n v="2.2999999999999998"/>
    <n v="3"/>
    <n v="3"/>
    <x v="0"/>
    <n v="18.079999999999998"/>
  </r>
  <r>
    <n v="18"/>
    <x v="1"/>
    <x v="1"/>
    <n v="94.7"/>
    <n v="1.52"/>
    <n v="161"/>
    <n v="141"/>
    <n v="66"/>
    <n v="1.4"/>
    <n v="1446"/>
    <x v="3"/>
    <x v="3"/>
    <n v="16.7"/>
    <n v="2.6"/>
    <n v="3"/>
    <n v="2"/>
    <x v="2"/>
    <n v="22.4"/>
  </r>
  <r>
    <n v="47"/>
    <x v="2"/>
    <x v="1"/>
    <n v="40"/>
    <n v="1.89"/>
    <n v="177"/>
    <n v="139"/>
    <n v="69"/>
    <n v="1.3"/>
    <n v="902"/>
    <x v="2"/>
    <x v="2"/>
    <n v="26.7"/>
    <n v="3.3"/>
    <n v="3"/>
    <n v="3"/>
    <x v="4"/>
    <n v="26.2"/>
  </r>
  <r>
    <n v="54"/>
    <x v="2"/>
    <x v="0"/>
    <n v="63.5"/>
    <n v="1.51"/>
    <n v="192"/>
    <n v="147"/>
    <n v="70"/>
    <n v="1.23"/>
    <n v="526"/>
    <x v="3"/>
    <x v="1"/>
    <n v="28.3"/>
    <n v="2.2000000000000002"/>
    <m/>
    <n v="3"/>
    <x v="0"/>
    <n v="17.05"/>
  </r>
  <r>
    <n v="22"/>
    <x v="1"/>
    <x v="0"/>
    <n v="60.1"/>
    <n v="1.71"/>
    <n v="198"/>
    <n v="161"/>
    <n v="70"/>
    <n v="1.04"/>
    <n v="533"/>
    <x v="2"/>
    <x v="0"/>
    <n v="10.3"/>
    <n v="3.4"/>
    <n v="5"/>
    <n v="1"/>
    <x v="4"/>
    <n v="26.74"/>
  </r>
  <r>
    <n v="43"/>
    <x v="3"/>
    <x v="1"/>
    <n v="70.400000000000006"/>
    <n v="1.62"/>
    <n v="178"/>
    <n v="140"/>
    <n v="66"/>
    <m/>
    <n v="763"/>
    <x v="2"/>
    <x v="2"/>
    <n v="29.1"/>
    <n v="3.4"/>
    <n v="3"/>
    <n v="1"/>
    <x v="0"/>
    <n v="17.91"/>
  </r>
  <r>
    <n v="31"/>
    <x v="0"/>
    <x v="1"/>
    <n v="40"/>
    <n v="1.77"/>
    <n v="181"/>
    <n v="127"/>
    <n v="51"/>
    <n v="0.76"/>
    <n v="1382"/>
    <x v="1"/>
    <x v="3"/>
    <n v="15.3"/>
    <n v="2.6"/>
    <n v="4"/>
    <m/>
    <x v="0"/>
    <n v="14.09"/>
  </r>
  <r>
    <n v="48"/>
    <x v="2"/>
    <x v="1"/>
    <n v="55.5"/>
    <n v="1.5"/>
    <n v="183"/>
    <n v="133"/>
    <n v="51"/>
    <n v="0.73"/>
    <n v="830"/>
    <x v="1"/>
    <x v="2"/>
    <n v="27.3"/>
    <n v="2.2000000000000002"/>
    <n v="3"/>
    <n v="3"/>
    <x v="1"/>
    <n v="32.42"/>
  </r>
  <r>
    <n v="51"/>
    <x v="2"/>
    <x v="1"/>
    <n v="75.7"/>
    <m/>
    <n v="163"/>
    <n v="147"/>
    <n v="57"/>
    <n v="1.02"/>
    <n v="406"/>
    <x v="0"/>
    <x v="4"/>
    <n v="21.8"/>
    <n v="1.5"/>
    <n v="3"/>
    <n v="3"/>
    <x v="2"/>
    <n v="22.86"/>
  </r>
  <r>
    <n v="23"/>
    <x v="1"/>
    <x v="0"/>
    <n v="95.6"/>
    <n v="1.5"/>
    <n v="196"/>
    <n v="152"/>
    <n v="56"/>
    <n v="0.5"/>
    <n v="639"/>
    <x v="3"/>
    <x v="1"/>
    <n v="25.2"/>
    <n v="3.2"/>
    <n v="2"/>
    <n v="1"/>
    <x v="0"/>
    <n v="13.38"/>
  </r>
  <r>
    <n v="43"/>
    <x v="3"/>
    <x v="1"/>
    <n v="102.5"/>
    <n v="1.79"/>
    <n v="190"/>
    <n v="138"/>
    <n v="69"/>
    <n v="1.54"/>
    <n v="844"/>
    <x v="1"/>
    <x v="4"/>
    <n v="19.7"/>
    <n v="3.7"/>
    <n v="4"/>
    <n v="2"/>
    <x v="0"/>
    <n v="17.07"/>
  </r>
  <r>
    <n v="50"/>
    <x v="2"/>
    <x v="1"/>
    <n v="56.6"/>
    <n v="1.96"/>
    <n v="196"/>
    <n v="169"/>
    <n v="74"/>
    <n v="2"/>
    <n v="1299"/>
    <x v="0"/>
    <x v="4"/>
    <n v="24.8"/>
    <n v="1.6"/>
    <n v="3"/>
    <n v="2"/>
    <x v="2"/>
    <n v="20.69"/>
  </r>
  <r>
    <n v="30"/>
    <x v="0"/>
    <x v="1"/>
    <n v="40"/>
    <n v="1.67"/>
    <n v="176"/>
    <n v="120"/>
    <n v="55"/>
    <n v="1.39"/>
    <n v="1710"/>
    <x v="1"/>
    <x v="4"/>
    <n v="18.2"/>
    <n v="2.7"/>
    <n v="3"/>
    <n v="1"/>
    <x v="0"/>
    <n v="12.32"/>
  </r>
  <r>
    <n v="25"/>
    <x v="0"/>
    <x v="0"/>
    <n v="74.900000000000006"/>
    <n v="1.66"/>
    <n v="192"/>
    <n v="138"/>
    <n v="58"/>
    <n v="1.73"/>
    <n v="1766"/>
    <x v="2"/>
    <x v="1"/>
    <n v="28.7"/>
    <n v="2.2999999999999998"/>
    <n v="5"/>
    <n v="1"/>
    <x v="0"/>
    <n v="15.98"/>
  </r>
  <r>
    <n v="19"/>
    <x v="1"/>
    <x v="0"/>
    <n v="82.8"/>
    <n v="1.79"/>
    <n v="192"/>
    <n v="127"/>
    <n v="74"/>
    <n v="1.18"/>
    <n v="1140"/>
    <x v="1"/>
    <x v="0"/>
    <n v="10"/>
    <n v="2.4"/>
    <n v="4"/>
    <n v="3"/>
    <x v="2"/>
    <n v="21.95"/>
  </r>
  <r>
    <n v="45"/>
    <x v="2"/>
    <x v="0"/>
    <n v="40"/>
    <n v="1.93"/>
    <n v="177"/>
    <n v="141"/>
    <n v="56"/>
    <n v="1.44"/>
    <m/>
    <x v="0"/>
    <x v="1"/>
    <n v="24"/>
    <n v="3.6"/>
    <n v="4"/>
    <n v="1"/>
    <x v="2"/>
    <n v="23.52"/>
  </r>
  <r>
    <n v="41"/>
    <x v="3"/>
    <x v="0"/>
    <n v="73.3"/>
    <n v="1.71"/>
    <n v="196"/>
    <n v="158"/>
    <n v="56"/>
    <n v="1.36"/>
    <n v="1234"/>
    <x v="0"/>
    <x v="1"/>
    <n v="30.1"/>
    <n v="3.2"/>
    <n v="4"/>
    <n v="3"/>
    <x v="4"/>
    <n v="25.83"/>
  </r>
  <r>
    <n v="53"/>
    <x v="2"/>
    <x v="1"/>
    <n v="55.3"/>
    <n v="1.98"/>
    <n v="177"/>
    <n v="169"/>
    <n v="51"/>
    <n v="0.83"/>
    <n v="1273"/>
    <x v="0"/>
    <x v="3"/>
    <n v="14.7"/>
    <n v="2.1"/>
    <n v="2"/>
    <n v="2"/>
    <x v="2"/>
    <n v="20.9"/>
  </r>
  <r>
    <n v="35"/>
    <x v="3"/>
    <x v="1"/>
    <n v="95.9"/>
    <n v="1.69"/>
    <n v="175"/>
    <n v="129"/>
    <n v="58"/>
    <n v="1.22"/>
    <n v="1674"/>
    <x v="1"/>
    <x v="2"/>
    <n v="27.5"/>
    <n v="2.1"/>
    <n v="3"/>
    <n v="3"/>
    <x v="2"/>
    <n v="24.01"/>
  </r>
  <r>
    <n v="33"/>
    <x v="0"/>
    <x v="1"/>
    <n v="89.6"/>
    <n v="1.62"/>
    <n v="175"/>
    <n v="137"/>
    <n v="56"/>
    <n v="1.0900000000000001"/>
    <n v="906"/>
    <x v="1"/>
    <x v="4"/>
    <n v="23.9"/>
    <n v="1.6"/>
    <n v="3"/>
    <n v="1"/>
    <x v="4"/>
    <n v="25.68"/>
  </r>
  <r>
    <n v="21"/>
    <x v="1"/>
    <x v="1"/>
    <n v="86.3"/>
    <n v="1.86"/>
    <n v="167"/>
    <n v="143"/>
    <n v="73"/>
    <n v="1.26"/>
    <n v="1783"/>
    <x v="1"/>
    <x v="2"/>
    <n v="27.1"/>
    <n v="3.1"/>
    <n v="3"/>
    <n v="2"/>
    <x v="0"/>
    <n v="12.93"/>
  </r>
  <r>
    <n v="27"/>
    <x v="0"/>
    <x v="0"/>
    <n v="71.3"/>
    <m/>
    <n v="168"/>
    <n v="162"/>
    <n v="71"/>
    <n v="1.93"/>
    <n v="1105"/>
    <x v="2"/>
    <x v="1"/>
    <n v="28.9"/>
    <n v="2.7"/>
    <n v="4"/>
    <n v="1"/>
    <x v="0"/>
    <n v="12.32"/>
  </r>
  <r>
    <n v="33"/>
    <x v="0"/>
    <x v="1"/>
    <n v="42.7"/>
    <n v="1.82"/>
    <n v="196"/>
    <n v="145"/>
    <n v="68"/>
    <n v="1.24"/>
    <n v="1436"/>
    <x v="3"/>
    <x v="2"/>
    <n v="26.3"/>
    <n v="3.7"/>
    <n v="4"/>
    <n v="1"/>
    <x v="3"/>
    <n v="42.84"/>
  </r>
  <r>
    <n v="33"/>
    <x v="0"/>
    <x v="0"/>
    <n v="103.3"/>
    <n v="1.72"/>
    <n v="180"/>
    <n v="162"/>
    <n v="58"/>
    <n v="0.66"/>
    <n v="1104"/>
    <x v="3"/>
    <x v="3"/>
    <n v="22.6"/>
    <n v="3.2"/>
    <n v="2"/>
    <n v="1"/>
    <x v="0"/>
    <n v="12.42"/>
  </r>
  <r>
    <n v="33"/>
    <x v="0"/>
    <x v="1"/>
    <n v="76.8"/>
    <n v="1.72"/>
    <n v="193"/>
    <n v="126"/>
    <n v="69"/>
    <n v="1.26"/>
    <n v="790"/>
    <x v="2"/>
    <x v="2"/>
    <n v="31.8"/>
    <n v="3.3"/>
    <n v="4"/>
    <n v="1"/>
    <x v="4"/>
    <n v="25.47"/>
  </r>
  <r>
    <n v="23"/>
    <x v="1"/>
    <x v="0"/>
    <n v="69.099999999999994"/>
    <n v="1.63"/>
    <n v="198"/>
    <n v="138"/>
    <n v="57"/>
    <n v="2"/>
    <n v="1549"/>
    <x v="3"/>
    <x v="3"/>
    <n v="21.4"/>
    <n v="3.3"/>
    <n v="2"/>
    <n v="1"/>
    <x v="1"/>
    <n v="31.27"/>
  </r>
  <r>
    <n v="30"/>
    <x v="0"/>
    <x v="1"/>
    <n v="75.599999999999994"/>
    <n v="1.82"/>
    <n v="196"/>
    <n v="138"/>
    <n v="74"/>
    <n v="1.31"/>
    <n v="925"/>
    <x v="1"/>
    <x v="2"/>
    <n v="32.4"/>
    <n v="3.3"/>
    <n v="3"/>
    <n v="3"/>
    <x v="0"/>
    <n v="15.35"/>
  </r>
  <r>
    <n v="18"/>
    <x v="1"/>
    <x v="0"/>
    <n v="42"/>
    <n v="1.74"/>
    <n v="197"/>
    <n v="120"/>
    <n v="57"/>
    <n v="2"/>
    <n v="1236"/>
    <x v="1"/>
    <x v="1"/>
    <n v="26.6"/>
    <n v="1.5"/>
    <n v="3"/>
    <n v="2"/>
    <x v="2"/>
    <n v="19.62"/>
  </r>
  <r>
    <n v="56"/>
    <x v="4"/>
    <x v="1"/>
    <n v="62.9"/>
    <n v="1.5"/>
    <n v="194"/>
    <n v="153"/>
    <n v="74"/>
    <n v="1.85"/>
    <n v="991"/>
    <x v="3"/>
    <x v="4"/>
    <n v="23.2"/>
    <n v="2.4"/>
    <n v="3"/>
    <n v="2"/>
    <x v="1"/>
    <n v="32.25"/>
  </r>
  <r>
    <n v="22"/>
    <x v="1"/>
    <x v="0"/>
    <n v="53.5"/>
    <n v="1.76"/>
    <n v="194"/>
    <n v="137"/>
    <n v="66"/>
    <n v="2"/>
    <n v="1395"/>
    <x v="0"/>
    <x v="0"/>
    <n v="13.1"/>
    <n v="2.2999999999999998"/>
    <n v="5"/>
    <n v="2"/>
    <x v="0"/>
    <n v="17.16"/>
  </r>
  <r>
    <n v="21"/>
    <x v="1"/>
    <x v="0"/>
    <n v="90.7"/>
    <n v="1.75"/>
    <n v="190"/>
    <n v="135"/>
    <n v="54"/>
    <n v="1.03"/>
    <n v="1155"/>
    <x v="1"/>
    <x v="1"/>
    <n v="28"/>
    <n v="2.2999999999999998"/>
    <n v="3"/>
    <n v="2"/>
    <x v="0"/>
    <n v="12.66"/>
  </r>
  <r>
    <n v="21"/>
    <x v="1"/>
    <x v="1"/>
    <n v="74.7"/>
    <n v="1.59"/>
    <n v="161"/>
    <n v="169"/>
    <n v="74"/>
    <n v="1.08"/>
    <n v="1379"/>
    <x v="3"/>
    <x v="3"/>
    <n v="15.2"/>
    <n v="2.5"/>
    <n v="3"/>
    <n v="2"/>
    <x v="2"/>
    <n v="21.53"/>
  </r>
  <r>
    <n v="50"/>
    <x v="2"/>
    <x v="1"/>
    <n v="82.6"/>
    <n v="1.71"/>
    <n v="164"/>
    <n v="160"/>
    <n v="63"/>
    <n v="1.33"/>
    <n v="1011"/>
    <x v="3"/>
    <x v="4"/>
    <n v="22.4"/>
    <n v="3.6"/>
    <n v="5"/>
    <n v="2"/>
    <x v="0"/>
    <n v="12.32"/>
  </r>
  <r>
    <n v="27"/>
    <x v="0"/>
    <x v="1"/>
    <n v="40"/>
    <n v="1.76"/>
    <n v="183"/>
    <n v="125"/>
    <n v="60"/>
    <n v="1.04"/>
    <n v="1783"/>
    <x v="3"/>
    <x v="4"/>
    <n v="21.9"/>
    <n v="3.3"/>
    <n v="4"/>
    <n v="2"/>
    <x v="0"/>
    <n v="12.32"/>
  </r>
  <r>
    <n v="27"/>
    <x v="0"/>
    <x v="0"/>
    <n v="70.099999999999994"/>
    <n v="1.58"/>
    <n v="169"/>
    <n v="156"/>
    <n v="63"/>
    <n v="0.82"/>
    <n v="797"/>
    <x v="1"/>
    <x v="1"/>
    <n v="28.1"/>
    <n v="3.4"/>
    <n v="3"/>
    <n v="1"/>
    <x v="2"/>
    <n v="24.04"/>
  </r>
  <r>
    <n v="29"/>
    <x v="0"/>
    <x v="0"/>
    <n v="40.200000000000003"/>
    <n v="1.7"/>
    <n v="184"/>
    <n v="152"/>
    <n v="70"/>
    <n v="1.82"/>
    <n v="744"/>
    <x v="0"/>
    <x v="0"/>
    <n v="13.2"/>
    <n v="2.6"/>
    <n v="3"/>
    <n v="2"/>
    <x v="2"/>
    <n v="18.63"/>
  </r>
  <r>
    <n v="19"/>
    <x v="1"/>
    <x v="0"/>
    <n v="76.400000000000006"/>
    <n v="1.79"/>
    <n v="189"/>
    <n v="132"/>
    <n v="57"/>
    <n v="1.41"/>
    <n v="1414"/>
    <x v="2"/>
    <x v="2"/>
    <n v="33.299999999999997"/>
    <n v="3.5"/>
    <n v="3"/>
    <n v="2"/>
    <x v="0"/>
    <n v="14.21"/>
  </r>
  <r>
    <n v="39"/>
    <x v="3"/>
    <x v="1"/>
    <n v="78.5"/>
    <n v="1.59"/>
    <n v="197"/>
    <n v="153"/>
    <n v="71"/>
    <n v="1.88"/>
    <n v="1009"/>
    <x v="3"/>
    <x v="2"/>
    <n v="26"/>
    <n v="3.7"/>
    <n v="5"/>
    <n v="1"/>
    <x v="0"/>
    <n v="16.239999999999998"/>
  </r>
  <r>
    <n v="18"/>
    <x v="1"/>
    <x v="2"/>
    <n v="72.099999999999994"/>
    <n v="1.79"/>
    <n v="194"/>
    <n v="169"/>
    <n v="71"/>
    <n v="1.89"/>
    <n v="716"/>
    <x v="0"/>
    <x v="0"/>
    <n v="16.7"/>
    <n v="3.2"/>
    <n v="2"/>
    <n v="2"/>
    <x v="0"/>
    <n v="12.32"/>
  </r>
  <r>
    <n v="26"/>
    <x v="0"/>
    <x v="1"/>
    <n v="61"/>
    <n v="1.97"/>
    <n v="172"/>
    <n v="140"/>
    <n v="74"/>
    <n v="1.99"/>
    <n v="1298"/>
    <x v="1"/>
    <x v="4"/>
    <n v="21.8"/>
    <n v="2.6"/>
    <m/>
    <n v="2"/>
    <x v="2"/>
    <n v="24.27"/>
  </r>
  <r>
    <n v="20"/>
    <x v="1"/>
    <x v="0"/>
    <n v="82.6"/>
    <n v="1.6"/>
    <n v="174"/>
    <n v="149"/>
    <n v="63"/>
    <n v="2"/>
    <n v="775"/>
    <x v="2"/>
    <x v="3"/>
    <n v="22.9"/>
    <n v="3.3"/>
    <n v="2"/>
    <n v="2"/>
    <x v="0"/>
    <n v="15.06"/>
  </r>
  <r>
    <n v="34"/>
    <x v="0"/>
    <x v="1"/>
    <n v="91.2"/>
    <n v="1.5"/>
    <n v="193"/>
    <n v="165"/>
    <n v="61"/>
    <n v="1.1299999999999999"/>
    <n v="905"/>
    <x v="0"/>
    <x v="4"/>
    <n v="24"/>
    <n v="3.4"/>
    <n v="4"/>
    <n v="1"/>
    <x v="2"/>
    <n v="24.8"/>
  </r>
  <r>
    <n v="18"/>
    <x v="1"/>
    <x v="1"/>
    <n v="64.2"/>
    <n v="1.61"/>
    <n v="167"/>
    <n v="147"/>
    <n v="18"/>
    <n v="1.17"/>
    <n v="1783"/>
    <x v="1"/>
    <x v="2"/>
    <n v="25.9"/>
    <n v="2.1"/>
    <n v="3"/>
    <n v="2"/>
    <x v="0"/>
    <n v="12.83"/>
  </r>
  <r>
    <n v="23"/>
    <x v="1"/>
    <x v="1"/>
    <n v="46.7"/>
    <n v="1.65"/>
    <n v="164"/>
    <n v="159"/>
    <n v="68"/>
    <n v="1.81"/>
    <n v="1563"/>
    <x v="3"/>
    <x v="3"/>
    <n v="15.8"/>
    <n v="2.5"/>
    <n v="4"/>
    <n v="2"/>
    <x v="2"/>
    <n v="19.8"/>
  </r>
  <r>
    <n v="28"/>
    <x v="0"/>
    <x v="0"/>
    <n v="74.2"/>
    <n v="1.5"/>
    <n v="191"/>
    <n v="129"/>
    <n v="72"/>
    <n v="1.77"/>
    <n v="848"/>
    <x v="0"/>
    <x v="0"/>
    <n v="17.3"/>
    <n v="1.5"/>
    <n v="3"/>
    <n v="2"/>
    <x v="2"/>
    <n v="24.11"/>
  </r>
  <r>
    <n v="18"/>
    <x v="1"/>
    <x v="0"/>
    <n v="64"/>
    <n v="1.51"/>
    <n v="176"/>
    <n v="129"/>
    <n v="74"/>
    <n v="1.18"/>
    <n v="992"/>
    <x v="0"/>
    <x v="1"/>
    <n v="26.7"/>
    <n v="3.4"/>
    <n v="5"/>
    <n v="3"/>
    <x v="0"/>
    <n v="14.98"/>
  </r>
  <r>
    <n v="32"/>
    <x v="0"/>
    <x v="1"/>
    <n v="52.8"/>
    <n v="1.61"/>
    <n v="169"/>
    <n v="169"/>
    <n v="70"/>
    <n v="0.88"/>
    <n v="1375"/>
    <x v="0"/>
    <x v="4"/>
    <n v="24.2"/>
    <n v="2.7"/>
    <n v="5"/>
    <n v="1"/>
    <x v="0"/>
    <n v="18.100000000000001"/>
  </r>
  <r>
    <n v="26"/>
    <x v="0"/>
    <x v="1"/>
    <m/>
    <n v="1.77"/>
    <n v="164"/>
    <n v="147"/>
    <n v="56"/>
    <n v="1.2"/>
    <n v="1091"/>
    <x v="3"/>
    <x v="2"/>
    <n v="30.8"/>
    <n v="1.6"/>
    <n v="3"/>
    <n v="3"/>
    <x v="2"/>
    <n v="21.49"/>
  </r>
  <r>
    <n v="47"/>
    <x v="2"/>
    <x v="1"/>
    <n v="40"/>
    <n v="1.73"/>
    <n v="170"/>
    <n v="160"/>
    <n v="66"/>
    <n v="1.27"/>
    <n v="1249"/>
    <x v="1"/>
    <x v="4"/>
    <n v="22.8"/>
    <n v="3.6"/>
    <n v="2"/>
    <n v="1"/>
    <x v="4"/>
    <n v="26.91"/>
  </r>
  <r>
    <n v="26"/>
    <x v="0"/>
    <x v="0"/>
    <n v="85.8"/>
    <n v="1.87"/>
    <n v="188"/>
    <n v="162"/>
    <n v="58"/>
    <n v="1.33"/>
    <n v="938"/>
    <x v="2"/>
    <x v="1"/>
    <n v="24.3"/>
    <m/>
    <n v="4"/>
    <n v="2"/>
    <x v="0"/>
    <n v="18.34"/>
  </r>
  <r>
    <n v="19"/>
    <x v="1"/>
    <x v="1"/>
    <n v="40"/>
    <n v="1.59"/>
    <n v="187"/>
    <n v="152"/>
    <n v="73"/>
    <n v="1.52"/>
    <n v="948"/>
    <x v="3"/>
    <x v="2"/>
    <n v="27.1"/>
    <n v="1.6"/>
    <n v="3"/>
    <m/>
    <x v="0"/>
    <n v="13.85"/>
  </r>
  <r>
    <n v="26"/>
    <x v="0"/>
    <x v="0"/>
    <n v="86.6"/>
    <m/>
    <n v="192"/>
    <n v="120"/>
    <n v="59"/>
    <n v="1.75"/>
    <n v="1102"/>
    <x v="2"/>
    <x v="0"/>
    <n v="19"/>
    <n v="1.8"/>
    <n v="3"/>
    <n v="1"/>
    <x v="0"/>
    <n v="17.940000000000001"/>
  </r>
  <r>
    <n v="39"/>
    <x v="3"/>
    <x v="1"/>
    <n v="70.7"/>
    <n v="1.58"/>
    <n v="189"/>
    <n v="163"/>
    <n v="66"/>
    <n v="1.69"/>
    <n v="1146"/>
    <x v="3"/>
    <x v="4"/>
    <n v="21.9"/>
    <n v="3.2"/>
    <n v="3"/>
    <n v="1"/>
    <x v="2"/>
    <n v="21.17"/>
  </r>
  <r>
    <n v="37"/>
    <x v="3"/>
    <x v="0"/>
    <n v="40"/>
    <n v="1.59"/>
    <n v="190"/>
    <n v="161"/>
    <n v="70"/>
    <n v="1.1599999999999999"/>
    <n v="670"/>
    <x v="4"/>
    <x v="1"/>
    <n v="24.5"/>
    <n v="3.3"/>
    <n v="4"/>
    <n v="2"/>
    <x v="0"/>
    <m/>
  </r>
  <r>
    <n v="19"/>
    <x v="1"/>
    <x v="0"/>
    <n v="66.7"/>
    <n v="1.73"/>
    <n v="172"/>
    <m/>
    <n v="71"/>
    <n v="1.18"/>
    <n v="589"/>
    <x v="2"/>
    <x v="1"/>
    <n v="24.9"/>
    <n v="1.8"/>
    <n v="3"/>
    <n v="1"/>
    <x v="2"/>
    <n v="19.239999999999998"/>
  </r>
  <r>
    <n v="39"/>
    <x v="3"/>
    <x v="0"/>
    <n v="72.099999999999994"/>
    <n v="1.52"/>
    <n v="172"/>
    <n v="151"/>
    <n v="18"/>
    <n v="1.0900000000000001"/>
    <n v="1093"/>
    <x v="2"/>
    <x v="1"/>
    <n v="28.2"/>
    <n v="2.7"/>
    <n v="2"/>
    <n v="1"/>
    <x v="2"/>
    <n v="20.85"/>
  </r>
  <r>
    <n v="53"/>
    <x v="2"/>
    <x v="1"/>
    <n v="80.5"/>
    <n v="1.64"/>
    <n v="173"/>
    <n v="120"/>
    <n v="60"/>
    <n v="1.26"/>
    <n v="735"/>
    <x v="3"/>
    <x v="2"/>
    <n v="26.3"/>
    <m/>
    <n v="4"/>
    <n v="2"/>
    <x v="0"/>
    <n v="12.32"/>
  </r>
  <r>
    <n v="41"/>
    <x v="3"/>
    <x v="1"/>
    <n v="77"/>
    <n v="1.5"/>
    <n v="190"/>
    <n v="146"/>
    <n v="56"/>
    <n v="1.3"/>
    <n v="1067"/>
    <x v="0"/>
    <x v="2"/>
    <n v="27.5"/>
    <n v="3.3"/>
    <n v="4"/>
    <n v="2"/>
    <x v="4"/>
    <n v="26.26"/>
  </r>
  <r>
    <n v="23"/>
    <x v="1"/>
    <x v="1"/>
    <n v="117.8"/>
    <n v="1.88"/>
    <n v="168"/>
    <n v="167"/>
    <n v="55"/>
    <n v="1.35"/>
    <n v="1259"/>
    <x v="0"/>
    <x v="2"/>
    <n v="32.299999999999997"/>
    <n v="1.6"/>
    <n v="3"/>
    <n v="2"/>
    <x v="0"/>
    <n v="14.24"/>
  </r>
  <r>
    <n v="31"/>
    <x v="0"/>
    <x v="0"/>
    <n v="76.2"/>
    <n v="1.64"/>
    <n v="169"/>
    <n v="137"/>
    <n v="72"/>
    <n v="0.74"/>
    <n v="1207"/>
    <x v="0"/>
    <x v="3"/>
    <n v="23.3"/>
    <n v="2.7"/>
    <m/>
    <n v="3"/>
    <x v="3"/>
    <n v="40.630000000000003"/>
  </r>
  <r>
    <n v="50"/>
    <x v="2"/>
    <x v="0"/>
    <n v="57.3"/>
    <n v="1.72"/>
    <n v="197"/>
    <n v="133"/>
    <n v="56"/>
    <n v="2"/>
    <n v="950"/>
    <x v="3"/>
    <x v="0"/>
    <n v="11.1"/>
    <n v="3.2"/>
    <n v="2"/>
    <n v="3"/>
    <x v="2"/>
    <n v="22.6"/>
  </r>
  <r>
    <n v="22"/>
    <x v="1"/>
    <x v="0"/>
    <n v="103.1"/>
    <n v="1.72"/>
    <n v="168"/>
    <n v="166"/>
    <n v="59"/>
    <n v="1.07"/>
    <n v="978"/>
    <x v="2"/>
    <x v="3"/>
    <n v="23.1"/>
    <n v="1.9"/>
    <n v="2"/>
    <n v="2"/>
    <x v="0"/>
    <n v="16.79"/>
  </r>
  <r>
    <n v="29"/>
    <x v="0"/>
    <x v="0"/>
    <n v="77.400000000000006"/>
    <n v="1.69"/>
    <n v="179"/>
    <n v="132"/>
    <n v="74"/>
    <n v="1.1100000000000001"/>
    <n v="712"/>
    <x v="3"/>
    <x v="1"/>
    <n v="27"/>
    <n v="3.5"/>
    <n v="2"/>
    <n v="3"/>
    <x v="0"/>
    <n v="16.23"/>
  </r>
  <r>
    <n v="18"/>
    <x v="1"/>
    <x v="1"/>
    <n v="84.1"/>
    <n v="1.78"/>
    <n v="194"/>
    <n v="145"/>
    <n v="64"/>
    <n v="2"/>
    <n v="686"/>
    <x v="1"/>
    <x v="2"/>
    <n v="30.3"/>
    <n v="3.3"/>
    <n v="3"/>
    <n v="3"/>
    <x v="0"/>
    <n v="14.46"/>
  </r>
  <r>
    <n v="29"/>
    <x v="0"/>
    <x v="1"/>
    <n v="40"/>
    <n v="1.86"/>
    <n v="180"/>
    <n v="169"/>
    <n v="63"/>
    <n v="1.26"/>
    <n v="986"/>
    <x v="3"/>
    <x v="2"/>
    <n v="25.3"/>
    <n v="1.5"/>
    <n v="3"/>
    <n v="1"/>
    <x v="2"/>
    <n v="19.920000000000002"/>
  </r>
  <r>
    <n v="42"/>
    <x v="3"/>
    <x v="1"/>
    <n v="66"/>
    <n v="1.6"/>
    <n v="196"/>
    <n v="159"/>
    <n v="52"/>
    <n v="1.93"/>
    <n v="1042"/>
    <x v="0"/>
    <x v="3"/>
    <n v="16.399999999999999"/>
    <n v="3.5"/>
    <n v="4"/>
    <n v="2"/>
    <x v="0"/>
    <n v="17.809999999999999"/>
  </r>
  <r>
    <n v="51"/>
    <x v="2"/>
    <x v="0"/>
    <n v="84.6"/>
    <n v="1.77"/>
    <n v="197"/>
    <n v="141"/>
    <n v="55"/>
    <n v="1.44"/>
    <n v="543"/>
    <x v="2"/>
    <x v="3"/>
    <n v="23.4"/>
    <n v="2.9"/>
    <n v="5"/>
    <n v="3"/>
    <x v="2"/>
    <n v="24.89"/>
  </r>
  <r>
    <n v="51"/>
    <x v="2"/>
    <x v="1"/>
    <n v="100.7"/>
    <n v="1.75"/>
    <n v="185"/>
    <n v="138"/>
    <n v="73"/>
    <n v="1.5"/>
    <n v="703"/>
    <x v="0"/>
    <x v="2"/>
    <n v="25.5"/>
    <n v="1.8"/>
    <n v="4"/>
    <n v="3"/>
    <x v="0"/>
    <n v="15.9"/>
  </r>
  <r>
    <n v="22"/>
    <x v="1"/>
    <x v="1"/>
    <n v="58.6"/>
    <n v="2"/>
    <n v="165"/>
    <n v="169"/>
    <n v="57"/>
    <n v="2"/>
    <n v="1402"/>
    <x v="0"/>
    <x v="2"/>
    <n v="30"/>
    <n v="3.5"/>
    <n v="4"/>
    <n v="2"/>
    <x v="2"/>
    <n v="20.99"/>
  </r>
  <r>
    <n v="21"/>
    <x v="1"/>
    <x v="0"/>
    <n v="57.4"/>
    <n v="1.74"/>
    <n v="179"/>
    <n v="161"/>
    <n v="73"/>
    <n v="2"/>
    <n v="457"/>
    <x v="2"/>
    <x v="1"/>
    <n v="27.7"/>
    <n v="2.5"/>
    <n v="3"/>
    <n v="1"/>
    <x v="2"/>
    <n v="24.67"/>
  </r>
  <r>
    <n v="21"/>
    <x v="1"/>
    <x v="1"/>
    <n v="69.5"/>
    <n v="1.54"/>
    <n v="167"/>
    <n v="158"/>
    <n v="72"/>
    <n v="1.28"/>
    <n v="1044"/>
    <x v="3"/>
    <x v="2"/>
    <n v="27.9"/>
    <n v="2.9"/>
    <n v="2"/>
    <m/>
    <x v="0"/>
    <n v="14.68"/>
  </r>
  <r>
    <n v="26"/>
    <x v="0"/>
    <x v="0"/>
    <n v="42.2"/>
    <n v="1.91"/>
    <n v="174"/>
    <n v="127"/>
    <n v="72"/>
    <n v="1.65"/>
    <n v="455"/>
    <x v="0"/>
    <x v="3"/>
    <n v="23.6"/>
    <n v="2.9"/>
    <n v="3"/>
    <n v="2"/>
    <x v="2"/>
    <n v="24.27"/>
  </r>
  <r>
    <n v="18"/>
    <x v="1"/>
    <x v="1"/>
    <n v="61.3"/>
    <n v="1.6"/>
    <n v="191"/>
    <n v="135"/>
    <n v="67"/>
    <n v="1.0900000000000001"/>
    <n v="609"/>
    <x v="4"/>
    <x v="3"/>
    <n v="13.7"/>
    <n v="1.6"/>
    <n v="2"/>
    <n v="3"/>
    <x v="0"/>
    <n v="14.7"/>
  </r>
  <r>
    <n v="18"/>
    <x v="1"/>
    <x v="1"/>
    <n v="66.599999999999994"/>
    <n v="1.62"/>
    <n v="192"/>
    <n v="156"/>
    <n v="58"/>
    <n v="1.3"/>
    <n v="1250"/>
    <x v="1"/>
    <x v="4"/>
    <n v="21.3"/>
    <n v="3.2"/>
    <n v="5"/>
    <n v="1"/>
    <x v="0"/>
    <n v="12.58"/>
  </r>
  <r>
    <n v="37"/>
    <x v="3"/>
    <x v="0"/>
    <n v="94.4"/>
    <n v="1.7"/>
    <n v="193"/>
    <n v="127"/>
    <n v="70"/>
    <n v="1.27"/>
    <n v="1183"/>
    <x v="2"/>
    <x v="0"/>
    <n v="16.399999999999999"/>
    <n v="3.4"/>
    <n v="4"/>
    <n v="1"/>
    <x v="2"/>
    <n v="19.3"/>
  </r>
  <r>
    <n v="45"/>
    <x v="2"/>
    <x v="1"/>
    <n v="111.9"/>
    <n v="1.73"/>
    <n v="177"/>
    <n v="129"/>
    <n v="54"/>
    <n v="0.92"/>
    <n v="1267"/>
    <x v="0"/>
    <x v="4"/>
    <n v="18.3"/>
    <n v="2.6"/>
    <n v="4"/>
    <n v="1"/>
    <x v="0"/>
    <n v="12.32"/>
  </r>
  <r>
    <n v="18"/>
    <x v="1"/>
    <x v="0"/>
    <n v="92"/>
    <n v="1.79"/>
    <n v="199"/>
    <n v="169"/>
    <n v="56"/>
    <n v="1.77"/>
    <n v="1105"/>
    <x v="0"/>
    <x v="0"/>
    <n v="14.4"/>
    <m/>
    <n v="2"/>
    <n v="1"/>
    <x v="2"/>
    <n v="20.25"/>
  </r>
  <r>
    <n v="18"/>
    <x v="1"/>
    <x v="0"/>
    <m/>
    <n v="1.76"/>
    <n v="176"/>
    <n v="167"/>
    <n v="58"/>
    <n v="1.21"/>
    <n v="912"/>
    <x v="0"/>
    <x v="1"/>
    <n v="28.4"/>
    <n v="3.6"/>
    <n v="2"/>
    <n v="2"/>
    <x v="4"/>
    <n v="25.72"/>
  </r>
  <r>
    <n v="51"/>
    <x v="2"/>
    <x v="1"/>
    <n v="61.1"/>
    <n v="1.82"/>
    <n v="165"/>
    <n v="163"/>
    <n v="57"/>
    <n v="1.19"/>
    <n v="1171"/>
    <x v="3"/>
    <x v="2"/>
    <n v="31.7"/>
    <n v="2.5"/>
    <n v="4"/>
    <n v="3"/>
    <x v="3"/>
    <n v="45.75"/>
  </r>
  <r>
    <n v="18"/>
    <x v="1"/>
    <x v="0"/>
    <n v="96"/>
    <n v="1.82"/>
    <n v="198"/>
    <n v="144"/>
    <n v="58"/>
    <n v="1.19"/>
    <n v="323"/>
    <x v="3"/>
    <x v="3"/>
    <n v="23.8"/>
    <n v="1.8"/>
    <n v="3"/>
    <n v="1"/>
    <x v="0"/>
    <n v="12.32"/>
  </r>
  <r>
    <n v="27"/>
    <x v="0"/>
    <x v="0"/>
    <n v="89.7"/>
    <n v="1.67"/>
    <n v="172"/>
    <n v="130"/>
    <n v="64"/>
    <n v="1.46"/>
    <n v="729"/>
    <x v="3"/>
    <x v="1"/>
    <n v="27.7"/>
    <n v="3.4"/>
    <n v="4"/>
    <n v="2"/>
    <x v="0"/>
    <n v="17.559999999999999"/>
  </r>
  <r>
    <n v="34"/>
    <x v="0"/>
    <x v="0"/>
    <n v="61"/>
    <n v="1.69"/>
    <n v="190"/>
    <n v="159"/>
    <n v="63"/>
    <n v="0.99"/>
    <n v="1040"/>
    <x v="1"/>
    <x v="3"/>
    <n v="23.6"/>
    <n v="3.6"/>
    <n v="5"/>
    <n v="3"/>
    <x v="0"/>
    <n v="18.07"/>
  </r>
  <r>
    <n v="31"/>
    <x v="0"/>
    <x v="0"/>
    <n v="75.599999999999994"/>
    <n v="1.57"/>
    <n v="163"/>
    <n v="152"/>
    <n v="71"/>
    <n v="0.96"/>
    <n v="668"/>
    <x v="3"/>
    <x v="1"/>
    <n v="25.8"/>
    <n v="2.2999999999999998"/>
    <n v="4"/>
    <n v="1"/>
    <x v="4"/>
    <n v="26.35"/>
  </r>
  <r>
    <n v="23"/>
    <x v="1"/>
    <x v="0"/>
    <n v="40"/>
    <n v="1.76"/>
    <m/>
    <n v="143"/>
    <n v="71"/>
    <n v="1.08"/>
    <n v="1442"/>
    <x v="3"/>
    <x v="1"/>
    <n v="25.7"/>
    <n v="3.3"/>
    <n v="5"/>
    <n v="3"/>
    <x v="0"/>
    <n v="12.32"/>
  </r>
  <r>
    <n v="54"/>
    <x v="2"/>
    <x v="2"/>
    <n v="46.8"/>
    <n v="1.67"/>
    <n v="181"/>
    <n v="169"/>
    <n v="74"/>
    <n v="1.48"/>
    <m/>
    <x v="0"/>
    <x v="4"/>
    <n v="25.5"/>
    <n v="1.5"/>
    <n v="4"/>
    <n v="1"/>
    <x v="2"/>
    <n v="22.04"/>
  </r>
  <r>
    <n v="19"/>
    <x v="1"/>
    <x v="0"/>
    <n v="90.6"/>
    <n v="1.85"/>
    <n v="187"/>
    <n v="131"/>
    <n v="68"/>
    <n v="1.67"/>
    <n v="607"/>
    <x v="2"/>
    <x v="1"/>
    <n v="27.5"/>
    <n v="3.3"/>
    <n v="2"/>
    <n v="2"/>
    <x v="2"/>
    <n v="19.149999999999999"/>
  </r>
  <r>
    <n v="47"/>
    <x v="2"/>
    <x v="0"/>
    <n v="90.8"/>
    <n v="1.67"/>
    <n v="186"/>
    <n v="120"/>
    <n v="74"/>
    <n v="1.43"/>
    <n v="506"/>
    <x v="0"/>
    <x v="2"/>
    <n v="32"/>
    <n v="2.7"/>
    <n v="3"/>
    <n v="3"/>
    <x v="0"/>
    <n v="18.39"/>
  </r>
  <r>
    <n v="33"/>
    <x v="0"/>
    <x v="0"/>
    <n v="129.9"/>
    <n v="1.69"/>
    <n v="168"/>
    <n v="152"/>
    <n v="74"/>
    <n v="1.61"/>
    <n v="810"/>
    <x v="0"/>
    <x v="1"/>
    <n v="27.5"/>
    <n v="3.5"/>
    <m/>
    <n v="2"/>
    <x v="2"/>
    <n v="23.37"/>
  </r>
  <r>
    <n v="50"/>
    <x v="2"/>
    <x v="0"/>
    <n v="69.3"/>
    <m/>
    <n v="162"/>
    <n v="126"/>
    <n v="62"/>
    <n v="1.33"/>
    <n v="1138"/>
    <x v="0"/>
    <x v="1"/>
    <n v="25.6"/>
    <n v="1.5"/>
    <n v="3"/>
    <n v="1"/>
    <x v="2"/>
    <n v="22.79"/>
  </r>
  <r>
    <n v="19"/>
    <x v="1"/>
    <x v="0"/>
    <n v="40"/>
    <n v="1.77"/>
    <n v="179"/>
    <n v="139"/>
    <n v="74"/>
    <n v="1.22"/>
    <n v="1173"/>
    <x v="3"/>
    <x v="1"/>
    <n v="27.7"/>
    <n v="1.6"/>
    <n v="3"/>
    <n v="3"/>
    <x v="2"/>
    <n v="19.2"/>
  </r>
  <r>
    <n v="27"/>
    <x v="0"/>
    <x v="1"/>
    <n v="112.6"/>
    <n v="1.79"/>
    <n v="174"/>
    <n v="167"/>
    <n v="60"/>
    <n v="0.69"/>
    <n v="1282"/>
    <x v="0"/>
    <x v="2"/>
    <n v="28.6"/>
    <n v="1.5"/>
    <n v="2"/>
    <n v="1"/>
    <x v="2"/>
    <n v="22.96"/>
  </r>
  <r>
    <n v="49"/>
    <x v="2"/>
    <x v="1"/>
    <n v="54.2"/>
    <n v="1.64"/>
    <n v="182"/>
    <n v="147"/>
    <n v="64"/>
    <n v="0.95"/>
    <n v="914"/>
    <x v="4"/>
    <x v="4"/>
    <n v="19"/>
    <n v="3.2"/>
    <n v="2"/>
    <n v="2"/>
    <x v="2"/>
    <n v="23.01"/>
  </r>
  <r>
    <n v="46"/>
    <x v="2"/>
    <x v="1"/>
    <n v="108.9"/>
    <n v="1.86"/>
    <n v="162"/>
    <n v="165"/>
    <n v="74"/>
    <n v="1.42"/>
    <n v="936"/>
    <x v="0"/>
    <x v="4"/>
    <n v="22.2"/>
    <n v="1.9"/>
    <n v="4"/>
    <n v="2"/>
    <x v="4"/>
    <n v="27.29"/>
  </r>
  <r>
    <n v="37"/>
    <x v="3"/>
    <x v="2"/>
    <n v="69.400000000000006"/>
    <n v="1.61"/>
    <n v="173"/>
    <n v="169"/>
    <n v="66"/>
    <n v="1.0900000000000001"/>
    <n v="948"/>
    <x v="0"/>
    <x v="4"/>
    <n v="28.3"/>
    <n v="1.5"/>
    <n v="2"/>
    <n v="1"/>
    <x v="0"/>
    <n v="12.32"/>
  </r>
  <r>
    <n v="52"/>
    <x v="2"/>
    <x v="1"/>
    <n v="40"/>
    <n v="1.6"/>
    <n v="194"/>
    <m/>
    <n v="73"/>
    <n v="1.48"/>
    <n v="1156"/>
    <x v="3"/>
    <x v="4"/>
    <n v="23.4"/>
    <n v="2.2999999999999998"/>
    <n v="4"/>
    <n v="2"/>
    <x v="4"/>
    <n v="27.66"/>
  </r>
  <r>
    <n v="26"/>
    <x v="0"/>
    <x v="1"/>
    <n v="43.2"/>
    <n v="1.8"/>
    <n v="185"/>
    <n v="149"/>
    <n v="52"/>
    <n v="1.87"/>
    <n v="1019"/>
    <x v="1"/>
    <x v="4"/>
    <n v="23.5"/>
    <n v="2.1"/>
    <n v="4"/>
    <n v="2"/>
    <x v="4"/>
    <n v="27.59"/>
  </r>
  <r>
    <n v="45"/>
    <x v="2"/>
    <x v="2"/>
    <n v="68.7"/>
    <n v="1.7"/>
    <n v="179"/>
    <n v="126"/>
    <n v="74"/>
    <n v="1.05"/>
    <n v="1161"/>
    <x v="1"/>
    <x v="3"/>
    <n v="22.9"/>
    <n v="3.1"/>
    <n v="4"/>
    <n v="3"/>
    <x v="2"/>
    <n v="24.13"/>
  </r>
  <r>
    <n v="18"/>
    <x v="1"/>
    <x v="0"/>
    <n v="61.1"/>
    <n v="1.74"/>
    <n v="191"/>
    <n v="159"/>
    <n v="69"/>
    <n v="1.36"/>
    <n v="1311"/>
    <x v="2"/>
    <x v="0"/>
    <n v="15.6"/>
    <n v="3.4"/>
    <n v="2"/>
    <n v="2"/>
    <x v="0"/>
    <n v="16.61"/>
  </r>
  <r>
    <n v="38"/>
    <x v="3"/>
    <x v="1"/>
    <n v="85.5"/>
    <n v="1.77"/>
    <n v="175"/>
    <n v="156"/>
    <n v="50"/>
    <n v="1.1299999999999999"/>
    <n v="766"/>
    <x v="2"/>
    <x v="3"/>
    <n v="14.6"/>
    <n v="3.4"/>
    <n v="2"/>
    <n v="1"/>
    <x v="0"/>
    <n v="16.38"/>
  </r>
  <r>
    <n v="18"/>
    <x v="1"/>
    <x v="0"/>
    <n v="50.1"/>
    <n v="1.8"/>
    <n v="174"/>
    <n v="125"/>
    <n v="50"/>
    <n v="1.38"/>
    <n v="1185"/>
    <x v="2"/>
    <x v="1"/>
    <n v="30.8"/>
    <n v="3.4"/>
    <n v="3"/>
    <n v="2"/>
    <x v="4"/>
    <n v="29.04"/>
  </r>
  <r>
    <n v="45"/>
    <x v="2"/>
    <x v="1"/>
    <n v="129.9"/>
    <n v="1.75"/>
    <n v="197"/>
    <n v="154"/>
    <n v="73"/>
    <n v="1.97"/>
    <n v="757"/>
    <x v="1"/>
    <x v="4"/>
    <n v="23.5"/>
    <n v="2.4"/>
    <n v="5"/>
    <n v="1"/>
    <x v="1"/>
    <n v="36.130000000000003"/>
  </r>
  <r>
    <n v="47"/>
    <x v="2"/>
    <x v="0"/>
    <n v="93.3"/>
    <n v="1.73"/>
    <n v="184"/>
    <n v="123"/>
    <n v="62"/>
    <n v="1.45"/>
    <n v="998"/>
    <x v="3"/>
    <x v="0"/>
    <n v="15.1"/>
    <n v="1.7"/>
    <n v="4"/>
    <n v="2"/>
    <x v="0"/>
    <n v="12.32"/>
  </r>
  <r>
    <n v="45"/>
    <x v="2"/>
    <x v="0"/>
    <n v="73.7"/>
    <n v="1.7"/>
    <n v="190"/>
    <n v="167"/>
    <n v="67"/>
    <n v="1.1100000000000001"/>
    <n v="1100"/>
    <x v="3"/>
    <x v="1"/>
    <n v="29.1"/>
    <n v="1.8"/>
    <n v="2"/>
    <n v="1"/>
    <x v="0"/>
    <n v="15.88"/>
  </r>
  <r>
    <n v="55"/>
    <x v="4"/>
    <x v="0"/>
    <n v="69.400000000000006"/>
    <n v="1.56"/>
    <n v="175"/>
    <n v="134"/>
    <n v="70"/>
    <n v="1.48"/>
    <n v="734"/>
    <x v="3"/>
    <x v="0"/>
    <n v="16.8"/>
    <m/>
    <n v="4"/>
    <n v="2"/>
    <x v="2"/>
    <n v="23.63"/>
  </r>
  <r>
    <n v="18"/>
    <x v="1"/>
    <x v="1"/>
    <n v="86.1"/>
    <n v="2"/>
    <n v="180"/>
    <n v="158"/>
    <n v="72"/>
    <n v="1.27"/>
    <n v="1173"/>
    <x v="2"/>
    <x v="4"/>
    <n v="19.7"/>
    <n v="3.5"/>
    <n v="2"/>
    <n v="3"/>
    <x v="0"/>
    <n v="13.06"/>
  </r>
  <r>
    <n v="20"/>
    <x v="1"/>
    <x v="0"/>
    <m/>
    <n v="1.5"/>
    <n v="198"/>
    <n v="128"/>
    <n v="50"/>
    <n v="0.97"/>
    <n v="906"/>
    <x v="1"/>
    <x v="2"/>
    <n v="31.2"/>
    <n v="3.4"/>
    <n v="2"/>
    <n v="1"/>
    <x v="2"/>
    <n v="21.03"/>
  </r>
  <r>
    <n v="18"/>
    <x v="1"/>
    <x v="0"/>
    <n v="40"/>
    <n v="1.77"/>
    <n v="189"/>
    <n v="137"/>
    <n v="74"/>
    <n v="0.6"/>
    <n v="829"/>
    <x v="1"/>
    <x v="1"/>
    <n v="24.7"/>
    <n v="2.6"/>
    <n v="4"/>
    <n v="1"/>
    <x v="0"/>
    <n v="16.350000000000001"/>
  </r>
  <r>
    <n v="46"/>
    <x v="2"/>
    <x v="0"/>
    <n v="40.799999999999997"/>
    <n v="1.71"/>
    <n v="191"/>
    <n v="162"/>
    <n v="52"/>
    <n v="0.93"/>
    <n v="903"/>
    <x v="3"/>
    <x v="0"/>
    <n v="14.2"/>
    <n v="1.9"/>
    <n v="2"/>
    <m/>
    <x v="3"/>
    <n v="39.04"/>
  </r>
  <r>
    <n v="43"/>
    <x v="3"/>
    <x v="1"/>
    <n v="56.4"/>
    <n v="1.8"/>
    <n v="174"/>
    <n v="161"/>
    <n v="74"/>
    <n v="1.03"/>
    <n v="327"/>
    <x v="0"/>
    <x v="0"/>
    <n v="10"/>
    <n v="3.2"/>
    <n v="3"/>
    <n v="1"/>
    <x v="2"/>
    <n v="21.21"/>
  </r>
  <r>
    <n v="45"/>
    <x v="2"/>
    <x v="0"/>
    <n v="60.7"/>
    <n v="1.63"/>
    <n v="170"/>
    <n v="139"/>
    <n v="74"/>
    <n v="1.18"/>
    <n v="1356"/>
    <x v="1"/>
    <x v="0"/>
    <n v="10"/>
    <n v="3.3"/>
    <n v="3"/>
    <n v="3"/>
    <x v="0"/>
    <n v="12.32"/>
  </r>
  <r>
    <n v="43"/>
    <x v="3"/>
    <x v="0"/>
    <n v="40"/>
    <n v="1.69"/>
    <n v="187"/>
    <n v="162"/>
    <n v="66"/>
    <n v="0.9"/>
    <n v="886"/>
    <x v="0"/>
    <x v="1"/>
    <n v="28"/>
    <n v="2.2000000000000002"/>
    <n v="2"/>
    <n v="1"/>
    <x v="4"/>
    <n v="26.48"/>
  </r>
  <r>
    <n v="29"/>
    <x v="0"/>
    <x v="0"/>
    <n v="84.4"/>
    <n v="1.67"/>
    <n v="184"/>
    <n v="160"/>
    <n v="74"/>
    <n v="1.28"/>
    <n v="1475"/>
    <x v="3"/>
    <x v="0"/>
    <n v="10"/>
    <n v="2.1"/>
    <n v="5"/>
    <n v="2"/>
    <x v="0"/>
    <n v="17.62"/>
  </r>
  <r>
    <n v="18"/>
    <x v="1"/>
    <x v="0"/>
    <n v="67.5"/>
    <n v="1.71"/>
    <n v="185"/>
    <n v="166"/>
    <n v="58"/>
    <n v="1.81"/>
    <n v="1162"/>
    <x v="1"/>
    <x v="0"/>
    <n v="10.6"/>
    <n v="3.5"/>
    <n v="3"/>
    <n v="2"/>
    <x v="1"/>
    <n v="37.909999999999997"/>
  </r>
  <r>
    <n v="21"/>
    <x v="1"/>
    <x v="0"/>
    <n v="62.1"/>
    <n v="1.68"/>
    <n v="173"/>
    <n v="158"/>
    <n v="71"/>
    <n v="1.23"/>
    <n v="1186"/>
    <x v="3"/>
    <x v="1"/>
    <n v="26.4"/>
    <n v="3.5"/>
    <n v="4"/>
    <n v="1"/>
    <x v="0"/>
    <n v="15.6"/>
  </r>
  <r>
    <n v="41"/>
    <x v="3"/>
    <x v="1"/>
    <n v="83.7"/>
    <n v="1.92"/>
    <n v="161"/>
    <n v="163"/>
    <n v="59"/>
    <n v="1.37"/>
    <n v="1308"/>
    <x v="1"/>
    <x v="4"/>
    <n v="21.4"/>
    <n v="1.5"/>
    <n v="2"/>
    <n v="2"/>
    <x v="0"/>
    <n v="17.48"/>
  </r>
  <r>
    <n v="26"/>
    <x v="0"/>
    <x v="0"/>
    <n v="80.599999999999994"/>
    <n v="1.86"/>
    <n v="195"/>
    <n v="127"/>
    <n v="53"/>
    <n v="2"/>
    <n v="564"/>
    <x v="0"/>
    <x v="3"/>
    <n v="23.1"/>
    <n v="1.5"/>
    <n v="3"/>
    <n v="2"/>
    <x v="4"/>
    <n v="29.21"/>
  </r>
  <r>
    <n v="33"/>
    <x v="0"/>
    <x v="1"/>
    <n v="60.8"/>
    <n v="1.78"/>
    <n v="189"/>
    <n v="147"/>
    <n v="73"/>
    <n v="1.04"/>
    <n v="951"/>
    <x v="1"/>
    <x v="2"/>
    <n v="27.3"/>
    <n v="3.3"/>
    <n v="4"/>
    <n v="2"/>
    <x v="0"/>
    <m/>
  </r>
  <r>
    <n v="18"/>
    <x v="1"/>
    <x v="1"/>
    <n v="44.8"/>
    <n v="1.81"/>
    <n v="164"/>
    <m/>
    <n v="57"/>
    <n v="1.2"/>
    <n v="742"/>
    <x v="2"/>
    <x v="4"/>
    <n v="23.5"/>
    <n v="3.3"/>
    <n v="4"/>
    <n v="3"/>
    <x v="2"/>
    <n v="19.04"/>
  </r>
  <r>
    <n v="21"/>
    <x v="1"/>
    <x v="1"/>
    <n v="62.3"/>
    <n v="1.91"/>
    <n v="198"/>
    <n v="141"/>
    <n v="51"/>
    <n v="1.47"/>
    <n v="1394"/>
    <x v="3"/>
    <x v="4"/>
    <n v="22.7"/>
    <n v="1.8"/>
    <n v="3"/>
    <n v="2"/>
    <x v="0"/>
    <n v="17.399999999999999"/>
  </r>
  <r>
    <n v="49"/>
    <x v="2"/>
    <x v="0"/>
    <n v="97.4"/>
    <n v="1.67"/>
    <n v="171"/>
    <n v="132"/>
    <n v="72"/>
    <n v="1.97"/>
    <n v="1091"/>
    <x v="1"/>
    <x v="1"/>
    <n v="30.4"/>
    <n v="3.6"/>
    <n v="3"/>
    <n v="1"/>
    <x v="0"/>
    <n v="12.32"/>
  </r>
  <r>
    <n v="19"/>
    <x v="1"/>
    <x v="1"/>
    <n v="51.4"/>
    <n v="1.78"/>
    <n v="167"/>
    <n v="154"/>
    <n v="70"/>
    <n v="2"/>
    <n v="1218"/>
    <x v="3"/>
    <x v="2"/>
    <n v="29.8"/>
    <n v="2.1"/>
    <n v="3"/>
    <n v="2"/>
    <x v="0"/>
    <n v="13.61"/>
  </r>
  <r>
    <n v="31"/>
    <x v="0"/>
    <x v="1"/>
    <n v="79.099999999999994"/>
    <n v="1.74"/>
    <n v="192"/>
    <n v="167"/>
    <n v="74"/>
    <n v="0.93"/>
    <n v="1157"/>
    <x v="1"/>
    <x v="4"/>
    <n v="18.7"/>
    <n v="1.9"/>
    <n v="2"/>
    <n v="3"/>
    <x v="0"/>
    <n v="13.83"/>
  </r>
  <r>
    <n v="43"/>
    <x v="3"/>
    <x v="1"/>
    <n v="57.5"/>
    <n v="2"/>
    <n v="172"/>
    <n v="126"/>
    <n v="64"/>
    <n v="1.4"/>
    <n v="735"/>
    <x v="1"/>
    <x v="3"/>
    <n v="16.899999999999999"/>
    <n v="2.1"/>
    <n v="3"/>
    <n v="1"/>
    <x v="2"/>
    <n v="20.98"/>
  </r>
  <r>
    <n v="43"/>
    <x v="3"/>
    <x v="0"/>
    <n v="70.599999999999994"/>
    <n v="1.71"/>
    <n v="193"/>
    <n v="148"/>
    <n v="54"/>
    <n v="1.28"/>
    <n v="725"/>
    <x v="1"/>
    <x v="1"/>
    <n v="27.1"/>
    <n v="3.6"/>
    <n v="3"/>
    <n v="1"/>
    <x v="2"/>
    <n v="22.55"/>
  </r>
  <r>
    <n v="18"/>
    <x v="1"/>
    <x v="0"/>
    <n v="72.5"/>
    <n v="1.79"/>
    <n v="173"/>
    <n v="140"/>
    <n v="67"/>
    <n v="1.34"/>
    <n v="1629"/>
    <x v="0"/>
    <x v="1"/>
    <n v="27.3"/>
    <n v="2.7"/>
    <n v="5"/>
    <n v="1"/>
    <x v="2"/>
    <n v="19.579999999999998"/>
  </r>
  <r>
    <n v="44"/>
    <x v="3"/>
    <x v="0"/>
    <n v="68"/>
    <n v="1.66"/>
    <n v="182"/>
    <n v="146"/>
    <n v="68"/>
    <n v="0.82"/>
    <n v="1278"/>
    <x v="2"/>
    <x v="3"/>
    <n v="20.7"/>
    <n v="3"/>
    <n v="5"/>
    <n v="1"/>
    <x v="0"/>
    <n v="16.02"/>
  </r>
  <r>
    <n v="21"/>
    <x v="1"/>
    <x v="0"/>
    <n v="121.6"/>
    <n v="1.78"/>
    <n v="182"/>
    <n v="151"/>
    <n v="50"/>
    <n v="1.81"/>
    <n v="1242"/>
    <x v="3"/>
    <x v="3"/>
    <n v="21"/>
    <n v="3.5"/>
    <n v="4"/>
    <n v="2"/>
    <x v="0"/>
    <n v="16.63"/>
  </r>
  <r>
    <n v="44"/>
    <x v="3"/>
    <x v="1"/>
    <n v="55.1"/>
    <n v="1.9"/>
    <n v="196"/>
    <n v="165"/>
    <n v="55"/>
    <n v="1.26"/>
    <n v="901"/>
    <x v="4"/>
    <x v="2"/>
    <n v="26.9"/>
    <n v="2.6"/>
    <n v="3"/>
    <n v="1"/>
    <x v="2"/>
    <n v="22.13"/>
  </r>
  <r>
    <n v="58"/>
    <x v="4"/>
    <x v="0"/>
    <n v="51.2"/>
    <n v="1.72"/>
    <n v="165"/>
    <n v="139"/>
    <n v="70"/>
    <n v="0.79"/>
    <n v="1612"/>
    <x v="3"/>
    <x v="3"/>
    <n v="20.6"/>
    <n v="2.1"/>
    <n v="3"/>
    <n v="3"/>
    <x v="1"/>
    <n v="36.29"/>
  </r>
  <r>
    <n v="35"/>
    <x v="3"/>
    <x v="0"/>
    <n v="60.8"/>
    <n v="1.64"/>
    <n v="161"/>
    <n v="127"/>
    <n v="74"/>
    <n v="1.57"/>
    <n v="1132"/>
    <x v="3"/>
    <x v="3"/>
    <n v="20.7"/>
    <n v="3.7"/>
    <n v="3"/>
    <n v="3"/>
    <x v="2"/>
    <n v="19.54"/>
  </r>
  <r>
    <n v="18"/>
    <x v="1"/>
    <x v="1"/>
    <n v="49.8"/>
    <n v="1.96"/>
    <n v="199"/>
    <n v="162"/>
    <n v="74"/>
    <n v="1.64"/>
    <n v="996"/>
    <x v="0"/>
    <x v="0"/>
    <m/>
    <n v="2.2999999999999998"/>
    <n v="4"/>
    <n v="2"/>
    <x v="0"/>
    <n v="14.35"/>
  </r>
  <r>
    <n v="26"/>
    <x v="0"/>
    <x v="0"/>
    <n v="64.7"/>
    <n v="1.75"/>
    <n v="172"/>
    <n v="157"/>
    <n v="52"/>
    <n v="1.35"/>
    <n v="1193"/>
    <x v="3"/>
    <x v="3"/>
    <n v="23.5"/>
    <n v="1.6"/>
    <n v="3"/>
    <n v="2"/>
    <x v="0"/>
    <n v="18.21"/>
  </r>
  <r>
    <n v="24"/>
    <x v="1"/>
    <x v="0"/>
    <n v="58.5"/>
    <n v="1.87"/>
    <n v="183"/>
    <n v="128"/>
    <n v="74"/>
    <n v="1.36"/>
    <n v="1034"/>
    <x v="2"/>
    <x v="1"/>
    <n v="24.8"/>
    <n v="3.3"/>
    <n v="4"/>
    <n v="1"/>
    <x v="2"/>
    <n v="24.49"/>
  </r>
  <r>
    <n v="31"/>
    <x v="0"/>
    <x v="0"/>
    <n v="49.1"/>
    <n v="1.7"/>
    <n v="162"/>
    <n v="167"/>
    <n v="63"/>
    <n v="1.1000000000000001"/>
    <n v="891"/>
    <x v="0"/>
    <x v="3"/>
    <n v="23.5"/>
    <n v="2.9"/>
    <n v="3"/>
    <n v="1"/>
    <x v="0"/>
    <n v="15.73"/>
  </r>
  <r>
    <n v="39"/>
    <x v="3"/>
    <x v="0"/>
    <n v="67.8"/>
    <n v="1.59"/>
    <n v="164"/>
    <n v="158"/>
    <n v="74"/>
    <n v="1.65"/>
    <n v="1374"/>
    <x v="0"/>
    <x v="1"/>
    <n v="25.9"/>
    <n v="2.6"/>
    <n v="5"/>
    <n v="2"/>
    <x v="4"/>
    <n v="25"/>
  </r>
  <r>
    <n v="22"/>
    <x v="1"/>
    <x v="1"/>
    <n v="43.3"/>
    <n v="1.69"/>
    <n v="176"/>
    <n v="158"/>
    <n v="53"/>
    <n v="1.31"/>
    <n v="500"/>
    <x v="4"/>
    <x v="4"/>
    <n v="23.7"/>
    <n v="1.5"/>
    <n v="2"/>
    <n v="2"/>
    <x v="0"/>
    <n v="13.83"/>
  </r>
  <r>
    <n v="44"/>
    <x v="3"/>
    <x v="0"/>
    <n v="40.799999999999997"/>
    <n v="1.74"/>
    <n v="177"/>
    <n v="165"/>
    <n v="72"/>
    <m/>
    <n v="384"/>
    <x v="2"/>
    <x v="0"/>
    <n v="10"/>
    <m/>
    <n v="3"/>
    <n v="1"/>
    <x v="0"/>
    <n v="13.11"/>
  </r>
  <r>
    <n v="18"/>
    <x v="1"/>
    <x v="1"/>
    <n v="71.5"/>
    <n v="1.69"/>
    <n v="186"/>
    <n v="124"/>
    <n v="60"/>
    <n v="1.53"/>
    <n v="763"/>
    <x v="3"/>
    <x v="3"/>
    <n v="16.899999999999999"/>
    <n v="2.5"/>
    <n v="2"/>
    <n v="1"/>
    <x v="0"/>
    <n v="15.8"/>
  </r>
  <r>
    <n v="50"/>
    <x v="2"/>
    <x v="1"/>
    <n v="41.1"/>
    <n v="1.51"/>
    <n v="169"/>
    <n v="152"/>
    <n v="63"/>
    <n v="2"/>
    <n v="1069"/>
    <x v="0"/>
    <x v="2"/>
    <n v="24.9"/>
    <n v="1.5"/>
    <n v="4"/>
    <n v="2"/>
    <x v="1"/>
    <n v="31.59"/>
  </r>
  <r>
    <n v="27"/>
    <x v="0"/>
    <x v="1"/>
    <n v="52.3"/>
    <n v="1.6"/>
    <n v="177"/>
    <n v="124"/>
    <n v="66"/>
    <n v="0.93"/>
    <n v="416"/>
    <x v="0"/>
    <x v="4"/>
    <n v="22.5"/>
    <m/>
    <n v="5"/>
    <n v="2"/>
    <x v="1"/>
    <n v="31.64"/>
  </r>
  <r>
    <n v="28"/>
    <x v="0"/>
    <x v="1"/>
    <n v="73.2"/>
    <n v="1.76"/>
    <n v="171"/>
    <n v="159"/>
    <n v="61"/>
    <n v="1.21"/>
    <n v="973"/>
    <x v="2"/>
    <x v="2"/>
    <n v="26.4"/>
    <n v="2"/>
    <n v="4"/>
    <n v="1"/>
    <x v="0"/>
    <n v="12.32"/>
  </r>
  <r>
    <n v="41"/>
    <x v="3"/>
    <x v="0"/>
    <n v="117.7"/>
    <n v="1.67"/>
    <n v="189"/>
    <n v="123"/>
    <n v="58"/>
    <n v="2"/>
    <n v="1243"/>
    <x v="3"/>
    <x v="1"/>
    <n v="26.2"/>
    <n v="3.2"/>
    <n v="2"/>
    <n v="1"/>
    <x v="0"/>
    <n v="17.260000000000002"/>
  </r>
  <r>
    <n v="31"/>
    <x v="0"/>
    <x v="1"/>
    <n v="63.8"/>
    <n v="1.74"/>
    <n v="199"/>
    <n v="140"/>
    <n v="55"/>
    <n v="1.5"/>
    <n v="741"/>
    <x v="2"/>
    <x v="2"/>
    <n v="28.1"/>
    <n v="1.6"/>
    <n v="3"/>
    <n v="2"/>
    <x v="4"/>
    <n v="25.22"/>
  </r>
  <r>
    <n v="31"/>
    <x v="0"/>
    <x v="1"/>
    <n v="62.1"/>
    <n v="1.71"/>
    <n v="172"/>
    <n v="169"/>
    <n v="55"/>
    <n v="1.52"/>
    <n v="854"/>
    <x v="2"/>
    <x v="2"/>
    <n v="27.4"/>
    <n v="3.7"/>
    <n v="3"/>
    <n v="3"/>
    <x v="0"/>
    <m/>
  </r>
  <r>
    <n v="18"/>
    <x v="1"/>
    <x v="1"/>
    <n v="52"/>
    <n v="1.66"/>
    <n v="199"/>
    <n v="137"/>
    <n v="74"/>
    <n v="2"/>
    <n v="1314"/>
    <x v="1"/>
    <x v="2"/>
    <n v="26.7"/>
    <n v="3.3"/>
    <n v="3"/>
    <n v="1"/>
    <x v="2"/>
    <n v="20.41"/>
  </r>
  <r>
    <n v="25"/>
    <x v="0"/>
    <x v="0"/>
    <n v="73.3"/>
    <n v="1.5"/>
    <n v="185"/>
    <n v="169"/>
    <n v="67"/>
    <n v="1.38"/>
    <n v="433"/>
    <x v="0"/>
    <x v="1"/>
    <n v="30.6"/>
    <n v="1.5"/>
    <n v="4"/>
    <n v="1"/>
    <x v="2"/>
    <n v="22.55"/>
  </r>
  <r>
    <n v="18"/>
    <x v="1"/>
    <x v="1"/>
    <n v="50"/>
    <n v="1.83"/>
    <n v="163"/>
    <n v="140"/>
    <n v="64"/>
    <n v="1.41"/>
    <n v="969"/>
    <x v="3"/>
    <x v="4"/>
    <n v="19"/>
    <n v="1.9"/>
    <n v="3"/>
    <n v="2"/>
    <x v="0"/>
    <n v="14.29"/>
  </r>
  <r>
    <n v="34"/>
    <x v="0"/>
    <x v="1"/>
    <n v="90"/>
    <n v="1.74"/>
    <n v="194"/>
    <n v="167"/>
    <n v="57"/>
    <n v="1.36"/>
    <n v="764"/>
    <x v="1"/>
    <x v="2"/>
    <n v="25"/>
    <n v="2.6"/>
    <n v="4"/>
    <n v="2"/>
    <x v="0"/>
    <n v="13.77"/>
  </r>
  <r>
    <n v="39"/>
    <x v="3"/>
    <x v="1"/>
    <n v="109.6"/>
    <n v="1.84"/>
    <n v="199"/>
    <n v="152"/>
    <n v="74"/>
    <n v="1.27"/>
    <n v="790"/>
    <x v="2"/>
    <x v="2"/>
    <n v="26.7"/>
    <n v="3.5"/>
    <n v="2"/>
    <n v="2"/>
    <x v="2"/>
    <n v="19.77"/>
  </r>
  <r>
    <n v="18"/>
    <x v="1"/>
    <x v="1"/>
    <n v="43.5"/>
    <n v="1.77"/>
    <n v="161"/>
    <n v="136"/>
    <n v="57"/>
    <n v="2"/>
    <n v="452"/>
    <x v="1"/>
    <x v="4"/>
    <n v="24.4"/>
    <n v="3.3"/>
    <n v="5"/>
    <n v="1"/>
    <x v="2"/>
    <n v="21.96"/>
  </r>
  <r>
    <n v="20"/>
    <x v="1"/>
    <x v="1"/>
    <n v="115.4"/>
    <n v="1.73"/>
    <n v="187"/>
    <n v="154"/>
    <n v="63"/>
    <n v="1.1200000000000001"/>
    <n v="878"/>
    <x v="3"/>
    <x v="2"/>
    <n v="30.7"/>
    <n v="3.5"/>
    <n v="3"/>
    <n v="1"/>
    <x v="4"/>
    <n v="27.02"/>
  </r>
  <r>
    <n v="22"/>
    <x v="1"/>
    <x v="1"/>
    <n v="47.4"/>
    <n v="1.91"/>
    <n v="161"/>
    <n v="164"/>
    <n v="73"/>
    <n v="2"/>
    <n v="1206"/>
    <x v="1"/>
    <x v="2"/>
    <n v="26.6"/>
    <n v="3.5"/>
    <n v="5"/>
    <n v="3"/>
    <x v="0"/>
    <n v="15.36"/>
  </r>
  <r>
    <n v="18"/>
    <x v="1"/>
    <x v="1"/>
    <n v="54.6"/>
    <n v="1.66"/>
    <n v="189"/>
    <n v="142"/>
    <n v="64"/>
    <n v="1.19"/>
    <n v="523"/>
    <x v="2"/>
    <x v="2"/>
    <n v="34.700000000000003"/>
    <n v="2.6"/>
    <n v="2"/>
    <n v="1"/>
    <x v="2"/>
    <n v="18.88"/>
  </r>
  <r>
    <n v="36"/>
    <x v="3"/>
    <x v="1"/>
    <n v="40"/>
    <n v="2"/>
    <n v="193"/>
    <n v="121"/>
    <n v="18"/>
    <n v="1.98"/>
    <n v="1282"/>
    <x v="3"/>
    <x v="2"/>
    <n v="25.7"/>
    <n v="2.6"/>
    <n v="4"/>
    <n v="1"/>
    <x v="4"/>
    <n v="27.96"/>
  </r>
  <r>
    <n v="26"/>
    <x v="0"/>
    <x v="0"/>
    <n v="71.2"/>
    <n v="2"/>
    <n v="169"/>
    <n v="159"/>
    <n v="52"/>
    <n v="1.42"/>
    <n v="749"/>
    <x v="0"/>
    <x v="1"/>
    <n v="29.8"/>
    <n v="3.5"/>
    <n v="4"/>
    <n v="2"/>
    <x v="4"/>
    <n v="27.16"/>
  </r>
  <r>
    <n v="53"/>
    <x v="2"/>
    <x v="0"/>
    <n v="46.4"/>
    <n v="1.7"/>
    <n v="169"/>
    <n v="120"/>
    <n v="72"/>
    <n v="1.49"/>
    <n v="1415"/>
    <x v="3"/>
    <x v="3"/>
    <n v="21.9"/>
    <n v="3.4"/>
    <n v="4"/>
    <n v="2"/>
    <x v="0"/>
    <n v="14.08"/>
  </r>
  <r>
    <n v="18"/>
    <x v="1"/>
    <x v="0"/>
    <n v="69.900000000000006"/>
    <n v="1.78"/>
    <n v="160"/>
    <n v="143"/>
    <n v="74"/>
    <n v="2"/>
    <n v="930"/>
    <x v="2"/>
    <x v="0"/>
    <n v="19.600000000000001"/>
    <n v="2"/>
    <n v="3"/>
    <n v="3"/>
    <x v="0"/>
    <n v="12.32"/>
  </r>
  <r>
    <n v="20"/>
    <x v="1"/>
    <x v="1"/>
    <n v="64.900000000000006"/>
    <n v="1.69"/>
    <n v="187"/>
    <n v="128"/>
    <n v="54"/>
    <n v="0.68"/>
    <n v="1303"/>
    <x v="1"/>
    <x v="0"/>
    <n v="10"/>
    <n v="3.3"/>
    <n v="4"/>
    <n v="3"/>
    <x v="0"/>
    <n v="14.87"/>
  </r>
  <r>
    <n v="43"/>
    <x v="3"/>
    <x v="0"/>
    <n v="47.6"/>
    <n v="1.65"/>
    <n v="198"/>
    <n v="140"/>
    <n v="61"/>
    <n v="2"/>
    <n v="692"/>
    <x v="1"/>
    <x v="3"/>
    <n v="22"/>
    <n v="3.5"/>
    <n v="3"/>
    <n v="2"/>
    <x v="2"/>
    <n v="22.14"/>
  </r>
  <r>
    <n v="23"/>
    <x v="1"/>
    <x v="1"/>
    <n v="48.9"/>
    <n v="1.7"/>
    <n v="168"/>
    <n v="156"/>
    <n v="65"/>
    <n v="1.4"/>
    <n v="1776"/>
    <x v="3"/>
    <x v="2"/>
    <n v="32.5"/>
    <n v="2.1"/>
    <m/>
    <n v="2"/>
    <x v="2"/>
    <n v="21.36"/>
  </r>
  <r>
    <n v="38"/>
    <x v="3"/>
    <x v="2"/>
    <n v="78.599999999999994"/>
    <n v="1.98"/>
    <n v="194"/>
    <n v="136"/>
    <n v="69"/>
    <n v="1.3"/>
    <n v="1590"/>
    <x v="0"/>
    <x v="4"/>
    <n v="27.2"/>
    <n v="2.2999999999999998"/>
    <n v="4"/>
    <n v="2"/>
    <x v="4"/>
    <n v="25.52"/>
  </r>
  <r>
    <n v="51"/>
    <x v="2"/>
    <x v="0"/>
    <n v="72.2"/>
    <n v="1.91"/>
    <n v="184"/>
    <n v="140"/>
    <n v="70"/>
    <n v="1.39"/>
    <n v="960"/>
    <x v="2"/>
    <x v="3"/>
    <n v="21"/>
    <n v="1.5"/>
    <n v="3"/>
    <n v="2"/>
    <x v="0"/>
    <n v="17.41"/>
  </r>
  <r>
    <n v="54"/>
    <x v="2"/>
    <x v="0"/>
    <n v="79.8"/>
    <n v="1.94"/>
    <n v="163"/>
    <n v="120"/>
    <n v="63"/>
    <n v="1.53"/>
    <n v="827"/>
    <x v="3"/>
    <x v="1"/>
    <n v="25.3"/>
    <n v="3.3"/>
    <n v="4"/>
    <n v="2"/>
    <x v="0"/>
    <n v="12.32"/>
  </r>
  <r>
    <n v="22"/>
    <x v="1"/>
    <x v="1"/>
    <n v="62.8"/>
    <n v="1.71"/>
    <n v="182"/>
    <n v="153"/>
    <n v="70"/>
    <n v="2"/>
    <n v="816"/>
    <x v="3"/>
    <x v="3"/>
    <n v="15.8"/>
    <m/>
    <n v="3"/>
    <n v="2"/>
    <x v="0"/>
    <n v="14.23"/>
  </r>
  <r>
    <n v="26"/>
    <x v="0"/>
    <x v="0"/>
    <n v="122.7"/>
    <m/>
    <n v="191"/>
    <n v="151"/>
    <n v="72"/>
    <n v="1.1399999999999999"/>
    <n v="524"/>
    <x v="0"/>
    <x v="1"/>
    <n v="24.3"/>
    <n v="1.5"/>
    <n v="2"/>
    <n v="3"/>
    <x v="0"/>
    <n v="17.440000000000001"/>
  </r>
  <r>
    <n v="23"/>
    <x v="1"/>
    <x v="0"/>
    <n v="52.4"/>
    <n v="1.86"/>
    <n v="166"/>
    <n v="130"/>
    <n v="59"/>
    <n v="1.53"/>
    <n v="880"/>
    <x v="3"/>
    <x v="3"/>
    <n v="21.6"/>
    <n v="1.5"/>
    <n v="4"/>
    <n v="2"/>
    <x v="0"/>
    <n v="12.32"/>
  </r>
  <r>
    <n v="42"/>
    <x v="3"/>
    <x v="2"/>
    <n v="67.7"/>
    <n v="1.82"/>
    <n v="199"/>
    <n v="125"/>
    <n v="55"/>
    <n v="0.76"/>
    <n v="1239"/>
    <x v="1"/>
    <x v="0"/>
    <n v="15"/>
    <n v="3.4"/>
    <n v="2"/>
    <n v="2"/>
    <x v="2"/>
    <n v="21.78"/>
  </r>
  <r>
    <n v="34"/>
    <x v="0"/>
    <x v="0"/>
    <n v="88.8"/>
    <n v="1.56"/>
    <n v="198"/>
    <n v="160"/>
    <n v="53"/>
    <n v="1.18"/>
    <n v="1086"/>
    <x v="1"/>
    <x v="2"/>
    <n v="32.6"/>
    <n v="3.4"/>
    <n v="4"/>
    <n v="2"/>
    <x v="1"/>
    <n v="30.43"/>
  </r>
  <r>
    <n v="29"/>
    <x v="0"/>
    <x v="0"/>
    <n v="101.5"/>
    <n v="1.9"/>
    <n v="175"/>
    <n v="165"/>
    <n v="74"/>
    <n v="1.46"/>
    <n v="1128"/>
    <x v="3"/>
    <x v="1"/>
    <n v="26.3"/>
    <n v="2.7"/>
    <n v="2"/>
    <n v="1"/>
    <x v="4"/>
    <n v="25.74"/>
  </r>
  <r>
    <n v="18"/>
    <x v="1"/>
    <x v="1"/>
    <n v="40"/>
    <n v="1.72"/>
    <n v="195"/>
    <n v="137"/>
    <n v="52"/>
    <n v="2"/>
    <n v="1783"/>
    <x v="1"/>
    <x v="4"/>
    <n v="18.600000000000001"/>
    <n v="1.5"/>
    <n v="4"/>
    <n v="1"/>
    <x v="0"/>
    <n v="12.77"/>
  </r>
  <r>
    <n v="24"/>
    <x v="1"/>
    <x v="1"/>
    <n v="40"/>
    <n v="2"/>
    <n v="173"/>
    <n v="126"/>
    <n v="50"/>
    <n v="1.1000000000000001"/>
    <n v="1783"/>
    <x v="1"/>
    <x v="2"/>
    <n v="31.9"/>
    <n v="1.6"/>
    <n v="3"/>
    <n v="1"/>
    <x v="1"/>
    <n v="34.619999999999997"/>
  </r>
  <r>
    <n v="18"/>
    <x v="1"/>
    <x v="1"/>
    <n v="50.5"/>
    <n v="1.76"/>
    <n v="192"/>
    <n v="156"/>
    <n v="72"/>
    <n v="1.25"/>
    <n v="768"/>
    <x v="1"/>
    <x v="0"/>
    <n v="12.8"/>
    <n v="1.7"/>
    <n v="4"/>
    <n v="2"/>
    <x v="0"/>
    <n v="16.059999999999999"/>
  </r>
  <r>
    <n v="41"/>
    <x v="3"/>
    <x v="0"/>
    <n v="66.2"/>
    <n v="1.83"/>
    <n v="196"/>
    <n v="126"/>
    <n v="74"/>
    <n v="1.6"/>
    <n v="993"/>
    <x v="3"/>
    <x v="3"/>
    <n v="20.2"/>
    <n v="2.5"/>
    <n v="5"/>
    <n v="1"/>
    <x v="2"/>
    <n v="24.37"/>
  </r>
  <r>
    <n v="37"/>
    <x v="3"/>
    <x v="0"/>
    <n v="77.5"/>
    <n v="1.5"/>
    <n v="175"/>
    <n v="142"/>
    <n v="70"/>
    <n v="1.58"/>
    <n v="1141"/>
    <x v="3"/>
    <x v="3"/>
    <n v="21.2"/>
    <n v="1.8"/>
    <n v="3"/>
    <m/>
    <x v="0"/>
    <n v="12.32"/>
  </r>
  <r>
    <n v="30"/>
    <x v="0"/>
    <x v="0"/>
    <n v="119.6"/>
    <n v="1.72"/>
    <n v="191"/>
    <n v="150"/>
    <n v="74"/>
    <n v="1.77"/>
    <n v="1006"/>
    <x v="3"/>
    <x v="0"/>
    <n v="13.1"/>
    <n v="2.2000000000000002"/>
    <n v="4"/>
    <n v="3"/>
    <x v="0"/>
    <n v="13.32"/>
  </r>
  <r>
    <n v="38"/>
    <x v="3"/>
    <x v="1"/>
    <n v="40"/>
    <n v="1.5"/>
    <n v="172"/>
    <n v="169"/>
    <n v="59"/>
    <n v="1.52"/>
    <n v="1107"/>
    <x v="2"/>
    <x v="2"/>
    <n v="24.9"/>
    <n v="2.8"/>
    <n v="3"/>
    <n v="1"/>
    <x v="1"/>
    <n v="36.71"/>
  </r>
  <r>
    <n v="18"/>
    <x v="1"/>
    <x v="1"/>
    <n v="82.3"/>
    <n v="1.74"/>
    <n v="198"/>
    <n v="155"/>
    <n v="55"/>
    <n v="1.38"/>
    <n v="1368"/>
    <x v="0"/>
    <x v="2"/>
    <n v="26"/>
    <n v="3.3"/>
    <n v="2"/>
    <n v="3"/>
    <x v="0"/>
    <n v="17.149999999999999"/>
  </r>
  <r>
    <n v="54"/>
    <x v="2"/>
    <x v="1"/>
    <n v="71.2"/>
    <n v="1.7"/>
    <n v="190"/>
    <n v="120"/>
    <n v="58"/>
    <n v="1.21"/>
    <n v="708"/>
    <x v="4"/>
    <x v="3"/>
    <n v="14.4"/>
    <n v="3.1"/>
    <n v="4"/>
    <n v="2"/>
    <x v="0"/>
    <n v="12.46"/>
  </r>
  <r>
    <n v="34"/>
    <x v="0"/>
    <x v="1"/>
    <n v="53"/>
    <n v="1.92"/>
    <n v="199"/>
    <n v="134"/>
    <n v="68"/>
    <n v="1.1200000000000001"/>
    <n v="790"/>
    <x v="0"/>
    <x v="4"/>
    <n v="19.8"/>
    <n v="3.5"/>
    <n v="4"/>
    <n v="3"/>
    <x v="0"/>
    <n v="16.18"/>
  </r>
  <r>
    <n v="56"/>
    <x v="4"/>
    <x v="0"/>
    <n v="45.7"/>
    <n v="1.96"/>
    <n v="192"/>
    <n v="153"/>
    <n v="71"/>
    <n v="2"/>
    <n v="868"/>
    <x v="3"/>
    <x v="0"/>
    <n v="11.4"/>
    <n v="2"/>
    <n v="4"/>
    <n v="2"/>
    <x v="2"/>
    <n v="21.34"/>
  </r>
  <r>
    <n v="18"/>
    <x v="1"/>
    <x v="0"/>
    <n v="79.599999999999994"/>
    <n v="1.75"/>
    <n v="168"/>
    <n v="125"/>
    <n v="54"/>
    <n v="1.26"/>
    <n v="682"/>
    <x v="2"/>
    <x v="1"/>
    <n v="25.1"/>
    <n v="2.4"/>
    <n v="3"/>
    <n v="2"/>
    <x v="0"/>
    <n v="12.32"/>
  </r>
  <r>
    <n v="42"/>
    <x v="3"/>
    <x v="0"/>
    <n v="105.3"/>
    <n v="1.67"/>
    <n v="175"/>
    <n v="143"/>
    <n v="74"/>
    <n v="1.1000000000000001"/>
    <n v="1115"/>
    <x v="0"/>
    <x v="1"/>
    <n v="25.4"/>
    <n v="3.3"/>
    <n v="3"/>
    <n v="1"/>
    <x v="0"/>
    <n v="12.32"/>
  </r>
  <r>
    <n v="31"/>
    <x v="0"/>
    <x v="1"/>
    <n v="84.5"/>
    <n v="1.56"/>
    <n v="194"/>
    <n v="124"/>
    <n v="70"/>
    <n v="1.31"/>
    <n v="734"/>
    <x v="0"/>
    <x v="4"/>
    <n v="23.6"/>
    <n v="3.3"/>
    <n v="2"/>
    <n v="2"/>
    <x v="2"/>
    <n v="21.57"/>
  </r>
  <r>
    <n v="50"/>
    <x v="2"/>
    <x v="1"/>
    <n v="98.6"/>
    <n v="1.54"/>
    <n v="187"/>
    <n v="126"/>
    <n v="57"/>
    <n v="0.72"/>
    <n v="940"/>
    <x v="0"/>
    <x v="4"/>
    <n v="23.5"/>
    <n v="1.6"/>
    <n v="3"/>
    <n v="1"/>
    <x v="0"/>
    <n v="12.32"/>
  </r>
  <r>
    <n v="27"/>
    <x v="0"/>
    <x v="1"/>
    <n v="55.4"/>
    <n v="1.72"/>
    <n v="186"/>
    <n v="153"/>
    <n v="74"/>
    <n v="2"/>
    <n v="1281"/>
    <x v="0"/>
    <x v="0"/>
    <n v="10.9"/>
    <n v="2.4"/>
    <n v="4"/>
    <n v="2"/>
    <x v="0"/>
    <n v="14.56"/>
  </r>
  <r>
    <n v="41"/>
    <x v="3"/>
    <x v="0"/>
    <n v="40"/>
    <n v="1.77"/>
    <n v="168"/>
    <n v="154"/>
    <n v="74"/>
    <n v="1.1399999999999999"/>
    <n v="628"/>
    <x v="2"/>
    <x v="0"/>
    <n v="19.899999999999999"/>
    <n v="3.4"/>
    <n v="5"/>
    <n v="1"/>
    <x v="2"/>
    <n v="24.52"/>
  </r>
  <r>
    <n v="26"/>
    <x v="0"/>
    <x v="0"/>
    <n v="63.9"/>
    <n v="1.75"/>
    <n v="199"/>
    <n v="121"/>
    <n v="72"/>
    <n v="2"/>
    <n v="638"/>
    <x v="2"/>
    <x v="3"/>
    <n v="23.6"/>
    <n v="3.4"/>
    <n v="4"/>
    <n v="2"/>
    <x v="2"/>
    <n v="23.96"/>
  </r>
  <r>
    <n v="47"/>
    <x v="2"/>
    <x v="1"/>
    <n v="40"/>
    <n v="1.91"/>
    <n v="185"/>
    <m/>
    <n v="74"/>
    <n v="1.41"/>
    <n v="608"/>
    <x v="1"/>
    <x v="4"/>
    <n v="24.3"/>
    <n v="2.9"/>
    <n v="3"/>
    <n v="1"/>
    <x v="4"/>
    <n v="27.2"/>
  </r>
  <r>
    <n v="31"/>
    <x v="0"/>
    <x v="0"/>
    <n v="40"/>
    <n v="2"/>
    <n v="192"/>
    <n v="134"/>
    <n v="55"/>
    <n v="1.44"/>
    <n v="1116"/>
    <x v="0"/>
    <x v="0"/>
    <n v="12"/>
    <n v="2.6"/>
    <n v="2"/>
    <n v="2"/>
    <x v="2"/>
    <n v="21.2"/>
  </r>
  <r>
    <n v="27"/>
    <x v="0"/>
    <x v="1"/>
    <n v="91.9"/>
    <n v="1.5"/>
    <n v="185"/>
    <n v="154"/>
    <n v="60"/>
    <n v="1.08"/>
    <n v="825"/>
    <x v="2"/>
    <x v="2"/>
    <n v="28.8"/>
    <n v="3.2"/>
    <n v="5"/>
    <n v="2"/>
    <x v="2"/>
    <n v="21.07"/>
  </r>
  <r>
    <n v="20"/>
    <x v="1"/>
    <x v="0"/>
    <n v="42.4"/>
    <n v="1.69"/>
    <n v="198"/>
    <n v="129"/>
    <n v="58"/>
    <n v="0.77"/>
    <n v="1030"/>
    <x v="2"/>
    <x v="1"/>
    <n v="28.1"/>
    <n v="1.5"/>
    <m/>
    <n v="1"/>
    <x v="2"/>
    <n v="20.39"/>
  </r>
  <r>
    <n v="21"/>
    <x v="1"/>
    <x v="1"/>
    <n v="76.8"/>
    <n v="1.52"/>
    <n v="191"/>
    <n v="140"/>
    <n v="66"/>
    <n v="1.08"/>
    <n v="702"/>
    <x v="1"/>
    <x v="4"/>
    <n v="21"/>
    <n v="3.6"/>
    <n v="3"/>
    <n v="2"/>
    <x v="4"/>
    <n v="25.59"/>
  </r>
  <r>
    <n v="47"/>
    <x v="2"/>
    <x v="0"/>
    <n v="70.7"/>
    <n v="1.66"/>
    <n v="195"/>
    <n v="169"/>
    <n v="60"/>
    <n v="1.25"/>
    <n v="1033"/>
    <x v="3"/>
    <x v="0"/>
    <n v="16.7"/>
    <n v="3.5"/>
    <n v="4"/>
    <n v="2"/>
    <x v="0"/>
    <n v="14.61"/>
  </r>
  <r>
    <n v="33"/>
    <x v="0"/>
    <x v="1"/>
    <n v="40"/>
    <n v="1.88"/>
    <n v="196"/>
    <n v="162"/>
    <n v="58"/>
    <n v="1.59"/>
    <n v="1131"/>
    <x v="3"/>
    <x v="2"/>
    <n v="30.4"/>
    <n v="2.6"/>
    <n v="3"/>
    <n v="1"/>
    <x v="2"/>
    <n v="21.91"/>
  </r>
  <r>
    <n v="59"/>
    <x v="4"/>
    <x v="1"/>
    <n v="40"/>
    <n v="1.56"/>
    <n v="163"/>
    <n v="167"/>
    <n v="74"/>
    <n v="1.59"/>
    <n v="722"/>
    <x v="1"/>
    <x v="4"/>
    <n v="23.7"/>
    <n v="3.2"/>
    <n v="4"/>
    <n v="3"/>
    <x v="0"/>
    <n v="12.32"/>
  </r>
  <r>
    <n v="43"/>
    <x v="3"/>
    <x v="1"/>
    <n v="46.8"/>
    <n v="1.67"/>
    <n v="178"/>
    <n v="141"/>
    <n v="64"/>
    <n v="1.03"/>
    <n v="1403"/>
    <x v="1"/>
    <x v="2"/>
    <n v="26.1"/>
    <n v="3.2"/>
    <n v="3"/>
    <n v="1"/>
    <x v="0"/>
    <n v="14.13"/>
  </r>
  <r>
    <n v="27"/>
    <x v="0"/>
    <x v="1"/>
    <n v="100.7"/>
    <n v="1.75"/>
    <n v="163"/>
    <n v="166"/>
    <n v="61"/>
    <n v="1.28"/>
    <n v="1159"/>
    <x v="1"/>
    <x v="2"/>
    <n v="28.1"/>
    <n v="3.7"/>
    <n v="3"/>
    <n v="1"/>
    <x v="0"/>
    <n v="12.32"/>
  </r>
  <r>
    <n v="44"/>
    <x v="3"/>
    <x v="0"/>
    <n v="73.400000000000006"/>
    <n v="1.59"/>
    <n v="199"/>
    <n v="152"/>
    <n v="72"/>
    <n v="0.94"/>
    <n v="721"/>
    <x v="1"/>
    <x v="3"/>
    <n v="23"/>
    <n v="2.2000000000000002"/>
    <n v="4"/>
    <n v="1"/>
    <x v="1"/>
    <n v="33.25"/>
  </r>
  <r>
    <n v="22"/>
    <x v="1"/>
    <x v="1"/>
    <n v="63.4"/>
    <n v="1.83"/>
    <n v="196"/>
    <n v="169"/>
    <n v="71"/>
    <n v="1.66"/>
    <n v="466"/>
    <x v="1"/>
    <x v="2"/>
    <n v="28"/>
    <n v="3.4"/>
    <n v="2"/>
    <n v="3"/>
    <x v="2"/>
    <n v="24.61"/>
  </r>
  <r>
    <n v="19"/>
    <x v="1"/>
    <x v="0"/>
    <n v="129.9"/>
    <n v="1.71"/>
    <n v="161"/>
    <n v="169"/>
    <n v="56"/>
    <n v="2"/>
    <n v="443"/>
    <x v="3"/>
    <x v="1"/>
    <n v="29.6"/>
    <n v="2.4"/>
    <n v="4"/>
    <n v="2"/>
    <x v="0"/>
    <n v="12.32"/>
  </r>
  <r>
    <n v="24"/>
    <x v="1"/>
    <x v="0"/>
    <n v="48.3"/>
    <n v="1.73"/>
    <n v="193"/>
    <n v="136"/>
    <n v="62"/>
    <n v="1.98"/>
    <n v="1404"/>
    <x v="0"/>
    <x v="3"/>
    <n v="22"/>
    <n v="3.5"/>
    <n v="3"/>
    <n v="1"/>
    <x v="0"/>
    <n v="13.22"/>
  </r>
  <r>
    <n v="45"/>
    <x v="2"/>
    <x v="0"/>
    <n v="80.5"/>
    <n v="1.89"/>
    <n v="183"/>
    <n v="134"/>
    <n v="74"/>
    <n v="1.02"/>
    <n v="1311"/>
    <x v="2"/>
    <x v="1"/>
    <n v="24.6"/>
    <n v="1.9"/>
    <n v="4"/>
    <n v="1"/>
    <x v="0"/>
    <n v="12.32"/>
  </r>
  <r>
    <n v="35"/>
    <x v="3"/>
    <x v="0"/>
    <n v="42.9"/>
    <n v="1.51"/>
    <n v="163"/>
    <n v="131"/>
    <n v="74"/>
    <n v="2"/>
    <n v="526"/>
    <x v="1"/>
    <x v="0"/>
    <n v="15.3"/>
    <n v="3.3"/>
    <n v="5"/>
    <m/>
    <x v="0"/>
    <n v="13.74"/>
  </r>
  <r>
    <n v="18"/>
    <x v="1"/>
    <x v="1"/>
    <n v="74.599999999999994"/>
    <n v="1.88"/>
    <n v="177"/>
    <n v="166"/>
    <n v="53"/>
    <n v="2"/>
    <n v="1010"/>
    <x v="1"/>
    <x v="4"/>
    <n v="18"/>
    <n v="2.2000000000000002"/>
    <n v="5"/>
    <n v="1"/>
    <x v="1"/>
    <n v="30.5"/>
  </r>
  <r>
    <n v="21"/>
    <x v="1"/>
    <x v="1"/>
    <n v="66.7"/>
    <n v="1.93"/>
    <n v="175"/>
    <n v="166"/>
    <n v="63"/>
    <n v="1.26"/>
    <n v="949"/>
    <x v="3"/>
    <x v="2"/>
    <n v="27.8"/>
    <n v="3.4"/>
    <n v="2"/>
    <n v="2"/>
    <x v="0"/>
    <n v="13.53"/>
  </r>
  <r>
    <n v="31"/>
    <x v="0"/>
    <x v="0"/>
    <n v="55"/>
    <n v="1.6"/>
    <n v="172"/>
    <n v="164"/>
    <n v="53"/>
    <n v="1.85"/>
    <n v="1361"/>
    <x v="0"/>
    <x v="3"/>
    <n v="20.6"/>
    <n v="3.4"/>
    <n v="4"/>
    <n v="1"/>
    <x v="0"/>
    <n v="16.04"/>
  </r>
  <r>
    <n v="27"/>
    <x v="0"/>
    <x v="0"/>
    <n v="52.3"/>
    <n v="1.77"/>
    <n v="193"/>
    <n v="130"/>
    <n v="57"/>
    <n v="2"/>
    <n v="993"/>
    <x v="3"/>
    <x v="1"/>
    <n v="25.6"/>
    <m/>
    <n v="4"/>
    <n v="1"/>
    <x v="0"/>
    <n v="15.08"/>
  </r>
  <r>
    <n v="46"/>
    <x v="2"/>
    <x v="1"/>
    <n v="65.7"/>
    <n v="1.75"/>
    <n v="192"/>
    <n v="135"/>
    <n v="59"/>
    <n v="1.31"/>
    <n v="881"/>
    <x v="0"/>
    <x v="0"/>
    <n v="10"/>
    <n v="2.7"/>
    <n v="2"/>
    <n v="1"/>
    <x v="1"/>
    <n v="31.78"/>
  </r>
  <r>
    <n v="53"/>
    <x v="2"/>
    <x v="0"/>
    <n v="84.7"/>
    <n v="1.61"/>
    <n v="193"/>
    <n v="158"/>
    <n v="72"/>
    <n v="2"/>
    <n v="478"/>
    <x v="3"/>
    <x v="1"/>
    <n v="25.6"/>
    <n v="2.4"/>
    <n v="3"/>
    <n v="1"/>
    <x v="2"/>
    <n v="18.57"/>
  </r>
  <r>
    <n v="18"/>
    <x v="1"/>
    <x v="2"/>
    <n v="80.400000000000006"/>
    <n v="1.97"/>
    <n v="172"/>
    <n v="137"/>
    <n v="74"/>
    <n v="1.62"/>
    <n v="617"/>
    <x v="0"/>
    <x v="3"/>
    <n v="22.4"/>
    <n v="3.4"/>
    <n v="3"/>
    <n v="1"/>
    <x v="0"/>
    <n v="16.91"/>
  </r>
  <r>
    <n v="18"/>
    <x v="1"/>
    <x v="0"/>
    <n v="63.4"/>
    <n v="1.85"/>
    <n v="191"/>
    <n v="148"/>
    <n v="69"/>
    <n v="0.89"/>
    <n v="1106"/>
    <x v="0"/>
    <x v="3"/>
    <n v="21.4"/>
    <n v="2.2999999999999998"/>
    <n v="5"/>
    <n v="3"/>
    <x v="0"/>
    <n v="15.64"/>
  </r>
  <r>
    <n v="48"/>
    <x v="2"/>
    <x v="0"/>
    <n v="61.8"/>
    <n v="1.71"/>
    <n v="172"/>
    <n v="140"/>
    <n v="62"/>
    <n v="1.37"/>
    <n v="1266"/>
    <x v="1"/>
    <x v="1"/>
    <n v="28.6"/>
    <n v="3.6"/>
    <n v="4"/>
    <n v="1"/>
    <x v="2"/>
    <n v="23.64"/>
  </r>
  <r>
    <n v="53"/>
    <x v="2"/>
    <x v="2"/>
    <n v="64.400000000000006"/>
    <n v="1.58"/>
    <n v="198"/>
    <n v="158"/>
    <n v="74"/>
    <n v="1.82"/>
    <n v="1144"/>
    <x v="3"/>
    <x v="4"/>
    <n v="27.2"/>
    <n v="3"/>
    <n v="2"/>
    <n v="1"/>
    <x v="0"/>
    <n v="18.329999999999998"/>
  </r>
  <r>
    <n v="25"/>
    <x v="0"/>
    <x v="1"/>
    <n v="44.2"/>
    <n v="1.9"/>
    <n v="174"/>
    <n v="159"/>
    <n v="50"/>
    <n v="1.1000000000000001"/>
    <n v="1293"/>
    <x v="3"/>
    <x v="2"/>
    <n v="25.7"/>
    <n v="2.5"/>
    <n v="4"/>
    <n v="2"/>
    <x v="2"/>
    <n v="19.260000000000002"/>
  </r>
  <r>
    <n v="18"/>
    <x v="1"/>
    <x v="0"/>
    <n v="43.1"/>
    <n v="1.75"/>
    <n v="183"/>
    <n v="138"/>
    <n v="53"/>
    <n v="1.95"/>
    <n v="437"/>
    <x v="1"/>
    <x v="0"/>
    <n v="19.100000000000001"/>
    <n v="3.6"/>
    <n v="2"/>
    <n v="2"/>
    <x v="0"/>
    <n v="18.14"/>
  </r>
  <r>
    <n v="18"/>
    <x v="1"/>
    <x v="1"/>
    <n v="92.1"/>
    <n v="1.59"/>
    <n v="171"/>
    <n v="150"/>
    <n v="54"/>
    <n v="1.17"/>
    <n v="968"/>
    <x v="3"/>
    <x v="4"/>
    <n v="21.8"/>
    <n v="2.4"/>
    <n v="5"/>
    <n v="2"/>
    <x v="4"/>
    <n v="25.66"/>
  </r>
  <r>
    <n v="31"/>
    <x v="0"/>
    <x v="1"/>
    <n v="58.7"/>
    <n v="1.66"/>
    <n v="183"/>
    <n v="149"/>
    <n v="74"/>
    <n v="1.1499999999999999"/>
    <n v="1368"/>
    <x v="1"/>
    <x v="4"/>
    <n v="23.1"/>
    <n v="2.2999999999999998"/>
    <n v="4"/>
    <n v="1"/>
    <x v="0"/>
    <n v="12.32"/>
  </r>
  <r>
    <n v="44"/>
    <x v="3"/>
    <x v="0"/>
    <n v="59.4"/>
    <n v="1.67"/>
    <n v="197"/>
    <n v="164"/>
    <n v="53"/>
    <n v="1.31"/>
    <n v="676"/>
    <x v="1"/>
    <x v="1"/>
    <n v="24.8"/>
    <m/>
    <n v="3"/>
    <n v="2"/>
    <x v="2"/>
    <n v="19.28"/>
  </r>
  <r>
    <n v="59"/>
    <x v="4"/>
    <x v="0"/>
    <n v="44.5"/>
    <n v="1.84"/>
    <n v="183"/>
    <n v="154"/>
    <n v="71"/>
    <n v="1.28"/>
    <n v="787"/>
    <x v="1"/>
    <x v="1"/>
    <n v="26.5"/>
    <n v="1.7"/>
    <n v="2"/>
    <n v="2"/>
    <x v="2"/>
    <n v="20.22"/>
  </r>
  <r>
    <n v="44"/>
    <x v="3"/>
    <x v="0"/>
    <n v="84.8"/>
    <n v="2"/>
    <n v="196"/>
    <n v="155"/>
    <n v="70"/>
    <n v="1.66"/>
    <n v="1439"/>
    <x v="2"/>
    <x v="0"/>
    <n v="12.1"/>
    <n v="1.7"/>
    <n v="2"/>
    <n v="1"/>
    <x v="0"/>
    <n v="14.34"/>
  </r>
  <r>
    <n v="57"/>
    <x v="4"/>
    <x v="0"/>
    <n v="80"/>
    <n v="1.79"/>
    <n v="167"/>
    <n v="127"/>
    <n v="54"/>
    <n v="1.01"/>
    <n v="312"/>
    <x v="3"/>
    <x v="1"/>
    <n v="24.3"/>
    <n v="2.6"/>
    <n v="4"/>
    <n v="2"/>
    <x v="0"/>
    <n v="13.16"/>
  </r>
  <r>
    <n v="20"/>
    <x v="1"/>
    <x v="1"/>
    <n v="87.1"/>
    <n v="1.91"/>
    <n v="186"/>
    <n v="150"/>
    <n v="51"/>
    <n v="1.39"/>
    <n v="1431"/>
    <x v="3"/>
    <x v="2"/>
    <n v="27"/>
    <n v="2.8"/>
    <n v="3"/>
    <n v="3"/>
    <x v="2"/>
    <n v="21.51"/>
  </r>
  <r>
    <n v="27"/>
    <x v="0"/>
    <x v="1"/>
    <n v="56.4"/>
    <n v="1.76"/>
    <n v="198"/>
    <n v="129"/>
    <n v="71"/>
    <n v="1.79"/>
    <n v="488"/>
    <x v="2"/>
    <x v="4"/>
    <n v="22.9"/>
    <n v="3.3"/>
    <n v="4"/>
    <n v="1"/>
    <x v="0"/>
    <n v="17.489999999999998"/>
  </r>
  <r>
    <n v="32"/>
    <x v="0"/>
    <x v="1"/>
    <n v="58.4"/>
    <n v="2"/>
    <n v="179"/>
    <n v="139"/>
    <n v="60"/>
    <n v="1.21"/>
    <n v="1379"/>
    <x v="0"/>
    <x v="4"/>
    <n v="23.3"/>
    <n v="3.2"/>
    <n v="4"/>
    <n v="2"/>
    <x v="2"/>
    <n v="22.61"/>
  </r>
  <r>
    <n v="42"/>
    <x v="3"/>
    <x v="0"/>
    <n v="68.5"/>
    <n v="1.75"/>
    <n v="187"/>
    <n v="167"/>
    <n v="54"/>
    <n v="1.3"/>
    <n v="708"/>
    <x v="1"/>
    <x v="0"/>
    <n v="15.4"/>
    <n v="1.6"/>
    <n v="4"/>
    <n v="1"/>
    <x v="1"/>
    <n v="33.909999999999997"/>
  </r>
  <r>
    <n v="48"/>
    <x v="2"/>
    <x v="0"/>
    <n v="77.7"/>
    <n v="1.76"/>
    <m/>
    <n v="156"/>
    <n v="53"/>
    <n v="2"/>
    <n v="1153"/>
    <x v="1"/>
    <x v="1"/>
    <n v="28.4"/>
    <n v="2.4"/>
    <n v="3"/>
    <n v="1"/>
    <x v="4"/>
    <n v="25.3"/>
  </r>
  <r>
    <n v="55"/>
    <x v="4"/>
    <x v="0"/>
    <n v="67.099999999999994"/>
    <n v="1.58"/>
    <n v="199"/>
    <n v="122"/>
    <n v="71"/>
    <n v="1.86"/>
    <n v="960"/>
    <x v="0"/>
    <x v="3"/>
    <n v="21.7"/>
    <n v="1.5"/>
    <n v="4"/>
    <n v="2"/>
    <x v="4"/>
    <n v="28.07"/>
  </r>
  <r>
    <n v="31"/>
    <x v="0"/>
    <x v="0"/>
    <n v="55.7"/>
    <n v="1.8"/>
    <n v="168"/>
    <n v="167"/>
    <n v="64"/>
    <n v="1.53"/>
    <n v="600"/>
    <x v="2"/>
    <x v="2"/>
    <n v="34.4"/>
    <n v="2.8"/>
    <n v="4"/>
    <n v="3"/>
    <x v="4"/>
    <n v="25.27"/>
  </r>
  <r>
    <n v="39"/>
    <x v="3"/>
    <x v="0"/>
    <n v="63.2"/>
    <n v="1.74"/>
    <n v="181"/>
    <n v="157"/>
    <n v="54"/>
    <n v="1.62"/>
    <n v="900"/>
    <x v="0"/>
    <x v="0"/>
    <n v="13.9"/>
    <n v="2.1"/>
    <n v="5"/>
    <n v="1"/>
    <x v="0"/>
    <n v="15.32"/>
  </r>
  <r>
    <n v="40"/>
    <x v="3"/>
    <x v="0"/>
    <n v="64.599999999999994"/>
    <n v="1.55"/>
    <n v="198"/>
    <n v="133"/>
    <n v="74"/>
    <n v="1.39"/>
    <n v="303"/>
    <x v="0"/>
    <x v="3"/>
    <n v="21.4"/>
    <n v="1.5"/>
    <n v="2"/>
    <n v="2"/>
    <x v="0"/>
    <n v="16.91"/>
  </r>
  <r>
    <n v="35"/>
    <x v="3"/>
    <x v="1"/>
    <n v="55"/>
    <m/>
    <n v="172"/>
    <n v="149"/>
    <n v="62"/>
    <n v="1.43"/>
    <n v="1423"/>
    <x v="0"/>
    <x v="2"/>
    <n v="30"/>
    <n v="3.5"/>
    <n v="3"/>
    <n v="2"/>
    <x v="2"/>
    <n v="23.55"/>
  </r>
  <r>
    <n v="36"/>
    <x v="3"/>
    <x v="0"/>
    <n v="71.900000000000006"/>
    <n v="1.66"/>
    <n v="177"/>
    <m/>
    <n v="73"/>
    <n v="0.96"/>
    <n v="556"/>
    <x v="3"/>
    <x v="3"/>
    <n v="23.3"/>
    <n v="3.2"/>
    <n v="2"/>
    <n v="2"/>
    <x v="0"/>
    <n v="14.97"/>
  </r>
  <r>
    <n v="26"/>
    <x v="0"/>
    <x v="0"/>
    <n v="56.7"/>
    <n v="1.73"/>
    <n v="168"/>
    <n v="144"/>
    <n v="71"/>
    <n v="0.68"/>
    <n v="1129"/>
    <x v="0"/>
    <x v="1"/>
    <n v="25.5"/>
    <n v="3.4"/>
    <n v="3"/>
    <n v="1"/>
    <x v="2"/>
    <n v="19.649999999999999"/>
  </r>
  <r>
    <n v="48"/>
    <x v="2"/>
    <x v="1"/>
    <n v="56"/>
    <n v="1.7"/>
    <n v="164"/>
    <n v="132"/>
    <n v="50"/>
    <n v="2"/>
    <n v="1148"/>
    <x v="2"/>
    <x v="2"/>
    <n v="26.6"/>
    <n v="3.1"/>
    <n v="2"/>
    <n v="2"/>
    <x v="2"/>
    <n v="19.440000000000001"/>
  </r>
  <r>
    <n v="54"/>
    <x v="2"/>
    <x v="0"/>
    <n v="74.900000000000006"/>
    <n v="1.69"/>
    <n v="195"/>
    <n v="153"/>
    <n v="62"/>
    <n v="1.1000000000000001"/>
    <n v="1389"/>
    <x v="3"/>
    <x v="0"/>
    <n v="14.4"/>
    <n v="3.1"/>
    <n v="3"/>
    <n v="1"/>
    <x v="2"/>
    <n v="18.71"/>
  </r>
  <r>
    <n v="55"/>
    <x v="4"/>
    <x v="0"/>
    <m/>
    <n v="1.68"/>
    <n v="164"/>
    <n v="156"/>
    <n v="67"/>
    <n v="1.59"/>
    <n v="851"/>
    <x v="1"/>
    <x v="2"/>
    <n v="33.1"/>
    <n v="2.8"/>
    <n v="3"/>
    <n v="2"/>
    <x v="4"/>
    <n v="28.23"/>
  </r>
  <r>
    <n v="18"/>
    <x v="1"/>
    <x v="0"/>
    <n v="43"/>
    <n v="1.95"/>
    <n v="163"/>
    <n v="164"/>
    <n v="68"/>
    <n v="2"/>
    <n v="1349"/>
    <x v="0"/>
    <x v="0"/>
    <n v="18.5"/>
    <n v="3.2"/>
    <n v="2"/>
    <n v="2"/>
    <x v="0"/>
    <n v="12.32"/>
  </r>
  <r>
    <n v="59"/>
    <x v="4"/>
    <x v="1"/>
    <n v="70.2"/>
    <n v="1.77"/>
    <n v="172"/>
    <n v="124"/>
    <n v="68"/>
    <n v="1.47"/>
    <n v="1069"/>
    <x v="1"/>
    <x v="4"/>
    <n v="21.4"/>
    <n v="3.5"/>
    <n v="4"/>
    <n v="1"/>
    <x v="3"/>
    <n v="40.19"/>
  </r>
  <r>
    <n v="23"/>
    <x v="1"/>
    <x v="1"/>
    <n v="96.5"/>
    <n v="1.8"/>
    <n v="187"/>
    <n v="155"/>
    <n v="68"/>
    <n v="0.92"/>
    <n v="1465"/>
    <x v="3"/>
    <x v="2"/>
    <n v="29.3"/>
    <n v="3.2"/>
    <n v="3"/>
    <n v="1"/>
    <x v="0"/>
    <n v="12.32"/>
  </r>
  <r>
    <n v="30"/>
    <x v="0"/>
    <x v="1"/>
    <n v="56.6"/>
    <n v="2"/>
    <n v="184"/>
    <n v="125"/>
    <n v="52"/>
    <n v="1.29"/>
    <n v="918"/>
    <x v="1"/>
    <x v="2"/>
    <n v="28.9"/>
    <n v="3.3"/>
    <n v="2"/>
    <n v="1"/>
    <x v="2"/>
    <n v="23.89"/>
  </r>
  <r>
    <n v="38"/>
    <x v="3"/>
    <x v="0"/>
    <n v="40"/>
    <n v="1.88"/>
    <n v="164"/>
    <n v="154"/>
    <n v="70"/>
    <n v="1.63"/>
    <n v="1109"/>
    <x v="3"/>
    <x v="3"/>
    <n v="20.7"/>
    <n v="1.7"/>
    <n v="2"/>
    <n v="2"/>
    <x v="0"/>
    <n v="12.64"/>
  </r>
  <r>
    <n v="18"/>
    <x v="1"/>
    <x v="1"/>
    <n v="101.2"/>
    <n v="1.59"/>
    <n v="198"/>
    <n v="122"/>
    <n v="58"/>
    <n v="1.08"/>
    <m/>
    <x v="0"/>
    <x v="2"/>
    <n v="28.6"/>
    <n v="3.1"/>
    <n v="4"/>
    <n v="2"/>
    <x v="2"/>
    <n v="19.39"/>
  </r>
  <r>
    <n v="48"/>
    <x v="2"/>
    <x v="0"/>
    <n v="81.900000000000006"/>
    <n v="1.8"/>
    <n v="180"/>
    <n v="165"/>
    <n v="67"/>
    <n v="1.25"/>
    <n v="1410"/>
    <x v="1"/>
    <x v="1"/>
    <n v="24"/>
    <n v="3.5"/>
    <n v="4"/>
    <n v="2"/>
    <x v="0"/>
    <n v="18.28"/>
  </r>
  <r>
    <n v="47"/>
    <x v="2"/>
    <x v="1"/>
    <n v="121.4"/>
    <n v="1.61"/>
    <n v="164"/>
    <n v="155"/>
    <n v="74"/>
    <n v="0.94"/>
    <n v="934"/>
    <x v="0"/>
    <x v="4"/>
    <n v="24.7"/>
    <n v="2.5"/>
    <n v="2"/>
    <n v="1"/>
    <x v="1"/>
    <n v="30.03"/>
  </r>
  <r>
    <n v="21"/>
    <x v="1"/>
    <x v="0"/>
    <n v="70.5"/>
    <n v="1.84"/>
    <n v="173"/>
    <n v="127"/>
    <n v="66"/>
    <n v="0.97"/>
    <n v="1013"/>
    <x v="1"/>
    <x v="1"/>
    <n v="26.7"/>
    <n v="1.6"/>
    <n v="5"/>
    <n v="3"/>
    <x v="4"/>
    <n v="25.59"/>
  </r>
  <r>
    <n v="23"/>
    <x v="1"/>
    <x v="0"/>
    <n v="70.5"/>
    <n v="1.65"/>
    <n v="192"/>
    <n v="162"/>
    <n v="50"/>
    <n v="0.63"/>
    <n v="1186"/>
    <x v="1"/>
    <x v="1"/>
    <n v="27.1"/>
    <n v="2.6"/>
    <n v="2"/>
    <n v="2"/>
    <x v="2"/>
    <n v="20.02"/>
  </r>
  <r>
    <n v="46"/>
    <x v="2"/>
    <x v="1"/>
    <n v="54.8"/>
    <n v="1.69"/>
    <n v="194"/>
    <n v="148"/>
    <n v="74"/>
    <n v="0.52"/>
    <n v="846"/>
    <x v="3"/>
    <x v="3"/>
    <n v="16.5"/>
    <n v="3.5"/>
    <n v="3"/>
    <n v="3"/>
    <x v="2"/>
    <n v="22.85"/>
  </r>
  <r>
    <n v="42"/>
    <x v="3"/>
    <x v="1"/>
    <n v="72"/>
    <n v="1.9"/>
    <n v="184"/>
    <n v="147"/>
    <n v="67"/>
    <n v="1.48"/>
    <n v="1047"/>
    <x v="3"/>
    <x v="3"/>
    <n v="15.6"/>
    <n v="3.4"/>
    <n v="3"/>
    <n v="1"/>
    <x v="2"/>
    <n v="24.6"/>
  </r>
  <r>
    <n v="29"/>
    <x v="0"/>
    <x v="1"/>
    <n v="56.3"/>
    <n v="1.81"/>
    <n v="189"/>
    <n v="166"/>
    <n v="65"/>
    <n v="1.39"/>
    <n v="1066"/>
    <x v="0"/>
    <x v="3"/>
    <n v="14.3"/>
    <n v="2.9"/>
    <n v="3"/>
    <n v="1"/>
    <x v="2"/>
    <n v="22.34"/>
  </r>
  <r>
    <n v="18"/>
    <x v="1"/>
    <x v="1"/>
    <n v="46.5"/>
    <n v="1.54"/>
    <n v="198"/>
    <n v="169"/>
    <n v="55"/>
    <m/>
    <n v="1060"/>
    <x v="1"/>
    <x v="2"/>
    <n v="28.9"/>
    <n v="3.1"/>
    <n v="5"/>
    <n v="1"/>
    <x v="0"/>
    <n v="14.01"/>
  </r>
  <r>
    <n v="47"/>
    <x v="2"/>
    <x v="0"/>
    <n v="51.4"/>
    <n v="1.88"/>
    <n v="176"/>
    <n v="125"/>
    <n v="58"/>
    <n v="0.88"/>
    <n v="1133"/>
    <x v="3"/>
    <x v="1"/>
    <n v="24"/>
    <n v="3.3"/>
    <n v="3"/>
    <n v="3"/>
    <x v="0"/>
    <n v="14.3"/>
  </r>
  <r>
    <n v="43"/>
    <x v="3"/>
    <x v="1"/>
    <n v="42.6"/>
    <n v="1.62"/>
    <n v="189"/>
    <n v="169"/>
    <n v="74"/>
    <n v="1"/>
    <n v="1213"/>
    <x v="0"/>
    <x v="3"/>
    <n v="13.6"/>
    <n v="3.5"/>
    <n v="2"/>
    <m/>
    <x v="2"/>
    <n v="21.81"/>
  </r>
  <r>
    <n v="18"/>
    <x v="1"/>
    <x v="1"/>
    <n v="73"/>
    <n v="1.78"/>
    <n v="161"/>
    <n v="131"/>
    <n v="50"/>
    <n v="2"/>
    <n v="1319"/>
    <x v="0"/>
    <x v="2"/>
    <n v="26.1"/>
    <n v="1.5"/>
    <n v="5"/>
    <n v="1"/>
    <x v="0"/>
    <n v="12.32"/>
  </r>
  <r>
    <n v="50"/>
    <x v="2"/>
    <x v="1"/>
    <n v="87.9"/>
    <n v="1.68"/>
    <n v="192"/>
    <n v="151"/>
    <n v="71"/>
    <n v="2"/>
    <n v="494"/>
    <x v="0"/>
    <x v="3"/>
    <n v="15.5"/>
    <n v="3.1"/>
    <n v="3"/>
    <n v="3"/>
    <x v="1"/>
    <n v="31.28"/>
  </r>
  <r>
    <n v="35"/>
    <x v="3"/>
    <x v="1"/>
    <n v="53"/>
    <n v="1.67"/>
    <n v="183"/>
    <n v="128"/>
    <n v="72"/>
    <n v="1.29"/>
    <n v="682"/>
    <x v="3"/>
    <x v="4"/>
    <n v="21.9"/>
    <n v="2.2000000000000002"/>
    <n v="3"/>
    <n v="2"/>
    <x v="0"/>
    <n v="16.71"/>
  </r>
  <r>
    <n v="43"/>
    <x v="3"/>
    <x v="0"/>
    <n v="46.3"/>
    <n v="1.61"/>
    <n v="190"/>
    <n v="136"/>
    <n v="69"/>
    <n v="2"/>
    <n v="1185"/>
    <x v="3"/>
    <x v="3"/>
    <n v="21.4"/>
    <n v="3.5"/>
    <n v="4"/>
    <n v="1"/>
    <x v="0"/>
    <n v="14.14"/>
  </r>
  <r>
    <n v="50"/>
    <x v="2"/>
    <x v="1"/>
    <n v="82.8"/>
    <n v="1.9"/>
    <n v="161"/>
    <n v="130"/>
    <n v="74"/>
    <n v="1.51"/>
    <n v="1151"/>
    <x v="4"/>
    <x v="3"/>
    <n v="16.8"/>
    <n v="3.3"/>
    <n v="4"/>
    <n v="3"/>
    <x v="4"/>
    <n v="28.59"/>
  </r>
  <r>
    <n v="53"/>
    <x v="2"/>
    <x v="0"/>
    <n v="82.9"/>
    <n v="1.6"/>
    <n v="170"/>
    <n v="148"/>
    <n v="55"/>
    <n v="1.93"/>
    <n v="541"/>
    <x v="2"/>
    <x v="0"/>
    <n v="17.8"/>
    <n v="2.5"/>
    <n v="3"/>
    <n v="2"/>
    <x v="0"/>
    <n v="12.33"/>
  </r>
  <r>
    <n v="18"/>
    <x v="1"/>
    <x v="0"/>
    <n v="71.900000000000006"/>
    <n v="1.54"/>
    <n v="177"/>
    <n v="120"/>
    <n v="73"/>
    <n v="1.17"/>
    <n v="817"/>
    <x v="0"/>
    <x v="0"/>
    <n v="16.8"/>
    <n v="2.6"/>
    <n v="3"/>
    <n v="1"/>
    <x v="4"/>
    <n v="29.64"/>
  </r>
  <r>
    <n v="27"/>
    <x v="0"/>
    <x v="1"/>
    <n v="41"/>
    <n v="1.82"/>
    <n v="171"/>
    <n v="138"/>
    <n v="53"/>
    <n v="1.47"/>
    <n v="1273"/>
    <x v="1"/>
    <x v="2"/>
    <n v="29.1"/>
    <n v="2.4"/>
    <n v="4"/>
    <n v="1"/>
    <x v="0"/>
    <n v="12.35"/>
  </r>
  <r>
    <n v="18"/>
    <x v="1"/>
    <x v="0"/>
    <n v="81.900000000000006"/>
    <n v="1.79"/>
    <n v="178"/>
    <n v="160"/>
    <n v="60"/>
    <n v="1.24"/>
    <n v="1172"/>
    <x v="4"/>
    <x v="1"/>
    <n v="28.5"/>
    <n v="1.7"/>
    <n v="3"/>
    <n v="3"/>
    <x v="0"/>
    <n v="12.32"/>
  </r>
  <r>
    <n v="18"/>
    <x v="1"/>
    <x v="1"/>
    <n v="67.7"/>
    <n v="1.69"/>
    <n v="192"/>
    <n v="123"/>
    <n v="57"/>
    <n v="1.44"/>
    <n v="1445"/>
    <x v="1"/>
    <x v="2"/>
    <n v="26.8"/>
    <n v="3.1"/>
    <n v="3"/>
    <n v="2"/>
    <x v="2"/>
    <n v="21.16"/>
  </r>
  <r>
    <n v="22"/>
    <x v="1"/>
    <x v="0"/>
    <n v="99.5"/>
    <n v="1.79"/>
    <n v="186"/>
    <n v="122"/>
    <n v="56"/>
    <n v="1.45"/>
    <n v="1783"/>
    <x v="1"/>
    <x v="1"/>
    <n v="27.6"/>
    <n v="3.5"/>
    <n v="2"/>
    <n v="2"/>
    <x v="2"/>
    <n v="23.56"/>
  </r>
  <r>
    <n v="31"/>
    <x v="0"/>
    <x v="0"/>
    <n v="47.4"/>
    <n v="1.73"/>
    <n v="178"/>
    <n v="150"/>
    <n v="57"/>
    <n v="1.64"/>
    <n v="962"/>
    <x v="1"/>
    <x v="1"/>
    <n v="28.8"/>
    <n v="2"/>
    <n v="4"/>
    <n v="3"/>
    <x v="2"/>
    <n v="20.91"/>
  </r>
  <r>
    <n v="18"/>
    <x v="1"/>
    <x v="1"/>
    <n v="71.099999999999994"/>
    <n v="1.84"/>
    <n v="189"/>
    <n v="127"/>
    <n v="74"/>
    <n v="0.85"/>
    <n v="1303"/>
    <x v="0"/>
    <x v="3"/>
    <n v="15.2"/>
    <n v="2.8"/>
    <n v="2"/>
    <n v="3"/>
    <x v="1"/>
    <n v="30.36"/>
  </r>
  <r>
    <n v="22"/>
    <x v="1"/>
    <x v="1"/>
    <n v="89.8"/>
    <n v="1.79"/>
    <n v="179"/>
    <n v="163"/>
    <n v="59"/>
    <n v="2"/>
    <n v="1098"/>
    <x v="0"/>
    <x v="2"/>
    <n v="28.2"/>
    <n v="1.7"/>
    <n v="3"/>
    <n v="1"/>
    <x v="0"/>
    <n v="12.32"/>
  </r>
  <r>
    <n v="28"/>
    <x v="0"/>
    <x v="0"/>
    <n v="81.7"/>
    <n v="1.81"/>
    <n v="177"/>
    <n v="130"/>
    <n v="50"/>
    <n v="1.45"/>
    <n v="507"/>
    <x v="1"/>
    <x v="3"/>
    <n v="23.2"/>
    <n v="1.7"/>
    <n v="3"/>
    <n v="1"/>
    <x v="1"/>
    <n v="34.26"/>
  </r>
  <r>
    <n v="40"/>
    <x v="3"/>
    <x v="1"/>
    <n v="40.4"/>
    <n v="1.68"/>
    <n v="171"/>
    <n v="130"/>
    <n v="54"/>
    <n v="2"/>
    <n v="527"/>
    <x v="0"/>
    <x v="2"/>
    <n v="27.3"/>
    <n v="3.3"/>
    <n v="4"/>
    <n v="3"/>
    <x v="2"/>
    <n v="20.47"/>
  </r>
  <r>
    <n v="56"/>
    <x v="4"/>
    <x v="1"/>
    <n v="40"/>
    <n v="1.63"/>
    <n v="181"/>
    <n v="133"/>
    <n v="50"/>
    <n v="0.89"/>
    <n v="1674"/>
    <x v="3"/>
    <x v="4"/>
    <n v="23.4"/>
    <n v="1.5"/>
    <n v="3"/>
    <n v="2"/>
    <x v="2"/>
    <n v="20.75"/>
  </r>
  <r>
    <n v="41"/>
    <x v="3"/>
    <x v="1"/>
    <n v="40.200000000000003"/>
    <n v="1.76"/>
    <n v="198"/>
    <n v="135"/>
    <n v="56"/>
    <n v="1.93"/>
    <n v="964"/>
    <x v="0"/>
    <x v="4"/>
    <n v="18.8"/>
    <n v="3.4"/>
    <n v="4"/>
    <n v="1"/>
    <x v="2"/>
    <n v="19.02"/>
  </r>
  <r>
    <n v="47"/>
    <x v="2"/>
    <x v="1"/>
    <n v="49.9"/>
    <n v="1.74"/>
    <n v="190"/>
    <n v="120"/>
    <n v="65"/>
    <n v="1.97"/>
    <n v="406"/>
    <x v="2"/>
    <x v="2"/>
    <n v="29.4"/>
    <n v="1.5"/>
    <n v="5"/>
    <n v="2"/>
    <x v="0"/>
    <n v="16.010000000000002"/>
  </r>
  <r>
    <n v="42"/>
    <x v="3"/>
    <x v="1"/>
    <n v="41.9"/>
    <n v="1.84"/>
    <n v="168"/>
    <n v="154"/>
    <n v="71"/>
    <n v="1.49"/>
    <n v="1029"/>
    <x v="4"/>
    <x v="2"/>
    <n v="30.6"/>
    <n v="2.6"/>
    <n v="4"/>
    <n v="2"/>
    <x v="2"/>
    <n v="22.97"/>
  </r>
  <r>
    <n v="26"/>
    <x v="0"/>
    <x v="1"/>
    <n v="40"/>
    <n v="1.72"/>
    <n v="164"/>
    <n v="169"/>
    <n v="58"/>
    <n v="0.89"/>
    <n v="1198"/>
    <x v="2"/>
    <x v="4"/>
    <n v="17"/>
    <n v="1.6"/>
    <n v="5"/>
    <n v="2"/>
    <x v="2"/>
    <n v="20.71"/>
  </r>
  <r>
    <n v="18"/>
    <x v="1"/>
    <x v="1"/>
    <n v="47.3"/>
    <n v="1.75"/>
    <n v="196"/>
    <n v="169"/>
    <n v="56"/>
    <n v="1.32"/>
    <n v="706"/>
    <x v="1"/>
    <x v="2"/>
    <n v="29"/>
    <n v="1.9"/>
    <n v="2"/>
    <n v="2"/>
    <x v="1"/>
    <n v="30.5"/>
  </r>
  <r>
    <n v="54"/>
    <x v="2"/>
    <x v="1"/>
    <n v="79.599999999999994"/>
    <n v="1.87"/>
    <n v="190"/>
    <n v="155"/>
    <n v="53"/>
    <m/>
    <n v="884"/>
    <x v="0"/>
    <x v="2"/>
    <n v="27.7"/>
    <n v="3.5"/>
    <n v="2"/>
    <n v="2"/>
    <x v="0"/>
    <n v="12.32"/>
  </r>
  <r>
    <n v="19"/>
    <x v="1"/>
    <x v="0"/>
    <n v="76.599999999999994"/>
    <n v="1.84"/>
    <n v="188"/>
    <n v="138"/>
    <n v="71"/>
    <n v="1.72"/>
    <n v="699"/>
    <x v="2"/>
    <x v="1"/>
    <n v="28.3"/>
    <n v="3.5"/>
    <n v="4"/>
    <n v="1"/>
    <x v="2"/>
    <n v="19.760000000000002"/>
  </r>
  <r>
    <n v="32"/>
    <x v="0"/>
    <x v="0"/>
    <n v="69.5"/>
    <n v="1.65"/>
    <n v="192"/>
    <n v="140"/>
    <n v="52"/>
    <n v="1.71"/>
    <n v="1163"/>
    <x v="1"/>
    <x v="1"/>
    <n v="29.8"/>
    <n v="3.5"/>
    <n v="4"/>
    <n v="1"/>
    <x v="0"/>
    <n v="15.8"/>
  </r>
  <r>
    <n v="46"/>
    <x v="2"/>
    <x v="0"/>
    <n v="68.599999999999994"/>
    <n v="1.63"/>
    <n v="177"/>
    <n v="150"/>
    <n v="58"/>
    <n v="2"/>
    <n v="1074"/>
    <x v="0"/>
    <x v="1"/>
    <n v="25.8"/>
    <n v="3.6"/>
    <n v="3"/>
    <n v="3"/>
    <x v="2"/>
    <n v="19.420000000000002"/>
  </r>
  <r>
    <n v="46"/>
    <x v="2"/>
    <x v="1"/>
    <n v="73"/>
    <n v="2"/>
    <n v="184"/>
    <n v="123"/>
    <n v="64"/>
    <n v="0.9"/>
    <n v="1159"/>
    <x v="1"/>
    <x v="0"/>
    <n v="10"/>
    <n v="3.4"/>
    <n v="5"/>
    <n v="3"/>
    <x v="0"/>
    <n v="14.91"/>
  </r>
  <r>
    <n v="52"/>
    <x v="2"/>
    <x v="0"/>
    <n v="40.799999999999997"/>
    <n v="1.71"/>
    <n v="181"/>
    <n v="169"/>
    <n v="73"/>
    <n v="1.44"/>
    <n v="303"/>
    <x v="3"/>
    <x v="1"/>
    <n v="28.3"/>
    <n v="1.6"/>
    <n v="3"/>
    <n v="1"/>
    <x v="0"/>
    <n v="18.309999999999999"/>
  </r>
  <r>
    <n v="19"/>
    <x v="1"/>
    <x v="1"/>
    <n v="42.1"/>
    <n v="1.6"/>
    <n v="194"/>
    <n v="148"/>
    <n v="73"/>
    <n v="1.27"/>
    <n v="1305"/>
    <x v="1"/>
    <x v="0"/>
    <n v="12.7"/>
    <n v="3.3"/>
    <n v="2"/>
    <n v="2"/>
    <x v="0"/>
    <n v="16.649999999999999"/>
  </r>
  <r>
    <n v="34"/>
    <x v="0"/>
    <x v="1"/>
    <n v="40"/>
    <n v="1.82"/>
    <n v="176"/>
    <n v="141"/>
    <n v="66"/>
    <n v="1.34"/>
    <n v="1709"/>
    <x v="1"/>
    <x v="4"/>
    <n v="24.1"/>
    <n v="3"/>
    <n v="4"/>
    <n v="1"/>
    <x v="0"/>
    <n v="15.3"/>
  </r>
  <r>
    <n v="18"/>
    <x v="1"/>
    <x v="0"/>
    <n v="67.099999999999994"/>
    <n v="1.71"/>
    <n v="174"/>
    <n v="165"/>
    <n v="74"/>
    <n v="1.84"/>
    <n v="577"/>
    <x v="0"/>
    <x v="1"/>
    <n v="27.1"/>
    <n v="2.7"/>
    <n v="4"/>
    <n v="3"/>
    <x v="2"/>
    <n v="24.9"/>
  </r>
  <r>
    <n v="53"/>
    <x v="2"/>
    <x v="1"/>
    <n v="67.2"/>
    <n v="1.68"/>
    <n v="190"/>
    <n v="138"/>
    <n v="55"/>
    <n v="1.67"/>
    <n v="924"/>
    <x v="4"/>
    <x v="4"/>
    <n v="22.6"/>
    <n v="1.5"/>
    <n v="3"/>
    <n v="1"/>
    <x v="0"/>
    <n v="13.91"/>
  </r>
  <r>
    <n v="29"/>
    <x v="0"/>
    <x v="1"/>
    <n v="72.099999999999994"/>
    <n v="2"/>
    <n v="166"/>
    <n v="124"/>
    <n v="67"/>
    <n v="2"/>
    <n v="1582"/>
    <x v="0"/>
    <x v="2"/>
    <n v="32.700000000000003"/>
    <n v="3.4"/>
    <n v="3"/>
    <n v="2"/>
    <x v="2"/>
    <n v="21.75"/>
  </r>
  <r>
    <n v="49"/>
    <x v="2"/>
    <x v="0"/>
    <n v="62"/>
    <n v="1.87"/>
    <n v="195"/>
    <n v="125"/>
    <n v="74"/>
    <n v="1.04"/>
    <n v="842"/>
    <x v="2"/>
    <x v="3"/>
    <n v="20"/>
    <n v="3.5"/>
    <n v="3"/>
    <n v="1"/>
    <x v="2"/>
    <n v="22.02"/>
  </r>
  <r>
    <n v="52"/>
    <x v="2"/>
    <x v="1"/>
    <n v="71.3"/>
    <n v="1.84"/>
    <n v="197"/>
    <n v="126"/>
    <n v="73"/>
    <n v="1.22"/>
    <n v="765"/>
    <x v="1"/>
    <x v="2"/>
    <n v="29.2"/>
    <n v="1.8"/>
    <n v="2"/>
    <m/>
    <x v="0"/>
    <n v="12.32"/>
  </r>
  <r>
    <n v="28"/>
    <x v="0"/>
    <x v="2"/>
    <n v="85.6"/>
    <n v="1.54"/>
    <n v="168"/>
    <n v="128"/>
    <n v="59"/>
    <n v="1.45"/>
    <n v="860"/>
    <x v="3"/>
    <x v="0"/>
    <n v="14.9"/>
    <n v="2.4"/>
    <n v="4"/>
    <n v="1"/>
    <x v="0"/>
    <n v="12.32"/>
  </r>
  <r>
    <n v="21"/>
    <x v="1"/>
    <x v="1"/>
    <n v="51.9"/>
    <n v="1.57"/>
    <n v="170"/>
    <n v="167"/>
    <n v="73"/>
    <n v="1.25"/>
    <n v="1082"/>
    <x v="0"/>
    <x v="2"/>
    <n v="27.5"/>
    <n v="1.6"/>
    <n v="3"/>
    <n v="2"/>
    <x v="2"/>
    <n v="18.89"/>
  </r>
  <r>
    <n v="33"/>
    <x v="0"/>
    <x v="1"/>
    <n v="92.8"/>
    <n v="1.59"/>
    <n v="161"/>
    <n v="150"/>
    <n v="52"/>
    <n v="1.19"/>
    <n v="1640"/>
    <x v="1"/>
    <x v="4"/>
    <n v="23.8"/>
    <n v="2.6"/>
    <n v="3"/>
    <n v="3"/>
    <x v="0"/>
    <n v="15.84"/>
  </r>
  <r>
    <n v="58"/>
    <x v="4"/>
    <x v="0"/>
    <n v="40"/>
    <n v="1.7"/>
    <n v="193"/>
    <n v="120"/>
    <n v="52"/>
    <n v="0.99"/>
    <n v="1178"/>
    <x v="3"/>
    <x v="3"/>
    <n v="21.2"/>
    <n v="2.5"/>
    <n v="5"/>
    <n v="1"/>
    <x v="0"/>
    <n v="12.32"/>
  </r>
  <r>
    <n v="36"/>
    <x v="3"/>
    <x v="0"/>
    <n v="44.9"/>
    <n v="1.79"/>
    <n v="166"/>
    <n v="120"/>
    <n v="74"/>
    <n v="1.66"/>
    <n v="811"/>
    <x v="2"/>
    <x v="0"/>
    <n v="16.2"/>
    <n v="3.3"/>
    <n v="3"/>
    <n v="1"/>
    <x v="4"/>
    <n v="29.4"/>
  </r>
  <r>
    <n v="33"/>
    <x v="0"/>
    <x v="1"/>
    <n v="78.599999999999994"/>
    <n v="1.7"/>
    <n v="161"/>
    <n v="168"/>
    <n v="65"/>
    <n v="2"/>
    <n v="855"/>
    <x v="1"/>
    <x v="0"/>
    <n v="10"/>
    <n v="3.2"/>
    <n v="2"/>
    <n v="1"/>
    <x v="0"/>
    <n v="16.53"/>
  </r>
  <r>
    <n v="42"/>
    <x v="3"/>
    <x v="0"/>
    <n v="54"/>
    <n v="1.69"/>
    <n v="179"/>
    <n v="169"/>
    <n v="53"/>
    <n v="1.19"/>
    <n v="458"/>
    <x v="4"/>
    <x v="1"/>
    <n v="25.7"/>
    <n v="3.3"/>
    <n v="3"/>
    <n v="3"/>
    <x v="0"/>
    <n v="14.91"/>
  </r>
  <r>
    <n v="29"/>
    <x v="0"/>
    <x v="1"/>
    <n v="53.8"/>
    <n v="1.66"/>
    <n v="163"/>
    <n v="133"/>
    <n v="64"/>
    <n v="2"/>
    <n v="1187"/>
    <x v="0"/>
    <x v="2"/>
    <n v="34.5"/>
    <n v="1.5"/>
    <n v="4"/>
    <n v="1"/>
    <x v="2"/>
    <n v="23.95"/>
  </r>
  <r>
    <n v="26"/>
    <x v="0"/>
    <x v="0"/>
    <n v="91.7"/>
    <n v="1.58"/>
    <n v="167"/>
    <n v="120"/>
    <n v="52"/>
    <n v="1.65"/>
    <n v="1334"/>
    <x v="1"/>
    <x v="1"/>
    <n v="29.2"/>
    <n v="2.6"/>
    <n v="2"/>
    <n v="2"/>
    <x v="0"/>
    <m/>
  </r>
  <r>
    <n v="44"/>
    <x v="3"/>
    <x v="1"/>
    <n v="63.3"/>
    <n v="1.88"/>
    <n v="189"/>
    <n v="150"/>
    <n v="74"/>
    <n v="1.02"/>
    <n v="1184"/>
    <x v="0"/>
    <x v="3"/>
    <n v="16.5"/>
    <n v="3.5"/>
    <n v="4"/>
    <n v="1"/>
    <x v="0"/>
    <n v="13.03"/>
  </r>
  <r>
    <n v="42"/>
    <x v="3"/>
    <x v="0"/>
    <n v="98.1"/>
    <n v="1.73"/>
    <n v="165"/>
    <n v="120"/>
    <n v="69"/>
    <n v="1.52"/>
    <n v="477"/>
    <x v="3"/>
    <x v="3"/>
    <n v="21.7"/>
    <n v="1.9"/>
    <n v="2"/>
    <n v="2"/>
    <x v="0"/>
    <n v="15.29"/>
  </r>
  <r>
    <n v="39"/>
    <x v="3"/>
    <x v="1"/>
    <n v="129.9"/>
    <n v="1.81"/>
    <n v="190"/>
    <n v="140"/>
    <n v="74"/>
    <n v="1.89"/>
    <m/>
    <x v="2"/>
    <x v="3"/>
    <n v="14.9"/>
    <n v="2.5"/>
    <n v="2"/>
    <n v="3"/>
    <x v="4"/>
    <n v="26.54"/>
  </r>
  <r>
    <n v="56"/>
    <x v="4"/>
    <x v="2"/>
    <n v="40"/>
    <n v="1.85"/>
    <n v="194"/>
    <n v="158"/>
    <n v="67"/>
    <n v="1.43"/>
    <n v="1633"/>
    <x v="3"/>
    <x v="4"/>
    <n v="30.6"/>
    <n v="1.9"/>
    <n v="4"/>
    <n v="1"/>
    <x v="2"/>
    <n v="21.57"/>
  </r>
  <r>
    <n v="32"/>
    <x v="0"/>
    <x v="1"/>
    <n v="87.2"/>
    <n v="1.5"/>
    <n v="193"/>
    <n v="152"/>
    <n v="58"/>
    <n v="1.28"/>
    <n v="1538"/>
    <x v="1"/>
    <x v="4"/>
    <n v="23.2"/>
    <n v="2.1"/>
    <n v="3"/>
    <n v="3"/>
    <x v="0"/>
    <n v="16.29"/>
  </r>
  <r>
    <n v="31"/>
    <x v="0"/>
    <x v="1"/>
    <n v="64.8"/>
    <n v="1.71"/>
    <n v="174"/>
    <n v="164"/>
    <n v="57"/>
    <n v="1.64"/>
    <n v="857"/>
    <x v="2"/>
    <x v="2"/>
    <n v="26.2"/>
    <n v="2.7"/>
    <n v="4"/>
    <m/>
    <x v="2"/>
    <n v="23.64"/>
  </r>
  <r>
    <n v="48"/>
    <x v="2"/>
    <x v="1"/>
    <n v="51.6"/>
    <n v="1.8"/>
    <n v="181"/>
    <n v="161"/>
    <n v="68"/>
    <n v="0.82"/>
    <n v="1487"/>
    <x v="1"/>
    <x v="4"/>
    <n v="22.5"/>
    <n v="1.9"/>
    <n v="4"/>
    <n v="2"/>
    <x v="0"/>
    <n v="13.29"/>
  </r>
  <r>
    <n v="21"/>
    <x v="1"/>
    <x v="1"/>
    <n v="69.400000000000006"/>
    <n v="1.85"/>
    <n v="177"/>
    <n v="153"/>
    <n v="74"/>
    <n v="1.55"/>
    <n v="879"/>
    <x v="0"/>
    <x v="0"/>
    <n v="10"/>
    <n v="2.4"/>
    <n v="3"/>
    <n v="2"/>
    <x v="0"/>
    <n v="17.579999999999998"/>
  </r>
  <r>
    <n v="38"/>
    <x v="3"/>
    <x v="0"/>
    <n v="77.400000000000006"/>
    <n v="1.54"/>
    <n v="169"/>
    <n v="149"/>
    <n v="50"/>
    <n v="2"/>
    <n v="867"/>
    <x v="0"/>
    <x v="1"/>
    <n v="29"/>
    <n v="3.6"/>
    <n v="5"/>
    <n v="2"/>
    <x v="0"/>
    <n v="13.58"/>
  </r>
  <r>
    <n v="58"/>
    <x v="4"/>
    <x v="0"/>
    <n v="76.3"/>
    <n v="1.56"/>
    <n v="190"/>
    <n v="145"/>
    <n v="72"/>
    <n v="2"/>
    <n v="913"/>
    <x v="0"/>
    <x v="0"/>
    <m/>
    <n v="3.3"/>
    <n v="3"/>
    <n v="3"/>
    <x v="0"/>
    <n v="16.670000000000002"/>
  </r>
  <r>
    <n v="42"/>
    <x v="3"/>
    <x v="0"/>
    <n v="82.3"/>
    <n v="1.94"/>
    <n v="198"/>
    <n v="132"/>
    <n v="57"/>
    <n v="1.46"/>
    <n v="1050"/>
    <x v="3"/>
    <x v="0"/>
    <n v="10"/>
    <n v="3.2"/>
    <n v="3"/>
    <n v="2"/>
    <x v="2"/>
    <n v="20.23"/>
  </r>
  <r>
    <n v="40"/>
    <x v="3"/>
    <x v="0"/>
    <n v="95.5"/>
    <n v="1.84"/>
    <n v="196"/>
    <n v="144"/>
    <n v="68"/>
    <n v="1.94"/>
    <n v="1568"/>
    <x v="3"/>
    <x v="1"/>
    <n v="26.7"/>
    <n v="3.7"/>
    <n v="3"/>
    <n v="1"/>
    <x v="0"/>
    <n v="17.55"/>
  </r>
  <r>
    <n v="19"/>
    <x v="1"/>
    <x v="1"/>
    <n v="60.7"/>
    <n v="1.7"/>
    <n v="183"/>
    <n v="128"/>
    <n v="74"/>
    <n v="1.22"/>
    <n v="817"/>
    <x v="0"/>
    <x v="4"/>
    <n v="20.9"/>
    <n v="2.8"/>
    <n v="4"/>
    <n v="1"/>
    <x v="1"/>
    <n v="35.869999999999997"/>
  </r>
  <r>
    <n v="34"/>
    <x v="0"/>
    <x v="1"/>
    <n v="40"/>
    <n v="1.88"/>
    <n v="188"/>
    <n v="131"/>
    <n v="54"/>
    <n v="1.29"/>
    <n v="840"/>
    <x v="1"/>
    <x v="0"/>
    <n v="11.9"/>
    <n v="1.9"/>
    <n v="3"/>
    <n v="3"/>
    <x v="2"/>
    <n v="18.809999999999999"/>
  </r>
  <r>
    <n v="37"/>
    <x v="3"/>
    <x v="0"/>
    <n v="63.1"/>
    <n v="1.84"/>
    <n v="185"/>
    <n v="158"/>
    <n v="56"/>
    <n v="1.3"/>
    <n v="1248"/>
    <x v="2"/>
    <x v="2"/>
    <n v="31.9"/>
    <n v="3.5"/>
    <n v="3"/>
    <n v="1"/>
    <x v="4"/>
    <n v="26.39"/>
  </r>
  <r>
    <n v="51"/>
    <x v="2"/>
    <x v="0"/>
    <n v="55.7"/>
    <n v="1.5"/>
    <n v="188"/>
    <n v="143"/>
    <n v="58"/>
    <n v="1.19"/>
    <n v="1302"/>
    <x v="2"/>
    <x v="1"/>
    <n v="27.7"/>
    <n v="2"/>
    <n v="3"/>
    <n v="1"/>
    <x v="4"/>
    <n v="28.28"/>
  </r>
  <r>
    <n v="52"/>
    <x v="2"/>
    <x v="1"/>
    <n v="53.1"/>
    <n v="1.55"/>
    <n v="184"/>
    <n v="167"/>
    <n v="50"/>
    <n v="1.95"/>
    <n v="1205"/>
    <x v="0"/>
    <x v="3"/>
    <n v="14.6"/>
    <n v="3.5"/>
    <n v="5"/>
    <n v="1"/>
    <x v="0"/>
    <n v="12.32"/>
  </r>
  <r>
    <n v="52"/>
    <x v="2"/>
    <x v="0"/>
    <n v="65.8"/>
    <n v="1.82"/>
    <n v="168"/>
    <n v="167"/>
    <n v="71"/>
    <n v="1.1499999999999999"/>
    <n v="751"/>
    <x v="0"/>
    <x v="0"/>
    <n v="17.100000000000001"/>
    <n v="1.5"/>
    <n v="3"/>
    <n v="1"/>
    <x v="1"/>
    <n v="32.86"/>
  </r>
  <r>
    <n v="18"/>
    <x v="1"/>
    <x v="0"/>
    <m/>
    <n v="1.72"/>
    <n v="169"/>
    <n v="136"/>
    <n v="66"/>
    <n v="2"/>
    <n v="945"/>
    <x v="0"/>
    <x v="3"/>
    <n v="22.8"/>
    <n v="3.3"/>
    <n v="4"/>
    <n v="2"/>
    <x v="4"/>
    <n v="26.19"/>
  </r>
  <r>
    <n v="35"/>
    <x v="3"/>
    <x v="0"/>
    <n v="40.4"/>
    <n v="1.71"/>
    <n v="176"/>
    <n v="130"/>
    <n v="70"/>
    <n v="1.97"/>
    <n v="1110"/>
    <x v="2"/>
    <x v="0"/>
    <n v="17"/>
    <n v="3.6"/>
    <n v="4"/>
    <n v="3"/>
    <x v="4"/>
    <n v="29.32"/>
  </r>
  <r>
    <n v="45"/>
    <x v="2"/>
    <x v="1"/>
    <n v="40"/>
    <n v="1.75"/>
    <n v="194"/>
    <n v="120"/>
    <n v="50"/>
    <n v="1.67"/>
    <n v="1296"/>
    <x v="3"/>
    <x v="2"/>
    <n v="28.8"/>
    <n v="1.9"/>
    <n v="3"/>
    <n v="3"/>
    <x v="4"/>
    <n v="26.88"/>
  </r>
  <r>
    <n v="31"/>
    <x v="0"/>
    <x v="1"/>
    <n v="40"/>
    <n v="2"/>
    <n v="176"/>
    <n v="162"/>
    <n v="69"/>
    <n v="1.45"/>
    <n v="949"/>
    <x v="1"/>
    <x v="2"/>
    <n v="26.9"/>
    <n v="3.2"/>
    <n v="3"/>
    <n v="2"/>
    <x v="1"/>
    <n v="30.36"/>
  </r>
  <r>
    <n v="27"/>
    <x v="0"/>
    <x v="1"/>
    <n v="40"/>
    <n v="1.68"/>
    <n v="166"/>
    <n v="128"/>
    <n v="59"/>
    <n v="1.6"/>
    <n v="1112"/>
    <x v="3"/>
    <x v="0"/>
    <n v="10"/>
    <n v="2.6"/>
    <n v="4"/>
    <n v="2"/>
    <x v="2"/>
    <n v="19.670000000000002"/>
  </r>
  <r>
    <n v="27"/>
    <x v="0"/>
    <x v="0"/>
    <n v="60.1"/>
    <n v="1.94"/>
    <n v="184"/>
    <n v="162"/>
    <n v="74"/>
    <n v="2"/>
    <m/>
    <x v="0"/>
    <x v="1"/>
    <n v="27.2"/>
    <n v="3.4"/>
    <n v="3"/>
    <n v="1"/>
    <x v="0"/>
    <n v="14.02"/>
  </r>
  <r>
    <n v="18"/>
    <x v="1"/>
    <x v="1"/>
    <n v="73"/>
    <n v="1.89"/>
    <n v="172"/>
    <n v="153"/>
    <n v="56"/>
    <n v="1.19"/>
    <n v="596"/>
    <x v="1"/>
    <x v="3"/>
    <n v="15.6"/>
    <n v="3.4"/>
    <n v="5"/>
    <n v="1"/>
    <x v="0"/>
    <n v="17.22"/>
  </r>
  <r>
    <n v="35"/>
    <x v="3"/>
    <x v="0"/>
    <n v="127.6"/>
    <n v="1.65"/>
    <n v="174"/>
    <n v="156"/>
    <n v="56"/>
    <n v="1.9"/>
    <n v="1084"/>
    <x v="2"/>
    <x v="3"/>
    <n v="20.399999999999999"/>
    <n v="3.4"/>
    <n v="5"/>
    <n v="1"/>
    <x v="0"/>
    <n v="15.36"/>
  </r>
  <r>
    <n v="49"/>
    <x v="2"/>
    <x v="0"/>
    <m/>
    <n v="1.72"/>
    <n v="171"/>
    <n v="122"/>
    <n v="73"/>
    <n v="1.02"/>
    <n v="614"/>
    <x v="2"/>
    <x v="3"/>
    <n v="21.6"/>
    <n v="1.8"/>
    <n v="4"/>
    <n v="1"/>
    <x v="2"/>
    <n v="18.86"/>
  </r>
  <r>
    <n v="18"/>
    <x v="1"/>
    <x v="2"/>
    <n v="40"/>
    <n v="1.68"/>
    <n v="178"/>
    <n v="147"/>
    <n v="71"/>
    <n v="2"/>
    <n v="831"/>
    <x v="2"/>
    <x v="0"/>
    <n v="17.3"/>
    <n v="3.5"/>
    <n v="4"/>
    <n v="1"/>
    <x v="2"/>
    <n v="24.89"/>
  </r>
  <r>
    <n v="19"/>
    <x v="1"/>
    <x v="0"/>
    <n v="43.6"/>
    <n v="1.7"/>
    <n v="168"/>
    <n v="126"/>
    <n v="55"/>
    <n v="1.42"/>
    <n v="685"/>
    <x v="2"/>
    <x v="3"/>
    <n v="23.9"/>
    <n v="1.5"/>
    <n v="4"/>
    <n v="3"/>
    <x v="2"/>
    <n v="19.350000000000001"/>
  </r>
  <r>
    <n v="24"/>
    <x v="1"/>
    <x v="1"/>
    <n v="54"/>
    <n v="1.71"/>
    <n v="191"/>
    <n v="169"/>
    <n v="71"/>
    <n v="1.23"/>
    <n v="730"/>
    <x v="1"/>
    <x v="2"/>
    <n v="29"/>
    <n v="2.7"/>
    <n v="2"/>
    <n v="2"/>
    <x v="0"/>
    <n v="15.39"/>
  </r>
  <r>
    <n v="44"/>
    <x v="3"/>
    <x v="1"/>
    <n v="53.1"/>
    <n v="1.64"/>
    <n v="160"/>
    <n v="160"/>
    <n v="74"/>
    <n v="1.65"/>
    <n v="749"/>
    <x v="1"/>
    <x v="2"/>
    <n v="27"/>
    <n v="3.2"/>
    <m/>
    <n v="2"/>
    <x v="4"/>
    <n v="27.79"/>
  </r>
  <r>
    <n v="21"/>
    <x v="1"/>
    <x v="0"/>
    <n v="87.8"/>
    <n v="1.88"/>
    <n v="195"/>
    <n v="133"/>
    <n v="74"/>
    <n v="1.95"/>
    <n v="621"/>
    <x v="2"/>
    <x v="0"/>
    <n v="19.899999999999999"/>
    <n v="3.4"/>
    <n v="3"/>
    <n v="3"/>
    <x v="2"/>
    <n v="20.22"/>
  </r>
  <r>
    <n v="42"/>
    <x v="3"/>
    <x v="1"/>
    <n v="67.400000000000006"/>
    <n v="1.91"/>
    <n v="191"/>
    <n v="146"/>
    <n v="52"/>
    <n v="1.26"/>
    <m/>
    <x v="2"/>
    <x v="2"/>
    <n v="26.9"/>
    <n v="3.7"/>
    <n v="3"/>
    <n v="3"/>
    <x v="2"/>
    <n v="23.62"/>
  </r>
  <r>
    <n v="38"/>
    <x v="3"/>
    <x v="1"/>
    <n v="82.7"/>
    <n v="2"/>
    <n v="178"/>
    <n v="138"/>
    <n v="72"/>
    <n v="1.46"/>
    <n v="1219"/>
    <x v="3"/>
    <x v="2"/>
    <n v="25.8"/>
    <n v="3.6"/>
    <n v="4"/>
    <n v="1"/>
    <x v="2"/>
    <n v="24.74"/>
  </r>
  <r>
    <n v="33"/>
    <x v="0"/>
    <x v="1"/>
    <n v="84"/>
    <n v="1.7"/>
    <n v="194"/>
    <n v="156"/>
    <n v="73"/>
    <n v="0.5"/>
    <n v="580"/>
    <x v="1"/>
    <x v="4"/>
    <n v="20.5"/>
    <n v="2.5"/>
    <n v="3"/>
    <n v="3"/>
    <x v="0"/>
    <n v="13.38"/>
  </r>
  <r>
    <n v="18"/>
    <x v="1"/>
    <x v="0"/>
    <n v="58.4"/>
    <n v="1.87"/>
    <n v="167"/>
    <n v="168"/>
    <n v="74"/>
    <n v="1.42"/>
    <n v="1306"/>
    <x v="1"/>
    <x v="1"/>
    <n v="26.9"/>
    <n v="3.2"/>
    <n v="2"/>
    <n v="1"/>
    <x v="0"/>
    <n v="17.66"/>
  </r>
  <r>
    <n v="48"/>
    <x v="2"/>
    <x v="1"/>
    <n v="63.8"/>
    <n v="1.79"/>
    <n v="185"/>
    <n v="135"/>
    <n v="71"/>
    <n v="1.69"/>
    <n v="1242"/>
    <x v="2"/>
    <x v="2"/>
    <n v="29.7"/>
    <n v="1.5"/>
    <n v="4"/>
    <n v="1"/>
    <x v="4"/>
    <n v="25.54"/>
  </r>
  <r>
    <n v="45"/>
    <x v="2"/>
    <x v="1"/>
    <n v="94.6"/>
    <n v="1.69"/>
    <n v="178"/>
    <n v="147"/>
    <n v="56"/>
    <n v="1.95"/>
    <n v="1105"/>
    <x v="3"/>
    <x v="2"/>
    <n v="29.9"/>
    <n v="1.8"/>
    <n v="2"/>
    <n v="2"/>
    <x v="0"/>
    <n v="15.15"/>
  </r>
  <r>
    <n v="21"/>
    <x v="1"/>
    <x v="0"/>
    <n v="40"/>
    <n v="1.58"/>
    <n v="165"/>
    <n v="134"/>
    <n v="69"/>
    <n v="1.05"/>
    <n v="624"/>
    <x v="0"/>
    <x v="1"/>
    <n v="29.2"/>
    <n v="1.7"/>
    <n v="3"/>
    <n v="1"/>
    <x v="0"/>
    <n v="12.47"/>
  </r>
  <r>
    <n v="59"/>
    <x v="4"/>
    <x v="0"/>
    <n v="71.099999999999994"/>
    <n v="1.73"/>
    <n v="184"/>
    <n v="125"/>
    <n v="66"/>
    <n v="1.07"/>
    <n v="691"/>
    <x v="1"/>
    <x v="1"/>
    <n v="25.2"/>
    <n v="2.6"/>
    <n v="2"/>
    <n v="3"/>
    <x v="1"/>
    <n v="34.409999999999997"/>
  </r>
  <r>
    <n v="19"/>
    <x v="1"/>
    <x v="2"/>
    <n v="116.6"/>
    <n v="1.72"/>
    <n v="187"/>
    <n v="126"/>
    <n v="70"/>
    <n v="1.1000000000000001"/>
    <n v="779"/>
    <x v="0"/>
    <x v="3"/>
    <n v="23.8"/>
    <n v="2.6"/>
    <n v="3"/>
    <n v="2"/>
    <x v="0"/>
    <n v="16.61"/>
  </r>
  <r>
    <n v="36"/>
    <x v="3"/>
    <x v="0"/>
    <n v="55"/>
    <n v="1.77"/>
    <n v="161"/>
    <n v="142"/>
    <n v="74"/>
    <n v="1.04"/>
    <n v="1564"/>
    <x v="4"/>
    <x v="0"/>
    <n v="19.8"/>
    <n v="3.2"/>
    <n v="2"/>
    <n v="2"/>
    <x v="2"/>
    <n v="21.97"/>
  </r>
  <r>
    <n v="33"/>
    <x v="0"/>
    <x v="0"/>
    <n v="76.3"/>
    <n v="1.88"/>
    <n v="169"/>
    <n v="161"/>
    <n v="69"/>
    <m/>
    <n v="1265"/>
    <x v="1"/>
    <x v="1"/>
    <n v="24.2"/>
    <n v="1.5"/>
    <n v="4"/>
    <n v="2"/>
    <x v="0"/>
    <n v="14.97"/>
  </r>
  <r>
    <n v="22"/>
    <x v="1"/>
    <x v="0"/>
    <n v="48.6"/>
    <n v="1.72"/>
    <n v="177"/>
    <n v="156"/>
    <n v="70"/>
    <n v="1.39"/>
    <n v="708"/>
    <x v="3"/>
    <x v="1"/>
    <n v="25.4"/>
    <n v="3.4"/>
    <n v="3"/>
    <n v="1"/>
    <x v="2"/>
    <n v="20.420000000000002"/>
  </r>
  <r>
    <n v="42"/>
    <x v="3"/>
    <x v="1"/>
    <n v="57.3"/>
    <n v="1.73"/>
    <n v="194"/>
    <n v="153"/>
    <n v="65"/>
    <n v="1.97"/>
    <n v="1132"/>
    <x v="0"/>
    <x v="4"/>
    <n v="22.2"/>
    <n v="3.2"/>
    <n v="4"/>
    <n v="1"/>
    <x v="2"/>
    <n v="19.54"/>
  </r>
  <r>
    <n v="36"/>
    <x v="3"/>
    <x v="0"/>
    <n v="55.9"/>
    <n v="1.76"/>
    <n v="181"/>
    <n v="169"/>
    <n v="74"/>
    <n v="1.91"/>
    <n v="474"/>
    <x v="0"/>
    <x v="0"/>
    <n v="18.2"/>
    <n v="1.5"/>
    <n v="5"/>
    <n v="1"/>
    <x v="0"/>
    <n v="12.32"/>
  </r>
  <r>
    <n v="41"/>
    <x v="3"/>
    <x v="1"/>
    <n v="73.2"/>
    <n v="2"/>
    <n v="179"/>
    <n v="161"/>
    <n v="58"/>
    <n v="1.06"/>
    <n v="758"/>
    <x v="2"/>
    <x v="4"/>
    <n v="17.600000000000001"/>
    <n v="1.8"/>
    <n v="2"/>
    <n v="1"/>
    <x v="2"/>
    <n v="18.61"/>
  </r>
  <r>
    <n v="23"/>
    <x v="1"/>
    <x v="1"/>
    <n v="58.7"/>
    <n v="1.69"/>
    <n v="189"/>
    <n v="135"/>
    <n v="18"/>
    <n v="1.37"/>
    <n v="1231"/>
    <x v="3"/>
    <x v="2"/>
    <n v="26.6"/>
    <n v="3.3"/>
    <n v="2"/>
    <n v="1"/>
    <x v="2"/>
    <n v="23.64"/>
  </r>
  <r>
    <n v="24"/>
    <x v="1"/>
    <x v="0"/>
    <n v="91.8"/>
    <n v="1.82"/>
    <n v="171"/>
    <n v="140"/>
    <n v="52"/>
    <n v="2"/>
    <n v="1065"/>
    <x v="0"/>
    <x v="0"/>
    <n v="16.100000000000001"/>
    <n v="2.7"/>
    <n v="4"/>
    <n v="2"/>
    <x v="2"/>
    <n v="24.37"/>
  </r>
  <r>
    <n v="42"/>
    <x v="3"/>
    <x v="0"/>
    <n v="47.7"/>
    <n v="1.72"/>
    <n v="183"/>
    <n v="150"/>
    <n v="57"/>
    <n v="1.95"/>
    <n v="782"/>
    <x v="3"/>
    <x v="2"/>
    <n v="31.4"/>
    <n v="3.1"/>
    <n v="3"/>
    <m/>
    <x v="0"/>
    <n v="14.27"/>
  </r>
  <r>
    <n v="55"/>
    <x v="4"/>
    <x v="0"/>
    <n v="51.9"/>
    <n v="1.64"/>
    <n v="171"/>
    <n v="150"/>
    <n v="68"/>
    <n v="1.05"/>
    <n v="1619"/>
    <x v="0"/>
    <x v="3"/>
    <n v="22.8"/>
    <n v="2.2000000000000002"/>
    <n v="5"/>
    <n v="3"/>
    <x v="4"/>
    <n v="25.06"/>
  </r>
  <r>
    <n v="36"/>
    <x v="3"/>
    <x v="1"/>
    <n v="60.1"/>
    <n v="1.78"/>
    <n v="186"/>
    <n v="169"/>
    <n v="51"/>
    <n v="1.46"/>
    <n v="1108"/>
    <x v="1"/>
    <x v="2"/>
    <n v="35"/>
    <n v="2"/>
    <n v="3"/>
    <n v="1"/>
    <x v="0"/>
    <n v="16.059999999999999"/>
  </r>
  <r>
    <n v="18"/>
    <x v="1"/>
    <x v="0"/>
    <n v="40"/>
    <n v="1.56"/>
    <n v="196"/>
    <n v="149"/>
    <n v="56"/>
    <n v="0.79"/>
    <n v="1027"/>
    <x v="0"/>
    <x v="1"/>
    <n v="27.6"/>
    <n v="1.9"/>
    <n v="2"/>
    <n v="1"/>
    <x v="0"/>
    <n v="12.98"/>
  </r>
  <r>
    <n v="23"/>
    <x v="1"/>
    <x v="0"/>
    <n v="64.7"/>
    <n v="2"/>
    <n v="184"/>
    <n v="169"/>
    <n v="55"/>
    <n v="1.46"/>
    <n v="860"/>
    <x v="0"/>
    <x v="2"/>
    <n v="32.4"/>
    <n v="2.5"/>
    <n v="5"/>
    <n v="2"/>
    <x v="2"/>
    <n v="20.45"/>
  </r>
  <r>
    <n v="24"/>
    <x v="1"/>
    <x v="1"/>
    <n v="73"/>
    <n v="1.61"/>
    <n v="188"/>
    <n v="131"/>
    <n v="60"/>
    <n v="0.56000000000000005"/>
    <n v="864"/>
    <x v="3"/>
    <x v="2"/>
    <n v="27.4"/>
    <n v="3.6"/>
    <n v="2"/>
    <n v="2"/>
    <x v="0"/>
    <n v="12.36"/>
  </r>
  <r>
    <n v="41"/>
    <x v="3"/>
    <x v="1"/>
    <n v="90.3"/>
    <n v="1.76"/>
    <n v="180"/>
    <m/>
    <n v="70"/>
    <n v="1.96"/>
    <n v="1596"/>
    <x v="1"/>
    <x v="4"/>
    <n v="22.6"/>
    <n v="2.2999999999999998"/>
    <n v="4"/>
    <n v="1"/>
    <x v="0"/>
    <n v="12.32"/>
  </r>
  <r>
    <n v="48"/>
    <x v="2"/>
    <x v="0"/>
    <n v="79.099999999999994"/>
    <n v="1.63"/>
    <n v="168"/>
    <n v="135"/>
    <n v="53"/>
    <n v="1.1499999999999999"/>
    <n v="1302"/>
    <x v="3"/>
    <x v="2"/>
    <n v="35"/>
    <n v="3.3"/>
    <n v="4"/>
    <n v="1"/>
    <x v="4"/>
    <n v="27.86"/>
  </r>
  <r>
    <n v="47"/>
    <x v="2"/>
    <x v="0"/>
    <n v="82.2"/>
    <n v="1.72"/>
    <n v="174"/>
    <n v="126"/>
    <n v="70"/>
    <n v="1.1499999999999999"/>
    <n v="1211"/>
    <x v="3"/>
    <x v="1"/>
    <n v="25"/>
    <n v="3.7"/>
    <n v="2"/>
    <n v="3"/>
    <x v="0"/>
    <n v="12.4"/>
  </r>
  <r>
    <n v="54"/>
    <x v="2"/>
    <x v="1"/>
    <n v="40"/>
    <n v="1.79"/>
    <n v="162"/>
    <n v="162"/>
    <n v="54"/>
    <n v="2"/>
    <n v="444"/>
    <x v="3"/>
    <x v="3"/>
    <n v="16.899999999999999"/>
    <n v="2.2999999999999998"/>
    <n v="5"/>
    <n v="3"/>
    <x v="2"/>
    <n v="22.6"/>
  </r>
  <r>
    <n v="33"/>
    <x v="0"/>
    <x v="0"/>
    <n v="60.7"/>
    <n v="1.57"/>
    <n v="179"/>
    <n v="135"/>
    <n v="69"/>
    <n v="1.24"/>
    <n v="964"/>
    <x v="2"/>
    <x v="1"/>
    <n v="26"/>
    <n v="2.9"/>
    <n v="3"/>
    <n v="1"/>
    <x v="0"/>
    <n v="15.19"/>
  </r>
  <r>
    <n v="29"/>
    <x v="0"/>
    <x v="2"/>
    <n v="48.9"/>
    <n v="1.7"/>
    <n v="194"/>
    <n v="145"/>
    <n v="55"/>
    <n v="1.1200000000000001"/>
    <n v="487"/>
    <x v="1"/>
    <x v="2"/>
    <n v="33.9"/>
    <n v="2.2000000000000002"/>
    <n v="5"/>
    <n v="2"/>
    <x v="4"/>
    <n v="28.96"/>
  </r>
  <r>
    <n v="50"/>
    <x v="2"/>
    <x v="0"/>
    <n v="76.400000000000006"/>
    <n v="1.54"/>
    <n v="172"/>
    <n v="133"/>
    <n v="71"/>
    <n v="1.3"/>
    <n v="1311"/>
    <x v="0"/>
    <x v="1"/>
    <n v="25.2"/>
    <n v="2.1"/>
    <n v="3"/>
    <n v="1"/>
    <x v="1"/>
    <n v="33.64"/>
  </r>
  <r>
    <n v="49"/>
    <x v="2"/>
    <x v="0"/>
    <n v="95.6"/>
    <n v="1.67"/>
    <n v="164"/>
    <n v="134"/>
    <n v="74"/>
    <n v="1.71"/>
    <n v="466"/>
    <x v="1"/>
    <x v="1"/>
    <n v="26"/>
    <n v="1.8"/>
    <n v="3"/>
    <n v="2"/>
    <x v="0"/>
    <n v="14.67"/>
  </r>
  <r>
    <n v="25"/>
    <x v="0"/>
    <x v="0"/>
    <n v="85.1"/>
    <n v="1.98"/>
    <n v="185"/>
    <n v="148"/>
    <n v="58"/>
    <n v="1.29"/>
    <n v="785"/>
    <x v="3"/>
    <x v="3"/>
    <n v="22.5"/>
    <n v="3.5"/>
    <n v="4"/>
    <n v="1"/>
    <x v="0"/>
    <n v="14.37"/>
  </r>
  <r>
    <n v="34"/>
    <x v="0"/>
    <x v="0"/>
    <n v="72.900000000000006"/>
    <n v="1.71"/>
    <n v="164"/>
    <n v="122"/>
    <n v="73"/>
    <n v="1.78"/>
    <n v="432"/>
    <x v="2"/>
    <x v="1"/>
    <n v="27.8"/>
    <n v="1.5"/>
    <n v="2"/>
    <n v="2"/>
    <x v="2"/>
    <n v="20.67"/>
  </r>
  <r>
    <n v="30"/>
    <x v="0"/>
    <x v="0"/>
    <n v="42.2"/>
    <n v="1.63"/>
    <n v="177"/>
    <n v="134"/>
    <n v="74"/>
    <n v="2"/>
    <n v="685"/>
    <x v="3"/>
    <x v="1"/>
    <n v="26.4"/>
    <n v="3.7"/>
    <n v="3"/>
    <n v="2"/>
    <x v="4"/>
    <n v="28.27"/>
  </r>
  <r>
    <n v="49"/>
    <x v="2"/>
    <x v="1"/>
    <n v="40"/>
    <n v="1.76"/>
    <n v="193"/>
    <n v="124"/>
    <n v="72"/>
    <n v="1.3"/>
    <n v="1196"/>
    <x v="1"/>
    <x v="0"/>
    <n v="11.2"/>
    <n v="2.2000000000000002"/>
    <n v="4"/>
    <n v="2"/>
    <x v="0"/>
    <n v="16.86"/>
  </r>
  <r>
    <n v="18"/>
    <x v="1"/>
    <x v="1"/>
    <n v="51.8"/>
    <n v="1.58"/>
    <n v="164"/>
    <n v="164"/>
    <n v="51"/>
    <n v="0.84"/>
    <n v="1110"/>
    <x v="1"/>
    <x v="2"/>
    <n v="25.8"/>
    <n v="3.5"/>
    <n v="3"/>
    <n v="3"/>
    <x v="0"/>
    <n v="16.04"/>
  </r>
  <r>
    <n v="31"/>
    <x v="0"/>
    <x v="1"/>
    <n v="91.5"/>
    <m/>
    <n v="189"/>
    <n v="169"/>
    <n v="58"/>
    <n v="1.51"/>
    <n v="786"/>
    <x v="3"/>
    <x v="4"/>
    <n v="24.6"/>
    <n v="3.6"/>
    <n v="3"/>
    <n v="1"/>
    <x v="2"/>
    <n v="19.09"/>
  </r>
  <r>
    <n v="22"/>
    <x v="1"/>
    <x v="1"/>
    <n v="64.599999999999994"/>
    <n v="2"/>
    <n v="196"/>
    <n v="137"/>
    <n v="73"/>
    <n v="0.85"/>
    <n v="704"/>
    <x v="2"/>
    <x v="4"/>
    <n v="21.4"/>
    <n v="2.5"/>
    <n v="3"/>
    <n v="3"/>
    <x v="2"/>
    <n v="22.43"/>
  </r>
  <r>
    <n v="47"/>
    <x v="2"/>
    <x v="1"/>
    <n v="66.5"/>
    <n v="1.79"/>
    <n v="193"/>
    <n v="155"/>
    <n v="51"/>
    <n v="0.69"/>
    <n v="1656"/>
    <x v="4"/>
    <x v="4"/>
    <n v="24"/>
    <n v="2.8"/>
    <n v="5"/>
    <n v="1"/>
    <x v="0"/>
    <n v="16.95"/>
  </r>
  <r>
    <n v="54"/>
    <x v="2"/>
    <x v="1"/>
    <n v="55.2"/>
    <n v="1.8"/>
    <n v="168"/>
    <n v="137"/>
    <n v="55"/>
    <n v="2"/>
    <n v="1472"/>
    <x v="2"/>
    <x v="2"/>
    <n v="27"/>
    <n v="3.1"/>
    <n v="4"/>
    <n v="2"/>
    <x v="2"/>
    <n v="23.47"/>
  </r>
  <r>
    <n v="49"/>
    <x v="2"/>
    <x v="0"/>
    <n v="105.3"/>
    <n v="1.83"/>
    <n v="165"/>
    <n v="150"/>
    <n v="70"/>
    <n v="1.53"/>
    <n v="699"/>
    <x v="0"/>
    <x v="2"/>
    <n v="31.4"/>
    <n v="3.7"/>
    <n v="3"/>
    <n v="1"/>
    <x v="3"/>
    <n v="39.35"/>
  </r>
  <r>
    <n v="18"/>
    <x v="1"/>
    <x v="1"/>
    <n v="74.099999999999994"/>
    <n v="1.76"/>
    <n v="170"/>
    <n v="135"/>
    <n v="62"/>
    <n v="1.24"/>
    <n v="1214"/>
    <x v="1"/>
    <x v="3"/>
    <n v="13.7"/>
    <n v="2.5"/>
    <n v="3"/>
    <n v="2"/>
    <x v="0"/>
    <n v="13.25"/>
  </r>
  <r>
    <n v="46"/>
    <x v="2"/>
    <x v="0"/>
    <n v="40"/>
    <n v="1.75"/>
    <n v="170"/>
    <n v="142"/>
    <n v="63"/>
    <n v="0.96"/>
    <n v="919"/>
    <x v="1"/>
    <x v="3"/>
    <n v="22.3"/>
    <n v="2.4"/>
    <n v="4"/>
    <n v="2"/>
    <x v="0"/>
    <n v="12.41"/>
  </r>
  <r>
    <n v="18"/>
    <x v="1"/>
    <x v="1"/>
    <n v="91.1"/>
    <n v="1.76"/>
    <n v="197"/>
    <n v="162"/>
    <n v="59"/>
    <n v="1.52"/>
    <n v="1362"/>
    <x v="1"/>
    <x v="2"/>
    <n v="28.8"/>
    <n v="3.4"/>
    <n v="3"/>
    <n v="1"/>
    <x v="0"/>
    <n v="14.34"/>
  </r>
  <r>
    <n v="21"/>
    <x v="1"/>
    <x v="0"/>
    <n v="49.2"/>
    <n v="1.64"/>
    <n v="177"/>
    <n v="164"/>
    <n v="53"/>
    <n v="0.57999999999999996"/>
    <n v="1114"/>
    <x v="2"/>
    <x v="3"/>
    <n v="23.3"/>
    <n v="2.9"/>
    <n v="3"/>
    <n v="1"/>
    <x v="2"/>
    <n v="23.08"/>
  </r>
  <r>
    <n v="44"/>
    <x v="3"/>
    <x v="0"/>
    <n v="87.8"/>
    <n v="1.77"/>
    <n v="163"/>
    <n v="157"/>
    <n v="67"/>
    <n v="1.18"/>
    <m/>
    <x v="3"/>
    <x v="3"/>
    <n v="23.7"/>
    <n v="2"/>
    <n v="4"/>
    <n v="2"/>
    <x v="0"/>
    <n v="12.32"/>
  </r>
  <r>
    <n v="48"/>
    <x v="2"/>
    <x v="0"/>
    <n v="40"/>
    <n v="1.77"/>
    <n v="180"/>
    <n v="127"/>
    <n v="54"/>
    <n v="1.48"/>
    <n v="1460"/>
    <x v="2"/>
    <x v="1"/>
    <n v="27.2"/>
    <n v="2.4"/>
    <n v="5"/>
    <n v="3"/>
    <x v="2"/>
    <n v="18.510000000000002"/>
  </r>
  <r>
    <n v="48"/>
    <x v="2"/>
    <x v="0"/>
    <n v="60"/>
    <n v="1.92"/>
    <n v="165"/>
    <n v="140"/>
    <n v="72"/>
    <n v="2"/>
    <n v="1751"/>
    <x v="2"/>
    <x v="0"/>
    <n v="11.1"/>
    <n v="1.5"/>
    <n v="2"/>
    <n v="2"/>
    <x v="1"/>
    <n v="32.68"/>
  </r>
  <r>
    <n v="21"/>
    <x v="1"/>
    <x v="1"/>
    <n v="56.1"/>
    <n v="1.54"/>
    <s v="\t182"/>
    <n v="168"/>
    <n v="52"/>
    <n v="1.34"/>
    <n v="1083"/>
    <x v="0"/>
    <x v="2"/>
    <n v="33.1"/>
    <n v="2.5"/>
    <n v="4"/>
    <n v="2"/>
    <x v="2"/>
    <n v="18.760000000000002"/>
  </r>
  <r>
    <n v="51"/>
    <x v="2"/>
    <x v="0"/>
    <n v="46.2"/>
    <n v="1.73"/>
    <n v="192"/>
    <n v="169"/>
    <n v="62"/>
    <n v="1.55"/>
    <n v="1389"/>
    <x v="1"/>
    <x v="2"/>
    <n v="32.799999999999997"/>
    <n v="1.7"/>
    <m/>
    <n v="3"/>
    <x v="0"/>
    <n v="14.87"/>
  </r>
  <r>
    <n v="36"/>
    <x v="3"/>
    <x v="1"/>
    <n v="68.2"/>
    <n v="1.91"/>
    <n v="188"/>
    <n v="131"/>
    <n v="69"/>
    <n v="2"/>
    <n v="1162"/>
    <x v="0"/>
    <x v="2"/>
    <n v="33.1"/>
    <n v="1.5"/>
    <n v="3"/>
    <n v="3"/>
    <x v="0"/>
    <m/>
  </r>
  <r>
    <n v="44"/>
    <x v="3"/>
    <x v="1"/>
    <n v="56.1"/>
    <n v="1.68"/>
    <n v="191"/>
    <n v="152"/>
    <n v="69"/>
    <n v="1.8"/>
    <n v="1223"/>
    <x v="0"/>
    <x v="3"/>
    <n v="15.4"/>
    <n v="2.6"/>
    <n v="4"/>
    <n v="2"/>
    <x v="0"/>
    <n v="17.28"/>
  </r>
  <r>
    <n v="24"/>
    <x v="1"/>
    <x v="1"/>
    <n v="51.7"/>
    <n v="1.93"/>
    <n v="182"/>
    <n v="158"/>
    <n v="70"/>
    <m/>
    <n v="1783"/>
    <x v="3"/>
    <x v="4"/>
    <n v="24.4"/>
    <n v="2.7"/>
    <n v="2"/>
    <n v="1"/>
    <x v="0"/>
    <n v="16.29"/>
  </r>
  <r>
    <n v="51"/>
    <x v="2"/>
    <x v="1"/>
    <n v="65.8"/>
    <n v="1.62"/>
    <n v="191"/>
    <n v="169"/>
    <n v="74"/>
    <n v="1.36"/>
    <n v="1073"/>
    <x v="2"/>
    <x v="2"/>
    <n v="28.2"/>
    <n v="3.5"/>
    <n v="2"/>
    <m/>
    <x v="2"/>
    <n v="21.21"/>
  </r>
  <r>
    <n v="32"/>
    <x v="0"/>
    <x v="0"/>
    <n v="40"/>
    <n v="1.88"/>
    <n v="174"/>
    <n v="148"/>
    <n v="50"/>
    <n v="1.94"/>
    <n v="1436"/>
    <x v="0"/>
    <x v="1"/>
    <n v="27.4"/>
    <m/>
    <n v="2"/>
    <n v="3"/>
    <x v="0"/>
    <n v="12.32"/>
  </r>
  <r>
    <n v="45"/>
    <x v="2"/>
    <x v="1"/>
    <n v="59.5"/>
    <n v="1.61"/>
    <n v="194"/>
    <n v="121"/>
    <n v="55"/>
    <n v="1.3"/>
    <n v="741"/>
    <x v="1"/>
    <x v="4"/>
    <n v="24.5"/>
    <n v="2"/>
    <n v="4"/>
    <n v="3"/>
    <x v="2"/>
    <n v="21.71"/>
  </r>
  <r>
    <n v="58"/>
    <x v="4"/>
    <x v="1"/>
    <n v="73.5"/>
    <n v="1.93"/>
    <n v="175"/>
    <n v="169"/>
    <n v="61"/>
    <n v="1.45"/>
    <n v="1019"/>
    <x v="2"/>
    <x v="3"/>
    <n v="14"/>
    <n v="2.7"/>
    <n v="2"/>
    <n v="2"/>
    <x v="0"/>
    <n v="14.74"/>
  </r>
  <r>
    <n v="21"/>
    <x v="1"/>
    <x v="1"/>
    <n v="54.7"/>
    <n v="1.56"/>
    <n v="191"/>
    <n v="157"/>
    <n v="55"/>
    <n v="1.1299999999999999"/>
    <n v="682"/>
    <x v="1"/>
    <x v="2"/>
    <n v="25.2"/>
    <n v="1.5"/>
    <n v="4"/>
    <n v="2"/>
    <x v="0"/>
    <m/>
  </r>
  <r>
    <n v="18"/>
    <x v="1"/>
    <x v="0"/>
    <n v="52.1"/>
    <n v="1.73"/>
    <n v="183"/>
    <n v="135"/>
    <n v="74"/>
    <n v="1.4"/>
    <n v="1141"/>
    <x v="1"/>
    <x v="3"/>
    <n v="23.9"/>
    <n v="3.1"/>
    <n v="3"/>
    <n v="1"/>
    <x v="0"/>
    <n v="12.32"/>
  </r>
  <r>
    <n v="59"/>
    <x v="4"/>
    <x v="0"/>
    <n v="60.6"/>
    <n v="1.92"/>
    <n v="180"/>
    <n v="168"/>
    <n v="55"/>
    <n v="1.46"/>
    <n v="1046"/>
    <x v="4"/>
    <x v="1"/>
    <n v="24.6"/>
    <n v="2"/>
    <n v="3"/>
    <n v="3"/>
    <x v="1"/>
    <n v="30.51"/>
  </r>
  <r>
    <n v="20"/>
    <x v="1"/>
    <x v="0"/>
    <n v="104.3"/>
    <n v="1.79"/>
    <n v="197"/>
    <n v="158"/>
    <n v="72"/>
    <n v="1.3"/>
    <n v="933"/>
    <x v="0"/>
    <x v="3"/>
    <n v="23.4"/>
    <n v="3.2"/>
    <n v="2"/>
    <n v="3"/>
    <x v="0"/>
    <n v="16.399999999999999"/>
  </r>
  <r>
    <n v="39"/>
    <x v="3"/>
    <x v="0"/>
    <n v="65.3"/>
    <n v="1.61"/>
    <n v="187"/>
    <n v="141"/>
    <n v="74"/>
    <n v="1.69"/>
    <n v="1783"/>
    <x v="2"/>
    <x v="1"/>
    <n v="30.3"/>
    <n v="3.4"/>
    <n v="3"/>
    <n v="3"/>
    <x v="2"/>
    <n v="21.86"/>
  </r>
  <r>
    <n v="52"/>
    <x v="2"/>
    <x v="1"/>
    <n v="47.8"/>
    <n v="1.79"/>
    <n v="168"/>
    <n v="144"/>
    <n v="68"/>
    <n v="0.95"/>
    <n v="715"/>
    <x v="1"/>
    <x v="2"/>
    <n v="27.3"/>
    <n v="2.4"/>
    <n v="5"/>
    <n v="3"/>
    <x v="0"/>
    <n v="17.21"/>
  </r>
  <r>
    <n v="18"/>
    <x v="1"/>
    <x v="0"/>
    <n v="51.1"/>
    <n v="1.83"/>
    <n v="180"/>
    <n v="130"/>
    <n v="57"/>
    <n v="1.05"/>
    <n v="939"/>
    <x v="0"/>
    <x v="0"/>
    <n v="17"/>
    <n v="3"/>
    <n v="3"/>
    <n v="2"/>
    <x v="0"/>
    <n v="16.850000000000001"/>
  </r>
  <r>
    <n v="34"/>
    <x v="0"/>
    <x v="1"/>
    <n v="62.5"/>
    <n v="1.87"/>
    <n v="185"/>
    <n v="167"/>
    <n v="73"/>
    <n v="0.96"/>
    <n v="1353"/>
    <x v="1"/>
    <x v="2"/>
    <n v="29.6"/>
    <n v="2.2999999999999998"/>
    <n v="4"/>
    <n v="1"/>
    <x v="1"/>
    <n v="31.91"/>
  </r>
  <r>
    <n v="59"/>
    <x v="4"/>
    <x v="0"/>
    <n v="57.4"/>
    <n v="1.56"/>
    <n v="190"/>
    <n v="156"/>
    <n v="72"/>
    <n v="1.1499999999999999"/>
    <n v="813"/>
    <x v="1"/>
    <x v="0"/>
    <n v="18.5"/>
    <n v="2.7"/>
    <n v="3"/>
    <n v="2"/>
    <x v="4"/>
    <n v="25.59"/>
  </r>
  <r>
    <n v="37"/>
    <x v="3"/>
    <x v="1"/>
    <n v="108.7"/>
    <n v="1.55"/>
    <n v="163"/>
    <n v="122"/>
    <n v="68"/>
    <n v="1.19"/>
    <n v="1104"/>
    <x v="0"/>
    <x v="2"/>
    <n v="26.9"/>
    <n v="1.6"/>
    <n v="4"/>
    <n v="2"/>
    <x v="4"/>
    <n v="26.23"/>
  </r>
  <r>
    <n v="41"/>
    <x v="3"/>
    <x v="0"/>
    <n v="40"/>
    <n v="1.6"/>
    <n v="164"/>
    <n v="143"/>
    <n v="73"/>
    <n v="1.52"/>
    <n v="727"/>
    <x v="3"/>
    <x v="3"/>
    <n v="23.5"/>
    <n v="3.4"/>
    <n v="5"/>
    <n v="2"/>
    <x v="0"/>
    <n v="15.53"/>
  </r>
  <r>
    <n v="53"/>
    <x v="2"/>
    <x v="0"/>
    <n v="65.2"/>
    <n v="1.72"/>
    <n v="196"/>
    <n v="152"/>
    <n v="50"/>
    <n v="1.87"/>
    <n v="1073"/>
    <x v="1"/>
    <x v="1"/>
    <n v="24.8"/>
    <n v="3.7"/>
    <m/>
    <n v="1"/>
    <x v="2"/>
    <n v="22.39"/>
  </r>
  <r>
    <n v="23"/>
    <x v="1"/>
    <x v="1"/>
    <n v="90"/>
    <n v="1.58"/>
    <n v="172"/>
    <n v="164"/>
    <n v="60"/>
    <n v="0.78"/>
    <n v="682"/>
    <x v="0"/>
    <x v="2"/>
    <n v="25"/>
    <n v="3.2"/>
    <n v="4"/>
    <n v="1"/>
    <x v="0"/>
    <n v="12.32"/>
  </r>
  <r>
    <n v="28"/>
    <x v="0"/>
    <x v="0"/>
    <n v="91.6"/>
    <n v="1.68"/>
    <n v="191"/>
    <n v="128"/>
    <n v="59"/>
    <n v="0.68"/>
    <n v="1783"/>
    <x v="3"/>
    <x v="0"/>
    <n v="19.100000000000001"/>
    <n v="2.6"/>
    <n v="2"/>
    <n v="2"/>
    <x v="0"/>
    <n v="12.48"/>
  </r>
  <r>
    <n v="48"/>
    <x v="2"/>
    <x v="0"/>
    <n v="84.1"/>
    <n v="1.69"/>
    <n v="187"/>
    <n v="136"/>
    <n v="56"/>
    <n v="1.68"/>
    <n v="758"/>
    <x v="0"/>
    <x v="3"/>
    <n v="22.2"/>
    <n v="2.2999999999999998"/>
    <n v="3"/>
    <n v="3"/>
    <x v="0"/>
    <n v="16.11"/>
  </r>
  <r>
    <n v="43"/>
    <x v="3"/>
    <x v="0"/>
    <n v="57.8"/>
    <n v="1.57"/>
    <n v="190"/>
    <n v="142"/>
    <n v="56"/>
    <n v="1.39"/>
    <n v="698"/>
    <x v="0"/>
    <x v="3"/>
    <n v="21.3"/>
    <n v="1.6"/>
    <n v="4"/>
    <n v="1"/>
    <x v="2"/>
    <n v="20.73"/>
  </r>
  <r>
    <n v="55"/>
    <x v="4"/>
    <x v="0"/>
    <n v="100"/>
    <n v="1.63"/>
    <n v="183"/>
    <n v="155"/>
    <n v="74"/>
    <n v="2"/>
    <n v="1256"/>
    <x v="1"/>
    <x v="0"/>
    <n v="10.5"/>
    <n v="2.4"/>
    <n v="3"/>
    <n v="2"/>
    <x v="0"/>
    <n v="12.32"/>
  </r>
  <r>
    <n v="30"/>
    <x v="0"/>
    <x v="0"/>
    <n v="61.9"/>
    <n v="1.55"/>
    <n v="181"/>
    <n v="150"/>
    <n v="72"/>
    <n v="1.93"/>
    <n v="1117"/>
    <x v="2"/>
    <x v="1"/>
    <n v="27.1"/>
    <n v="3.6"/>
    <n v="3"/>
    <n v="2"/>
    <x v="0"/>
    <n v="12.32"/>
  </r>
  <r>
    <n v="19"/>
    <x v="1"/>
    <x v="1"/>
    <n v="58.6"/>
    <n v="1.64"/>
    <n v="187"/>
    <n v="135"/>
    <n v="66"/>
    <n v="1.18"/>
    <n v="1564"/>
    <x v="3"/>
    <x v="0"/>
    <n v="10"/>
    <n v="3.4"/>
    <n v="3"/>
    <n v="2"/>
    <x v="2"/>
    <n v="21.91"/>
  </r>
  <r>
    <n v="21"/>
    <x v="1"/>
    <x v="1"/>
    <n v="80.8"/>
    <n v="1.8"/>
    <n v="195"/>
    <n v="137"/>
    <n v="64"/>
    <n v="1.1000000000000001"/>
    <n v="1285"/>
    <x v="1"/>
    <x v="2"/>
    <n v="29.8"/>
    <n v="2.7"/>
    <n v="3"/>
    <n v="3"/>
    <x v="2"/>
    <n v="21.28"/>
  </r>
  <r>
    <n v="21"/>
    <x v="1"/>
    <x v="0"/>
    <n v="42.7"/>
    <n v="1.81"/>
    <n v="166"/>
    <n v="139"/>
    <n v="71"/>
    <n v="1.42"/>
    <n v="1044"/>
    <x v="1"/>
    <x v="1"/>
    <n v="26"/>
    <n v="3.2"/>
    <n v="3"/>
    <n v="3"/>
    <x v="0"/>
    <n v="12.32"/>
  </r>
  <r>
    <n v="29"/>
    <x v="0"/>
    <x v="1"/>
    <n v="60.9"/>
    <n v="1.86"/>
    <n v="191"/>
    <n v="152"/>
    <n v="60"/>
    <n v="1.79"/>
    <n v="1108"/>
    <x v="0"/>
    <x v="2"/>
    <n v="31.5"/>
    <n v="1.5"/>
    <n v="4"/>
    <n v="3"/>
    <x v="3"/>
    <n v="42.08"/>
  </r>
  <r>
    <n v="40"/>
    <x v="3"/>
    <x v="1"/>
    <n v="78.8"/>
    <n v="1.7"/>
    <n v="176"/>
    <n v="169"/>
    <n v="63"/>
    <n v="1.78"/>
    <n v="1179"/>
    <x v="0"/>
    <x v="4"/>
    <n v="21.1"/>
    <n v="1.9"/>
    <n v="2"/>
    <n v="1"/>
    <x v="0"/>
    <n v="17.55"/>
  </r>
  <r>
    <n v="37"/>
    <x v="3"/>
    <x v="0"/>
    <n v="85.3"/>
    <n v="1.69"/>
    <n v="162"/>
    <n v="136"/>
    <n v="71"/>
    <n v="1.49"/>
    <n v="859"/>
    <x v="2"/>
    <x v="3"/>
    <n v="22.8"/>
    <n v="3.4"/>
    <n v="4"/>
    <n v="2"/>
    <x v="2"/>
    <n v="19.95"/>
  </r>
  <r>
    <n v="47"/>
    <x v="2"/>
    <x v="0"/>
    <n v="84.8"/>
    <n v="1.58"/>
    <n v="180"/>
    <n v="157"/>
    <n v="54"/>
    <n v="0.83"/>
    <n v="940"/>
    <x v="1"/>
    <x v="1"/>
    <n v="26.3"/>
    <n v="1.9"/>
    <n v="5"/>
    <n v="2"/>
    <x v="0"/>
    <n v="17.989999999999998"/>
  </r>
  <r>
    <n v="50"/>
    <x v="2"/>
    <x v="0"/>
    <n v="72.7"/>
    <n v="1.74"/>
    <n v="191"/>
    <m/>
    <n v="67"/>
    <n v="0.77"/>
    <n v="1047"/>
    <x v="1"/>
    <x v="0"/>
    <n v="15.5"/>
    <n v="3.5"/>
    <n v="3"/>
    <n v="3"/>
    <x v="0"/>
    <n v="12.32"/>
  </r>
  <r>
    <n v="43"/>
    <x v="3"/>
    <x v="1"/>
    <n v="57.4"/>
    <n v="1.69"/>
    <n v="166"/>
    <n v="143"/>
    <n v="66"/>
    <n v="1.1399999999999999"/>
    <n v="775"/>
    <x v="0"/>
    <x v="4"/>
    <n v="23.7"/>
    <n v="3.3"/>
    <n v="3"/>
    <n v="1"/>
    <x v="0"/>
    <n v="13.31"/>
  </r>
  <r>
    <n v="33"/>
    <x v="0"/>
    <x v="1"/>
    <n v="40"/>
    <n v="1.81"/>
    <n v="189"/>
    <n v="157"/>
    <n v="71"/>
    <n v="1.32"/>
    <n v="1298"/>
    <x v="2"/>
    <x v="4"/>
    <n v="20.100000000000001"/>
    <n v="3.4"/>
    <n v="2"/>
    <n v="3"/>
    <x v="0"/>
    <n v="16.68"/>
  </r>
  <r>
    <n v="33"/>
    <x v="0"/>
    <x v="0"/>
    <n v="129.9"/>
    <n v="1.56"/>
    <n v="189"/>
    <n v="138"/>
    <n v="73"/>
    <n v="2"/>
    <n v="993"/>
    <x v="0"/>
    <x v="2"/>
    <n v="34"/>
    <n v="2.2999999999999998"/>
    <n v="3"/>
    <n v="2"/>
    <x v="2"/>
    <n v="24.54"/>
  </r>
  <r>
    <n v="50"/>
    <x v="2"/>
    <x v="1"/>
    <n v="55"/>
    <n v="1.5"/>
    <n v="177"/>
    <n v="120"/>
    <n v="69"/>
    <n v="1.07"/>
    <n v="715"/>
    <x v="3"/>
    <x v="2"/>
    <n v="27.2"/>
    <n v="1.7"/>
    <n v="4"/>
    <n v="2"/>
    <x v="4"/>
    <n v="26.53"/>
  </r>
  <r>
    <n v="45"/>
    <x v="2"/>
    <x v="1"/>
    <m/>
    <n v="1.7"/>
    <n v="162"/>
    <n v="120"/>
    <n v="63"/>
    <n v="1.79"/>
    <n v="731"/>
    <x v="3"/>
    <x v="2"/>
    <n v="31.7"/>
    <m/>
    <n v="4"/>
    <n v="3"/>
    <x v="0"/>
    <n v="13.71"/>
  </r>
  <r>
    <n v="18"/>
    <x v="1"/>
    <x v="1"/>
    <n v="41.6"/>
    <n v="1.94"/>
    <n v="168"/>
    <n v="153"/>
    <n v="57"/>
    <n v="0.86"/>
    <n v="1068"/>
    <x v="0"/>
    <x v="2"/>
    <n v="25"/>
    <n v="3.1"/>
    <n v="4"/>
    <n v="1"/>
    <x v="2"/>
    <n v="19.739999999999998"/>
  </r>
  <r>
    <n v="43"/>
    <x v="3"/>
    <x v="1"/>
    <n v="56.9"/>
    <n v="1.68"/>
    <n v="161"/>
    <n v="154"/>
    <n v="61"/>
    <n v="2"/>
    <n v="742"/>
    <x v="0"/>
    <x v="2"/>
    <n v="26.5"/>
    <n v="2"/>
    <n v="3"/>
    <n v="1"/>
    <x v="2"/>
    <n v="21.48"/>
  </r>
  <r>
    <n v="20"/>
    <x v="1"/>
    <x v="0"/>
    <n v="84.8"/>
    <n v="1.74"/>
    <n v="165"/>
    <n v="151"/>
    <n v="59"/>
    <n v="1.49"/>
    <n v="717"/>
    <x v="2"/>
    <x v="1"/>
    <n v="24.9"/>
    <n v="3.4"/>
    <n v="4"/>
    <n v="3"/>
    <x v="0"/>
    <n v="14.13"/>
  </r>
  <r>
    <n v="24"/>
    <x v="1"/>
    <x v="0"/>
    <n v="96.9"/>
    <n v="1.88"/>
    <n v="181"/>
    <n v="166"/>
    <n v="72"/>
    <n v="1.36"/>
    <n v="1220"/>
    <x v="1"/>
    <x v="0"/>
    <n v="15.8"/>
    <n v="3.7"/>
    <n v="3"/>
    <n v="2"/>
    <x v="1"/>
    <n v="30.18"/>
  </r>
  <r>
    <n v="24"/>
    <x v="1"/>
    <x v="1"/>
    <n v="81.2"/>
    <n v="1.56"/>
    <n v="182"/>
    <n v="166"/>
    <n v="66"/>
    <n v="1.62"/>
    <n v="1148"/>
    <x v="3"/>
    <x v="2"/>
    <n v="25.5"/>
    <n v="2.7"/>
    <n v="4"/>
    <n v="3"/>
    <x v="1"/>
    <n v="31.34"/>
  </r>
  <r>
    <n v="53"/>
    <x v="2"/>
    <x v="0"/>
    <n v="70.5"/>
    <n v="1.9"/>
    <n v="198"/>
    <n v="146"/>
    <n v="69"/>
    <n v="0.84"/>
    <n v="766"/>
    <x v="1"/>
    <x v="2"/>
    <n v="31.9"/>
    <n v="2.9"/>
    <n v="5"/>
    <n v="1"/>
    <x v="0"/>
    <n v="16.399999999999999"/>
  </r>
  <r>
    <n v="38"/>
    <x v="3"/>
    <x v="1"/>
    <n v="58.7"/>
    <n v="1.72"/>
    <n v="189"/>
    <n v="152"/>
    <n v="58"/>
    <n v="1.21"/>
    <n v="1063"/>
    <x v="2"/>
    <x v="4"/>
    <n v="21.2"/>
    <n v="1.6"/>
    <n v="3"/>
    <n v="1"/>
    <x v="2"/>
    <n v="23.03"/>
  </r>
  <r>
    <n v="26"/>
    <x v="0"/>
    <x v="1"/>
    <n v="62"/>
    <n v="1.65"/>
    <n v="199"/>
    <n v="142"/>
    <n v="56"/>
    <n v="1.61"/>
    <n v="1361"/>
    <x v="2"/>
    <x v="2"/>
    <n v="35"/>
    <n v="3.5"/>
    <n v="2"/>
    <n v="3"/>
    <x v="0"/>
    <n v="13.96"/>
  </r>
  <r>
    <n v="18"/>
    <x v="1"/>
    <x v="1"/>
    <n v="100.6"/>
    <n v="1.74"/>
    <n v="179"/>
    <n v="138"/>
    <n v="68"/>
    <n v="1.2"/>
    <n v="1261"/>
    <x v="1"/>
    <x v="4"/>
    <n v="23.2"/>
    <n v="3.5"/>
    <n v="2"/>
    <n v="2"/>
    <x v="2"/>
    <n v="20.9"/>
  </r>
  <r>
    <n v="33"/>
    <x v="0"/>
    <x v="0"/>
    <n v="63"/>
    <n v="1.71"/>
    <n v="189"/>
    <n v="126"/>
    <n v="57"/>
    <n v="1.24"/>
    <n v="1175"/>
    <x v="0"/>
    <x v="1"/>
    <n v="25.6"/>
    <n v="3.2"/>
    <n v="3"/>
    <n v="1"/>
    <x v="0"/>
    <n v="15.02"/>
  </r>
  <r>
    <n v="45"/>
    <x v="2"/>
    <x v="1"/>
    <n v="52.7"/>
    <n v="1.82"/>
    <n v="172"/>
    <n v="129"/>
    <n v="69"/>
    <n v="0.62"/>
    <n v="1783"/>
    <x v="3"/>
    <x v="4"/>
    <n v="22.9"/>
    <n v="3.2"/>
    <n v="3"/>
    <n v="1"/>
    <x v="4"/>
    <n v="24.95"/>
  </r>
  <r>
    <n v="29"/>
    <x v="0"/>
    <x v="1"/>
    <n v="79.400000000000006"/>
    <n v="1.71"/>
    <n v="186"/>
    <n v="124"/>
    <n v="74"/>
    <n v="2"/>
    <n v="877"/>
    <x v="3"/>
    <x v="2"/>
    <n v="29.6"/>
    <n v="1.5"/>
    <n v="3"/>
    <n v="2"/>
    <x v="4"/>
    <n v="27.97"/>
  </r>
  <r>
    <n v="18"/>
    <x v="1"/>
    <x v="2"/>
    <n v="87.4"/>
    <n v="1.87"/>
    <n v="182"/>
    <n v="162"/>
    <n v="65"/>
    <m/>
    <n v="1303"/>
    <x v="0"/>
    <x v="4"/>
    <n v="27.6"/>
    <n v="3.6"/>
    <n v="2"/>
    <n v="3"/>
    <x v="0"/>
    <n v="12.32"/>
  </r>
  <r>
    <n v="57"/>
    <x v="4"/>
    <x v="0"/>
    <n v="57.6"/>
    <n v="1.86"/>
    <n v="169"/>
    <n v="120"/>
    <n v="73"/>
    <n v="1.99"/>
    <n v="929"/>
    <x v="2"/>
    <x v="3"/>
    <n v="22.9"/>
    <n v="2.4"/>
    <m/>
    <n v="2"/>
    <x v="0"/>
    <n v="14.02"/>
  </r>
  <r>
    <n v="37"/>
    <x v="3"/>
    <x v="1"/>
    <n v="108.5"/>
    <n v="1.97"/>
    <n v="192"/>
    <n v="120"/>
    <n v="74"/>
    <n v="2"/>
    <n v="1091"/>
    <x v="1"/>
    <x v="2"/>
    <n v="27.2"/>
    <n v="1.5"/>
    <n v="2"/>
    <n v="1"/>
    <x v="2"/>
    <n v="23.59"/>
  </r>
  <r>
    <n v="52"/>
    <x v="2"/>
    <x v="0"/>
    <n v="75.7"/>
    <n v="1.61"/>
    <m/>
    <n v="139"/>
    <n v="64"/>
    <n v="2"/>
    <n v="1783"/>
    <x v="3"/>
    <x v="1"/>
    <n v="24.6"/>
    <n v="2.8"/>
    <n v="2"/>
    <n v="2"/>
    <x v="0"/>
    <n v="17.489999999999998"/>
  </r>
  <r>
    <n v="34"/>
    <x v="0"/>
    <x v="0"/>
    <n v="73.900000000000006"/>
    <n v="1.75"/>
    <n v="192"/>
    <n v="165"/>
    <n v="74"/>
    <n v="1.64"/>
    <n v="816"/>
    <x v="1"/>
    <x v="2"/>
    <n v="35"/>
    <n v="1.5"/>
    <n v="3"/>
    <n v="2"/>
    <x v="2"/>
    <n v="22.1"/>
  </r>
  <r>
    <n v="57"/>
    <x v="4"/>
    <x v="1"/>
    <n v="67.900000000000006"/>
    <n v="1.78"/>
    <n v="187"/>
    <n v="163"/>
    <n v="59"/>
    <n v="2"/>
    <n v="1168"/>
    <x v="3"/>
    <x v="4"/>
    <n v="23.9"/>
    <n v="3.7"/>
    <n v="3"/>
    <n v="2"/>
    <x v="0"/>
    <m/>
  </r>
  <r>
    <n v="36"/>
    <x v="3"/>
    <x v="1"/>
    <n v="72.8"/>
    <n v="1.63"/>
    <n v="184"/>
    <n v="130"/>
    <n v="68"/>
    <n v="1.44"/>
    <n v="669"/>
    <x v="2"/>
    <x v="2"/>
    <n v="25.1"/>
    <n v="1.7"/>
    <n v="3"/>
    <n v="3"/>
    <x v="0"/>
    <n v="12.32"/>
  </r>
  <r>
    <n v="34"/>
    <x v="0"/>
    <x v="0"/>
    <n v="57.6"/>
    <n v="1.7"/>
    <n v="167"/>
    <n v="141"/>
    <n v="68"/>
    <n v="0.88"/>
    <n v="710"/>
    <x v="1"/>
    <x v="0"/>
    <n v="14.7"/>
    <n v="1.5"/>
    <n v="3"/>
    <n v="2"/>
    <x v="0"/>
    <n v="15.66"/>
  </r>
  <r>
    <n v="48"/>
    <x v="2"/>
    <x v="0"/>
    <n v="49.3"/>
    <n v="1.74"/>
    <n v="179"/>
    <n v="142"/>
    <n v="74"/>
    <n v="1.31"/>
    <n v="723"/>
    <x v="2"/>
    <x v="0"/>
    <n v="19.2"/>
    <n v="3.5"/>
    <n v="4"/>
    <n v="3"/>
    <x v="2"/>
    <n v="19.2"/>
  </r>
  <r>
    <n v="18"/>
    <x v="1"/>
    <x v="1"/>
    <n v="41.6"/>
    <n v="1.85"/>
    <n v="181"/>
    <n v="169"/>
    <n v="52"/>
    <n v="2"/>
    <n v="1130"/>
    <x v="3"/>
    <x v="3"/>
    <n v="14.5"/>
    <n v="3.4"/>
    <n v="5"/>
    <n v="3"/>
    <x v="0"/>
    <n v="12.32"/>
  </r>
  <r>
    <n v="33"/>
    <x v="0"/>
    <x v="1"/>
    <n v="65.599999999999994"/>
    <n v="1.87"/>
    <n v="189"/>
    <n v="168"/>
    <n v="56"/>
    <n v="1.1599999999999999"/>
    <n v="1437"/>
    <x v="3"/>
    <x v="3"/>
    <n v="16.3"/>
    <n v="3.5"/>
    <n v="2"/>
    <n v="1"/>
    <x v="0"/>
    <n v="17.53"/>
  </r>
  <r>
    <n v="35"/>
    <x v="3"/>
    <x v="0"/>
    <n v="47.5"/>
    <n v="1.81"/>
    <m/>
    <n v="124"/>
    <n v="69"/>
    <n v="1.78"/>
    <n v="533"/>
    <x v="3"/>
    <x v="1"/>
    <n v="26.4"/>
    <n v="3.2"/>
    <n v="3"/>
    <n v="2"/>
    <x v="4"/>
    <n v="26.59"/>
  </r>
  <r>
    <n v="19"/>
    <x v="1"/>
    <x v="2"/>
    <n v="86.3"/>
    <n v="1.89"/>
    <n v="164"/>
    <n v="131"/>
    <n v="74"/>
    <n v="0.97"/>
    <n v="1175"/>
    <x v="2"/>
    <x v="0"/>
    <n v="19.5"/>
    <n v="2.4"/>
    <m/>
    <n v="2"/>
    <x v="4"/>
    <n v="28.62"/>
  </r>
  <r>
    <n v="43"/>
    <x v="3"/>
    <x v="0"/>
    <n v="73.599999999999994"/>
    <n v="1.79"/>
    <n v="170"/>
    <n v="169"/>
    <n v="72"/>
    <n v="1.1599999999999999"/>
    <n v="1408"/>
    <x v="0"/>
    <x v="0"/>
    <n v="17.399999999999999"/>
    <n v="1.5"/>
    <n v="4"/>
    <n v="1"/>
    <x v="0"/>
    <n v="14.69"/>
  </r>
  <r>
    <n v="48"/>
    <x v="2"/>
    <x v="2"/>
    <n v="40"/>
    <n v="2"/>
    <n v="194"/>
    <n v="159"/>
    <n v="70"/>
    <n v="1.48"/>
    <n v="419"/>
    <x v="1"/>
    <x v="0"/>
    <n v="13.5"/>
    <n v="2.5"/>
    <n v="4"/>
    <n v="2"/>
    <x v="2"/>
    <n v="21.29"/>
  </r>
  <r>
    <n v="49"/>
    <x v="2"/>
    <x v="0"/>
    <n v="56"/>
    <n v="1.6"/>
    <n v="183"/>
    <n v="169"/>
    <n v="66"/>
    <n v="0.98"/>
    <n v="1263"/>
    <x v="0"/>
    <x v="1"/>
    <n v="27.9"/>
    <n v="1.7"/>
    <n v="5"/>
    <n v="1"/>
    <x v="2"/>
    <n v="20.47"/>
  </r>
  <r>
    <n v="48"/>
    <x v="2"/>
    <x v="0"/>
    <n v="40"/>
    <n v="1.66"/>
    <n v="189"/>
    <n v="120"/>
    <n v="74"/>
    <n v="1.36"/>
    <n v="614"/>
    <x v="1"/>
    <x v="0"/>
    <n v="14.8"/>
    <n v="2.1"/>
    <n v="3"/>
    <n v="1"/>
    <x v="0"/>
    <n v="12.32"/>
  </r>
  <r>
    <n v="44"/>
    <x v="3"/>
    <x v="0"/>
    <n v="88.2"/>
    <n v="1.88"/>
    <n v="192"/>
    <n v="169"/>
    <n v="51"/>
    <n v="2"/>
    <n v="1783"/>
    <x v="2"/>
    <x v="1"/>
    <n v="28.5"/>
    <n v="1.9"/>
    <n v="4"/>
    <n v="2"/>
    <x v="0"/>
    <n v="12.32"/>
  </r>
  <r>
    <n v="27"/>
    <x v="0"/>
    <x v="0"/>
    <n v="55.8"/>
    <n v="1.67"/>
    <n v="192"/>
    <n v="167"/>
    <n v="74"/>
    <n v="2"/>
    <n v="642"/>
    <x v="3"/>
    <x v="1"/>
    <n v="28.8"/>
    <n v="3.4"/>
    <n v="3"/>
    <n v="2"/>
    <x v="4"/>
    <n v="28.68"/>
  </r>
  <r>
    <n v="41"/>
    <x v="3"/>
    <x v="1"/>
    <n v="73.2"/>
    <n v="1.75"/>
    <n v="190"/>
    <n v="137"/>
    <n v="58"/>
    <n v="1.24"/>
    <n v="1048"/>
    <x v="0"/>
    <x v="2"/>
    <n v="30.4"/>
    <n v="3.4"/>
    <n v="2"/>
    <n v="3"/>
    <x v="2"/>
    <n v="23.65"/>
  </r>
  <r>
    <n v="44"/>
    <x v="3"/>
    <x v="1"/>
    <n v="40"/>
    <n v="1.72"/>
    <n v="179"/>
    <n v="124"/>
    <n v="74"/>
    <n v="0.85"/>
    <n v="1043"/>
    <x v="1"/>
    <x v="4"/>
    <n v="22.8"/>
    <n v="2.1"/>
    <n v="5"/>
    <n v="3"/>
    <x v="2"/>
    <n v="20.78"/>
  </r>
  <r>
    <n v="54"/>
    <x v="2"/>
    <x v="1"/>
    <n v="58.5"/>
    <n v="1.96"/>
    <n v="185"/>
    <n v="133"/>
    <n v="60"/>
    <n v="2"/>
    <n v="1131"/>
    <x v="3"/>
    <x v="3"/>
    <n v="13.1"/>
    <n v="2.5"/>
    <n v="3"/>
    <n v="1"/>
    <x v="0"/>
    <n v="18.11"/>
  </r>
  <r>
    <n v="45"/>
    <x v="2"/>
    <x v="0"/>
    <n v="57.5"/>
    <n v="1.55"/>
    <n v="190"/>
    <n v="123"/>
    <n v="54"/>
    <n v="1.33"/>
    <n v="893"/>
    <x v="2"/>
    <x v="1"/>
    <n v="28.8"/>
    <n v="3.3"/>
    <n v="3"/>
    <n v="1"/>
    <x v="0"/>
    <n v="17.649999999999999"/>
  </r>
  <r>
    <n v="24"/>
    <x v="1"/>
    <x v="0"/>
    <n v="55.6"/>
    <n v="1.73"/>
    <n v="175"/>
    <n v="120"/>
    <n v="71"/>
    <n v="1.0900000000000001"/>
    <n v="775"/>
    <x v="3"/>
    <x v="0"/>
    <n v="17.2"/>
    <n v="3"/>
    <n v="4"/>
    <n v="2"/>
    <x v="2"/>
    <n v="22.74"/>
  </r>
  <r>
    <n v="55"/>
    <x v="4"/>
    <x v="0"/>
    <m/>
    <n v="1.83"/>
    <n v="194"/>
    <n v="162"/>
    <n v="72"/>
    <n v="1.99"/>
    <n v="1374"/>
    <x v="2"/>
    <x v="1"/>
    <n v="27.6"/>
    <n v="2"/>
    <n v="3"/>
    <n v="1"/>
    <x v="0"/>
    <n v="17.739999999999998"/>
  </r>
  <r>
    <n v="32"/>
    <x v="0"/>
    <x v="0"/>
    <n v="42.4"/>
    <n v="1.79"/>
    <n v="176"/>
    <n v="135"/>
    <n v="56"/>
    <n v="1.63"/>
    <n v="843"/>
    <x v="3"/>
    <x v="1"/>
    <n v="27.1"/>
    <n v="1.5"/>
    <n v="2"/>
    <n v="2"/>
    <x v="0"/>
    <n v="18.170000000000002"/>
  </r>
  <r>
    <n v="18"/>
    <x v="1"/>
    <x v="2"/>
    <n v="40"/>
    <n v="1.68"/>
    <n v="163"/>
    <n v="137"/>
    <n v="61"/>
    <n v="1.1000000000000001"/>
    <n v="1470"/>
    <x v="1"/>
    <x v="2"/>
    <n v="31.7"/>
    <n v="1.7"/>
    <n v="4"/>
    <n v="3"/>
    <x v="2"/>
    <n v="19.34"/>
  </r>
  <r>
    <n v="33"/>
    <x v="0"/>
    <x v="0"/>
    <n v="77"/>
    <n v="1.69"/>
    <n v="191"/>
    <n v="154"/>
    <n v="58"/>
    <n v="1.1599999999999999"/>
    <n v="1187"/>
    <x v="1"/>
    <x v="1"/>
    <n v="29.1"/>
    <n v="3.2"/>
    <n v="4"/>
    <n v="2"/>
    <x v="0"/>
    <n v="12.32"/>
  </r>
  <r>
    <n v="28"/>
    <x v="0"/>
    <x v="0"/>
    <n v="74.7"/>
    <n v="1.69"/>
    <n v="163"/>
    <n v="158"/>
    <n v="58"/>
    <n v="1.37"/>
    <n v="854"/>
    <x v="2"/>
    <x v="0"/>
    <n v="14"/>
    <n v="3.4"/>
    <n v="4"/>
    <n v="2"/>
    <x v="0"/>
    <n v="13.79"/>
  </r>
  <r>
    <n v="59"/>
    <x v="4"/>
    <x v="1"/>
    <n v="65.099999999999994"/>
    <n v="1.68"/>
    <n v="161"/>
    <n v="144"/>
    <n v="62"/>
    <n v="2"/>
    <n v="1050"/>
    <x v="0"/>
    <x v="2"/>
    <n v="26.1"/>
    <n v="2"/>
    <n v="5"/>
    <n v="3"/>
    <x v="2"/>
    <n v="23.59"/>
  </r>
  <r>
    <n v="21"/>
    <x v="1"/>
    <x v="0"/>
    <n v="40"/>
    <n v="1.8"/>
    <n v="176"/>
    <n v="122"/>
    <n v="73"/>
    <n v="1.37"/>
    <n v="1171"/>
    <x v="2"/>
    <x v="0"/>
    <n v="10"/>
    <n v="3.7"/>
    <n v="3"/>
    <n v="1"/>
    <x v="2"/>
    <n v="19.84"/>
  </r>
  <r>
    <n v="23"/>
    <x v="1"/>
    <x v="1"/>
    <n v="64.3"/>
    <n v="1.58"/>
    <n v="160"/>
    <n v="123"/>
    <n v="62"/>
    <n v="1.02"/>
    <n v="1360"/>
    <x v="0"/>
    <x v="4"/>
    <n v="22"/>
    <n v="3.4"/>
    <n v="4"/>
    <n v="1"/>
    <x v="2"/>
    <n v="19.45"/>
  </r>
  <r>
    <n v="20"/>
    <x v="1"/>
    <x v="0"/>
    <n v="43.6"/>
    <n v="1.6"/>
    <n v="165"/>
    <n v="141"/>
    <n v="60"/>
    <n v="1.37"/>
    <n v="1783"/>
    <x v="0"/>
    <x v="0"/>
    <n v="16.899999999999999"/>
    <n v="1.5"/>
    <n v="4"/>
    <n v="1"/>
    <x v="0"/>
    <n v="15.52"/>
  </r>
  <r>
    <n v="21"/>
    <x v="1"/>
    <x v="1"/>
    <n v="100.4"/>
    <n v="1.62"/>
    <n v="188"/>
    <n v="128"/>
    <n v="73"/>
    <n v="1.4"/>
    <n v="614"/>
    <x v="0"/>
    <x v="2"/>
    <n v="29.3"/>
    <n v="3.3"/>
    <n v="2"/>
    <n v="1"/>
    <x v="1"/>
    <n v="33.21"/>
  </r>
  <r>
    <n v="48"/>
    <x v="2"/>
    <x v="0"/>
    <n v="73.8"/>
    <n v="1.88"/>
    <n v="191"/>
    <n v="151"/>
    <n v="59"/>
    <n v="1.88"/>
    <n v="1783"/>
    <x v="1"/>
    <x v="0"/>
    <n v="19.2"/>
    <n v="2"/>
    <n v="4"/>
    <n v="1"/>
    <x v="0"/>
    <n v="12.32"/>
  </r>
  <r>
    <n v="23"/>
    <x v="1"/>
    <x v="1"/>
    <n v="52.3"/>
    <n v="1.74"/>
    <n v="184"/>
    <n v="122"/>
    <n v="65"/>
    <n v="1.38"/>
    <n v="915"/>
    <x v="3"/>
    <x v="0"/>
    <n v="10"/>
    <n v="3.5"/>
    <n v="4"/>
    <n v="1"/>
    <x v="0"/>
    <n v="18.170000000000002"/>
  </r>
  <r>
    <n v="51"/>
    <x v="2"/>
    <x v="1"/>
    <n v="57.3"/>
    <n v="1.71"/>
    <n v="188"/>
    <n v="169"/>
    <n v="50"/>
    <n v="1.0900000000000001"/>
    <n v="1375"/>
    <x v="0"/>
    <x v="2"/>
    <n v="28.1"/>
    <n v="3.6"/>
    <n v="2"/>
    <n v="3"/>
    <x v="2"/>
    <n v="19.690000000000001"/>
  </r>
  <r>
    <n v="30"/>
    <x v="0"/>
    <x v="1"/>
    <n v="70.7"/>
    <n v="1.64"/>
    <n v="196"/>
    <n v="136"/>
    <n v="18"/>
    <n v="1.38"/>
    <n v="1608"/>
    <x v="1"/>
    <x v="3"/>
    <n v="13"/>
    <n v="1.6"/>
    <n v="5"/>
    <n v="2"/>
    <x v="2"/>
    <n v="20.83"/>
  </r>
  <r>
    <n v="20"/>
    <x v="1"/>
    <x v="1"/>
    <n v="92.8"/>
    <n v="2"/>
    <n v="195"/>
    <n v="154"/>
    <n v="58"/>
    <n v="1.44"/>
    <n v="676"/>
    <x v="3"/>
    <x v="4"/>
    <n v="24.3"/>
    <n v="1.5"/>
    <n v="4"/>
    <n v="2"/>
    <x v="0"/>
    <n v="16.600000000000001"/>
  </r>
  <r>
    <n v="18"/>
    <x v="1"/>
    <x v="1"/>
    <n v="56.2"/>
    <n v="1.75"/>
    <n v="164"/>
    <n v="127"/>
    <n v="57"/>
    <n v="1.45"/>
    <n v="952"/>
    <x v="0"/>
    <x v="2"/>
    <n v="29.6"/>
    <n v="3.5"/>
    <n v="4"/>
    <n v="3"/>
    <x v="0"/>
    <n v="17.29"/>
  </r>
  <r>
    <n v="24"/>
    <x v="1"/>
    <x v="0"/>
    <n v="65.3"/>
    <n v="1.74"/>
    <n v="178"/>
    <n v="168"/>
    <n v="63"/>
    <n v="1.1200000000000001"/>
    <n v="984"/>
    <x v="2"/>
    <x v="1"/>
    <n v="25.6"/>
    <n v="3.3"/>
    <n v="4"/>
    <n v="2"/>
    <x v="2"/>
    <n v="19.87"/>
  </r>
  <r>
    <n v="37"/>
    <x v="3"/>
    <x v="1"/>
    <n v="60.2"/>
    <n v="1.76"/>
    <n v="194"/>
    <n v="169"/>
    <n v="72"/>
    <n v="1.7"/>
    <n v="1114"/>
    <x v="3"/>
    <x v="2"/>
    <n v="31.4"/>
    <n v="1.8"/>
    <n v="4"/>
    <n v="2"/>
    <x v="1"/>
    <n v="32.81"/>
  </r>
  <r>
    <n v="54"/>
    <x v="2"/>
    <x v="0"/>
    <n v="56.6"/>
    <n v="1.67"/>
    <n v="199"/>
    <n v="123"/>
    <n v="60"/>
    <n v="1.0900000000000001"/>
    <n v="962"/>
    <x v="0"/>
    <x v="1"/>
    <n v="25"/>
    <n v="3.1"/>
    <n v="5"/>
    <n v="2"/>
    <x v="0"/>
    <n v="12.32"/>
  </r>
  <r>
    <n v="30"/>
    <x v="0"/>
    <x v="0"/>
    <n v="40"/>
    <n v="1.83"/>
    <n v="188"/>
    <n v="137"/>
    <n v="71"/>
    <n v="1.47"/>
    <n v="1783"/>
    <x v="4"/>
    <x v="1"/>
    <n v="26.9"/>
    <n v="3.6"/>
    <n v="5"/>
    <n v="3"/>
    <x v="2"/>
    <n v="20.309999999999999"/>
  </r>
  <r>
    <n v="21"/>
    <x v="1"/>
    <x v="2"/>
    <n v="105.4"/>
    <n v="1.77"/>
    <n v="188"/>
    <n v="169"/>
    <n v="72"/>
    <n v="1.45"/>
    <n v="999"/>
    <x v="0"/>
    <x v="3"/>
    <n v="22.5"/>
    <n v="3.7"/>
    <n v="3"/>
    <n v="3"/>
    <x v="4"/>
    <n v="25.09"/>
  </r>
  <r>
    <n v="34"/>
    <x v="0"/>
    <x v="1"/>
    <n v="63.8"/>
    <n v="1.8"/>
    <n v="192"/>
    <n v="129"/>
    <n v="54"/>
    <n v="1.92"/>
    <n v="1229"/>
    <x v="1"/>
    <x v="3"/>
    <n v="13.8"/>
    <n v="3.1"/>
    <n v="4"/>
    <n v="2"/>
    <x v="0"/>
    <n v="14.24"/>
  </r>
  <r>
    <n v="42"/>
    <x v="3"/>
    <x v="0"/>
    <n v="58.4"/>
    <n v="1.7"/>
    <n v="164"/>
    <n v="156"/>
    <n v="50"/>
    <n v="1.43"/>
    <n v="1427"/>
    <x v="0"/>
    <x v="3"/>
    <n v="23.6"/>
    <n v="2.5"/>
    <m/>
    <n v="1"/>
    <x v="0"/>
    <n v="16.68"/>
  </r>
  <r>
    <n v="43"/>
    <x v="3"/>
    <x v="0"/>
    <n v="43.9"/>
    <n v="1.82"/>
    <n v="173"/>
    <n v="164"/>
    <n v="72"/>
    <n v="1.61"/>
    <n v="567"/>
    <x v="2"/>
    <x v="0"/>
    <n v="16.3"/>
    <n v="3.2"/>
    <n v="3"/>
    <n v="1"/>
    <x v="2"/>
    <n v="19.29"/>
  </r>
  <r>
    <n v="24"/>
    <x v="1"/>
    <x v="1"/>
    <n v="46"/>
    <n v="1.71"/>
    <s v="\n175"/>
    <n v="126"/>
    <n v="59"/>
    <n v="1.18"/>
    <n v="1725"/>
    <x v="0"/>
    <x v="2"/>
    <n v="26.1"/>
    <n v="1.5"/>
    <n v="2"/>
    <n v="1"/>
    <x v="0"/>
    <n v="15.44"/>
  </r>
  <r>
    <n v="37"/>
    <x v="3"/>
    <x v="0"/>
    <n v="58"/>
    <n v="1.89"/>
    <s v="\t182"/>
    <n v="163"/>
    <n v="72"/>
    <n v="1.39"/>
    <n v="1156"/>
    <x v="3"/>
    <x v="1"/>
    <n v="26"/>
    <n v="3.4"/>
    <n v="5"/>
    <n v="2"/>
    <x v="2"/>
    <n v="23.79"/>
  </r>
  <r>
    <n v="55"/>
    <x v="4"/>
    <x v="0"/>
    <n v="91.1"/>
    <n v="1.85"/>
    <n v="190"/>
    <n v="149"/>
    <n v="74"/>
    <n v="1.49"/>
    <n v="649"/>
    <x v="0"/>
    <x v="2"/>
    <n v="31.8"/>
    <n v="3"/>
    <n v="3"/>
    <n v="1"/>
    <x v="4"/>
    <n v="29.5"/>
  </r>
  <r>
    <n v="43"/>
    <x v="3"/>
    <x v="0"/>
    <n v="40"/>
    <n v="1.55"/>
    <n v="172"/>
    <n v="159"/>
    <n v="59"/>
    <n v="1.28"/>
    <n v="1480"/>
    <x v="3"/>
    <x v="0"/>
    <n v="19.899999999999999"/>
    <n v="3"/>
    <n v="3"/>
    <n v="3"/>
    <x v="2"/>
    <n v="21.42"/>
  </r>
  <r>
    <n v="59"/>
    <x v="4"/>
    <x v="1"/>
    <n v="40"/>
    <m/>
    <n v="185"/>
    <n v="132"/>
    <n v="50"/>
    <n v="1.32"/>
    <n v="1266"/>
    <x v="2"/>
    <x v="4"/>
    <n v="22.7"/>
    <n v="2.2999999999999998"/>
    <n v="4"/>
    <n v="3"/>
    <x v="0"/>
    <n v="12.32"/>
  </r>
  <r>
    <n v="49"/>
    <x v="2"/>
    <x v="0"/>
    <n v="40"/>
    <n v="1.89"/>
    <n v="192"/>
    <n v="168"/>
    <n v="50"/>
    <n v="1.51"/>
    <n v="837"/>
    <x v="0"/>
    <x v="1"/>
    <n v="29.4"/>
    <n v="3.5"/>
    <n v="3"/>
    <n v="1"/>
    <x v="0"/>
    <n v="16.63"/>
  </r>
  <r>
    <n v="27"/>
    <x v="0"/>
    <x v="0"/>
    <n v="96.8"/>
    <n v="1.73"/>
    <n v="174"/>
    <n v="136"/>
    <n v="71"/>
    <n v="1.91"/>
    <n v="887"/>
    <x v="0"/>
    <x v="2"/>
    <n v="31.7"/>
    <n v="2.6"/>
    <n v="3"/>
    <n v="2"/>
    <x v="2"/>
    <n v="19.05"/>
  </r>
  <r>
    <n v="18"/>
    <x v="1"/>
    <x v="1"/>
    <n v="80.5"/>
    <m/>
    <n v="196"/>
    <n v="159"/>
    <n v="55"/>
    <n v="2"/>
    <n v="816"/>
    <x v="3"/>
    <x v="2"/>
    <n v="25.2"/>
    <n v="2.2999999999999998"/>
    <n v="2"/>
    <n v="1"/>
    <x v="2"/>
    <n v="22.13"/>
  </r>
  <r>
    <n v="36"/>
    <x v="3"/>
    <x v="1"/>
    <n v="69"/>
    <n v="1.76"/>
    <n v="191"/>
    <n v="153"/>
    <n v="73"/>
    <n v="1.01"/>
    <n v="1276"/>
    <x v="4"/>
    <x v="3"/>
    <n v="16.7"/>
    <n v="2.9"/>
    <n v="4"/>
    <n v="1"/>
    <x v="0"/>
    <n v="13.89"/>
  </r>
  <r>
    <n v="20"/>
    <x v="1"/>
    <x v="1"/>
    <n v="43.5"/>
    <n v="1.52"/>
    <n v="189"/>
    <n v="146"/>
    <n v="63"/>
    <n v="2"/>
    <n v="1213"/>
    <x v="0"/>
    <x v="4"/>
    <n v="24.3"/>
    <n v="2.5"/>
    <n v="4"/>
    <n v="2"/>
    <x v="4"/>
    <n v="25.35"/>
  </r>
  <r>
    <n v="55"/>
    <x v="4"/>
    <x v="1"/>
    <n v="54.2"/>
    <n v="1.62"/>
    <n v="197"/>
    <n v="127"/>
    <n v="56"/>
    <n v="1.18"/>
    <n v="335"/>
    <x v="0"/>
    <x v="2"/>
    <n v="28.3"/>
    <n v="2.4"/>
    <n v="2"/>
    <n v="1"/>
    <x v="2"/>
    <n v="20.94"/>
  </r>
  <r>
    <n v="34"/>
    <x v="0"/>
    <x v="1"/>
    <n v="59.8"/>
    <n v="1.77"/>
    <n v="186"/>
    <n v="151"/>
    <n v="55"/>
    <n v="0.97"/>
    <n v="792"/>
    <x v="3"/>
    <x v="4"/>
    <n v="23"/>
    <n v="2.1"/>
    <n v="3"/>
    <n v="2"/>
    <x v="2"/>
    <n v="24.41"/>
  </r>
  <r>
    <n v="18"/>
    <x v="1"/>
    <x v="0"/>
    <n v="52.2"/>
    <n v="1.75"/>
    <n v="171"/>
    <n v="165"/>
    <n v="72"/>
    <n v="1.45"/>
    <n v="570"/>
    <x v="0"/>
    <x v="1"/>
    <n v="26.1"/>
    <n v="3.4"/>
    <n v="4"/>
    <n v="1"/>
    <x v="0"/>
    <n v="12.48"/>
  </r>
  <r>
    <n v="40"/>
    <x v="3"/>
    <x v="1"/>
    <n v="45.4"/>
    <n v="1.84"/>
    <n v="167"/>
    <n v="156"/>
    <n v="50"/>
    <n v="1.1299999999999999"/>
    <n v="771"/>
    <x v="1"/>
    <x v="0"/>
    <n v="11.5"/>
    <n v="3.5"/>
    <n v="4"/>
    <n v="2"/>
    <x v="0"/>
    <n v="12.32"/>
  </r>
  <r>
    <n v="28"/>
    <x v="0"/>
    <x v="0"/>
    <n v="62.1"/>
    <n v="1.68"/>
    <n v="191"/>
    <n v="130"/>
    <n v="74"/>
    <n v="0.85"/>
    <n v="1098"/>
    <x v="0"/>
    <x v="0"/>
    <n v="13.9"/>
    <n v="2.8"/>
    <n v="4"/>
    <n v="2"/>
    <x v="4"/>
    <n v="28.14"/>
  </r>
  <r>
    <n v="26"/>
    <x v="0"/>
    <x v="1"/>
    <n v="72.8"/>
    <n v="1.57"/>
    <n v="196"/>
    <n v="138"/>
    <n v="61"/>
    <n v="1.04"/>
    <n v="1382"/>
    <x v="0"/>
    <x v="2"/>
    <n v="29.8"/>
    <n v="3.4"/>
    <n v="2"/>
    <n v="3"/>
    <x v="0"/>
    <n v="16.61"/>
  </r>
  <r>
    <n v="27"/>
    <x v="0"/>
    <x v="0"/>
    <n v="73.5"/>
    <n v="1.92"/>
    <n v="168"/>
    <n v="155"/>
    <n v="50"/>
    <n v="1.18"/>
    <n v="1048"/>
    <x v="0"/>
    <x v="0"/>
    <n v="14.2"/>
    <n v="3.4"/>
    <n v="5"/>
    <n v="2"/>
    <x v="0"/>
    <n v="18.37"/>
  </r>
  <r>
    <n v="22"/>
    <x v="1"/>
    <x v="1"/>
    <n v="78.400000000000006"/>
    <n v="1.66"/>
    <n v="182"/>
    <n v="168"/>
    <n v="70"/>
    <n v="1.67"/>
    <n v="495"/>
    <x v="0"/>
    <x v="0"/>
    <n v="10"/>
    <n v="2.5"/>
    <n v="3"/>
    <m/>
    <x v="2"/>
    <n v="19.29"/>
  </r>
  <r>
    <n v="51"/>
    <x v="2"/>
    <x v="0"/>
    <n v="87.1"/>
    <n v="1.77"/>
    <n v="185"/>
    <n v="126"/>
    <n v="60"/>
    <n v="1.46"/>
    <n v="990"/>
    <x v="1"/>
    <x v="3"/>
    <n v="21.1"/>
    <n v="3.4"/>
    <n v="2"/>
    <n v="1"/>
    <x v="0"/>
    <n v="12.9"/>
  </r>
  <r>
    <n v="45"/>
    <x v="2"/>
    <x v="1"/>
    <n v="76.3"/>
    <n v="1.67"/>
    <n v="177"/>
    <n v="168"/>
    <n v="50"/>
    <n v="1.41"/>
    <n v="1013"/>
    <x v="1"/>
    <x v="0"/>
    <n v="11.6"/>
    <n v="3.1"/>
    <n v="3"/>
    <n v="3"/>
    <x v="0"/>
    <n v="14.42"/>
  </r>
  <r>
    <n v="33"/>
    <x v="0"/>
    <x v="0"/>
    <n v="75.5"/>
    <n v="1.85"/>
    <n v="181"/>
    <n v="147"/>
    <n v="59"/>
    <n v="1.22"/>
    <n v="1267"/>
    <x v="2"/>
    <x v="3"/>
    <n v="21.8"/>
    <n v="2.8"/>
    <n v="3"/>
    <n v="2"/>
    <x v="0"/>
    <n v="18.190000000000001"/>
  </r>
  <r>
    <n v="44"/>
    <x v="3"/>
    <x v="0"/>
    <n v="49.3"/>
    <n v="1.55"/>
    <n v="193"/>
    <n v="168"/>
    <n v="72"/>
    <n v="1.48"/>
    <n v="918"/>
    <x v="1"/>
    <x v="3"/>
    <n v="21.5"/>
    <n v="3.6"/>
    <n v="5"/>
    <n v="1"/>
    <x v="2"/>
    <n v="21.77"/>
  </r>
  <r>
    <n v="56"/>
    <x v="4"/>
    <x v="0"/>
    <n v="92"/>
    <n v="1.86"/>
    <n v="184"/>
    <n v="167"/>
    <n v="71"/>
    <n v="1.56"/>
    <n v="999"/>
    <x v="1"/>
    <x v="1"/>
    <n v="24.2"/>
    <n v="2.1"/>
    <n v="5"/>
    <n v="3"/>
    <x v="1"/>
    <n v="31.52"/>
  </r>
  <r>
    <n v="35"/>
    <x v="3"/>
    <x v="1"/>
    <n v="44"/>
    <n v="1.59"/>
    <n v="168"/>
    <n v="144"/>
    <n v="54"/>
    <n v="1.39"/>
    <n v="1040"/>
    <x v="4"/>
    <x v="2"/>
    <n v="29"/>
    <n v="3.4"/>
    <n v="2"/>
    <n v="2"/>
    <x v="4"/>
    <n v="27.49"/>
  </r>
  <r>
    <n v="46"/>
    <x v="2"/>
    <x v="1"/>
    <n v="92.6"/>
    <n v="1.76"/>
    <n v="197"/>
    <n v="144"/>
    <n v="74"/>
    <n v="0.96"/>
    <n v="1291"/>
    <x v="2"/>
    <x v="3"/>
    <n v="13.8"/>
    <n v="3.3"/>
    <n v="2"/>
    <n v="2"/>
    <x v="0"/>
    <n v="12.37"/>
  </r>
  <r>
    <n v="59"/>
    <x v="4"/>
    <x v="2"/>
    <n v="50.2"/>
    <n v="1.6"/>
    <n v="174"/>
    <n v="169"/>
    <n v="55"/>
    <n v="1.33"/>
    <m/>
    <x v="0"/>
    <x v="0"/>
    <m/>
    <n v="1.5"/>
    <n v="4"/>
    <n v="2"/>
    <x v="0"/>
    <n v="13.4"/>
  </r>
  <r>
    <n v="23"/>
    <x v="1"/>
    <x v="1"/>
    <n v="83"/>
    <n v="1.74"/>
    <n v="160"/>
    <n v="120"/>
    <n v="72"/>
    <n v="1.35"/>
    <n v="1628"/>
    <x v="3"/>
    <x v="4"/>
    <n v="21"/>
    <n v="3.3"/>
    <n v="5"/>
    <n v="2"/>
    <x v="0"/>
    <n v="15.13"/>
  </r>
  <r>
    <n v="21"/>
    <x v="1"/>
    <x v="0"/>
    <n v="78.5"/>
    <n v="1.8"/>
    <n v="179"/>
    <n v="169"/>
    <n v="59"/>
    <n v="1.64"/>
    <n v="683"/>
    <x v="3"/>
    <x v="3"/>
    <n v="23.9"/>
    <n v="2.7"/>
    <n v="4"/>
    <n v="1"/>
    <x v="2"/>
    <n v="22.33"/>
  </r>
  <r>
    <n v="56"/>
    <x v="4"/>
    <x v="0"/>
    <n v="56.2"/>
    <n v="1.69"/>
    <n v="198"/>
    <n v="155"/>
    <n v="74"/>
    <n v="1.64"/>
    <n v="1486"/>
    <x v="1"/>
    <x v="1"/>
    <n v="24.4"/>
    <n v="1.8"/>
    <n v="2"/>
    <n v="1"/>
    <x v="2"/>
    <n v="21.59"/>
  </r>
  <r>
    <n v="58"/>
    <x v="4"/>
    <x v="1"/>
    <n v="87.4"/>
    <n v="1.64"/>
    <n v="188"/>
    <n v="148"/>
    <n v="57"/>
    <n v="0.56000000000000005"/>
    <n v="1249"/>
    <x v="0"/>
    <x v="0"/>
    <n v="10"/>
    <n v="3.5"/>
    <n v="3"/>
    <n v="3"/>
    <x v="0"/>
    <n v="16.940000000000001"/>
  </r>
  <r>
    <n v="26"/>
    <x v="0"/>
    <x v="1"/>
    <n v="92.2"/>
    <n v="1.59"/>
    <n v="176"/>
    <n v="143"/>
    <n v="55"/>
    <n v="1.57"/>
    <n v="1050"/>
    <x v="0"/>
    <x v="4"/>
    <n v="24.5"/>
    <n v="2.4"/>
    <n v="4"/>
    <n v="2"/>
    <x v="2"/>
    <n v="23"/>
  </r>
  <r>
    <n v="18"/>
    <x v="1"/>
    <x v="1"/>
    <n v="83.1"/>
    <n v="1.94"/>
    <n v="188"/>
    <n v="153"/>
    <n v="56"/>
    <n v="1.41"/>
    <n v="1180"/>
    <x v="3"/>
    <x v="4"/>
    <n v="24.4"/>
    <n v="3.3"/>
    <n v="3"/>
    <n v="2"/>
    <x v="0"/>
    <n v="17.84"/>
  </r>
  <r>
    <n v="36"/>
    <x v="3"/>
    <x v="0"/>
    <n v="47.1"/>
    <n v="1.72"/>
    <n v="194"/>
    <n v="145"/>
    <n v="50"/>
    <m/>
    <n v="843"/>
    <x v="0"/>
    <x v="3"/>
    <n v="21.8"/>
    <n v="1.9"/>
    <n v="3"/>
    <n v="1"/>
    <x v="0"/>
    <n v="17.46"/>
  </r>
  <r>
    <n v="18"/>
    <x v="1"/>
    <x v="1"/>
    <n v="53.1"/>
    <n v="1.7"/>
    <n v="181"/>
    <n v="169"/>
    <n v="73"/>
    <n v="1.01"/>
    <n v="1740"/>
    <x v="0"/>
    <x v="4"/>
    <n v="23.8"/>
    <n v="2.2999999999999998"/>
    <n v="4"/>
    <n v="1"/>
    <x v="0"/>
    <m/>
  </r>
  <r>
    <n v="53"/>
    <x v="2"/>
    <x v="0"/>
    <n v="76.2"/>
    <n v="1.67"/>
    <n v="185"/>
    <n v="142"/>
    <n v="68"/>
    <n v="1.55"/>
    <n v="804"/>
    <x v="2"/>
    <x v="1"/>
    <n v="25.5"/>
    <n v="3.4"/>
    <n v="3"/>
    <n v="1"/>
    <x v="0"/>
    <n v="18.46"/>
  </r>
  <r>
    <n v="46"/>
    <x v="2"/>
    <x v="0"/>
    <n v="48.4"/>
    <n v="1.82"/>
    <n v="163"/>
    <n v="163"/>
    <n v="68"/>
    <n v="1.51"/>
    <n v="1221"/>
    <x v="2"/>
    <x v="0"/>
    <n v="19.2"/>
    <n v="3.7"/>
    <n v="5"/>
    <n v="2"/>
    <x v="0"/>
    <n v="12.32"/>
  </r>
  <r>
    <n v="24"/>
    <x v="1"/>
    <x v="0"/>
    <n v="47.3"/>
    <n v="1.92"/>
    <n v="189"/>
    <n v="155"/>
    <n v="74"/>
    <n v="1.4"/>
    <n v="505"/>
    <x v="2"/>
    <x v="1"/>
    <n v="29.5"/>
    <n v="3.4"/>
    <n v="5"/>
    <n v="2"/>
    <x v="0"/>
    <n v="12.34"/>
  </r>
  <r>
    <n v="46"/>
    <x v="2"/>
    <x v="1"/>
    <n v="91.8"/>
    <m/>
    <n v="191"/>
    <n v="152"/>
    <n v="71"/>
    <n v="1.32"/>
    <n v="927"/>
    <x v="1"/>
    <x v="2"/>
    <n v="26.8"/>
    <n v="1.8"/>
    <n v="3"/>
    <n v="1"/>
    <x v="2"/>
    <n v="23.11"/>
  </r>
  <r>
    <n v="31"/>
    <x v="0"/>
    <x v="0"/>
    <n v="71.400000000000006"/>
    <n v="1.68"/>
    <n v="180"/>
    <n v="143"/>
    <n v="68"/>
    <n v="1.37"/>
    <n v="606"/>
    <x v="3"/>
    <x v="3"/>
    <n v="23.8"/>
    <n v="3.2"/>
    <n v="2"/>
    <n v="2"/>
    <x v="2"/>
    <n v="21.59"/>
  </r>
  <r>
    <n v="24"/>
    <x v="1"/>
    <x v="1"/>
    <n v="103.6"/>
    <n v="1.88"/>
    <n v="175"/>
    <n v="154"/>
    <n v="60"/>
    <n v="1.55"/>
    <n v="436"/>
    <x v="3"/>
    <x v="4"/>
    <n v="20.9"/>
    <n v="3.2"/>
    <n v="3"/>
    <n v="1"/>
    <x v="0"/>
    <n v="13.85"/>
  </r>
  <r>
    <n v="35"/>
    <x v="3"/>
    <x v="0"/>
    <n v="81"/>
    <n v="1.78"/>
    <n v="196"/>
    <n v="151"/>
    <n v="67"/>
    <n v="2"/>
    <n v="1246"/>
    <x v="2"/>
    <x v="0"/>
    <n v="10"/>
    <n v="3.3"/>
    <n v="3"/>
    <n v="1"/>
    <x v="2"/>
    <n v="19.739999999999998"/>
  </r>
  <r>
    <n v="55"/>
    <x v="4"/>
    <x v="0"/>
    <n v="94.9"/>
    <n v="1.52"/>
    <n v="196"/>
    <n v="120"/>
    <n v="73"/>
    <n v="2"/>
    <n v="1309"/>
    <x v="2"/>
    <x v="1"/>
    <n v="27.9"/>
    <n v="1.5"/>
    <n v="2"/>
    <m/>
    <x v="0"/>
    <n v="12.32"/>
  </r>
  <r>
    <n v="21"/>
    <x v="1"/>
    <x v="0"/>
    <n v="80"/>
    <n v="1.67"/>
    <n v="167"/>
    <n v="169"/>
    <n v="57"/>
    <n v="0.94"/>
    <n v="899"/>
    <x v="0"/>
    <x v="1"/>
    <n v="29.8"/>
    <n v="3.1"/>
    <n v="3"/>
    <n v="2"/>
    <x v="0"/>
    <n v="17.149999999999999"/>
  </r>
  <r>
    <n v="29"/>
    <x v="0"/>
    <x v="0"/>
    <n v="40"/>
    <n v="1.77"/>
    <n v="191"/>
    <n v="169"/>
    <n v="58"/>
    <n v="1.2"/>
    <n v="613"/>
    <x v="0"/>
    <x v="3"/>
    <n v="22.2"/>
    <n v="2.2000000000000002"/>
    <n v="4"/>
    <n v="2"/>
    <x v="4"/>
    <n v="29.56"/>
  </r>
  <r>
    <n v="35"/>
    <x v="3"/>
    <x v="1"/>
    <n v="69.5"/>
    <n v="1.68"/>
    <n v="172"/>
    <n v="155"/>
    <n v="59"/>
    <n v="1.78"/>
    <n v="1350"/>
    <x v="2"/>
    <x v="4"/>
    <n v="23.6"/>
    <n v="1.6"/>
    <n v="3"/>
    <m/>
    <x v="0"/>
    <n v="16.62"/>
  </r>
  <r>
    <n v="37"/>
    <x v="3"/>
    <x v="1"/>
    <n v="48.3"/>
    <n v="1.81"/>
    <n v="167"/>
    <n v="134"/>
    <n v="69"/>
    <n v="1.97"/>
    <n v="1276"/>
    <x v="3"/>
    <x v="2"/>
    <n v="26.1"/>
    <n v="1.8"/>
    <n v="3"/>
    <n v="2"/>
    <x v="2"/>
    <n v="20.81"/>
  </r>
  <r>
    <n v="18"/>
    <x v="1"/>
    <x v="1"/>
    <n v="44.8"/>
    <n v="1.67"/>
    <n v="193"/>
    <n v="137"/>
    <n v="61"/>
    <n v="1.3"/>
    <n v="719"/>
    <x v="3"/>
    <x v="4"/>
    <n v="21.6"/>
    <n v="2.2999999999999998"/>
    <n v="4"/>
    <n v="1"/>
    <x v="0"/>
    <n v="12.32"/>
  </r>
  <r>
    <n v="54"/>
    <x v="2"/>
    <x v="1"/>
    <n v="68.900000000000006"/>
    <n v="1.78"/>
    <n v="187"/>
    <n v="155"/>
    <n v="60"/>
    <n v="1.42"/>
    <n v="913"/>
    <x v="4"/>
    <x v="2"/>
    <n v="30.7"/>
    <n v="3.4"/>
    <n v="3"/>
    <n v="1"/>
    <x v="0"/>
    <n v="17.82"/>
  </r>
  <r>
    <n v="44"/>
    <x v="3"/>
    <x v="0"/>
    <n v="63.6"/>
    <n v="1.77"/>
    <n v="161"/>
    <n v="169"/>
    <n v="50"/>
    <n v="1.57"/>
    <n v="1283"/>
    <x v="1"/>
    <x v="0"/>
    <n v="17.8"/>
    <n v="2.1"/>
    <n v="3"/>
    <m/>
    <x v="0"/>
    <n v="17.920000000000002"/>
  </r>
  <r>
    <n v="27"/>
    <x v="0"/>
    <x v="0"/>
    <n v="40"/>
    <n v="1.72"/>
    <n v="178"/>
    <n v="132"/>
    <n v="72"/>
    <n v="0.83"/>
    <n v="857"/>
    <x v="1"/>
    <x v="1"/>
    <n v="27.3"/>
    <n v="3.2"/>
    <n v="4"/>
    <n v="2"/>
    <x v="0"/>
    <n v="17.8"/>
  </r>
  <r>
    <n v="35"/>
    <x v="3"/>
    <x v="0"/>
    <n v="66.7"/>
    <n v="1.72"/>
    <n v="171"/>
    <n v="153"/>
    <n v="65"/>
    <n v="1.1499999999999999"/>
    <n v="776"/>
    <x v="2"/>
    <x v="0"/>
    <n v="18.7"/>
    <n v="2.5"/>
    <n v="4"/>
    <n v="1"/>
    <x v="2"/>
    <n v="22.98"/>
  </r>
  <r>
    <n v="44"/>
    <x v="3"/>
    <x v="1"/>
    <n v="47.3"/>
    <n v="1.72"/>
    <n v="198"/>
    <n v="164"/>
    <n v="70"/>
    <n v="1.46"/>
    <n v="1103"/>
    <x v="0"/>
    <x v="2"/>
    <n v="26.7"/>
    <n v="1.5"/>
    <n v="4"/>
    <m/>
    <x v="2"/>
    <n v="23.85"/>
  </r>
  <r>
    <n v="39"/>
    <x v="3"/>
    <x v="0"/>
    <n v="70.3"/>
    <n v="1.74"/>
    <n v="170"/>
    <n v="152"/>
    <n v="59"/>
    <n v="2"/>
    <n v="864"/>
    <x v="1"/>
    <x v="3"/>
    <n v="20.399999999999999"/>
    <n v="1.5"/>
    <n v="3"/>
    <n v="2"/>
    <x v="0"/>
    <n v="17.03"/>
  </r>
  <r>
    <n v="49"/>
    <x v="2"/>
    <x v="0"/>
    <n v="74.7"/>
    <n v="1.81"/>
    <n v="176"/>
    <n v="132"/>
    <n v="18"/>
    <n v="1.81"/>
    <n v="758"/>
    <x v="3"/>
    <x v="3"/>
    <n v="23.9"/>
    <n v="1.7"/>
    <n v="3"/>
    <n v="2"/>
    <x v="0"/>
    <n v="14.58"/>
  </r>
  <r>
    <n v="26"/>
    <x v="0"/>
    <x v="1"/>
    <n v="57.8"/>
    <n v="1.61"/>
    <n v="162"/>
    <n v="135"/>
    <n v="65"/>
    <n v="1.91"/>
    <n v="684"/>
    <x v="3"/>
    <x v="4"/>
    <n v="18.2"/>
    <n v="3.7"/>
    <n v="3"/>
    <n v="1"/>
    <x v="0"/>
    <n v="12.32"/>
  </r>
  <r>
    <n v="18"/>
    <x v="1"/>
    <x v="1"/>
    <n v="40"/>
    <n v="1.72"/>
    <n v="193"/>
    <n v="138"/>
    <n v="74"/>
    <n v="1.41"/>
    <n v="726"/>
    <x v="3"/>
    <x v="2"/>
    <n v="28"/>
    <n v="3.7"/>
    <n v="2"/>
    <n v="3"/>
    <x v="1"/>
    <n v="32.619999999999997"/>
  </r>
  <r>
    <n v="33"/>
    <x v="0"/>
    <x v="1"/>
    <n v="79.8"/>
    <n v="1.53"/>
    <n v="172"/>
    <n v="148"/>
    <n v="72"/>
    <n v="1.98"/>
    <n v="1132"/>
    <x v="3"/>
    <x v="3"/>
    <n v="14.7"/>
    <n v="1.7"/>
    <n v="3"/>
    <n v="2"/>
    <x v="0"/>
    <n v="16.600000000000001"/>
  </r>
  <r>
    <n v="18"/>
    <x v="1"/>
    <x v="2"/>
    <n v="75.8"/>
    <n v="1.99"/>
    <n v="191"/>
    <n v="167"/>
    <n v="71"/>
    <n v="1.53"/>
    <n v="850"/>
    <x v="2"/>
    <x v="0"/>
    <n v="10"/>
    <n v="3.5"/>
    <n v="4"/>
    <n v="1"/>
    <x v="0"/>
    <n v="15.4"/>
  </r>
  <r>
    <n v="47"/>
    <x v="2"/>
    <x v="0"/>
    <n v="74.7"/>
    <n v="1.77"/>
    <n v="195"/>
    <n v="130"/>
    <n v="68"/>
    <n v="1.93"/>
    <n v="1056"/>
    <x v="2"/>
    <x v="3"/>
    <n v="22.1"/>
    <n v="3.4"/>
    <n v="4"/>
    <n v="2"/>
    <x v="2"/>
    <n v="24.44"/>
  </r>
  <r>
    <n v="40"/>
    <x v="3"/>
    <x v="0"/>
    <n v="83.6"/>
    <n v="1.84"/>
    <n v="175"/>
    <n v="137"/>
    <n v="18"/>
    <n v="1.46"/>
    <n v="1481"/>
    <x v="1"/>
    <x v="3"/>
    <n v="23"/>
    <n v="2.5"/>
    <n v="5"/>
    <n v="1"/>
    <x v="2"/>
    <n v="20.2"/>
  </r>
  <r>
    <n v="38"/>
    <x v="3"/>
    <x v="1"/>
    <n v="101.8"/>
    <n v="1.51"/>
    <n v="163"/>
    <n v="169"/>
    <n v="72"/>
    <n v="1.42"/>
    <n v="1384"/>
    <x v="0"/>
    <x v="2"/>
    <n v="25.6"/>
    <n v="3.3"/>
    <n v="4"/>
    <n v="1"/>
    <x v="2"/>
    <n v="20.89"/>
  </r>
  <r>
    <n v="25"/>
    <x v="0"/>
    <x v="0"/>
    <n v="56.8"/>
    <m/>
    <n v="191"/>
    <n v="150"/>
    <n v="61"/>
    <n v="2"/>
    <n v="1183"/>
    <x v="0"/>
    <x v="1"/>
    <n v="24.3"/>
    <n v="1.7"/>
    <n v="3"/>
    <n v="1"/>
    <x v="2"/>
    <n v="19.28"/>
  </r>
  <r>
    <n v="42"/>
    <x v="3"/>
    <x v="0"/>
    <n v="86.7"/>
    <n v="1.7"/>
    <n v="196"/>
    <n v="135"/>
    <n v="68"/>
    <n v="1.22"/>
    <n v="923"/>
    <x v="0"/>
    <x v="1"/>
    <n v="27.2"/>
    <n v="3.2"/>
    <n v="3"/>
    <n v="2"/>
    <x v="0"/>
    <n v="17.489999999999998"/>
  </r>
  <r>
    <n v="18"/>
    <x v="1"/>
    <x v="1"/>
    <n v="40.9"/>
    <n v="1.87"/>
    <n v="160"/>
    <n v="140"/>
    <n v="50"/>
    <n v="1.28"/>
    <n v="1261"/>
    <x v="2"/>
    <x v="4"/>
    <n v="17.100000000000001"/>
    <n v="2.1"/>
    <n v="4"/>
    <n v="2"/>
    <x v="3"/>
    <n v="39.61"/>
  </r>
  <r>
    <n v="28"/>
    <x v="0"/>
    <x v="1"/>
    <n v="87.3"/>
    <n v="1.51"/>
    <n v="190"/>
    <n v="168"/>
    <n v="56"/>
    <n v="2"/>
    <n v="1306"/>
    <x v="3"/>
    <x v="2"/>
    <n v="32"/>
    <n v="2.2999999999999998"/>
    <n v="4"/>
    <n v="2"/>
    <x v="0"/>
    <n v="14.46"/>
  </r>
  <r>
    <n v="26"/>
    <x v="0"/>
    <x v="1"/>
    <n v="89.2"/>
    <n v="1.81"/>
    <n v="161"/>
    <n v="169"/>
    <n v="61"/>
    <n v="1.34"/>
    <n v="820"/>
    <x v="0"/>
    <x v="4"/>
    <n v="23.5"/>
    <n v="2.6"/>
    <n v="4"/>
    <n v="1"/>
    <x v="4"/>
    <n v="27.63"/>
  </r>
  <r>
    <n v="23"/>
    <x v="1"/>
    <x v="1"/>
    <n v="75.900000000000006"/>
    <n v="1.81"/>
    <n v="196"/>
    <n v="125"/>
    <n v="55"/>
    <n v="1.4"/>
    <n v="1177"/>
    <x v="2"/>
    <x v="2"/>
    <n v="30"/>
    <m/>
    <n v="3"/>
    <n v="2"/>
    <x v="0"/>
    <n v="12.32"/>
  </r>
  <r>
    <n v="30"/>
    <x v="0"/>
    <x v="1"/>
    <n v="100.1"/>
    <n v="1.76"/>
    <n v="170"/>
    <n v="160"/>
    <n v="55"/>
    <n v="1.43"/>
    <n v="1694"/>
    <x v="2"/>
    <x v="2"/>
    <n v="25.9"/>
    <n v="1.8"/>
    <n v="3"/>
    <n v="2"/>
    <x v="0"/>
    <n v="15.73"/>
  </r>
  <r>
    <n v="18"/>
    <x v="1"/>
    <x v="0"/>
    <n v="80.8"/>
    <n v="1.85"/>
    <n v="188"/>
    <n v="141"/>
    <n v="74"/>
    <n v="1.19"/>
    <n v="838"/>
    <x v="3"/>
    <x v="0"/>
    <n v="12.1"/>
    <n v="3.5"/>
    <n v="2"/>
    <n v="1"/>
    <x v="0"/>
    <n v="14.81"/>
  </r>
  <r>
    <n v="58"/>
    <x v="4"/>
    <x v="0"/>
    <n v="68.599999999999994"/>
    <n v="1.72"/>
    <n v="164"/>
    <n v="155"/>
    <n v="72"/>
    <n v="1.23"/>
    <n v="797"/>
    <x v="3"/>
    <x v="1"/>
    <n v="27.2"/>
    <n v="2.5"/>
    <n v="2"/>
    <n v="1"/>
    <x v="0"/>
    <n v="12.32"/>
  </r>
  <r>
    <n v="46"/>
    <x v="2"/>
    <x v="0"/>
    <n v="45.7"/>
    <n v="1.96"/>
    <n v="168"/>
    <n v="137"/>
    <n v="64"/>
    <n v="1.38"/>
    <n v="1303"/>
    <x v="0"/>
    <x v="1"/>
    <n v="29.8"/>
    <n v="3.3"/>
    <n v="2"/>
    <n v="2"/>
    <x v="2"/>
    <n v="22.82"/>
  </r>
  <r>
    <n v="19"/>
    <x v="1"/>
    <x v="0"/>
    <n v="55.2"/>
    <n v="1.71"/>
    <n v="172"/>
    <n v="136"/>
    <n v="74"/>
    <n v="1.93"/>
    <n v="670"/>
    <x v="3"/>
    <x v="0"/>
    <n v="10"/>
    <n v="3.1"/>
    <n v="4"/>
    <n v="1"/>
    <x v="2"/>
    <n v="20.85"/>
  </r>
  <r>
    <n v="31"/>
    <x v="0"/>
    <x v="0"/>
    <n v="91.7"/>
    <n v="1.74"/>
    <n v="172"/>
    <n v="166"/>
    <n v="56"/>
    <n v="1.28"/>
    <n v="892"/>
    <x v="3"/>
    <x v="0"/>
    <n v="19.8"/>
    <n v="3.1"/>
    <n v="4"/>
    <n v="3"/>
    <x v="0"/>
    <n v="12.32"/>
  </r>
  <r>
    <n v="47"/>
    <x v="2"/>
    <x v="1"/>
    <n v="78.7"/>
    <n v="1.69"/>
    <n v="170"/>
    <n v="144"/>
    <n v="57"/>
    <n v="1"/>
    <n v="845"/>
    <x v="3"/>
    <x v="4"/>
    <n v="24.5"/>
    <n v="1.9"/>
    <n v="4"/>
    <n v="1"/>
    <x v="2"/>
    <n v="22"/>
  </r>
  <r>
    <n v="28"/>
    <x v="0"/>
    <x v="0"/>
    <n v="40"/>
    <n v="1.57"/>
    <n v="165"/>
    <n v="169"/>
    <n v="68"/>
    <n v="1.04"/>
    <n v="669"/>
    <x v="1"/>
    <x v="1"/>
    <n v="30.2"/>
    <n v="2.6"/>
    <n v="2"/>
    <n v="2"/>
    <x v="0"/>
    <n v="15.05"/>
  </r>
  <r>
    <n v="22"/>
    <x v="1"/>
    <x v="1"/>
    <n v="47.1"/>
    <n v="1.87"/>
    <n v="165"/>
    <n v="132"/>
    <n v="68"/>
    <n v="0.72"/>
    <n v="674"/>
    <x v="0"/>
    <x v="2"/>
    <n v="31.7"/>
    <n v="3.2"/>
    <n v="2"/>
    <n v="2"/>
    <x v="1"/>
    <n v="34.979999999999997"/>
  </r>
  <r>
    <n v="23"/>
    <x v="1"/>
    <x v="1"/>
    <n v="85.1"/>
    <n v="1.79"/>
    <n v="194"/>
    <n v="138"/>
    <n v="55"/>
    <n v="1.1599999999999999"/>
    <n v="829"/>
    <x v="0"/>
    <x v="4"/>
    <n v="23.7"/>
    <n v="2.6"/>
    <n v="4"/>
    <n v="2"/>
    <x v="2"/>
    <n v="19.2"/>
  </r>
  <r>
    <n v="48"/>
    <x v="2"/>
    <x v="0"/>
    <n v="87.9"/>
    <n v="1.5"/>
    <n v="180"/>
    <n v="164"/>
    <n v="68"/>
    <n v="1.41"/>
    <n v="974"/>
    <x v="3"/>
    <x v="3"/>
    <n v="22.1"/>
    <n v="2.6"/>
    <n v="4"/>
    <n v="1"/>
    <x v="0"/>
    <n v="13.04"/>
  </r>
  <r>
    <n v="24"/>
    <x v="1"/>
    <x v="0"/>
    <n v="74.2"/>
    <n v="1.58"/>
    <n v="177"/>
    <n v="140"/>
    <n v="71"/>
    <n v="1.28"/>
    <n v="780"/>
    <x v="0"/>
    <x v="3"/>
    <n v="23.6"/>
    <n v="1.9"/>
    <n v="4"/>
    <n v="2"/>
    <x v="1"/>
    <n v="30.92"/>
  </r>
  <r>
    <n v="33"/>
    <x v="0"/>
    <x v="1"/>
    <m/>
    <n v="1.8"/>
    <n v="160"/>
    <n v="155"/>
    <n v="74"/>
    <n v="1.26"/>
    <n v="906"/>
    <x v="3"/>
    <x v="4"/>
    <n v="23.9"/>
    <n v="3.2"/>
    <n v="4"/>
    <n v="1"/>
    <x v="0"/>
    <n v="18.21"/>
  </r>
  <r>
    <n v="22"/>
    <x v="1"/>
    <x v="1"/>
    <n v="49.6"/>
    <n v="1.87"/>
    <n v="190"/>
    <n v="137"/>
    <n v="54"/>
    <n v="1.6"/>
    <n v="1326"/>
    <x v="2"/>
    <x v="2"/>
    <n v="30.5"/>
    <n v="1.9"/>
    <n v="5"/>
    <n v="1"/>
    <x v="0"/>
    <n v="14.25"/>
  </r>
  <r>
    <n v="18"/>
    <x v="1"/>
    <x v="1"/>
    <n v="63.9"/>
    <n v="1.86"/>
    <n v="161"/>
    <n v="147"/>
    <n v="51"/>
    <n v="1.83"/>
    <n v="1178"/>
    <x v="0"/>
    <x v="4"/>
    <n v="24"/>
    <n v="3.3"/>
    <n v="2"/>
    <n v="1"/>
    <x v="2"/>
    <n v="24.05"/>
  </r>
  <r>
    <n v="43"/>
    <x v="3"/>
    <x v="1"/>
    <n v="75"/>
    <n v="1.8"/>
    <n v="170"/>
    <n v="141"/>
    <n v="61"/>
    <n v="1.0900000000000001"/>
    <n v="790"/>
    <x v="3"/>
    <x v="2"/>
    <n v="32.799999999999997"/>
    <n v="2.4"/>
    <n v="3"/>
    <n v="2"/>
    <x v="0"/>
    <m/>
  </r>
  <r>
    <n v="54"/>
    <x v="2"/>
    <x v="1"/>
    <n v="69.8"/>
    <n v="1.75"/>
    <n v="170"/>
    <n v="131"/>
    <n v="72"/>
    <n v="1.29"/>
    <n v="954"/>
    <x v="0"/>
    <x v="2"/>
    <n v="32"/>
    <n v="3.2"/>
    <n v="2"/>
    <n v="1"/>
    <x v="2"/>
    <n v="21.66"/>
  </r>
  <r>
    <n v="42"/>
    <x v="3"/>
    <x v="0"/>
    <n v="40.5"/>
    <n v="1.64"/>
    <n v="196"/>
    <n v="137"/>
    <n v="59"/>
    <n v="1.1200000000000001"/>
    <n v="1150"/>
    <x v="3"/>
    <x v="0"/>
    <n v="13.4"/>
    <n v="3.7"/>
    <n v="5"/>
    <n v="2"/>
    <x v="0"/>
    <n v="12.32"/>
  </r>
  <r>
    <n v="18"/>
    <x v="1"/>
    <x v="0"/>
    <n v="43.8"/>
    <n v="1.96"/>
    <n v="193"/>
    <n v="142"/>
    <n v="50"/>
    <n v="1.03"/>
    <n v="1590"/>
    <x v="0"/>
    <x v="1"/>
    <n v="29.7"/>
    <n v="3.6"/>
    <n v="2"/>
    <n v="3"/>
    <x v="2"/>
    <n v="21.88"/>
  </r>
  <r>
    <n v="24"/>
    <x v="1"/>
    <x v="0"/>
    <n v="45.7"/>
    <n v="1.63"/>
    <n v="199"/>
    <n v="144"/>
    <n v="71"/>
    <n v="0.94"/>
    <n v="1137"/>
    <x v="3"/>
    <x v="0"/>
    <n v="19.600000000000001"/>
    <n v="1.8"/>
    <n v="2"/>
    <n v="3"/>
    <x v="0"/>
    <n v="12.32"/>
  </r>
  <r>
    <n v="43"/>
    <x v="3"/>
    <x v="1"/>
    <n v="40"/>
    <n v="1.73"/>
    <n v="161"/>
    <n v="146"/>
    <n v="69"/>
    <m/>
    <n v="1359"/>
    <x v="1"/>
    <x v="4"/>
    <n v="21.3"/>
    <n v="2.5"/>
    <n v="2"/>
    <n v="3"/>
    <x v="0"/>
    <n v="12.61"/>
  </r>
  <r>
    <n v="25"/>
    <x v="0"/>
    <x v="1"/>
    <n v="40.799999999999997"/>
    <n v="1.69"/>
    <n v="194"/>
    <n v="145"/>
    <n v="54"/>
    <n v="1.65"/>
    <n v="1353"/>
    <x v="2"/>
    <x v="4"/>
    <n v="24.4"/>
    <n v="2.5"/>
    <n v="4"/>
    <n v="1"/>
    <x v="2"/>
    <n v="22.31"/>
  </r>
  <r>
    <n v="59"/>
    <x v="4"/>
    <x v="1"/>
    <n v="82"/>
    <n v="1.51"/>
    <n v="185"/>
    <n v="121"/>
    <n v="70"/>
    <n v="1.82"/>
    <n v="625"/>
    <x v="0"/>
    <x v="2"/>
    <n v="28.5"/>
    <n v="2.2000000000000002"/>
    <n v="4"/>
    <n v="3"/>
    <x v="2"/>
    <n v="24.72"/>
  </r>
  <r>
    <n v="29"/>
    <x v="0"/>
    <x v="0"/>
    <n v="60.9"/>
    <n v="1.92"/>
    <n v="192"/>
    <n v="151"/>
    <n v="67"/>
    <n v="1.5"/>
    <n v="1407"/>
    <x v="1"/>
    <x v="0"/>
    <n v="18"/>
    <n v="3.5"/>
    <n v="5"/>
    <n v="1"/>
    <x v="3"/>
    <n v="43.3"/>
  </r>
  <r>
    <n v="27"/>
    <x v="0"/>
    <x v="1"/>
    <n v="55"/>
    <n v="1.68"/>
    <n v="169"/>
    <n v="136"/>
    <n v="64"/>
    <n v="1.07"/>
    <n v="1389"/>
    <x v="1"/>
    <x v="4"/>
    <n v="24.6"/>
    <n v="2.1"/>
    <n v="4"/>
    <n v="2"/>
    <x v="2"/>
    <n v="18.54"/>
  </r>
  <r>
    <n v="23"/>
    <x v="1"/>
    <x v="0"/>
    <n v="59"/>
    <n v="1.62"/>
    <n v="193"/>
    <n v="162"/>
    <n v="56"/>
    <m/>
    <n v="670"/>
    <x v="1"/>
    <x v="0"/>
    <n v="17.600000000000001"/>
    <n v="1.6"/>
    <n v="5"/>
    <n v="1"/>
    <x v="0"/>
    <n v="17.71"/>
  </r>
  <r>
    <n v="34"/>
    <x v="0"/>
    <x v="0"/>
    <n v="80"/>
    <n v="2"/>
    <n v="173"/>
    <n v="125"/>
    <n v="56"/>
    <n v="1.82"/>
    <n v="773"/>
    <x v="0"/>
    <x v="3"/>
    <n v="22.3"/>
    <n v="2.8"/>
    <n v="4"/>
    <n v="2"/>
    <x v="0"/>
    <n v="14.62"/>
  </r>
  <r>
    <n v="24"/>
    <x v="1"/>
    <x v="1"/>
    <n v="44.3"/>
    <n v="1.65"/>
    <n v="189"/>
    <n v="129"/>
    <n v="56"/>
    <n v="1.9"/>
    <n v="972"/>
    <x v="3"/>
    <x v="2"/>
    <n v="27.8"/>
    <n v="3.3"/>
    <n v="2"/>
    <n v="1"/>
    <x v="0"/>
    <n v="15.86"/>
  </r>
  <r>
    <n v="24"/>
    <x v="1"/>
    <x v="1"/>
    <n v="63.6"/>
    <n v="1.74"/>
    <n v="199"/>
    <n v="135"/>
    <n v="61"/>
    <n v="1.31"/>
    <n v="486"/>
    <x v="2"/>
    <x v="2"/>
    <n v="26.1"/>
    <n v="2.2000000000000002"/>
    <n v="2"/>
    <n v="3"/>
    <x v="4"/>
    <n v="25.85"/>
  </r>
  <r>
    <n v="29"/>
    <x v="0"/>
    <x v="0"/>
    <n v="50.2"/>
    <n v="1.89"/>
    <n v="197"/>
    <n v="125"/>
    <n v="51"/>
    <n v="1.46"/>
    <n v="1286"/>
    <x v="0"/>
    <x v="1"/>
    <n v="27.6"/>
    <n v="3.3"/>
    <n v="2"/>
    <n v="3"/>
    <x v="0"/>
    <n v="15.27"/>
  </r>
  <r>
    <n v="58"/>
    <x v="4"/>
    <x v="1"/>
    <n v="43.6"/>
    <n v="1.67"/>
    <n v="176"/>
    <n v="142"/>
    <n v="74"/>
    <n v="1.1299999999999999"/>
    <n v="1089"/>
    <x v="2"/>
    <x v="2"/>
    <n v="26.7"/>
    <n v="3.4"/>
    <n v="4"/>
    <n v="2"/>
    <x v="4"/>
    <n v="28.29"/>
  </r>
  <r>
    <n v="38"/>
    <x v="3"/>
    <x v="1"/>
    <n v="60.5"/>
    <n v="1.72"/>
    <n v="187"/>
    <n v="139"/>
    <n v="50"/>
    <n v="1.34"/>
    <n v="1096"/>
    <x v="3"/>
    <x v="4"/>
    <n v="20.9"/>
    <n v="3.7"/>
    <n v="4"/>
    <n v="2"/>
    <x v="4"/>
    <n v="25.58"/>
  </r>
  <r>
    <n v="34"/>
    <x v="0"/>
    <x v="1"/>
    <n v="92.4"/>
    <n v="1.79"/>
    <m/>
    <n v="128"/>
    <n v="52"/>
    <n v="0.52"/>
    <n v="724"/>
    <x v="1"/>
    <x v="2"/>
    <n v="25.3"/>
    <n v="3.1"/>
    <n v="5"/>
    <n v="3"/>
    <x v="0"/>
    <n v="12.85"/>
  </r>
  <r>
    <n v="39"/>
    <x v="3"/>
    <x v="0"/>
    <n v="76.7"/>
    <n v="1.86"/>
    <n v="193"/>
    <n v="122"/>
    <n v="65"/>
    <n v="1.29"/>
    <n v="1770"/>
    <x v="3"/>
    <x v="3"/>
    <n v="23.1"/>
    <n v="3.2"/>
    <n v="3"/>
    <n v="1"/>
    <x v="0"/>
    <n v="17.75"/>
  </r>
  <r>
    <n v="38"/>
    <x v="3"/>
    <x v="1"/>
    <m/>
    <n v="1.7"/>
    <n v="181"/>
    <n v="144"/>
    <n v="56"/>
    <n v="1.47"/>
    <n v="574"/>
    <x v="2"/>
    <x v="2"/>
    <n v="26.3"/>
    <n v="2.6"/>
    <n v="4"/>
    <n v="1"/>
    <x v="0"/>
    <n v="14.96"/>
  </r>
  <r>
    <n v="18"/>
    <x v="1"/>
    <x v="1"/>
    <n v="71.900000000000006"/>
    <n v="1.88"/>
    <n v="177"/>
    <n v="159"/>
    <n v="57"/>
    <n v="2"/>
    <n v="1571"/>
    <x v="3"/>
    <x v="0"/>
    <n v="10"/>
    <n v="2.4"/>
    <n v="3"/>
    <n v="2"/>
    <x v="0"/>
    <n v="15.96"/>
  </r>
  <r>
    <n v="25"/>
    <x v="0"/>
    <x v="0"/>
    <n v="59.2"/>
    <n v="1.84"/>
    <n v="168"/>
    <n v="160"/>
    <n v="51"/>
    <n v="1.53"/>
    <n v="1476"/>
    <x v="3"/>
    <x v="1"/>
    <n v="25.1"/>
    <n v="3.7"/>
    <n v="4"/>
    <n v="2"/>
    <x v="0"/>
    <n v="13.81"/>
  </r>
  <r>
    <n v="27"/>
    <x v="0"/>
    <x v="1"/>
    <n v="57.4"/>
    <n v="1.89"/>
    <n v="193"/>
    <n v="128"/>
    <n v="51"/>
    <n v="0.92"/>
    <n v="1121"/>
    <x v="3"/>
    <x v="4"/>
    <n v="22.4"/>
    <n v="3.5"/>
    <n v="4"/>
    <n v="2"/>
    <x v="0"/>
    <n v="16"/>
  </r>
  <r>
    <n v="33"/>
    <x v="0"/>
    <x v="1"/>
    <n v="69.5"/>
    <n v="1.75"/>
    <n v="178"/>
    <n v="131"/>
    <n v="74"/>
    <n v="1.51"/>
    <n v="1651"/>
    <x v="0"/>
    <x v="2"/>
    <n v="32.4"/>
    <n v="1.6"/>
    <n v="3"/>
    <n v="3"/>
    <x v="2"/>
    <n v="21.58"/>
  </r>
  <r>
    <n v="23"/>
    <x v="1"/>
    <x v="1"/>
    <n v="47.4"/>
    <n v="1.96"/>
    <n v="161"/>
    <n v="142"/>
    <n v="65"/>
    <n v="1.18"/>
    <n v="441"/>
    <x v="1"/>
    <x v="4"/>
    <n v="18.7"/>
    <n v="1.6"/>
    <n v="3"/>
    <n v="1"/>
    <x v="2"/>
    <n v="21.34"/>
  </r>
  <r>
    <n v="33"/>
    <x v="0"/>
    <x v="1"/>
    <n v="76.5"/>
    <n v="1.75"/>
    <n v="198"/>
    <n v="139"/>
    <n v="57"/>
    <n v="1.22"/>
    <n v="984"/>
    <x v="0"/>
    <x v="0"/>
    <n v="12.5"/>
    <n v="3.4"/>
    <n v="3"/>
    <n v="1"/>
    <x v="1"/>
    <n v="32.82"/>
  </r>
  <r>
    <n v="18"/>
    <x v="1"/>
    <x v="0"/>
    <n v="53.5"/>
    <n v="1.68"/>
    <n v="198"/>
    <n v="134"/>
    <n v="74"/>
    <n v="1.9"/>
    <n v="368"/>
    <x v="2"/>
    <x v="1"/>
    <n v="28.1"/>
    <n v="3.1"/>
    <n v="5"/>
    <n v="2"/>
    <x v="2"/>
    <n v="23.57"/>
  </r>
  <r>
    <n v="25"/>
    <x v="0"/>
    <x v="0"/>
    <n v="83.1"/>
    <n v="1.72"/>
    <n v="182"/>
    <n v="167"/>
    <n v="67"/>
    <n v="0.89"/>
    <n v="771"/>
    <x v="0"/>
    <x v="3"/>
    <n v="23.8"/>
    <n v="2.2999999999999998"/>
    <n v="4"/>
    <n v="1"/>
    <x v="0"/>
    <n v="12.32"/>
  </r>
  <r>
    <n v="47"/>
    <x v="2"/>
    <x v="0"/>
    <n v="70.400000000000006"/>
    <n v="1.93"/>
    <n v="177"/>
    <n v="153"/>
    <n v="74"/>
    <n v="1.28"/>
    <n v="846"/>
    <x v="0"/>
    <x v="3"/>
    <n v="23.5"/>
    <n v="1.6"/>
    <n v="3"/>
    <n v="2"/>
    <x v="0"/>
    <n v="12.32"/>
  </r>
  <r>
    <n v="39"/>
    <x v="3"/>
    <x v="0"/>
    <n v="50.3"/>
    <n v="1.94"/>
    <n v="164"/>
    <n v="160"/>
    <n v="66"/>
    <n v="0.57999999999999996"/>
    <n v="992"/>
    <x v="1"/>
    <x v="0"/>
    <n v="10"/>
    <n v="2.9"/>
    <n v="4"/>
    <n v="1"/>
    <x v="0"/>
    <n v="14.72"/>
  </r>
  <r>
    <n v="28"/>
    <x v="0"/>
    <x v="0"/>
    <n v="65.3"/>
    <n v="1.68"/>
    <n v="161"/>
    <n v="145"/>
    <n v="73"/>
    <n v="0.72"/>
    <n v="408"/>
    <x v="2"/>
    <x v="2"/>
    <n v="32.4"/>
    <n v="1.7"/>
    <n v="5"/>
    <m/>
    <x v="4"/>
    <n v="25.26"/>
  </r>
  <r>
    <n v="20"/>
    <x v="1"/>
    <x v="1"/>
    <n v="66.2"/>
    <n v="1.85"/>
    <n v="196"/>
    <n v="120"/>
    <n v="58"/>
    <n v="0.84"/>
    <n v="420"/>
    <x v="2"/>
    <x v="2"/>
    <n v="24.9"/>
    <n v="1.5"/>
    <n v="4"/>
    <n v="1"/>
    <x v="0"/>
    <n v="12.32"/>
  </r>
  <r>
    <n v="19"/>
    <x v="1"/>
    <x v="0"/>
    <n v="51.4"/>
    <n v="1.84"/>
    <n v="169"/>
    <n v="152"/>
    <n v="58"/>
    <n v="1.1399999999999999"/>
    <n v="1175"/>
    <x v="1"/>
    <x v="3"/>
    <n v="20.9"/>
    <n v="3.5"/>
    <n v="5"/>
    <n v="3"/>
    <x v="0"/>
    <n v="16.95"/>
  </r>
  <r>
    <n v="58"/>
    <x v="4"/>
    <x v="0"/>
    <n v="78.3"/>
    <n v="1.52"/>
    <n v="176"/>
    <n v="123"/>
    <n v="74"/>
    <n v="1.49"/>
    <n v="1063"/>
    <x v="1"/>
    <x v="1"/>
    <n v="30.5"/>
    <n v="3.4"/>
    <n v="3"/>
    <n v="2"/>
    <x v="4"/>
    <n v="25.33"/>
  </r>
  <r>
    <n v="31"/>
    <x v="0"/>
    <x v="0"/>
    <n v="79.400000000000006"/>
    <n v="1.56"/>
    <n v="171"/>
    <n v="126"/>
    <n v="69"/>
    <n v="1.42"/>
    <n v="963"/>
    <x v="1"/>
    <x v="3"/>
    <n v="21.3"/>
    <n v="3.1"/>
    <n v="3"/>
    <n v="3"/>
    <x v="4"/>
    <n v="26.3"/>
  </r>
  <r>
    <n v="25"/>
    <x v="0"/>
    <x v="1"/>
    <n v="72.5"/>
    <n v="1.78"/>
    <n v="177"/>
    <n v="142"/>
    <n v="67"/>
    <n v="1.99"/>
    <n v="1047"/>
    <x v="2"/>
    <x v="2"/>
    <n v="27.4"/>
    <n v="3"/>
    <n v="4"/>
    <n v="3"/>
    <x v="0"/>
    <n v="12.32"/>
  </r>
  <r>
    <n v="21"/>
    <x v="1"/>
    <x v="1"/>
    <n v="92.1"/>
    <n v="1.77"/>
    <n v="175"/>
    <n v="167"/>
    <n v="74"/>
    <n v="1.66"/>
    <n v="737"/>
    <x v="1"/>
    <x v="2"/>
    <n v="25.3"/>
    <n v="3.3"/>
    <n v="4"/>
    <n v="2"/>
    <x v="0"/>
    <n v="17.16"/>
  </r>
  <r>
    <n v="55"/>
    <x v="4"/>
    <x v="0"/>
    <n v="72.599999999999994"/>
    <n v="1.55"/>
    <n v="191"/>
    <n v="137"/>
    <n v="50"/>
    <n v="2"/>
    <n v="1084"/>
    <x v="1"/>
    <x v="1"/>
    <n v="24.1"/>
    <n v="2.5"/>
    <n v="3"/>
    <n v="2"/>
    <x v="2"/>
    <n v="19.760000000000002"/>
  </r>
  <r>
    <n v="40"/>
    <x v="3"/>
    <x v="1"/>
    <n v="76.7"/>
    <n v="1.68"/>
    <n v="177"/>
    <n v="133"/>
    <n v="57"/>
    <n v="0.89"/>
    <n v="984"/>
    <x v="1"/>
    <x v="2"/>
    <n v="27.3"/>
    <n v="3.1"/>
    <n v="2"/>
    <n v="3"/>
    <x v="2"/>
    <n v="23.76"/>
  </r>
  <r>
    <n v="39"/>
    <x v="3"/>
    <x v="1"/>
    <n v="91"/>
    <n v="1.73"/>
    <n v="165"/>
    <n v="169"/>
    <n v="72"/>
    <n v="1.49"/>
    <n v="813"/>
    <x v="0"/>
    <x v="4"/>
    <n v="23.3"/>
    <n v="3.4"/>
    <n v="2"/>
    <n v="3"/>
    <x v="2"/>
    <n v="22.08"/>
  </r>
  <r>
    <n v="26"/>
    <x v="0"/>
    <x v="0"/>
    <n v="78.3"/>
    <n v="1.58"/>
    <n v="184"/>
    <n v="141"/>
    <n v="68"/>
    <n v="1.5"/>
    <n v="1436"/>
    <x v="3"/>
    <x v="0"/>
    <n v="15"/>
    <n v="3.7"/>
    <n v="3"/>
    <n v="1"/>
    <x v="4"/>
    <n v="28.61"/>
  </r>
  <r>
    <n v="26"/>
    <x v="0"/>
    <x v="0"/>
    <n v="54.2"/>
    <n v="1.64"/>
    <n v="190"/>
    <n v="151"/>
    <n v="65"/>
    <n v="0.82"/>
    <n v="1184"/>
    <x v="3"/>
    <x v="0"/>
    <n v="16.7"/>
    <n v="3.3"/>
    <n v="2"/>
    <n v="1"/>
    <x v="2"/>
    <n v="19.39"/>
  </r>
  <r>
    <n v="42"/>
    <x v="3"/>
    <x v="1"/>
    <n v="108.5"/>
    <n v="1.85"/>
    <m/>
    <n v="167"/>
    <n v="74"/>
    <n v="1.39"/>
    <n v="801"/>
    <x v="1"/>
    <x v="2"/>
    <n v="29"/>
    <n v="3"/>
    <n v="2"/>
    <n v="3"/>
    <x v="0"/>
    <n v="15.62"/>
  </r>
  <r>
    <n v="18"/>
    <x v="1"/>
    <x v="1"/>
    <n v="83.2"/>
    <n v="1.62"/>
    <n v="169"/>
    <n v="156"/>
    <n v="57"/>
    <n v="1.37"/>
    <n v="871"/>
    <x v="1"/>
    <x v="0"/>
    <n v="10"/>
    <n v="2.5"/>
    <n v="4"/>
    <m/>
    <x v="2"/>
    <n v="18.690000000000001"/>
  </r>
  <r>
    <n v="19"/>
    <x v="1"/>
    <x v="0"/>
    <n v="64.8"/>
    <n v="1.6"/>
    <n v="189"/>
    <n v="149"/>
    <n v="59"/>
    <n v="0.5"/>
    <n v="880"/>
    <x v="3"/>
    <x v="3"/>
    <n v="22.3"/>
    <n v="1.9"/>
    <n v="4"/>
    <n v="2"/>
    <x v="2"/>
    <n v="21.61"/>
  </r>
  <r>
    <n v="25"/>
    <x v="0"/>
    <x v="0"/>
    <n v="45.5"/>
    <n v="1.58"/>
    <n v="182"/>
    <n v="136"/>
    <n v="69"/>
    <n v="2"/>
    <n v="1137"/>
    <x v="3"/>
    <x v="0"/>
    <n v="17.399999999999999"/>
    <n v="1.7"/>
    <n v="2"/>
    <n v="2"/>
    <x v="0"/>
    <n v="15.04"/>
  </r>
  <r>
    <n v="42"/>
    <x v="3"/>
    <x v="0"/>
    <n v="59"/>
    <n v="1.89"/>
    <n v="175"/>
    <n v="142"/>
    <n v="63"/>
    <n v="1.25"/>
    <n v="1092"/>
    <x v="2"/>
    <x v="1"/>
    <n v="27.7"/>
    <n v="3.5"/>
    <n v="5"/>
    <n v="1"/>
    <x v="0"/>
    <n v="17.68"/>
  </r>
  <r>
    <n v="43"/>
    <x v="3"/>
    <x v="0"/>
    <n v="89.2"/>
    <n v="1.73"/>
    <n v="163"/>
    <n v="135"/>
    <n v="67"/>
    <n v="1.51"/>
    <n v="1367"/>
    <x v="3"/>
    <x v="0"/>
    <n v="14.5"/>
    <n v="3.5"/>
    <n v="3"/>
    <n v="1"/>
    <x v="4"/>
    <n v="25.4"/>
  </r>
  <r>
    <n v="47"/>
    <x v="2"/>
    <x v="0"/>
    <n v="108.3"/>
    <n v="1.67"/>
    <n v="176"/>
    <n v="169"/>
    <n v="69"/>
    <n v="1.07"/>
    <n v="1204"/>
    <x v="3"/>
    <x v="1"/>
    <n v="27.6"/>
    <n v="3.7"/>
    <n v="2"/>
    <n v="2"/>
    <x v="0"/>
    <n v="13.44"/>
  </r>
  <r>
    <n v="30"/>
    <x v="0"/>
    <x v="1"/>
    <n v="87.9"/>
    <n v="1.62"/>
    <n v="178"/>
    <n v="138"/>
    <n v="65"/>
    <n v="1.68"/>
    <n v="1205"/>
    <x v="3"/>
    <x v="4"/>
    <n v="20.9"/>
    <n v="2.6"/>
    <n v="4"/>
    <m/>
    <x v="1"/>
    <n v="34.99"/>
  </r>
  <r>
    <n v="48"/>
    <x v="2"/>
    <x v="0"/>
    <n v="45.9"/>
    <n v="1.94"/>
    <n v="169"/>
    <n v="141"/>
    <n v="74"/>
    <n v="1.1299999999999999"/>
    <n v="1507"/>
    <x v="1"/>
    <x v="1"/>
    <n v="29.1"/>
    <n v="3.2"/>
    <n v="5"/>
    <n v="2"/>
    <x v="0"/>
    <n v="12.32"/>
  </r>
  <r>
    <n v="18"/>
    <x v="1"/>
    <x v="1"/>
    <n v="107"/>
    <n v="1.75"/>
    <n v="177"/>
    <n v="155"/>
    <n v="71"/>
    <n v="2"/>
    <n v="645"/>
    <x v="0"/>
    <x v="2"/>
    <n v="27"/>
    <n v="3.2"/>
    <n v="5"/>
    <n v="2"/>
    <x v="4"/>
    <n v="27.94"/>
  </r>
  <r>
    <n v="39"/>
    <x v="3"/>
    <x v="1"/>
    <n v="40.700000000000003"/>
    <n v="1.84"/>
    <n v="197"/>
    <n v="145"/>
    <n v="55"/>
    <n v="1.48"/>
    <n v="1128"/>
    <x v="0"/>
    <x v="2"/>
    <n v="25.3"/>
    <n v="1.5"/>
    <n v="4"/>
    <n v="1"/>
    <x v="2"/>
    <n v="22.28"/>
  </r>
  <r>
    <n v="18"/>
    <x v="1"/>
    <x v="1"/>
    <n v="65.3"/>
    <n v="1.6"/>
    <n v="177"/>
    <n v="153"/>
    <n v="74"/>
    <n v="0.96"/>
    <m/>
    <x v="3"/>
    <x v="4"/>
    <n v="23.6"/>
    <n v="2.4"/>
    <n v="4"/>
    <n v="1"/>
    <x v="2"/>
    <n v="18.84"/>
  </r>
  <r>
    <n v="50"/>
    <x v="2"/>
    <x v="0"/>
    <n v="88.5"/>
    <n v="2"/>
    <n v="181"/>
    <n v="146"/>
    <n v="72"/>
    <n v="1.33"/>
    <n v="1088"/>
    <x v="1"/>
    <x v="0"/>
    <n v="11.9"/>
    <n v="2.2999999999999998"/>
    <n v="4"/>
    <n v="1"/>
    <x v="0"/>
    <n v="17.260000000000002"/>
  </r>
  <r>
    <n v="27"/>
    <x v="0"/>
    <x v="0"/>
    <n v="62.5"/>
    <n v="1.67"/>
    <n v="186"/>
    <n v="129"/>
    <n v="65"/>
    <n v="1.2"/>
    <n v="1783"/>
    <x v="0"/>
    <x v="3"/>
    <n v="23.2"/>
    <n v="1.5"/>
    <n v="3"/>
    <n v="2"/>
    <x v="4"/>
    <n v="26.22"/>
  </r>
  <r>
    <n v="43"/>
    <x v="3"/>
    <x v="0"/>
    <n v="79"/>
    <n v="1.73"/>
    <n v="186"/>
    <n v="158"/>
    <n v="55"/>
    <n v="1.2"/>
    <n v="1146"/>
    <x v="1"/>
    <x v="1"/>
    <n v="25.2"/>
    <n v="3.6"/>
    <n v="4"/>
    <n v="2"/>
    <x v="2"/>
    <n v="19.64"/>
  </r>
  <r>
    <n v="27"/>
    <x v="0"/>
    <x v="0"/>
    <n v="40"/>
    <n v="1.85"/>
    <n v="177"/>
    <n v="156"/>
    <n v="65"/>
    <n v="1.58"/>
    <n v="1014"/>
    <x v="1"/>
    <x v="1"/>
    <n v="24"/>
    <n v="3.7"/>
    <n v="5"/>
    <n v="3"/>
    <x v="2"/>
    <n v="22.49"/>
  </r>
  <r>
    <n v="19"/>
    <x v="1"/>
    <x v="1"/>
    <n v="51.8"/>
    <n v="1.6"/>
    <n v="176"/>
    <n v="159"/>
    <n v="72"/>
    <n v="1.1399999999999999"/>
    <n v="574"/>
    <x v="1"/>
    <x v="2"/>
    <n v="25.3"/>
    <n v="2"/>
    <n v="4"/>
    <n v="2"/>
    <x v="0"/>
    <n v="16.690000000000001"/>
  </r>
  <r>
    <n v="38"/>
    <x v="3"/>
    <x v="0"/>
    <n v="89.3"/>
    <n v="1.58"/>
    <n v="184"/>
    <n v="135"/>
    <n v="58"/>
    <n v="1.58"/>
    <n v="995"/>
    <x v="2"/>
    <x v="1"/>
    <n v="24"/>
    <n v="2.9"/>
    <n v="4"/>
    <n v="3"/>
    <x v="2"/>
    <n v="19.02"/>
  </r>
  <r>
    <n v="27"/>
    <x v="0"/>
    <x v="2"/>
    <n v="80"/>
    <n v="1.86"/>
    <n v="177"/>
    <n v="153"/>
    <n v="74"/>
    <n v="0.9"/>
    <n v="886"/>
    <x v="0"/>
    <x v="4"/>
    <n v="25.1"/>
    <n v="1.6"/>
    <n v="2"/>
    <n v="1"/>
    <x v="2"/>
    <n v="19.41"/>
  </r>
  <r>
    <n v="33"/>
    <x v="0"/>
    <x v="1"/>
    <n v="40"/>
    <n v="1.75"/>
    <n v="185"/>
    <n v="125"/>
    <n v="54"/>
    <n v="2"/>
    <n v="870"/>
    <x v="3"/>
    <x v="4"/>
    <n v="18.7"/>
    <n v="1.8"/>
    <n v="3"/>
    <n v="1"/>
    <x v="0"/>
    <n v="17.77"/>
  </r>
  <r>
    <n v="50"/>
    <x v="2"/>
    <x v="0"/>
    <n v="102.6"/>
    <n v="1.62"/>
    <n v="198"/>
    <n v="138"/>
    <n v="66"/>
    <n v="1.48"/>
    <n v="1149"/>
    <x v="2"/>
    <x v="0"/>
    <n v="10"/>
    <n v="2.7"/>
    <n v="5"/>
    <n v="2"/>
    <x v="0"/>
    <n v="18.48"/>
  </r>
  <r>
    <n v="18"/>
    <x v="1"/>
    <x v="1"/>
    <n v="69.2"/>
    <n v="1.62"/>
    <n v="164"/>
    <n v="167"/>
    <n v="62"/>
    <n v="1.5"/>
    <n v="1721"/>
    <x v="2"/>
    <x v="2"/>
    <n v="25"/>
    <n v="2.2999999999999998"/>
    <n v="5"/>
    <n v="1"/>
    <x v="1"/>
    <n v="33.299999999999997"/>
  </r>
  <r>
    <n v="19"/>
    <x v="1"/>
    <x v="1"/>
    <n v="75.3"/>
    <n v="1.67"/>
    <n v="166"/>
    <n v="130"/>
    <n v="58"/>
    <n v="1.22"/>
    <n v="928"/>
    <x v="2"/>
    <x v="2"/>
    <n v="27.4"/>
    <n v="3.2"/>
    <n v="3"/>
    <n v="2"/>
    <x v="2"/>
    <n v="23.17"/>
  </r>
  <r>
    <n v="45"/>
    <x v="2"/>
    <x v="1"/>
    <n v="45.9"/>
    <n v="1.51"/>
    <n v="195"/>
    <n v="142"/>
    <n v="57"/>
    <n v="1.64"/>
    <n v="303"/>
    <x v="1"/>
    <x v="2"/>
    <n v="29.8"/>
    <n v="2.7"/>
    <n v="3"/>
    <n v="1"/>
    <x v="0"/>
    <n v="12.32"/>
  </r>
  <r>
    <n v="59"/>
    <x v="4"/>
    <x v="1"/>
    <n v="66.900000000000006"/>
    <n v="1.57"/>
    <n v="178"/>
    <n v="120"/>
    <n v="71"/>
    <n v="1.44"/>
    <n v="1153"/>
    <x v="3"/>
    <x v="2"/>
    <n v="27.5"/>
    <n v="3.3"/>
    <n v="2"/>
    <n v="2"/>
    <x v="2"/>
    <n v="20.399999999999999"/>
  </r>
  <r>
    <n v="42"/>
    <x v="3"/>
    <x v="0"/>
    <n v="50.3"/>
    <n v="1.69"/>
    <n v="199"/>
    <n v="159"/>
    <n v="69"/>
    <n v="0.95"/>
    <n v="1293"/>
    <x v="3"/>
    <x v="0"/>
    <n v="14.8"/>
    <n v="3.2"/>
    <n v="3"/>
    <n v="2"/>
    <x v="0"/>
    <m/>
  </r>
  <r>
    <n v="32"/>
    <x v="0"/>
    <x v="1"/>
    <n v="68.7"/>
    <n v="1.77"/>
    <n v="186"/>
    <m/>
    <n v="63"/>
    <n v="1.85"/>
    <n v="1118"/>
    <x v="3"/>
    <x v="2"/>
    <n v="28.5"/>
    <n v="3.5"/>
    <n v="3"/>
    <n v="2"/>
    <x v="0"/>
    <n v="17.39"/>
  </r>
  <r>
    <n v="37"/>
    <x v="3"/>
    <x v="1"/>
    <n v="44.2"/>
    <n v="1.5"/>
    <n v="194"/>
    <n v="154"/>
    <n v="74"/>
    <n v="1.1100000000000001"/>
    <n v="612"/>
    <x v="1"/>
    <x v="4"/>
    <n v="24"/>
    <n v="3.5"/>
    <n v="2"/>
    <n v="2"/>
    <x v="2"/>
    <n v="20.62"/>
  </r>
  <r>
    <n v="18"/>
    <x v="1"/>
    <x v="0"/>
    <n v="46"/>
    <n v="1.79"/>
    <n v="177"/>
    <n v="140"/>
    <n v="68"/>
    <n v="2"/>
    <n v="1386"/>
    <x v="1"/>
    <x v="3"/>
    <n v="23.6"/>
    <n v="3.2"/>
    <n v="3"/>
    <n v="2"/>
    <x v="0"/>
    <n v="18"/>
  </r>
  <r>
    <n v="18"/>
    <x v="1"/>
    <x v="1"/>
    <n v="74.8"/>
    <n v="1.76"/>
    <n v="186"/>
    <n v="134"/>
    <n v="68"/>
    <n v="0.5"/>
    <n v="1783"/>
    <x v="1"/>
    <x v="4"/>
    <n v="21.8"/>
    <n v="3.5"/>
    <n v="4"/>
    <n v="3"/>
    <x v="2"/>
    <n v="23.47"/>
  </r>
  <r>
    <n v="54"/>
    <x v="2"/>
    <x v="1"/>
    <n v="46.3"/>
    <n v="1.62"/>
    <n v="161"/>
    <n v="138"/>
    <n v="60"/>
    <n v="1.03"/>
    <n v="1175"/>
    <x v="2"/>
    <x v="2"/>
    <n v="32.200000000000003"/>
    <n v="2.5"/>
    <n v="4"/>
    <n v="2"/>
    <x v="2"/>
    <n v="19.440000000000001"/>
  </r>
  <r>
    <n v="24"/>
    <x v="1"/>
    <x v="1"/>
    <n v="87.1"/>
    <n v="1.9"/>
    <n v="196"/>
    <n v="122"/>
    <n v="51"/>
    <n v="1.42"/>
    <n v="1153"/>
    <x v="3"/>
    <x v="2"/>
    <n v="27.6"/>
    <n v="3.3"/>
    <n v="3"/>
    <n v="1"/>
    <x v="1"/>
    <n v="36.549999999999997"/>
  </r>
  <r>
    <n v="43"/>
    <x v="3"/>
    <x v="0"/>
    <n v="40"/>
    <n v="1.89"/>
    <n v="169"/>
    <n v="134"/>
    <n v="54"/>
    <n v="0.56999999999999995"/>
    <n v="1267"/>
    <x v="2"/>
    <x v="3"/>
    <n v="21.4"/>
    <n v="1.5"/>
    <n v="4"/>
    <n v="2"/>
    <x v="0"/>
    <n v="12.32"/>
  </r>
  <r>
    <n v="18"/>
    <x v="1"/>
    <x v="0"/>
    <n v="49.3"/>
    <n v="1.71"/>
    <n v="162"/>
    <n v="160"/>
    <n v="52"/>
    <n v="1.23"/>
    <n v="375"/>
    <x v="3"/>
    <x v="1"/>
    <n v="29.4"/>
    <n v="3.4"/>
    <n v="5"/>
    <m/>
    <x v="0"/>
    <n v="14.06"/>
  </r>
  <r>
    <n v="18"/>
    <x v="1"/>
    <x v="0"/>
    <n v="67.900000000000006"/>
    <n v="1.81"/>
    <n v="194"/>
    <n v="137"/>
    <n v="73"/>
    <n v="1.19"/>
    <n v="1405"/>
    <x v="1"/>
    <x v="2"/>
    <n v="33.799999999999997"/>
    <n v="3.2"/>
    <n v="2"/>
    <n v="1"/>
    <x v="0"/>
    <n v="12.32"/>
  </r>
  <r>
    <n v="33"/>
    <x v="0"/>
    <x v="1"/>
    <n v="49.7"/>
    <n v="1.82"/>
    <n v="179"/>
    <n v="169"/>
    <n v="71"/>
    <n v="1.55"/>
    <n v="968"/>
    <x v="1"/>
    <x v="2"/>
    <n v="32.200000000000003"/>
    <n v="3.6"/>
    <n v="4"/>
    <n v="3"/>
    <x v="2"/>
    <n v="21.87"/>
  </r>
  <r>
    <n v="49"/>
    <x v="2"/>
    <x v="1"/>
    <n v="88.4"/>
    <n v="1.75"/>
    <n v="192"/>
    <n v="145"/>
    <n v="74"/>
    <n v="1.27"/>
    <n v="493"/>
    <x v="3"/>
    <x v="4"/>
    <n v="23.5"/>
    <n v="2.2000000000000002"/>
    <n v="3"/>
    <n v="1"/>
    <x v="0"/>
    <n v="12.42"/>
  </r>
  <r>
    <n v="48"/>
    <x v="2"/>
    <x v="1"/>
    <n v="45.8"/>
    <m/>
    <n v="167"/>
    <n v="135"/>
    <n v="53"/>
    <n v="1.28"/>
    <n v="1239"/>
    <x v="0"/>
    <x v="4"/>
    <n v="24.5"/>
    <n v="1.6"/>
    <n v="4"/>
    <m/>
    <x v="2"/>
    <n v="19.27"/>
  </r>
  <r>
    <n v="19"/>
    <x v="1"/>
    <x v="1"/>
    <n v="129.9"/>
    <n v="1.82"/>
    <n v="182"/>
    <n v="158"/>
    <n v="70"/>
    <n v="1.44"/>
    <n v="1155"/>
    <x v="1"/>
    <x v="4"/>
    <n v="20.2"/>
    <n v="3.6"/>
    <m/>
    <n v="1"/>
    <x v="0"/>
    <n v="17.37"/>
  </r>
  <r>
    <n v="35"/>
    <x v="3"/>
    <x v="1"/>
    <n v="40.299999999999997"/>
    <n v="1.79"/>
    <n v="183"/>
    <n v="120"/>
    <n v="68"/>
    <n v="1.24"/>
    <n v="1420"/>
    <x v="0"/>
    <x v="3"/>
    <n v="14.5"/>
    <n v="1.7"/>
    <n v="5"/>
    <n v="1"/>
    <x v="0"/>
    <n v="13.37"/>
  </r>
  <r>
    <n v="34"/>
    <x v="0"/>
    <x v="1"/>
    <n v="72.099999999999994"/>
    <n v="1.78"/>
    <n v="167"/>
    <n v="163"/>
    <n v="58"/>
    <n v="0.84"/>
    <n v="536"/>
    <x v="2"/>
    <x v="0"/>
    <n v="12.1"/>
    <n v="2.9"/>
    <n v="3"/>
    <n v="2"/>
    <x v="0"/>
    <n v="12.32"/>
  </r>
  <r>
    <n v="50"/>
    <x v="2"/>
    <x v="0"/>
    <n v="103.8"/>
    <n v="1.54"/>
    <n v="185"/>
    <n v="169"/>
    <n v="56"/>
    <n v="2"/>
    <n v="766"/>
    <x v="2"/>
    <x v="1"/>
    <n v="27.3"/>
    <n v="3.1"/>
    <n v="3"/>
    <n v="1"/>
    <x v="0"/>
    <n v="12.32"/>
  </r>
  <r>
    <n v="18"/>
    <x v="1"/>
    <x v="1"/>
    <n v="41"/>
    <n v="1.97"/>
    <n v="189"/>
    <n v="149"/>
    <n v="63"/>
    <n v="1.64"/>
    <n v="596"/>
    <x v="0"/>
    <x v="0"/>
    <m/>
    <n v="1.8"/>
    <n v="2"/>
    <n v="2"/>
    <x v="0"/>
    <n v="12.32"/>
  </r>
  <r>
    <n v="36"/>
    <x v="3"/>
    <x v="0"/>
    <n v="85.1"/>
    <n v="1.73"/>
    <n v="194"/>
    <n v="156"/>
    <n v="74"/>
    <n v="1.41"/>
    <n v="1024"/>
    <x v="1"/>
    <x v="1"/>
    <n v="28.9"/>
    <n v="3.5"/>
    <n v="4"/>
    <n v="3"/>
    <x v="0"/>
    <n v="13.22"/>
  </r>
  <r>
    <n v="18"/>
    <x v="1"/>
    <x v="1"/>
    <n v="81"/>
    <n v="1.64"/>
    <n v="175"/>
    <n v="169"/>
    <n v="74"/>
    <n v="1.99"/>
    <n v="878"/>
    <x v="3"/>
    <x v="4"/>
    <n v="21.7"/>
    <n v="1.5"/>
    <n v="2"/>
    <n v="3"/>
    <x v="0"/>
    <n v="13.42"/>
  </r>
  <r>
    <n v="47"/>
    <x v="2"/>
    <x v="0"/>
    <n v="74.099999999999994"/>
    <n v="1.87"/>
    <n v="168"/>
    <n v="123"/>
    <n v="70"/>
    <n v="0.95"/>
    <n v="1030"/>
    <x v="3"/>
    <x v="0"/>
    <n v="14.8"/>
    <n v="1.5"/>
    <n v="3"/>
    <n v="1"/>
    <x v="2"/>
    <n v="21.54"/>
  </r>
  <r>
    <n v="32"/>
    <x v="0"/>
    <x v="2"/>
    <n v="72.099999999999994"/>
    <n v="1.71"/>
    <n v="173"/>
    <n v="156"/>
    <n v="72"/>
    <n v="1.61"/>
    <n v="606"/>
    <x v="2"/>
    <x v="0"/>
    <n v="12"/>
    <n v="2.7"/>
    <n v="2"/>
    <n v="2"/>
    <x v="0"/>
    <n v="17.91"/>
  </r>
  <r>
    <n v="45"/>
    <x v="2"/>
    <x v="0"/>
    <n v="47.9"/>
    <n v="1.71"/>
    <n v="194"/>
    <n v="169"/>
    <n v="70"/>
    <n v="0.78"/>
    <n v="772"/>
    <x v="2"/>
    <x v="3"/>
    <n v="23.5"/>
    <n v="2.8"/>
    <n v="3"/>
    <n v="2"/>
    <x v="2"/>
    <n v="20.37"/>
  </r>
  <r>
    <n v="25"/>
    <x v="0"/>
    <x v="1"/>
    <n v="113.3"/>
    <n v="1.75"/>
    <n v="187"/>
    <n v="155"/>
    <n v="74"/>
    <n v="1.44"/>
    <n v="564"/>
    <x v="0"/>
    <x v="4"/>
    <n v="22.1"/>
    <n v="1.6"/>
    <n v="3"/>
    <n v="2"/>
    <x v="2"/>
    <n v="21.36"/>
  </r>
  <r>
    <n v="23"/>
    <x v="1"/>
    <x v="1"/>
    <n v="56.8"/>
    <n v="1.83"/>
    <n v="197"/>
    <n v="152"/>
    <n v="56"/>
    <n v="1.22"/>
    <n v="1193"/>
    <x v="1"/>
    <x v="4"/>
    <n v="23.2"/>
    <n v="1.6"/>
    <n v="4"/>
    <n v="2"/>
    <x v="0"/>
    <m/>
  </r>
  <r>
    <n v="23"/>
    <x v="1"/>
    <x v="0"/>
    <n v="78.2"/>
    <n v="1.9"/>
    <n v="180"/>
    <n v="131"/>
    <n v="55"/>
    <n v="0.85"/>
    <n v="888"/>
    <x v="0"/>
    <x v="0"/>
    <n v="16.2"/>
    <n v="2.2999999999999998"/>
    <n v="3"/>
    <n v="1"/>
    <x v="4"/>
    <n v="29.89"/>
  </r>
  <r>
    <n v="25"/>
    <x v="0"/>
    <x v="1"/>
    <n v="40"/>
    <n v="1.68"/>
    <n v="175"/>
    <n v="123"/>
    <n v="66"/>
    <n v="0.74"/>
    <n v="1783"/>
    <x v="0"/>
    <x v="2"/>
    <n v="27.9"/>
    <n v="3.5"/>
    <n v="3"/>
    <n v="3"/>
    <x v="0"/>
    <n v="14.27"/>
  </r>
  <r>
    <n v="59"/>
    <x v="4"/>
    <x v="1"/>
    <n v="40"/>
    <n v="1.78"/>
    <n v="179"/>
    <n v="139"/>
    <n v="59"/>
    <n v="1.1599999999999999"/>
    <n v="483"/>
    <x v="2"/>
    <x v="4"/>
    <n v="19.7"/>
    <n v="3.7"/>
    <m/>
    <n v="1"/>
    <x v="2"/>
    <n v="19.22"/>
  </r>
  <r>
    <n v="23"/>
    <x v="1"/>
    <x v="0"/>
    <n v="69.2"/>
    <n v="1.73"/>
    <n v="180"/>
    <n v="165"/>
    <n v="70"/>
    <n v="2"/>
    <n v="765"/>
    <x v="2"/>
    <x v="3"/>
    <n v="23.3"/>
    <n v="1.8"/>
    <n v="4"/>
    <n v="2"/>
    <x v="2"/>
    <n v="21.96"/>
  </r>
  <r>
    <n v="48"/>
    <x v="2"/>
    <x v="0"/>
    <n v="91.3"/>
    <n v="1.58"/>
    <n v="175"/>
    <n v="152"/>
    <n v="72"/>
    <n v="1.25"/>
    <n v="1576"/>
    <x v="3"/>
    <x v="1"/>
    <n v="28.9"/>
    <n v="3.4"/>
    <n v="2"/>
    <n v="2"/>
    <x v="2"/>
    <n v="19.62"/>
  </r>
  <r>
    <n v="46"/>
    <x v="2"/>
    <x v="1"/>
    <n v="68.2"/>
    <n v="1.88"/>
    <n v="172"/>
    <n v="167"/>
    <n v="70"/>
    <n v="1.41"/>
    <n v="723"/>
    <x v="0"/>
    <x v="4"/>
    <n v="17.2"/>
    <n v="2.6"/>
    <n v="5"/>
    <n v="1"/>
    <x v="1"/>
    <n v="32.75"/>
  </r>
  <r>
    <n v="18"/>
    <x v="1"/>
    <x v="0"/>
    <n v="45.1"/>
    <n v="1.86"/>
    <n v="182"/>
    <n v="169"/>
    <n v="64"/>
    <n v="0.92"/>
    <n v="1482"/>
    <x v="0"/>
    <x v="1"/>
    <n v="25.5"/>
    <n v="3.7"/>
    <n v="2"/>
    <n v="3"/>
    <x v="2"/>
    <n v="18.989999999999998"/>
  </r>
  <r>
    <n v="20"/>
    <x v="1"/>
    <x v="1"/>
    <n v="70.5"/>
    <n v="1.65"/>
    <n v="179"/>
    <n v="144"/>
    <n v="74"/>
    <n v="0.6"/>
    <n v="1151"/>
    <x v="3"/>
    <x v="3"/>
    <n v="15.5"/>
    <n v="3.5"/>
    <n v="2"/>
    <n v="2"/>
    <x v="0"/>
    <n v="12.32"/>
  </r>
  <r>
    <n v="18"/>
    <x v="1"/>
    <x v="0"/>
    <n v="54.2"/>
    <n v="1.68"/>
    <n v="199"/>
    <n v="137"/>
    <n v="74"/>
    <n v="1.67"/>
    <n v="972"/>
    <x v="2"/>
    <x v="0"/>
    <n v="14.1"/>
    <n v="3.4"/>
    <n v="2"/>
    <m/>
    <x v="0"/>
    <n v="15.66"/>
  </r>
  <r>
    <n v="18"/>
    <x v="1"/>
    <x v="0"/>
    <n v="83.6"/>
    <n v="1.86"/>
    <n v="170"/>
    <n v="162"/>
    <n v="74"/>
    <n v="0.83"/>
    <n v="732"/>
    <x v="2"/>
    <x v="3"/>
    <n v="22.7"/>
    <n v="2.8"/>
    <n v="2"/>
    <n v="3"/>
    <x v="2"/>
    <n v="24.77"/>
  </r>
  <r>
    <n v="37"/>
    <x v="3"/>
    <x v="0"/>
    <n v="58"/>
    <n v="1.6"/>
    <n v="168"/>
    <n v="143"/>
    <n v="52"/>
    <n v="1.28"/>
    <n v="834"/>
    <x v="0"/>
    <x v="3"/>
    <n v="21"/>
    <n v="3.6"/>
    <n v="4"/>
    <n v="2"/>
    <x v="2"/>
    <n v="22.2"/>
  </r>
  <r>
    <n v="27"/>
    <x v="0"/>
    <x v="0"/>
    <n v="45.6"/>
    <m/>
    <n v="177"/>
    <n v="146"/>
    <n v="74"/>
    <n v="2"/>
    <n v="1108"/>
    <x v="3"/>
    <x v="0"/>
    <n v="18"/>
    <n v="2.9"/>
    <n v="4"/>
    <n v="2"/>
    <x v="4"/>
    <n v="26.74"/>
  </r>
  <r>
    <n v="52"/>
    <x v="2"/>
    <x v="0"/>
    <n v="40"/>
    <n v="1.91"/>
    <n v="194"/>
    <n v="151"/>
    <n v="59"/>
    <n v="1.96"/>
    <n v="535"/>
    <x v="2"/>
    <x v="3"/>
    <n v="23.4"/>
    <n v="1.5"/>
    <n v="4"/>
    <n v="2"/>
    <x v="2"/>
    <n v="23.62"/>
  </r>
  <r>
    <n v="30"/>
    <x v="0"/>
    <x v="0"/>
    <n v="40"/>
    <n v="1.62"/>
    <n v="166"/>
    <n v="164"/>
    <n v="73"/>
    <n v="1.23"/>
    <n v="1046"/>
    <x v="3"/>
    <x v="1"/>
    <n v="25.2"/>
    <n v="3.7"/>
    <n v="5"/>
    <n v="3"/>
    <x v="0"/>
    <n v="14.53"/>
  </r>
  <r>
    <n v="23"/>
    <x v="1"/>
    <x v="0"/>
    <n v="83.5"/>
    <n v="1.5"/>
    <n v="194"/>
    <n v="142"/>
    <n v="63"/>
    <n v="2"/>
    <n v="767"/>
    <x v="3"/>
    <x v="1"/>
    <n v="25.8"/>
    <n v="2.9"/>
    <n v="4"/>
    <n v="2"/>
    <x v="0"/>
    <n v="12.32"/>
  </r>
  <r>
    <n v="22"/>
    <x v="1"/>
    <x v="0"/>
    <n v="81.900000000000006"/>
    <n v="1.8"/>
    <n v="163"/>
    <n v="146"/>
    <n v="74"/>
    <n v="1.1499999999999999"/>
    <n v="971"/>
    <x v="2"/>
    <x v="3"/>
    <n v="22.4"/>
    <n v="2.5"/>
    <n v="5"/>
    <m/>
    <x v="4"/>
    <n v="28.26"/>
  </r>
  <r>
    <n v="40"/>
    <x v="3"/>
    <x v="1"/>
    <n v="45.2"/>
    <n v="1.74"/>
    <n v="180"/>
    <n v="136"/>
    <n v="74"/>
    <n v="1.08"/>
    <n v="1058"/>
    <x v="3"/>
    <x v="2"/>
    <n v="26"/>
    <n v="3.3"/>
    <m/>
    <n v="3"/>
    <x v="0"/>
    <n v="18.36"/>
  </r>
  <r>
    <n v="49"/>
    <x v="2"/>
    <x v="1"/>
    <n v="60.2"/>
    <n v="1.62"/>
    <n v="162"/>
    <n v="155"/>
    <n v="72"/>
    <n v="1.1100000000000001"/>
    <n v="1105"/>
    <x v="0"/>
    <x v="4"/>
    <n v="23.4"/>
    <n v="3.1"/>
    <n v="3"/>
    <n v="1"/>
    <x v="0"/>
    <n v="16.850000000000001"/>
  </r>
  <r>
    <n v="51"/>
    <x v="2"/>
    <x v="2"/>
    <n v="47.3"/>
    <n v="1.74"/>
    <n v="194"/>
    <n v="148"/>
    <n v="55"/>
    <n v="2"/>
    <n v="1259"/>
    <x v="0"/>
    <x v="4"/>
    <n v="28.8"/>
    <n v="3.1"/>
    <n v="3"/>
    <n v="1"/>
    <x v="2"/>
    <n v="24.75"/>
  </r>
  <r>
    <n v="28"/>
    <x v="0"/>
    <x v="1"/>
    <n v="69.3"/>
    <n v="1.61"/>
    <n v="187"/>
    <n v="140"/>
    <n v="53"/>
    <n v="1.1200000000000001"/>
    <n v="998"/>
    <x v="2"/>
    <x v="4"/>
    <n v="17.600000000000001"/>
    <n v="2.8"/>
    <m/>
    <n v="3"/>
    <x v="1"/>
    <n v="32.49"/>
  </r>
  <r>
    <n v="33"/>
    <x v="0"/>
    <x v="0"/>
    <n v="40"/>
    <n v="1.79"/>
    <n v="189"/>
    <n v="144"/>
    <n v="67"/>
    <n v="2"/>
    <n v="1285"/>
    <x v="2"/>
    <x v="1"/>
    <n v="27.2"/>
    <n v="2.6"/>
    <n v="3"/>
    <n v="2"/>
    <x v="0"/>
    <n v="15.69"/>
  </r>
  <r>
    <n v="48"/>
    <x v="2"/>
    <x v="1"/>
    <n v="87.3"/>
    <n v="2"/>
    <n v="190"/>
    <n v="159"/>
    <n v="61"/>
    <n v="1.97"/>
    <n v="897"/>
    <x v="3"/>
    <x v="0"/>
    <n v="10.7"/>
    <n v="3.5"/>
    <n v="5"/>
    <n v="3"/>
    <x v="0"/>
    <n v="18.2"/>
  </r>
  <r>
    <n v="49"/>
    <x v="2"/>
    <x v="1"/>
    <n v="40"/>
    <n v="1.77"/>
    <n v="175"/>
    <n v="127"/>
    <n v="73"/>
    <n v="1.2"/>
    <n v="1109"/>
    <x v="3"/>
    <x v="4"/>
    <n v="24.7"/>
    <n v="2.4"/>
    <n v="3"/>
    <n v="3"/>
    <x v="4"/>
    <n v="25.41"/>
  </r>
  <r>
    <n v="26"/>
    <x v="0"/>
    <x v="0"/>
    <n v="55.4"/>
    <n v="2"/>
    <m/>
    <n v="124"/>
    <n v="62"/>
    <n v="1.22"/>
    <n v="1292"/>
    <x v="2"/>
    <x v="1"/>
    <n v="26.8"/>
    <n v="2.4"/>
    <n v="3"/>
    <n v="2"/>
    <x v="2"/>
    <n v="19.350000000000001"/>
  </r>
  <r>
    <n v="18"/>
    <x v="1"/>
    <x v="1"/>
    <n v="50.9"/>
    <n v="1.73"/>
    <n v="170"/>
    <n v="137"/>
    <n v="58"/>
    <n v="1.43"/>
    <n v="804"/>
    <x v="0"/>
    <x v="4"/>
    <n v="23.5"/>
    <n v="3.7"/>
    <n v="2"/>
    <n v="2"/>
    <x v="0"/>
    <n v="17.61"/>
  </r>
  <r>
    <n v="55"/>
    <x v="4"/>
    <x v="0"/>
    <n v="59.9"/>
    <n v="1.53"/>
    <n v="178"/>
    <n v="157"/>
    <n v="54"/>
    <n v="1.23"/>
    <n v="1044"/>
    <x v="2"/>
    <x v="1"/>
    <n v="26.9"/>
    <n v="3.4"/>
    <n v="4"/>
    <n v="1"/>
    <x v="1"/>
    <n v="31.33"/>
  </r>
  <r>
    <n v="44"/>
    <x v="3"/>
    <x v="1"/>
    <n v="66.8"/>
    <n v="1.97"/>
    <n v="194"/>
    <n v="126"/>
    <n v="65"/>
    <n v="1.66"/>
    <n v="1382"/>
    <x v="2"/>
    <x v="4"/>
    <n v="18.5"/>
    <n v="1.6"/>
    <n v="4"/>
    <n v="2"/>
    <x v="2"/>
    <n v="23.14"/>
  </r>
  <r>
    <n v="50"/>
    <x v="2"/>
    <x v="1"/>
    <n v="97"/>
    <n v="1.65"/>
    <n v="191"/>
    <n v="133"/>
    <n v="70"/>
    <n v="1.43"/>
    <n v="1256"/>
    <x v="1"/>
    <x v="2"/>
    <n v="27.1"/>
    <n v="1.5"/>
    <n v="5"/>
    <m/>
    <x v="4"/>
    <n v="27.51"/>
  </r>
  <r>
    <n v="37"/>
    <x v="3"/>
    <x v="1"/>
    <n v="75.8"/>
    <n v="1.63"/>
    <n v="192"/>
    <n v="131"/>
    <n v="64"/>
    <n v="0.98"/>
    <n v="921"/>
    <x v="0"/>
    <x v="2"/>
    <n v="26.5"/>
    <n v="1.5"/>
    <n v="4"/>
    <n v="1"/>
    <x v="0"/>
    <n v="14"/>
  </r>
  <r>
    <n v="21"/>
    <x v="1"/>
    <x v="0"/>
    <n v="51.6"/>
    <n v="1.5"/>
    <n v="175"/>
    <n v="149"/>
    <n v="66"/>
    <n v="2"/>
    <n v="863"/>
    <x v="3"/>
    <x v="1"/>
    <n v="25.2"/>
    <n v="2"/>
    <n v="3"/>
    <n v="1"/>
    <x v="2"/>
    <n v="24.7"/>
  </r>
  <r>
    <n v="27"/>
    <x v="0"/>
    <x v="0"/>
    <n v="55.4"/>
    <n v="1.88"/>
    <n v="187"/>
    <n v="134"/>
    <n v="53"/>
    <n v="2"/>
    <n v="855"/>
    <x v="0"/>
    <x v="0"/>
    <n v="16.3"/>
    <n v="2.6"/>
    <n v="5"/>
    <n v="1"/>
    <x v="0"/>
    <n v="14.33"/>
  </r>
  <r>
    <n v="23"/>
    <x v="1"/>
    <x v="1"/>
    <n v="72.900000000000006"/>
    <n v="1.51"/>
    <n v="190"/>
    <n v="164"/>
    <n v="57"/>
    <n v="1.29"/>
    <n v="925"/>
    <x v="0"/>
    <x v="4"/>
    <n v="22.3"/>
    <n v="1.5"/>
    <n v="2"/>
    <n v="1"/>
    <x v="3"/>
    <n v="40.08"/>
  </r>
  <r>
    <n v="30"/>
    <x v="0"/>
    <x v="0"/>
    <n v="80.2"/>
    <n v="1.91"/>
    <n v="192"/>
    <n v="135"/>
    <n v="62"/>
    <n v="1.47"/>
    <n v="1461"/>
    <x v="0"/>
    <x v="0"/>
    <n v="16.5"/>
    <n v="3.7"/>
    <n v="2"/>
    <n v="3"/>
    <x v="4"/>
    <n v="28.49"/>
  </r>
  <r>
    <n v="18"/>
    <x v="1"/>
    <x v="1"/>
    <n v="97.2"/>
    <n v="1.73"/>
    <n v="175"/>
    <n v="165"/>
    <n v="72"/>
    <n v="1.1499999999999999"/>
    <n v="707"/>
    <x v="0"/>
    <x v="3"/>
    <n v="14.3"/>
    <n v="1.5"/>
    <m/>
    <n v="2"/>
    <x v="0"/>
    <n v="16.190000000000001"/>
  </r>
  <r>
    <n v="45"/>
    <x v="2"/>
    <x v="1"/>
    <n v="121.2"/>
    <n v="1.67"/>
    <n v="186"/>
    <n v="133"/>
    <n v="55"/>
    <n v="2"/>
    <n v="466"/>
    <x v="1"/>
    <x v="3"/>
    <n v="16.7"/>
    <n v="3.4"/>
    <n v="4"/>
    <n v="1"/>
    <x v="1"/>
    <n v="30.69"/>
  </r>
  <r>
    <n v="36"/>
    <x v="3"/>
    <x v="0"/>
    <n v="100.2"/>
    <n v="1.93"/>
    <n v="199"/>
    <n v="166"/>
    <n v="60"/>
    <n v="0.98"/>
    <n v="1076"/>
    <x v="2"/>
    <x v="1"/>
    <n v="24.6"/>
    <n v="2.7"/>
    <n v="4"/>
    <n v="2"/>
    <x v="0"/>
    <n v="16.489999999999998"/>
  </r>
  <r>
    <n v="54"/>
    <x v="2"/>
    <x v="1"/>
    <n v="56.4"/>
    <n v="1.55"/>
    <n v="186"/>
    <n v="135"/>
    <n v="74"/>
    <n v="1.73"/>
    <m/>
    <x v="3"/>
    <x v="4"/>
    <n v="19.7"/>
    <n v="2.6"/>
    <n v="3"/>
    <n v="1"/>
    <x v="2"/>
    <n v="20.190000000000001"/>
  </r>
  <r>
    <n v="45"/>
    <x v="2"/>
    <x v="1"/>
    <n v="84.1"/>
    <n v="1.71"/>
    <n v="161"/>
    <n v="169"/>
    <n v="56"/>
    <n v="1.38"/>
    <n v="480"/>
    <x v="3"/>
    <x v="4"/>
    <n v="22.4"/>
    <n v="3.4"/>
    <n v="3"/>
    <n v="3"/>
    <x v="1"/>
    <n v="38.83"/>
  </r>
  <r>
    <n v="51"/>
    <x v="2"/>
    <x v="1"/>
    <n v="52"/>
    <n v="1.92"/>
    <n v="173"/>
    <n v="164"/>
    <n v="74"/>
    <n v="1.31"/>
    <n v="706"/>
    <x v="1"/>
    <x v="2"/>
    <n v="25.7"/>
    <n v="1.5"/>
    <n v="2"/>
    <n v="1"/>
    <x v="0"/>
    <n v="14.05"/>
  </r>
  <r>
    <n v="25"/>
    <x v="0"/>
    <x v="1"/>
    <n v="70.7"/>
    <n v="1.7"/>
    <n v="165"/>
    <n v="160"/>
    <n v="53"/>
    <n v="0.99"/>
    <n v="808"/>
    <x v="2"/>
    <x v="4"/>
    <n v="23.5"/>
    <n v="2.1"/>
    <n v="3"/>
    <n v="1"/>
    <x v="0"/>
    <n v="18.29"/>
  </r>
  <r>
    <n v="52"/>
    <x v="2"/>
    <x v="0"/>
    <n v="50.8"/>
    <n v="1.8"/>
    <n v="199"/>
    <n v="159"/>
    <n v="63"/>
    <n v="1.51"/>
    <n v="1153"/>
    <x v="2"/>
    <x v="1"/>
    <n v="24.9"/>
    <n v="2.4"/>
    <n v="4"/>
    <n v="2"/>
    <x v="0"/>
    <n v="16.16"/>
  </r>
  <r>
    <n v="28"/>
    <x v="0"/>
    <x v="2"/>
    <n v="48.7"/>
    <n v="1.6"/>
    <n v="175"/>
    <n v="133"/>
    <n v="59"/>
    <n v="1.38"/>
    <n v="996"/>
    <x v="2"/>
    <x v="3"/>
    <n v="23.5"/>
    <n v="1.5"/>
    <n v="2"/>
    <n v="2"/>
    <x v="2"/>
    <n v="21.98"/>
  </r>
  <r>
    <n v="24"/>
    <x v="1"/>
    <x v="2"/>
    <n v="51.3"/>
    <n v="1.69"/>
    <n v="174"/>
    <n v="153"/>
    <n v="74"/>
    <n v="1.18"/>
    <n v="828"/>
    <x v="3"/>
    <x v="0"/>
    <n v="16.100000000000001"/>
    <n v="2.6"/>
    <n v="3"/>
    <n v="2"/>
    <x v="2"/>
    <n v="21.88"/>
  </r>
  <r>
    <n v="42"/>
    <x v="3"/>
    <x v="0"/>
    <n v="77"/>
    <n v="1.63"/>
    <n v="185"/>
    <n v="136"/>
    <n v="68"/>
    <n v="1.07"/>
    <n v="1029"/>
    <x v="1"/>
    <x v="1"/>
    <n v="29.2"/>
    <n v="1.5"/>
    <n v="5"/>
    <n v="1"/>
    <x v="0"/>
    <n v="15.93"/>
  </r>
  <r>
    <n v="31"/>
    <x v="0"/>
    <x v="0"/>
    <n v="50.1"/>
    <n v="1.69"/>
    <n v="185"/>
    <n v="169"/>
    <n v="64"/>
    <n v="1.68"/>
    <n v="1001"/>
    <x v="0"/>
    <x v="1"/>
    <n v="27.4"/>
    <n v="1.6"/>
    <n v="4"/>
    <n v="1"/>
    <x v="2"/>
    <n v="22.3"/>
  </r>
  <r>
    <n v="45"/>
    <x v="2"/>
    <x v="0"/>
    <n v="99.3"/>
    <n v="1.93"/>
    <n v="182"/>
    <n v="137"/>
    <n v="50"/>
    <n v="1.23"/>
    <n v="686"/>
    <x v="0"/>
    <x v="0"/>
    <m/>
    <n v="2.4"/>
    <n v="3"/>
    <n v="3"/>
    <x v="1"/>
    <n v="33.26"/>
  </r>
  <r>
    <n v="18"/>
    <x v="1"/>
    <x v="1"/>
    <n v="89.2"/>
    <n v="1.88"/>
    <n v="189"/>
    <n v="167"/>
    <n v="58"/>
    <n v="2"/>
    <n v="1126"/>
    <x v="1"/>
    <x v="2"/>
    <n v="29.7"/>
    <n v="3.5"/>
    <n v="4"/>
    <n v="2"/>
    <x v="0"/>
    <n v="13.63"/>
  </r>
  <r>
    <n v="18"/>
    <x v="1"/>
    <x v="0"/>
    <n v="70.8"/>
    <n v="1.96"/>
    <n v="196"/>
    <n v="130"/>
    <n v="61"/>
    <n v="1.46"/>
    <n v="708"/>
    <x v="4"/>
    <x v="1"/>
    <n v="25.2"/>
    <n v="2.2000000000000002"/>
    <n v="3"/>
    <n v="2"/>
    <x v="0"/>
    <n v="12.32"/>
  </r>
  <r>
    <n v="50"/>
    <x v="2"/>
    <x v="1"/>
    <n v="59.1"/>
    <n v="1.74"/>
    <n v="181"/>
    <n v="156"/>
    <n v="51"/>
    <n v="1.01"/>
    <n v="985"/>
    <x v="3"/>
    <x v="2"/>
    <n v="30.1"/>
    <n v="3.5"/>
    <n v="2"/>
    <n v="3"/>
    <x v="2"/>
    <n v="24.07"/>
  </r>
  <r>
    <n v="46"/>
    <x v="2"/>
    <x v="0"/>
    <n v="67.5"/>
    <n v="1.76"/>
    <n v="160"/>
    <n v="150"/>
    <n v="74"/>
    <n v="1.43"/>
    <n v="577"/>
    <x v="3"/>
    <x v="3"/>
    <n v="20"/>
    <n v="2.6"/>
    <n v="4"/>
    <n v="2"/>
    <x v="0"/>
    <n v="17.39"/>
  </r>
  <r>
    <n v="46"/>
    <x v="2"/>
    <x v="1"/>
    <n v="91.4"/>
    <n v="1.71"/>
    <n v="183"/>
    <n v="136"/>
    <n v="58"/>
    <n v="0.93"/>
    <m/>
    <x v="1"/>
    <x v="2"/>
    <n v="30.8"/>
    <n v="3.4"/>
    <n v="4"/>
    <n v="1"/>
    <x v="0"/>
    <m/>
  </r>
  <r>
    <n v="27"/>
    <x v="0"/>
    <x v="0"/>
    <n v="41.4"/>
    <n v="1.69"/>
    <n v="191"/>
    <n v="169"/>
    <n v="56"/>
    <n v="1.99"/>
    <n v="647"/>
    <x v="3"/>
    <x v="3"/>
    <n v="23.2"/>
    <n v="2.8"/>
    <n v="5"/>
    <n v="2"/>
    <x v="0"/>
    <n v="16.260000000000002"/>
  </r>
  <r>
    <n v="24"/>
    <x v="1"/>
    <x v="0"/>
    <n v="80"/>
    <n v="1.59"/>
    <n v="198"/>
    <n v="125"/>
    <n v="70"/>
    <n v="1.68"/>
    <n v="1263"/>
    <x v="4"/>
    <x v="0"/>
    <n v="15.3"/>
    <n v="3.6"/>
    <n v="3"/>
    <n v="2"/>
    <x v="0"/>
    <n v="14.62"/>
  </r>
  <r>
    <n v="24"/>
    <x v="1"/>
    <x v="1"/>
    <n v="95.5"/>
    <n v="1.57"/>
    <n v="181"/>
    <n v="158"/>
    <n v="67"/>
    <n v="1.47"/>
    <n v="1609"/>
    <x v="1"/>
    <x v="2"/>
    <n v="32.5"/>
    <n v="2"/>
    <n v="4"/>
    <n v="2"/>
    <x v="4"/>
    <n v="26.3"/>
  </r>
  <r>
    <n v="18"/>
    <x v="1"/>
    <x v="1"/>
    <n v="66.900000000000006"/>
    <n v="1.76"/>
    <n v="163"/>
    <n v="169"/>
    <n v="55"/>
    <n v="1.1499999999999999"/>
    <n v="1018"/>
    <x v="3"/>
    <x v="4"/>
    <n v="24.2"/>
    <n v="3"/>
    <n v="3"/>
    <n v="1"/>
    <x v="0"/>
    <n v="16.52"/>
  </r>
  <r>
    <n v="18"/>
    <x v="1"/>
    <x v="1"/>
    <n v="82.8"/>
    <n v="1.5"/>
    <n v="197"/>
    <n v="134"/>
    <n v="74"/>
    <n v="1.79"/>
    <n v="1009"/>
    <x v="1"/>
    <x v="2"/>
    <n v="30.5"/>
    <n v="3.3"/>
    <n v="3"/>
    <n v="3"/>
    <x v="2"/>
    <n v="19.41"/>
  </r>
  <r>
    <n v="26"/>
    <x v="0"/>
    <x v="1"/>
    <n v="79.7"/>
    <n v="1.64"/>
    <n v="194"/>
    <n v="148"/>
    <n v="55"/>
    <n v="2"/>
    <n v="1462"/>
    <x v="3"/>
    <x v="4"/>
    <n v="21.8"/>
    <n v="3.2"/>
    <n v="4"/>
    <n v="2"/>
    <x v="4"/>
    <n v="26.9"/>
  </r>
  <r>
    <n v="18"/>
    <x v="1"/>
    <x v="0"/>
    <n v="80.400000000000006"/>
    <n v="1.79"/>
    <n v="171"/>
    <n v="169"/>
    <n v="74"/>
    <n v="1.43"/>
    <m/>
    <x v="2"/>
    <x v="0"/>
    <n v="16.3"/>
    <n v="3.6"/>
    <n v="3"/>
    <n v="2"/>
    <x v="0"/>
    <n v="15.03"/>
  </r>
  <r>
    <n v="33"/>
    <x v="0"/>
    <x v="0"/>
    <n v="71.8"/>
    <n v="1.51"/>
    <n v="190"/>
    <n v="167"/>
    <n v="59"/>
    <n v="1.84"/>
    <n v="1321"/>
    <x v="2"/>
    <x v="1"/>
    <n v="26.6"/>
    <n v="3.2"/>
    <n v="4"/>
    <n v="3"/>
    <x v="0"/>
    <n v="12.97"/>
  </r>
  <r>
    <n v="35"/>
    <x v="3"/>
    <x v="1"/>
    <n v="73.400000000000006"/>
    <n v="1.57"/>
    <n v="169"/>
    <n v="138"/>
    <n v="67"/>
    <n v="1.1399999999999999"/>
    <n v="977"/>
    <x v="0"/>
    <x v="2"/>
    <n v="32.4"/>
    <n v="3"/>
    <n v="4"/>
    <n v="3"/>
    <x v="4"/>
    <n v="25.05"/>
  </r>
  <r>
    <n v="54"/>
    <x v="2"/>
    <x v="0"/>
    <n v="45.8"/>
    <n v="1.62"/>
    <n v="163"/>
    <n v="135"/>
    <n v="66"/>
    <n v="1.26"/>
    <n v="1703"/>
    <x v="0"/>
    <x v="0"/>
    <n v="15.2"/>
    <n v="1.6"/>
    <n v="4"/>
    <n v="2"/>
    <x v="0"/>
    <n v="17.989999999999998"/>
  </r>
  <r>
    <n v="44"/>
    <x v="3"/>
    <x v="0"/>
    <n v="106.8"/>
    <n v="1.65"/>
    <n v="171"/>
    <n v="143"/>
    <n v="71"/>
    <n v="1.54"/>
    <n v="1295"/>
    <x v="1"/>
    <x v="0"/>
    <n v="17.100000000000001"/>
    <n v="3.5"/>
    <n v="3"/>
    <n v="3"/>
    <x v="4"/>
    <n v="25.4"/>
  </r>
  <r>
    <n v="19"/>
    <x v="1"/>
    <x v="1"/>
    <n v="59.8"/>
    <n v="1.7"/>
    <n v="181"/>
    <n v="120"/>
    <n v="73"/>
    <n v="1.54"/>
    <n v="1130"/>
    <x v="1"/>
    <x v="2"/>
    <n v="29.6"/>
    <n v="3.5"/>
    <n v="3"/>
    <n v="1"/>
    <x v="2"/>
    <n v="22.56"/>
  </r>
  <r>
    <n v="45"/>
    <x v="2"/>
    <x v="0"/>
    <n v="88.4"/>
    <n v="1.5"/>
    <n v="181"/>
    <n v="132"/>
    <n v="66"/>
    <n v="2"/>
    <m/>
    <x v="1"/>
    <x v="3"/>
    <n v="23"/>
    <n v="2.4"/>
    <n v="3"/>
    <n v="1"/>
    <x v="4"/>
    <n v="28.39"/>
  </r>
  <r>
    <n v="44"/>
    <x v="3"/>
    <x v="1"/>
    <n v="52.5"/>
    <n v="1.65"/>
    <n v="174"/>
    <n v="169"/>
    <n v="51"/>
    <n v="1.95"/>
    <n v="1783"/>
    <x v="1"/>
    <x v="2"/>
    <n v="29.4"/>
    <n v="2"/>
    <n v="2"/>
    <n v="1"/>
    <x v="0"/>
    <n v="16.41"/>
  </r>
  <r>
    <n v="58"/>
    <x v="4"/>
    <x v="1"/>
    <n v="56.5"/>
    <n v="1.76"/>
    <n v="180"/>
    <n v="139"/>
    <n v="74"/>
    <n v="2"/>
    <n v="1396"/>
    <x v="3"/>
    <x v="4"/>
    <n v="24.1"/>
    <n v="3.4"/>
    <n v="2"/>
    <n v="2"/>
    <x v="4"/>
    <n v="28.26"/>
  </r>
  <r>
    <n v="18"/>
    <x v="1"/>
    <x v="1"/>
    <n v="49.9"/>
    <n v="1.74"/>
    <n v="177"/>
    <n v="161"/>
    <n v="70"/>
    <n v="2"/>
    <n v="950"/>
    <x v="2"/>
    <x v="4"/>
    <n v="23"/>
    <n v="3.4"/>
    <n v="4"/>
    <n v="2"/>
    <x v="0"/>
    <n v="17.53"/>
  </r>
  <r>
    <n v="30"/>
    <x v="0"/>
    <x v="2"/>
    <n v="62.3"/>
    <n v="1.82"/>
    <n v="174"/>
    <n v="160"/>
    <n v="64"/>
    <n v="1.23"/>
    <n v="1080"/>
    <x v="1"/>
    <x v="0"/>
    <n v="15.9"/>
    <n v="2.5"/>
    <n v="3"/>
    <n v="3"/>
    <x v="2"/>
    <n v="22.26"/>
  </r>
  <r>
    <n v="18"/>
    <x v="1"/>
    <x v="0"/>
    <n v="76.099999999999994"/>
    <n v="1.64"/>
    <n v="196"/>
    <n v="169"/>
    <n v="63"/>
    <n v="1.43"/>
    <n v="686"/>
    <x v="1"/>
    <x v="2"/>
    <n v="34.799999999999997"/>
    <n v="1.5"/>
    <n v="3"/>
    <n v="3"/>
    <x v="1"/>
    <n v="33.24"/>
  </r>
  <r>
    <n v="18"/>
    <x v="1"/>
    <x v="0"/>
    <n v="40"/>
    <n v="1.74"/>
    <n v="160"/>
    <n v="145"/>
    <n v="74"/>
    <n v="0.53"/>
    <n v="907"/>
    <x v="0"/>
    <x v="1"/>
    <n v="24.8"/>
    <n v="3.6"/>
    <m/>
    <n v="3"/>
    <x v="2"/>
    <n v="24.44"/>
  </r>
  <r>
    <n v="18"/>
    <x v="1"/>
    <x v="1"/>
    <n v="91.1"/>
    <n v="1.7"/>
    <m/>
    <n v="137"/>
    <n v="68"/>
    <n v="1.03"/>
    <n v="826"/>
    <x v="1"/>
    <x v="2"/>
    <n v="33.700000000000003"/>
    <n v="3.5"/>
    <n v="2"/>
    <n v="2"/>
    <x v="0"/>
    <n v="18.239999999999998"/>
  </r>
  <r>
    <n v="28"/>
    <x v="0"/>
    <x v="0"/>
    <n v="67.099999999999994"/>
    <n v="1.9"/>
    <n v="184"/>
    <n v="169"/>
    <n v="59"/>
    <n v="1.61"/>
    <n v="587"/>
    <x v="3"/>
    <x v="3"/>
    <n v="20.8"/>
    <n v="2.7"/>
    <n v="3"/>
    <n v="1"/>
    <x v="0"/>
    <n v="12.32"/>
  </r>
  <r>
    <n v="18"/>
    <x v="1"/>
    <x v="0"/>
    <n v="53.9"/>
    <n v="1.69"/>
    <n v="187"/>
    <n v="169"/>
    <n v="56"/>
    <n v="1.34"/>
    <n v="752"/>
    <x v="3"/>
    <x v="0"/>
    <n v="13.6"/>
    <n v="3.3"/>
    <n v="3"/>
    <n v="2"/>
    <x v="0"/>
    <n v="15.23"/>
  </r>
  <r>
    <n v="34"/>
    <x v="0"/>
    <x v="0"/>
    <n v="79.3"/>
    <n v="1.65"/>
    <n v="181"/>
    <n v="149"/>
    <n v="64"/>
    <n v="1.4"/>
    <n v="501"/>
    <x v="2"/>
    <x v="0"/>
    <n v="12"/>
    <n v="2.2999999999999998"/>
    <n v="2"/>
    <n v="1"/>
    <x v="2"/>
    <n v="24.84"/>
  </r>
  <r>
    <n v="18"/>
    <x v="1"/>
    <x v="0"/>
    <n v="40"/>
    <n v="1.88"/>
    <n v="165"/>
    <n v="145"/>
    <n v="71"/>
    <n v="1.59"/>
    <n v="1121"/>
    <x v="0"/>
    <x v="3"/>
    <n v="22.6"/>
    <n v="3.4"/>
    <n v="2"/>
    <n v="1"/>
    <x v="0"/>
    <n v="14.1"/>
  </r>
  <r>
    <n v="35"/>
    <x v="3"/>
    <x v="1"/>
    <n v="75.7"/>
    <n v="1.74"/>
    <n v="189"/>
    <n v="136"/>
    <n v="74"/>
    <n v="1.7"/>
    <n v="854"/>
    <x v="2"/>
    <x v="4"/>
    <n v="24"/>
    <n v="1.5"/>
    <n v="2"/>
    <n v="2"/>
    <x v="0"/>
    <n v="12.47"/>
  </r>
  <r>
    <n v="29"/>
    <x v="0"/>
    <x v="1"/>
    <n v="82.5"/>
    <n v="1.79"/>
    <n v="190"/>
    <n v="132"/>
    <n v="69"/>
    <n v="0.9"/>
    <n v="664"/>
    <x v="3"/>
    <x v="0"/>
    <n v="10"/>
    <n v="2.2999999999999998"/>
    <n v="2"/>
    <n v="1"/>
    <x v="1"/>
    <n v="34.85"/>
  </r>
  <r>
    <n v="19"/>
    <x v="1"/>
    <x v="1"/>
    <n v="40"/>
    <n v="1.84"/>
    <n v="199"/>
    <n v="123"/>
    <n v="74"/>
    <n v="1.34"/>
    <n v="904"/>
    <x v="4"/>
    <x v="2"/>
    <n v="30.2"/>
    <n v="3.1"/>
    <n v="3"/>
    <n v="1"/>
    <x v="0"/>
    <n v="16.34"/>
  </r>
  <r>
    <n v="20"/>
    <x v="1"/>
    <x v="0"/>
    <n v="73"/>
    <n v="1.59"/>
    <n v="175"/>
    <n v="165"/>
    <n v="70"/>
    <n v="0.96"/>
    <n v="869"/>
    <x v="4"/>
    <x v="1"/>
    <n v="30.1"/>
    <n v="3"/>
    <n v="5"/>
    <n v="1"/>
    <x v="0"/>
    <n v="15.01"/>
  </r>
  <r>
    <n v="23"/>
    <x v="1"/>
    <x v="0"/>
    <n v="56.5"/>
    <n v="1.97"/>
    <n v="169"/>
    <n v="151"/>
    <n v="56"/>
    <n v="2"/>
    <n v="1380"/>
    <x v="0"/>
    <x v="1"/>
    <n v="28.6"/>
    <n v="2.6"/>
    <n v="3"/>
    <n v="2"/>
    <x v="0"/>
    <n v="13.2"/>
  </r>
  <r>
    <n v="33"/>
    <x v="0"/>
    <x v="1"/>
    <n v="78.7"/>
    <n v="1.61"/>
    <n v="193"/>
    <n v="137"/>
    <n v="55"/>
    <n v="0.93"/>
    <n v="1668"/>
    <x v="0"/>
    <x v="4"/>
    <n v="24.5"/>
    <n v="2.2999999999999998"/>
    <m/>
    <n v="2"/>
    <x v="2"/>
    <n v="19.47"/>
  </r>
  <r>
    <n v="27"/>
    <x v="0"/>
    <x v="1"/>
    <n v="75.400000000000006"/>
    <n v="1.58"/>
    <n v="192"/>
    <n v="169"/>
    <n v="63"/>
    <n v="1.3"/>
    <n v="1386"/>
    <x v="0"/>
    <x v="3"/>
    <n v="16.899999999999999"/>
    <n v="3.6"/>
    <n v="3"/>
    <n v="1"/>
    <x v="0"/>
    <n v="15.63"/>
  </r>
  <r>
    <n v="48"/>
    <x v="2"/>
    <x v="1"/>
    <n v="59.6"/>
    <n v="1.78"/>
    <n v="181"/>
    <n v="152"/>
    <n v="53"/>
    <n v="1.65"/>
    <n v="1741"/>
    <x v="0"/>
    <x v="4"/>
    <n v="23.2"/>
    <n v="3.3"/>
    <n v="4"/>
    <n v="1"/>
    <x v="0"/>
    <n v="12.32"/>
  </r>
  <r>
    <n v="29"/>
    <x v="0"/>
    <x v="0"/>
    <n v="57.2"/>
    <n v="1.84"/>
    <n v="168"/>
    <n v="141"/>
    <n v="74"/>
    <n v="1.56"/>
    <n v="303"/>
    <x v="3"/>
    <x v="0"/>
    <n v="16.8"/>
    <n v="2.4"/>
    <n v="5"/>
    <n v="3"/>
    <x v="4"/>
    <n v="29.68"/>
  </r>
  <r>
    <n v="39"/>
    <x v="3"/>
    <x v="0"/>
    <n v="74.3"/>
    <n v="1.63"/>
    <n v="178"/>
    <n v="169"/>
    <n v="57"/>
    <n v="1.35"/>
    <n v="1376"/>
    <x v="3"/>
    <x v="1"/>
    <n v="25.9"/>
    <n v="3.2"/>
    <n v="3"/>
    <n v="3"/>
    <x v="2"/>
    <n v="20.29"/>
  </r>
  <r>
    <n v="46"/>
    <x v="2"/>
    <x v="1"/>
    <n v="64.400000000000006"/>
    <n v="1.82"/>
    <n v="186"/>
    <n v="121"/>
    <n v="72"/>
    <n v="1.96"/>
    <n v="582"/>
    <x v="1"/>
    <x v="2"/>
    <n v="26.2"/>
    <m/>
    <n v="3"/>
    <n v="3"/>
    <x v="4"/>
    <n v="28.07"/>
  </r>
  <r>
    <n v="42"/>
    <x v="3"/>
    <x v="1"/>
    <m/>
    <m/>
    <n v="182"/>
    <n v="140"/>
    <n v="60"/>
    <n v="2"/>
    <n v="786"/>
    <x v="2"/>
    <x v="2"/>
    <n v="27.5"/>
    <n v="1.5"/>
    <n v="2"/>
    <n v="1"/>
    <x v="2"/>
    <n v="22.4"/>
  </r>
  <r>
    <n v="54"/>
    <x v="2"/>
    <x v="1"/>
    <n v="63.8"/>
    <n v="1.92"/>
    <n v="188"/>
    <n v="131"/>
    <n v="57"/>
    <n v="0.98"/>
    <n v="1117"/>
    <x v="2"/>
    <x v="4"/>
    <n v="20.7"/>
    <n v="1.6"/>
    <n v="5"/>
    <n v="2"/>
    <x v="4"/>
    <n v="26.75"/>
  </r>
  <r>
    <n v="21"/>
    <x v="1"/>
    <x v="0"/>
    <n v="45.1"/>
    <n v="1.87"/>
    <n v="192"/>
    <n v="138"/>
    <n v="69"/>
    <n v="1.89"/>
    <n v="1071"/>
    <x v="4"/>
    <x v="1"/>
    <n v="25.8"/>
    <n v="2.2999999999999998"/>
    <n v="5"/>
    <n v="2"/>
    <x v="2"/>
    <n v="19.64"/>
  </r>
  <r>
    <n v="27"/>
    <x v="0"/>
    <x v="1"/>
    <n v="63.7"/>
    <n v="1.86"/>
    <n v="183"/>
    <m/>
    <n v="70"/>
    <n v="0.91"/>
    <n v="759"/>
    <x v="0"/>
    <x v="4"/>
    <n v="24.5"/>
    <n v="3.5"/>
    <n v="3"/>
    <n v="3"/>
    <x v="2"/>
    <n v="18.88"/>
  </r>
  <r>
    <n v="30"/>
    <x v="0"/>
    <x v="0"/>
    <m/>
    <n v="1.81"/>
    <n v="179"/>
    <n v="144"/>
    <n v="50"/>
    <n v="1.52"/>
    <n v="1144"/>
    <x v="2"/>
    <x v="3"/>
    <n v="22"/>
    <n v="1.5"/>
    <n v="2"/>
    <n v="2"/>
    <x v="0"/>
    <n v="14.43"/>
  </r>
  <r>
    <n v="58"/>
    <x v="4"/>
    <x v="2"/>
    <n v="59"/>
    <n v="1.78"/>
    <n v="166"/>
    <n v="144"/>
    <n v="74"/>
    <n v="1.47"/>
    <n v="1152"/>
    <x v="0"/>
    <x v="4"/>
    <n v="28.9"/>
    <n v="3.4"/>
    <n v="5"/>
    <n v="2"/>
    <x v="2"/>
    <n v="22.67"/>
  </r>
  <r>
    <n v="20"/>
    <x v="1"/>
    <x v="1"/>
    <n v="57.1"/>
    <n v="1.66"/>
    <n v="168"/>
    <n v="146"/>
    <n v="74"/>
    <n v="1.17"/>
    <n v="1040"/>
    <x v="1"/>
    <x v="4"/>
    <n v="24.6"/>
    <n v="3.5"/>
    <n v="2"/>
    <n v="2"/>
    <x v="0"/>
    <n v="17.57"/>
  </r>
  <r>
    <n v="43"/>
    <x v="3"/>
    <x v="1"/>
    <n v="68.8"/>
    <n v="1.79"/>
    <n v="188"/>
    <n v="122"/>
    <n v="73"/>
    <n v="1.56"/>
    <n v="350"/>
    <x v="2"/>
    <x v="4"/>
    <n v="23.4"/>
    <n v="1.5"/>
    <n v="4"/>
    <n v="1"/>
    <x v="0"/>
    <n v="14.27"/>
  </r>
  <r>
    <n v="26"/>
    <x v="0"/>
    <x v="0"/>
    <n v="62.9"/>
    <n v="1.69"/>
    <n v="192"/>
    <n v="139"/>
    <n v="69"/>
    <n v="1.77"/>
    <m/>
    <x v="0"/>
    <x v="1"/>
    <n v="28.8"/>
    <n v="3.4"/>
    <n v="4"/>
    <n v="2"/>
    <x v="0"/>
    <n v="12.32"/>
  </r>
  <r>
    <n v="55"/>
    <x v="4"/>
    <x v="0"/>
    <n v="98.6"/>
    <n v="1.6"/>
    <n v="197"/>
    <n v="167"/>
    <n v="74"/>
    <n v="1.1599999999999999"/>
    <n v="802"/>
    <x v="2"/>
    <x v="3"/>
    <n v="22.1"/>
    <n v="2.9"/>
    <n v="4"/>
    <n v="2"/>
    <x v="0"/>
    <n v="14.29"/>
  </r>
  <r>
    <n v="25"/>
    <x v="0"/>
    <x v="0"/>
    <n v="102.8"/>
    <n v="2"/>
    <n v="166"/>
    <n v="131"/>
    <n v="73"/>
    <n v="1.28"/>
    <n v="1783"/>
    <x v="1"/>
    <x v="1"/>
    <n v="27.1"/>
    <n v="3.2"/>
    <m/>
    <n v="1"/>
    <x v="0"/>
    <n v="14.05"/>
  </r>
  <r>
    <n v="36"/>
    <x v="3"/>
    <x v="1"/>
    <n v="45.8"/>
    <n v="1.59"/>
    <n v="177"/>
    <n v="126"/>
    <n v="74"/>
    <n v="0.92"/>
    <n v="1221"/>
    <x v="0"/>
    <x v="2"/>
    <n v="32.9"/>
    <n v="3"/>
    <n v="3"/>
    <n v="3"/>
    <x v="1"/>
    <n v="30.03"/>
  </r>
  <r>
    <n v="53"/>
    <x v="2"/>
    <x v="0"/>
    <n v="47.5"/>
    <n v="1.66"/>
    <n v="166"/>
    <n v="156"/>
    <n v="55"/>
    <n v="1.1000000000000001"/>
    <n v="1766"/>
    <x v="2"/>
    <x v="3"/>
    <n v="22.5"/>
    <n v="1.6"/>
    <n v="3"/>
    <n v="1"/>
    <x v="1"/>
    <n v="32.14"/>
  </r>
  <r>
    <n v="52"/>
    <x v="2"/>
    <x v="1"/>
    <n v="88"/>
    <n v="1.87"/>
    <n v="180"/>
    <n v="128"/>
    <n v="74"/>
    <n v="1.44"/>
    <n v="1058"/>
    <x v="0"/>
    <x v="2"/>
    <n v="32.200000000000003"/>
    <n v="1.7"/>
    <n v="4"/>
    <n v="2"/>
    <x v="4"/>
    <n v="27.54"/>
  </r>
  <r>
    <n v="43"/>
    <x v="3"/>
    <x v="1"/>
    <n v="76.3"/>
    <n v="1.66"/>
    <n v="188"/>
    <n v="164"/>
    <n v="58"/>
    <n v="0.84"/>
    <n v="606"/>
    <x v="0"/>
    <x v="2"/>
    <n v="25.7"/>
    <n v="1.8"/>
    <n v="3"/>
    <n v="1"/>
    <x v="4"/>
    <n v="28.19"/>
  </r>
  <r>
    <n v="31"/>
    <x v="0"/>
    <x v="0"/>
    <n v="85.9"/>
    <n v="1.7"/>
    <n v="162"/>
    <n v="143"/>
    <n v="56"/>
    <n v="2"/>
    <n v="1455"/>
    <x v="3"/>
    <x v="1"/>
    <n v="28"/>
    <n v="3.3"/>
    <n v="3"/>
    <n v="3"/>
    <x v="0"/>
    <n v="12.78"/>
  </r>
  <r>
    <n v="28"/>
    <x v="0"/>
    <x v="1"/>
    <n v="93.7"/>
    <n v="1.77"/>
    <n v="192"/>
    <n v="142"/>
    <n v="57"/>
    <n v="1.45"/>
    <n v="1230"/>
    <x v="1"/>
    <x v="3"/>
    <n v="14.8"/>
    <n v="3.6"/>
    <n v="2"/>
    <n v="2"/>
    <x v="2"/>
    <n v="23.62"/>
  </r>
  <r>
    <n v="26"/>
    <x v="0"/>
    <x v="1"/>
    <n v="83.6"/>
    <n v="1.79"/>
    <n v="171"/>
    <n v="128"/>
    <n v="72"/>
    <n v="0.7"/>
    <n v="1247"/>
    <x v="0"/>
    <x v="2"/>
    <n v="25.4"/>
    <n v="3.2"/>
    <n v="3"/>
    <n v="1"/>
    <x v="4"/>
    <n v="27.91"/>
  </r>
  <r>
    <n v="38"/>
    <x v="3"/>
    <x v="1"/>
    <n v="101.4"/>
    <n v="2"/>
    <n v="190"/>
    <n v="169"/>
    <n v="63"/>
    <m/>
    <n v="1772"/>
    <x v="1"/>
    <x v="4"/>
    <n v="20.7"/>
    <n v="2.6"/>
    <n v="4"/>
    <n v="1"/>
    <x v="1"/>
    <n v="38.99"/>
  </r>
  <r>
    <n v="36"/>
    <x v="3"/>
    <x v="2"/>
    <n v="77.599999999999994"/>
    <n v="1.6"/>
    <n v="183"/>
    <n v="165"/>
    <n v="72"/>
    <n v="0.66"/>
    <n v="1208"/>
    <x v="1"/>
    <x v="4"/>
    <n v="25.6"/>
    <n v="1.7"/>
    <n v="3"/>
    <n v="1"/>
    <x v="0"/>
    <n v="12.44"/>
  </r>
  <r>
    <n v="28"/>
    <x v="0"/>
    <x v="2"/>
    <n v="44.7"/>
    <n v="1.68"/>
    <n v="166"/>
    <n v="160"/>
    <n v="62"/>
    <n v="0.99"/>
    <n v="1672"/>
    <x v="3"/>
    <x v="4"/>
    <n v="28.6"/>
    <n v="1.5"/>
    <n v="2"/>
    <n v="3"/>
    <x v="0"/>
    <n v="17.59"/>
  </r>
  <r>
    <n v="40"/>
    <x v="3"/>
    <x v="1"/>
    <n v="79.900000000000006"/>
    <n v="1.51"/>
    <n v="175"/>
    <n v="169"/>
    <n v="64"/>
    <n v="1.44"/>
    <n v="1277"/>
    <x v="3"/>
    <x v="2"/>
    <n v="26.2"/>
    <n v="1.5"/>
    <n v="5"/>
    <n v="3"/>
    <x v="0"/>
    <n v="14.09"/>
  </r>
  <r>
    <n v="45"/>
    <x v="2"/>
    <x v="0"/>
    <n v="70.2"/>
    <n v="1.82"/>
    <n v="167"/>
    <n v="139"/>
    <n v="67"/>
    <n v="1.32"/>
    <n v="953"/>
    <x v="0"/>
    <x v="0"/>
    <n v="10"/>
    <n v="1.5"/>
    <n v="4"/>
    <n v="2"/>
    <x v="0"/>
    <n v="13.6"/>
  </r>
  <r>
    <n v="40"/>
    <x v="3"/>
    <x v="0"/>
    <n v="44.2"/>
    <n v="1.7"/>
    <n v="161"/>
    <n v="160"/>
    <n v="64"/>
    <n v="1.71"/>
    <n v="979"/>
    <x v="3"/>
    <x v="3"/>
    <n v="23.7"/>
    <n v="3.4"/>
    <n v="3"/>
    <n v="2"/>
    <x v="2"/>
    <n v="24.1"/>
  </r>
  <r>
    <n v="49"/>
    <x v="2"/>
    <x v="1"/>
    <n v="90.6"/>
    <n v="1.78"/>
    <n v="181"/>
    <n v="130"/>
    <n v="63"/>
    <n v="1.27"/>
    <n v="1002"/>
    <x v="0"/>
    <x v="2"/>
    <n v="28.2"/>
    <n v="2.2999999999999998"/>
    <n v="3"/>
    <n v="2"/>
    <x v="0"/>
    <n v="15.66"/>
  </r>
  <r>
    <n v="40"/>
    <x v="3"/>
    <x v="0"/>
    <n v="56.8"/>
    <n v="1.54"/>
    <n v="166"/>
    <n v="167"/>
    <n v="71"/>
    <n v="1.06"/>
    <n v="1225"/>
    <x v="3"/>
    <x v="1"/>
    <n v="27.6"/>
    <n v="1.7"/>
    <n v="4"/>
    <n v="1"/>
    <x v="0"/>
    <n v="12.32"/>
  </r>
  <r>
    <n v="51"/>
    <x v="2"/>
    <x v="0"/>
    <n v="48.7"/>
    <n v="1.5"/>
    <n v="168"/>
    <n v="140"/>
    <n v="58"/>
    <n v="0.93"/>
    <n v="1108"/>
    <x v="1"/>
    <x v="1"/>
    <n v="27.3"/>
    <n v="3.2"/>
    <n v="2"/>
    <n v="2"/>
    <x v="0"/>
    <n v="12.32"/>
  </r>
  <r>
    <n v="41"/>
    <x v="3"/>
    <x v="0"/>
    <n v="72.3"/>
    <n v="1.66"/>
    <n v="165"/>
    <n v="142"/>
    <n v="74"/>
    <n v="1.4"/>
    <n v="758"/>
    <x v="1"/>
    <x v="1"/>
    <n v="25.6"/>
    <n v="3.6"/>
    <n v="4"/>
    <n v="1"/>
    <x v="2"/>
    <n v="23.85"/>
  </r>
  <r>
    <n v="43"/>
    <x v="3"/>
    <x v="0"/>
    <n v="68"/>
    <n v="1.78"/>
    <n v="183"/>
    <n v="120"/>
    <n v="58"/>
    <n v="2"/>
    <n v="1030"/>
    <x v="2"/>
    <x v="3"/>
    <n v="22.8"/>
    <n v="1.5"/>
    <n v="4"/>
    <n v="2"/>
    <x v="0"/>
    <n v="17.25"/>
  </r>
  <r>
    <n v="44"/>
    <x v="3"/>
    <x v="1"/>
    <n v="46.7"/>
    <n v="1.81"/>
    <n v="191"/>
    <n v="132"/>
    <n v="58"/>
    <n v="1.45"/>
    <n v="1113"/>
    <x v="1"/>
    <x v="0"/>
    <n v="10"/>
    <n v="3.5"/>
    <n v="4"/>
    <n v="3"/>
    <x v="2"/>
    <n v="23.21"/>
  </r>
  <r>
    <n v="30"/>
    <x v="0"/>
    <x v="1"/>
    <n v="59.4"/>
    <n v="1.87"/>
    <n v="190"/>
    <n v="122"/>
    <n v="50"/>
    <n v="1.77"/>
    <n v="1337"/>
    <x v="3"/>
    <x v="2"/>
    <n v="25.5"/>
    <n v="2.8"/>
    <n v="4"/>
    <n v="1"/>
    <x v="2"/>
    <n v="23.2"/>
  </r>
  <r>
    <n v="18"/>
    <x v="1"/>
    <x v="0"/>
    <n v="75.900000000000006"/>
    <n v="1.7"/>
    <n v="183"/>
    <n v="151"/>
    <n v="51"/>
    <n v="1.01"/>
    <n v="1289"/>
    <x v="2"/>
    <x v="1"/>
    <n v="30.1"/>
    <n v="3.2"/>
    <n v="2"/>
    <n v="1"/>
    <x v="4"/>
    <n v="24.94"/>
  </r>
  <r>
    <n v="47"/>
    <x v="2"/>
    <x v="0"/>
    <n v="45.1"/>
    <n v="1.73"/>
    <n v="193"/>
    <n v="152"/>
    <n v="57"/>
    <n v="1.25"/>
    <n v="918"/>
    <x v="4"/>
    <x v="1"/>
    <n v="29.7"/>
    <n v="2.8"/>
    <n v="3"/>
    <n v="3"/>
    <x v="0"/>
    <n v="14.58"/>
  </r>
  <r>
    <n v="25"/>
    <x v="0"/>
    <x v="0"/>
    <n v="64.599999999999994"/>
    <n v="1.51"/>
    <n v="194"/>
    <n v="127"/>
    <n v="55"/>
    <n v="1.4"/>
    <n v="1155"/>
    <x v="1"/>
    <x v="1"/>
    <n v="26.9"/>
    <n v="3.5"/>
    <n v="2"/>
    <n v="3"/>
    <x v="0"/>
    <n v="17.739999999999998"/>
  </r>
  <r>
    <n v="18"/>
    <x v="1"/>
    <x v="0"/>
    <n v="68.7"/>
    <n v="1.6"/>
    <n v="163"/>
    <n v="135"/>
    <n v="61"/>
    <n v="1.05"/>
    <n v="367"/>
    <x v="3"/>
    <x v="3"/>
    <n v="23.1"/>
    <n v="3.6"/>
    <n v="3"/>
    <m/>
    <x v="1"/>
    <n v="33.26"/>
  </r>
  <r>
    <n v="45"/>
    <x v="2"/>
    <x v="0"/>
    <n v="61.1"/>
    <n v="1.74"/>
    <n v="171"/>
    <n v="164"/>
    <n v="69"/>
    <n v="1.1599999999999999"/>
    <n v="1019"/>
    <x v="3"/>
    <x v="0"/>
    <n v="19.600000000000001"/>
    <n v="2.8"/>
    <n v="3"/>
    <n v="1"/>
    <x v="0"/>
    <n v="16.37"/>
  </r>
  <r>
    <n v="47"/>
    <x v="2"/>
    <x v="0"/>
    <n v="70.099999999999994"/>
    <n v="1.71"/>
    <n v="199"/>
    <n v="139"/>
    <n v="74"/>
    <n v="1.1499999999999999"/>
    <n v="1238"/>
    <x v="1"/>
    <x v="1"/>
    <n v="25.1"/>
    <n v="2.5"/>
    <n v="4"/>
    <n v="1"/>
    <x v="2"/>
    <n v="19.95"/>
  </r>
  <r>
    <n v="28"/>
    <x v="0"/>
    <x v="1"/>
    <n v="50.3"/>
    <n v="1.81"/>
    <n v="176"/>
    <n v="156"/>
    <n v="70"/>
    <n v="1.46"/>
    <n v="1143"/>
    <x v="0"/>
    <x v="2"/>
    <n v="31.8"/>
    <n v="1.9"/>
    <n v="3"/>
    <n v="1"/>
    <x v="4"/>
    <n v="26.47"/>
  </r>
  <r>
    <n v="18"/>
    <x v="1"/>
    <x v="0"/>
    <n v="66.8"/>
    <n v="1.62"/>
    <n v="161"/>
    <n v="169"/>
    <n v="74"/>
    <n v="1.57"/>
    <n v="1410"/>
    <x v="2"/>
    <x v="1"/>
    <n v="30.2"/>
    <n v="3.3"/>
    <m/>
    <m/>
    <x v="2"/>
    <n v="22.63"/>
  </r>
  <r>
    <n v="28"/>
    <x v="0"/>
    <x v="1"/>
    <n v="59.9"/>
    <n v="1.7"/>
    <n v="169"/>
    <n v="163"/>
    <n v="65"/>
    <n v="1.26"/>
    <n v="1474"/>
    <x v="3"/>
    <x v="0"/>
    <n v="11.7"/>
    <n v="2.9"/>
    <n v="4"/>
    <n v="1"/>
    <x v="1"/>
    <n v="33.85"/>
  </r>
  <r>
    <n v="41"/>
    <x v="3"/>
    <x v="1"/>
    <n v="52.8"/>
    <n v="1.68"/>
    <n v="192"/>
    <n v="132"/>
    <n v="59"/>
    <n v="1.47"/>
    <n v="1709"/>
    <x v="1"/>
    <x v="2"/>
    <n v="29.6"/>
    <n v="3.5"/>
    <n v="4"/>
    <n v="1"/>
    <x v="0"/>
    <n v="12.32"/>
  </r>
  <r>
    <n v="51"/>
    <x v="2"/>
    <x v="0"/>
    <n v="62.7"/>
    <n v="1.73"/>
    <n v="198"/>
    <n v="140"/>
    <n v="50"/>
    <n v="1.98"/>
    <n v="1656"/>
    <x v="0"/>
    <x v="0"/>
    <n v="18.2"/>
    <n v="3.6"/>
    <n v="4"/>
    <n v="2"/>
    <x v="1"/>
    <n v="33.869999999999997"/>
  </r>
  <r>
    <n v="34"/>
    <x v="0"/>
    <x v="1"/>
    <n v="76.400000000000006"/>
    <n v="1.84"/>
    <n v="164"/>
    <n v="161"/>
    <n v="69"/>
    <n v="1.2"/>
    <n v="978"/>
    <x v="1"/>
    <x v="4"/>
    <n v="17"/>
    <n v="3"/>
    <n v="3"/>
    <n v="1"/>
    <x v="2"/>
    <n v="21.69"/>
  </r>
  <r>
    <n v="52"/>
    <x v="2"/>
    <x v="1"/>
    <n v="54.7"/>
    <n v="1.93"/>
    <n v="193"/>
    <n v="135"/>
    <n v="62"/>
    <n v="2"/>
    <n v="416"/>
    <x v="1"/>
    <x v="2"/>
    <n v="31.9"/>
    <n v="3.2"/>
    <n v="2"/>
    <n v="2"/>
    <x v="1"/>
    <n v="34.32"/>
  </r>
  <r>
    <n v="18"/>
    <x v="1"/>
    <x v="0"/>
    <n v="49"/>
    <n v="1.72"/>
    <n v="190"/>
    <n v="153"/>
    <n v="60"/>
    <n v="0.72"/>
    <n v="862"/>
    <x v="2"/>
    <x v="1"/>
    <n v="24.4"/>
    <n v="2.8"/>
    <n v="4"/>
    <n v="3"/>
    <x v="0"/>
    <n v="17.260000000000002"/>
  </r>
  <r>
    <n v="30"/>
    <x v="0"/>
    <x v="1"/>
    <n v="46.3"/>
    <n v="1.59"/>
    <n v="166"/>
    <n v="133"/>
    <n v="54"/>
    <n v="1.33"/>
    <n v="1001"/>
    <x v="0"/>
    <x v="4"/>
    <n v="23.8"/>
    <n v="2.2000000000000002"/>
    <n v="2"/>
    <n v="2"/>
    <x v="0"/>
    <n v="17.739999999999998"/>
  </r>
  <r>
    <n v="35"/>
    <x v="3"/>
    <x v="0"/>
    <n v="68.2"/>
    <n v="1.7"/>
    <n v="178"/>
    <n v="137"/>
    <n v="52"/>
    <n v="2"/>
    <n v="1181"/>
    <x v="2"/>
    <x v="3"/>
    <n v="23.5"/>
    <n v="3.3"/>
    <n v="3"/>
    <n v="2"/>
    <x v="1"/>
    <n v="31.92"/>
  </r>
  <r>
    <n v="36"/>
    <x v="3"/>
    <x v="0"/>
    <n v="85.1"/>
    <n v="1.67"/>
    <n v="184"/>
    <n v="131"/>
    <n v="53"/>
    <n v="1.03"/>
    <n v="608"/>
    <x v="3"/>
    <x v="0"/>
    <n v="19.7"/>
    <n v="2.1"/>
    <n v="4"/>
    <n v="2"/>
    <x v="2"/>
    <n v="20.8"/>
  </r>
  <r>
    <n v="18"/>
    <x v="1"/>
    <x v="0"/>
    <n v="59.8"/>
    <n v="2"/>
    <n v="188"/>
    <n v="144"/>
    <n v="70"/>
    <n v="2"/>
    <n v="1337"/>
    <x v="2"/>
    <x v="2"/>
    <n v="32.9"/>
    <n v="3.1"/>
    <n v="3"/>
    <n v="1"/>
    <x v="0"/>
    <n v="14.17"/>
  </r>
  <r>
    <n v="56"/>
    <x v="4"/>
    <x v="0"/>
    <n v="63.7"/>
    <n v="1.74"/>
    <n v="161"/>
    <n v="158"/>
    <n v="65"/>
    <n v="1.94"/>
    <n v="1297"/>
    <x v="3"/>
    <x v="1"/>
    <n v="28.6"/>
    <n v="3.2"/>
    <n v="3"/>
    <n v="3"/>
    <x v="0"/>
    <n v="14.53"/>
  </r>
  <r>
    <n v="34"/>
    <x v="0"/>
    <x v="1"/>
    <n v="40"/>
    <n v="1.68"/>
    <n v="183"/>
    <n v="167"/>
    <n v="64"/>
    <n v="1.45"/>
    <n v="1642"/>
    <x v="3"/>
    <x v="2"/>
    <n v="28.2"/>
    <n v="2.2999999999999998"/>
    <n v="3"/>
    <n v="2"/>
    <x v="0"/>
    <n v="17.03"/>
  </r>
  <r>
    <n v="56"/>
    <x v="4"/>
    <x v="1"/>
    <n v="64.7"/>
    <n v="1.78"/>
    <n v="199"/>
    <n v="129"/>
    <n v="62"/>
    <n v="1.1000000000000001"/>
    <n v="941"/>
    <x v="2"/>
    <x v="0"/>
    <n v="11.5"/>
    <n v="2.4"/>
    <n v="3"/>
    <n v="2"/>
    <x v="0"/>
    <n v="13.72"/>
  </r>
  <r>
    <n v="28"/>
    <x v="0"/>
    <x v="1"/>
    <n v="56.5"/>
    <n v="1.73"/>
    <n v="198"/>
    <n v="136"/>
    <n v="74"/>
    <n v="1.23"/>
    <n v="991"/>
    <x v="0"/>
    <x v="3"/>
    <n v="14.5"/>
    <n v="3.6"/>
    <n v="5"/>
    <n v="1"/>
    <x v="0"/>
    <n v="13.82"/>
  </r>
  <r>
    <n v="18"/>
    <x v="1"/>
    <x v="1"/>
    <n v="56.9"/>
    <n v="1.74"/>
    <n v="180"/>
    <n v="149"/>
    <n v="59"/>
    <n v="0.89"/>
    <n v="1441"/>
    <x v="1"/>
    <x v="4"/>
    <n v="22"/>
    <n v="3.2"/>
    <n v="2"/>
    <n v="2"/>
    <x v="2"/>
    <n v="19.82"/>
  </r>
  <r>
    <n v="18"/>
    <x v="1"/>
    <x v="1"/>
    <n v="115.8"/>
    <n v="1.68"/>
    <n v="177"/>
    <n v="150"/>
    <n v="74"/>
    <n v="1.1100000000000001"/>
    <n v="629"/>
    <x v="0"/>
    <x v="4"/>
    <n v="24.2"/>
    <n v="3.6"/>
    <n v="5"/>
    <n v="2"/>
    <x v="2"/>
    <n v="20.56"/>
  </r>
  <r>
    <n v="45"/>
    <x v="2"/>
    <x v="1"/>
    <n v="46"/>
    <n v="1.76"/>
    <n v="165"/>
    <n v="135"/>
    <n v="69"/>
    <n v="1.05"/>
    <n v="1121"/>
    <x v="3"/>
    <x v="4"/>
    <n v="24"/>
    <n v="1.5"/>
    <n v="5"/>
    <n v="2"/>
    <x v="4"/>
    <n v="28.92"/>
  </r>
  <r>
    <n v="47"/>
    <x v="2"/>
    <x v="0"/>
    <n v="46.9"/>
    <n v="1.91"/>
    <n v="162"/>
    <n v="145"/>
    <n v="53"/>
    <n v="1.17"/>
    <n v="733"/>
    <x v="2"/>
    <x v="3"/>
    <n v="23.8"/>
    <n v="1.5"/>
    <n v="3"/>
    <n v="2"/>
    <x v="0"/>
    <n v="14.88"/>
  </r>
  <r>
    <n v="49"/>
    <x v="2"/>
    <x v="1"/>
    <n v="110.8"/>
    <n v="1.62"/>
    <n v="162"/>
    <n v="169"/>
    <n v="59"/>
    <n v="1.34"/>
    <n v="1783"/>
    <x v="1"/>
    <x v="0"/>
    <n v="11.5"/>
    <n v="1.7"/>
    <n v="4"/>
    <n v="2"/>
    <x v="2"/>
    <n v="21.26"/>
  </r>
  <r>
    <n v="19"/>
    <x v="1"/>
    <x v="1"/>
    <n v="97.4"/>
    <n v="1.75"/>
    <n v="173"/>
    <n v="144"/>
    <n v="56"/>
    <n v="1.27"/>
    <n v="917"/>
    <x v="2"/>
    <x v="2"/>
    <n v="27.1"/>
    <n v="3.2"/>
    <n v="4"/>
    <n v="2"/>
    <x v="4"/>
    <n v="28.45"/>
  </r>
  <r>
    <n v="42"/>
    <x v="3"/>
    <x v="1"/>
    <n v="117.7"/>
    <n v="1.71"/>
    <n v="198"/>
    <n v="149"/>
    <n v="74"/>
    <n v="0.89"/>
    <n v="943"/>
    <x v="1"/>
    <x v="4"/>
    <n v="23.7"/>
    <n v="1.8"/>
    <n v="4"/>
    <n v="1"/>
    <x v="4"/>
    <n v="26.89"/>
  </r>
  <r>
    <n v="24"/>
    <x v="1"/>
    <x v="2"/>
    <n v="91.2"/>
    <n v="1.66"/>
    <n v="167"/>
    <n v="129"/>
    <n v="60"/>
    <n v="1.27"/>
    <n v="314"/>
    <x v="2"/>
    <x v="4"/>
    <n v="30.8"/>
    <n v="3.4"/>
    <n v="5"/>
    <n v="1"/>
    <x v="2"/>
    <n v="21.76"/>
  </r>
  <r>
    <n v="18"/>
    <x v="1"/>
    <x v="0"/>
    <n v="100.3"/>
    <n v="1.83"/>
    <n v="168"/>
    <n v="125"/>
    <n v="74"/>
    <n v="1.21"/>
    <n v="746"/>
    <x v="3"/>
    <x v="3"/>
    <n v="23.3"/>
    <n v="3.4"/>
    <n v="5"/>
    <n v="1"/>
    <x v="0"/>
    <m/>
  </r>
  <r>
    <n v="28"/>
    <x v="0"/>
    <x v="1"/>
    <n v="51.1"/>
    <n v="1.66"/>
    <n v="161"/>
    <n v="154"/>
    <n v="65"/>
    <n v="0.86"/>
    <n v="944"/>
    <x v="2"/>
    <x v="2"/>
    <n v="31.1"/>
    <n v="3.3"/>
    <n v="5"/>
    <n v="2"/>
    <x v="2"/>
    <n v="19.670000000000002"/>
  </r>
  <r>
    <n v="18"/>
    <x v="1"/>
    <x v="1"/>
    <n v="79"/>
    <n v="1.64"/>
    <n v="191"/>
    <n v="150"/>
    <n v="74"/>
    <n v="1.37"/>
    <n v="1741"/>
    <x v="3"/>
    <x v="3"/>
    <n v="16.899999999999999"/>
    <n v="1.9"/>
    <n v="4"/>
    <m/>
    <x v="1"/>
    <n v="30.73"/>
  </r>
  <r>
    <n v="44"/>
    <x v="3"/>
    <x v="0"/>
    <n v="65"/>
    <n v="1.57"/>
    <n v="165"/>
    <n v="168"/>
    <n v="70"/>
    <n v="1.02"/>
    <n v="1232"/>
    <x v="1"/>
    <x v="1"/>
    <n v="27.9"/>
    <n v="3.6"/>
    <n v="3"/>
    <n v="1"/>
    <x v="1"/>
    <n v="32.75"/>
  </r>
  <r>
    <n v="24"/>
    <x v="1"/>
    <x v="1"/>
    <n v="86.3"/>
    <n v="1.71"/>
    <n v="191"/>
    <n v="150"/>
    <n v="50"/>
    <n v="1.33"/>
    <n v="1166"/>
    <x v="3"/>
    <x v="2"/>
    <n v="33.299999999999997"/>
    <n v="1.8"/>
    <n v="3"/>
    <n v="1"/>
    <x v="2"/>
    <n v="18.7"/>
  </r>
  <r>
    <n v="39"/>
    <x v="3"/>
    <x v="1"/>
    <n v="43.3"/>
    <n v="1.68"/>
    <n v="184"/>
    <n v="128"/>
    <n v="51"/>
    <n v="1.5"/>
    <n v="712"/>
    <x v="1"/>
    <x v="3"/>
    <n v="13.2"/>
    <n v="1.5"/>
    <n v="2"/>
    <n v="2"/>
    <x v="0"/>
    <n v="17.059999999999999"/>
  </r>
  <r>
    <n v="18"/>
    <x v="1"/>
    <x v="1"/>
    <n v="50.6"/>
    <n v="2"/>
    <n v="179"/>
    <n v="133"/>
    <n v="18"/>
    <n v="1.85"/>
    <n v="1265"/>
    <x v="0"/>
    <x v="4"/>
    <n v="19.8"/>
    <n v="2.7"/>
    <m/>
    <n v="2"/>
    <x v="2"/>
    <n v="20.88"/>
  </r>
  <r>
    <n v="52"/>
    <x v="2"/>
    <x v="1"/>
    <n v="40"/>
    <n v="1.71"/>
    <n v="165"/>
    <n v="157"/>
    <n v="74"/>
    <n v="1.64"/>
    <n v="1001"/>
    <x v="2"/>
    <x v="4"/>
    <n v="18.600000000000001"/>
    <n v="2.8"/>
    <n v="4"/>
    <n v="2"/>
    <x v="0"/>
    <n v="17.27"/>
  </r>
  <r>
    <n v="18"/>
    <x v="1"/>
    <x v="0"/>
    <n v="59.9"/>
    <n v="1.76"/>
    <n v="179"/>
    <n v="169"/>
    <n v="66"/>
    <n v="1.26"/>
    <n v="1024"/>
    <x v="1"/>
    <x v="0"/>
    <m/>
    <n v="2.1"/>
    <n v="3"/>
    <n v="1"/>
    <x v="2"/>
    <n v="18.690000000000001"/>
  </r>
  <r>
    <n v="56"/>
    <x v="4"/>
    <x v="0"/>
    <n v="59.1"/>
    <n v="2"/>
    <n v="177"/>
    <m/>
    <n v="58"/>
    <n v="0.94"/>
    <n v="1277"/>
    <x v="3"/>
    <x v="0"/>
    <n v="14.1"/>
    <n v="3.4"/>
    <n v="3"/>
    <n v="2"/>
    <x v="0"/>
    <n v="16.29"/>
  </r>
  <r>
    <n v="24"/>
    <x v="1"/>
    <x v="2"/>
    <n v="62.8"/>
    <n v="1.68"/>
    <n v="177"/>
    <n v="163"/>
    <n v="53"/>
    <n v="2"/>
    <n v="1005"/>
    <x v="2"/>
    <x v="4"/>
    <n v="25.9"/>
    <n v="2.9"/>
    <n v="4"/>
    <n v="1"/>
    <x v="2"/>
    <n v="19.91"/>
  </r>
  <r>
    <n v="59"/>
    <x v="4"/>
    <x v="0"/>
    <n v="72.8"/>
    <n v="1.65"/>
    <n v="172"/>
    <n v="165"/>
    <n v="55"/>
    <n v="1.17"/>
    <n v="1104"/>
    <x v="2"/>
    <x v="0"/>
    <n v="15.4"/>
    <n v="3.4"/>
    <n v="3"/>
    <n v="1"/>
    <x v="0"/>
    <n v="14.86"/>
  </r>
  <r>
    <n v="29"/>
    <x v="0"/>
    <x v="0"/>
    <n v="65"/>
    <n v="1.77"/>
    <n v="194"/>
    <n v="152"/>
    <n v="66"/>
    <n v="1.34"/>
    <n v="715"/>
    <x v="2"/>
    <x v="1"/>
    <n v="25.2"/>
    <n v="1.8"/>
    <n v="2"/>
    <n v="1"/>
    <x v="2"/>
    <n v="23.25"/>
  </r>
  <r>
    <n v="18"/>
    <x v="1"/>
    <x v="0"/>
    <n v="74.2"/>
    <n v="1.85"/>
    <n v="177"/>
    <n v="151"/>
    <n v="66"/>
    <n v="2"/>
    <n v="1104"/>
    <x v="2"/>
    <x v="1"/>
    <n v="28"/>
    <n v="1.5"/>
    <n v="3"/>
    <n v="1"/>
    <x v="0"/>
    <m/>
  </r>
  <r>
    <n v="46"/>
    <x v="2"/>
    <x v="0"/>
    <n v="61.2"/>
    <n v="1.79"/>
    <n v="190"/>
    <n v="157"/>
    <n v="72"/>
    <n v="1.05"/>
    <n v="947"/>
    <x v="0"/>
    <x v="3"/>
    <n v="22.6"/>
    <n v="2.5"/>
    <n v="3"/>
    <n v="1"/>
    <x v="0"/>
    <n v="17.28"/>
  </r>
  <r>
    <n v="27"/>
    <x v="0"/>
    <x v="0"/>
    <n v="63.3"/>
    <n v="1.9"/>
    <n v="183"/>
    <n v="148"/>
    <n v="67"/>
    <n v="0.57999999999999996"/>
    <n v="933"/>
    <x v="2"/>
    <x v="3"/>
    <n v="20"/>
    <n v="3.2"/>
    <n v="4"/>
    <n v="2"/>
    <x v="2"/>
    <n v="22.45"/>
  </r>
  <r>
    <n v="40"/>
    <x v="3"/>
    <x v="0"/>
    <n v="95.3"/>
    <n v="1.86"/>
    <n v="171"/>
    <n v="130"/>
    <n v="67"/>
    <n v="1.46"/>
    <n v="796"/>
    <x v="0"/>
    <x v="0"/>
    <n v="10"/>
    <n v="2"/>
    <n v="4"/>
    <n v="1"/>
    <x v="2"/>
    <n v="22.23"/>
  </r>
  <r>
    <n v="42"/>
    <x v="3"/>
    <x v="2"/>
    <n v="73.599999999999994"/>
    <n v="1.73"/>
    <n v="182"/>
    <n v="159"/>
    <n v="66"/>
    <n v="1.65"/>
    <n v="1265"/>
    <x v="1"/>
    <x v="3"/>
    <n v="23.2"/>
    <n v="2.4"/>
    <n v="2"/>
    <n v="2"/>
    <x v="0"/>
    <m/>
  </r>
  <r>
    <n v="35"/>
    <x v="3"/>
    <x v="1"/>
    <n v="124.8"/>
    <n v="1.75"/>
    <n v="176"/>
    <n v="161"/>
    <n v="59"/>
    <n v="1.2"/>
    <n v="1240"/>
    <x v="3"/>
    <x v="0"/>
    <n v="10"/>
    <n v="3.3"/>
    <n v="3"/>
    <n v="2"/>
    <x v="4"/>
    <n v="28.03"/>
  </r>
  <r>
    <n v="18"/>
    <x v="1"/>
    <x v="1"/>
    <n v="75.400000000000006"/>
    <n v="1.97"/>
    <n v="177"/>
    <n v="136"/>
    <n v="67"/>
    <n v="0.76"/>
    <n v="1371"/>
    <x v="2"/>
    <x v="2"/>
    <n v="29.7"/>
    <n v="3.1"/>
    <n v="2"/>
    <n v="1"/>
    <x v="0"/>
    <n v="15.43"/>
  </r>
  <r>
    <n v="46"/>
    <x v="2"/>
    <x v="1"/>
    <n v="49.8"/>
    <n v="1.91"/>
    <n v="160"/>
    <n v="146"/>
    <n v="65"/>
    <n v="2"/>
    <n v="1009"/>
    <x v="2"/>
    <x v="2"/>
    <n v="29.4"/>
    <n v="3"/>
    <n v="3"/>
    <n v="3"/>
    <x v="0"/>
    <n v="12.84"/>
  </r>
  <r>
    <n v="18"/>
    <x v="1"/>
    <x v="1"/>
    <n v="61"/>
    <n v="1.67"/>
    <n v="163"/>
    <n v="139"/>
    <n v="70"/>
    <n v="1.22"/>
    <n v="361"/>
    <x v="0"/>
    <x v="2"/>
    <n v="27.4"/>
    <n v="3.4"/>
    <n v="2"/>
    <n v="3"/>
    <x v="0"/>
    <n v="17.170000000000002"/>
  </r>
  <r>
    <n v="47"/>
    <x v="2"/>
    <x v="1"/>
    <n v="100.2"/>
    <n v="1.67"/>
    <n v="196"/>
    <n v="151"/>
    <n v="73"/>
    <n v="1.48"/>
    <n v="953"/>
    <x v="4"/>
    <x v="4"/>
    <n v="24.5"/>
    <n v="3.2"/>
    <n v="3"/>
    <m/>
    <x v="4"/>
    <n v="26.79"/>
  </r>
  <r>
    <n v="33"/>
    <x v="0"/>
    <x v="0"/>
    <n v="73"/>
    <n v="1.69"/>
    <n v="196"/>
    <n v="135"/>
    <n v="67"/>
    <n v="1.93"/>
    <n v="881"/>
    <x v="3"/>
    <x v="0"/>
    <n v="10"/>
    <n v="2.2000000000000002"/>
    <n v="2"/>
    <n v="2"/>
    <x v="2"/>
    <n v="23.54"/>
  </r>
  <r>
    <n v="30"/>
    <x v="0"/>
    <x v="1"/>
    <n v="88.2"/>
    <n v="1.72"/>
    <n v="191"/>
    <n v="155"/>
    <n v="54"/>
    <n v="1.28"/>
    <n v="911"/>
    <x v="0"/>
    <x v="2"/>
    <n v="27.2"/>
    <n v="2.2000000000000002"/>
    <n v="4"/>
    <n v="3"/>
    <x v="0"/>
    <n v="15.42"/>
  </r>
  <r>
    <n v="34"/>
    <x v="0"/>
    <x v="0"/>
    <n v="61.7"/>
    <n v="1.81"/>
    <n v="183"/>
    <n v="141"/>
    <n v="72"/>
    <n v="0.98"/>
    <n v="1443"/>
    <x v="2"/>
    <x v="2"/>
    <n v="31.4"/>
    <n v="2.6"/>
    <n v="4"/>
    <n v="3"/>
    <x v="2"/>
    <n v="20.6"/>
  </r>
  <r>
    <n v="30"/>
    <x v="0"/>
    <x v="1"/>
    <n v="120"/>
    <n v="1.79"/>
    <n v="187"/>
    <n v="141"/>
    <n v="51"/>
    <n v="2"/>
    <n v="1508"/>
    <x v="3"/>
    <x v="0"/>
    <m/>
    <n v="2.5"/>
    <n v="4"/>
    <n v="1"/>
    <x v="2"/>
    <n v="21.36"/>
  </r>
  <r>
    <n v="30"/>
    <x v="0"/>
    <x v="1"/>
    <n v="45.4"/>
    <n v="1.73"/>
    <n v="197"/>
    <n v="151"/>
    <n v="50"/>
    <n v="1.27"/>
    <n v="1200"/>
    <x v="1"/>
    <x v="4"/>
    <n v="23.1"/>
    <n v="3.6"/>
    <n v="4"/>
    <n v="3"/>
    <x v="0"/>
    <n v="17.329999999999998"/>
  </r>
  <r>
    <n v="30"/>
    <x v="0"/>
    <x v="1"/>
    <n v="40"/>
    <n v="1.87"/>
    <n v="186"/>
    <n v="140"/>
    <n v="56"/>
    <n v="1.57"/>
    <n v="848"/>
    <x v="4"/>
    <x v="2"/>
    <n v="26.6"/>
    <n v="2.6"/>
    <n v="5"/>
    <n v="1"/>
    <x v="0"/>
    <n v="12.87"/>
  </r>
  <r>
    <n v="22"/>
    <x v="1"/>
    <x v="1"/>
    <n v="129.9"/>
    <n v="1.62"/>
    <n v="185"/>
    <n v="141"/>
    <n v="52"/>
    <n v="1.62"/>
    <n v="571"/>
    <x v="0"/>
    <x v="2"/>
    <n v="27.2"/>
    <n v="1.8"/>
    <n v="4"/>
    <n v="2"/>
    <x v="0"/>
    <n v="12.32"/>
  </r>
  <r>
    <n v="53"/>
    <x v="2"/>
    <x v="0"/>
    <n v="71.900000000000006"/>
    <n v="2"/>
    <n v="191"/>
    <n v="161"/>
    <n v="74"/>
    <n v="1.6"/>
    <n v="1286"/>
    <x v="1"/>
    <x v="1"/>
    <n v="29"/>
    <n v="3.7"/>
    <n v="5"/>
    <n v="2"/>
    <x v="0"/>
    <n v="12.32"/>
  </r>
  <r>
    <n v="44"/>
    <x v="3"/>
    <x v="0"/>
    <n v="115.6"/>
    <n v="1.5"/>
    <n v="186"/>
    <n v="145"/>
    <n v="55"/>
    <n v="1.65"/>
    <n v="1075"/>
    <x v="2"/>
    <x v="1"/>
    <n v="25.1"/>
    <n v="3.5"/>
    <n v="2"/>
    <n v="1"/>
    <x v="0"/>
    <n v="18.41"/>
  </r>
  <r>
    <n v="26"/>
    <x v="0"/>
    <x v="0"/>
    <n v="64.7"/>
    <n v="1.61"/>
    <n v="197"/>
    <n v="137"/>
    <n v="74"/>
    <n v="1.48"/>
    <n v="1088"/>
    <x v="2"/>
    <x v="1"/>
    <n v="25.1"/>
    <n v="2.2000000000000002"/>
    <n v="5"/>
    <n v="2"/>
    <x v="2"/>
    <n v="24.23"/>
  </r>
  <r>
    <n v="52"/>
    <x v="2"/>
    <x v="1"/>
    <n v="58.2"/>
    <n v="1.71"/>
    <n v="182"/>
    <n v="161"/>
    <n v="50"/>
    <n v="1.49"/>
    <n v="1364"/>
    <x v="2"/>
    <x v="2"/>
    <n v="28.7"/>
    <n v="3.5"/>
    <n v="3"/>
    <n v="2"/>
    <x v="2"/>
    <n v="21.89"/>
  </r>
  <r>
    <n v="49"/>
    <x v="2"/>
    <x v="1"/>
    <n v="53.8"/>
    <n v="1.81"/>
    <n v="185"/>
    <n v="169"/>
    <n v="71"/>
    <n v="1.56"/>
    <n v="1345"/>
    <x v="0"/>
    <x v="2"/>
    <n v="25.3"/>
    <n v="2.4"/>
    <n v="4"/>
    <n v="2"/>
    <x v="2"/>
    <n v="19.34"/>
  </r>
  <r>
    <n v="26"/>
    <x v="0"/>
    <x v="0"/>
    <n v="63.6"/>
    <n v="1.77"/>
    <n v="173"/>
    <n v="145"/>
    <n v="55"/>
    <n v="1.29"/>
    <n v="1586"/>
    <x v="0"/>
    <x v="0"/>
    <n v="18.899999999999999"/>
    <n v="2.8"/>
    <n v="3"/>
    <n v="1"/>
    <x v="2"/>
    <n v="22.45"/>
  </r>
  <r>
    <n v="23"/>
    <x v="1"/>
    <x v="1"/>
    <n v="62.3"/>
    <n v="1.68"/>
    <n v="167"/>
    <n v="122"/>
    <n v="74"/>
    <n v="1.69"/>
    <n v="772"/>
    <x v="1"/>
    <x v="4"/>
    <n v="21.1"/>
    <n v="3.3"/>
    <m/>
    <n v="1"/>
    <x v="0"/>
    <n v="12.98"/>
  </r>
  <r>
    <n v="26"/>
    <x v="0"/>
    <x v="1"/>
    <n v="55.9"/>
    <n v="1.61"/>
    <n v="192"/>
    <m/>
    <n v="74"/>
    <n v="1"/>
    <n v="1133"/>
    <x v="1"/>
    <x v="4"/>
    <n v="21.1"/>
    <n v="2.6"/>
    <n v="5"/>
    <n v="1"/>
    <x v="2"/>
    <n v="21.42"/>
  </r>
  <r>
    <n v="41"/>
    <x v="3"/>
    <x v="0"/>
    <n v="65.7"/>
    <n v="1.57"/>
    <n v="170"/>
    <n v="169"/>
    <n v="71"/>
    <n v="1.1299999999999999"/>
    <n v="708"/>
    <x v="3"/>
    <x v="1"/>
    <n v="26.5"/>
    <n v="1.9"/>
    <n v="5"/>
    <n v="1"/>
    <x v="0"/>
    <n v="12.32"/>
  </r>
  <r>
    <n v="59"/>
    <x v="4"/>
    <x v="0"/>
    <n v="65.5"/>
    <n v="1.78"/>
    <n v="168"/>
    <n v="139"/>
    <n v="56"/>
    <n v="1.26"/>
    <n v="505"/>
    <x v="0"/>
    <x v="3"/>
    <n v="22.8"/>
    <n v="2"/>
    <n v="2"/>
    <n v="2"/>
    <x v="4"/>
    <n v="28.6"/>
  </r>
  <r>
    <n v="39"/>
    <x v="3"/>
    <x v="0"/>
    <n v="90.5"/>
    <m/>
    <n v="175"/>
    <n v="169"/>
    <n v="51"/>
    <n v="2"/>
    <n v="883"/>
    <x v="2"/>
    <x v="1"/>
    <n v="30.8"/>
    <n v="3.6"/>
    <n v="3"/>
    <n v="2"/>
    <x v="2"/>
    <n v="20.059999999999999"/>
  </r>
  <r>
    <n v="28"/>
    <x v="0"/>
    <x v="0"/>
    <n v="40"/>
    <n v="1.81"/>
    <n v="194"/>
    <n v="164"/>
    <n v="57"/>
    <n v="1.57"/>
    <n v="1070"/>
    <x v="3"/>
    <x v="3"/>
    <n v="21.3"/>
    <n v="3.4"/>
    <n v="3"/>
    <n v="1"/>
    <x v="1"/>
    <n v="37.33"/>
  </r>
  <r>
    <n v="48"/>
    <x v="2"/>
    <x v="1"/>
    <n v="40"/>
    <n v="1.67"/>
    <n v="169"/>
    <n v="168"/>
    <n v="57"/>
    <n v="2"/>
    <n v="833"/>
    <x v="0"/>
    <x v="4"/>
    <n v="17.8"/>
    <n v="2.2000000000000002"/>
    <n v="3"/>
    <n v="3"/>
    <x v="0"/>
    <n v="12.32"/>
  </r>
  <r>
    <n v="54"/>
    <x v="2"/>
    <x v="0"/>
    <n v="76.8"/>
    <n v="1.79"/>
    <n v="189"/>
    <n v="132"/>
    <n v="64"/>
    <n v="1.32"/>
    <n v="815"/>
    <x v="0"/>
    <x v="3"/>
    <n v="20.7"/>
    <n v="2.1"/>
    <n v="4"/>
    <n v="1"/>
    <x v="2"/>
    <n v="20.66"/>
  </r>
  <r>
    <n v="26"/>
    <x v="0"/>
    <x v="0"/>
    <n v="92.4"/>
    <n v="1.59"/>
    <n v="165"/>
    <n v="169"/>
    <n v="55"/>
    <n v="1.49"/>
    <n v="1783"/>
    <x v="2"/>
    <x v="1"/>
    <n v="24.9"/>
    <n v="1.5"/>
    <n v="4"/>
    <n v="2"/>
    <x v="2"/>
    <n v="22.09"/>
  </r>
  <r>
    <n v="28"/>
    <x v="0"/>
    <x v="1"/>
    <n v="88.5"/>
    <n v="1.64"/>
    <n v="160"/>
    <n v="163"/>
    <n v="50"/>
    <n v="1.25"/>
    <n v="1190"/>
    <x v="1"/>
    <x v="2"/>
    <n v="31.7"/>
    <n v="3.2"/>
    <n v="3"/>
    <n v="1"/>
    <x v="4"/>
    <n v="26.98"/>
  </r>
  <r>
    <n v="52"/>
    <x v="2"/>
    <x v="0"/>
    <n v="54.3"/>
    <n v="1.73"/>
    <n v="185"/>
    <n v="137"/>
    <n v="57"/>
    <n v="2"/>
    <n v="1783"/>
    <x v="3"/>
    <x v="3"/>
    <n v="20.5"/>
    <n v="3.1"/>
    <n v="3"/>
    <n v="2"/>
    <x v="2"/>
    <n v="22.75"/>
  </r>
  <r>
    <n v="23"/>
    <x v="1"/>
    <x v="1"/>
    <n v="71.2"/>
    <n v="1.56"/>
    <n v="170"/>
    <n v="140"/>
    <n v="68"/>
    <n v="0.79"/>
    <n v="1014"/>
    <x v="3"/>
    <x v="4"/>
    <n v="21.8"/>
    <n v="3.5"/>
    <n v="4"/>
    <n v="1"/>
    <x v="0"/>
    <n v="13.25"/>
  </r>
  <r>
    <n v="26"/>
    <x v="0"/>
    <x v="0"/>
    <n v="64.099999999999994"/>
    <n v="1.68"/>
    <n v="190"/>
    <n v="168"/>
    <n v="55"/>
    <n v="1.35"/>
    <n v="1175"/>
    <x v="0"/>
    <x v="1"/>
    <n v="28.1"/>
    <n v="3.4"/>
    <n v="2"/>
    <n v="2"/>
    <x v="3"/>
    <n v="39.840000000000003"/>
  </r>
  <r>
    <n v="18"/>
    <x v="1"/>
    <x v="0"/>
    <n v="45.3"/>
    <n v="1.75"/>
    <n v="190"/>
    <n v="169"/>
    <n v="69"/>
    <n v="0.82"/>
    <n v="808"/>
    <x v="1"/>
    <x v="1"/>
    <n v="28.4"/>
    <n v="3.7"/>
    <n v="2"/>
    <n v="3"/>
    <x v="4"/>
    <n v="26.5"/>
  </r>
  <r>
    <n v="21"/>
    <x v="1"/>
    <x v="0"/>
    <n v="76"/>
    <n v="1.72"/>
    <n v="196"/>
    <n v="160"/>
    <n v="73"/>
    <n v="1.51"/>
    <n v="1306"/>
    <x v="0"/>
    <x v="1"/>
    <n v="28.8"/>
    <n v="3.5"/>
    <n v="3"/>
    <n v="3"/>
    <x v="0"/>
    <n v="12.32"/>
  </r>
  <r>
    <n v="41"/>
    <x v="3"/>
    <x v="0"/>
    <n v="40"/>
    <n v="1.69"/>
    <n v="192"/>
    <n v="138"/>
    <n v="66"/>
    <n v="0.95"/>
    <n v="1556"/>
    <x v="3"/>
    <x v="1"/>
    <n v="26"/>
    <n v="2.6"/>
    <n v="4"/>
    <n v="1"/>
    <x v="2"/>
    <n v="19.940000000000001"/>
  </r>
  <r>
    <n v="30"/>
    <x v="0"/>
    <x v="1"/>
    <n v="129.9"/>
    <n v="1.78"/>
    <n v="189"/>
    <n v="120"/>
    <n v="74"/>
    <n v="1.51"/>
    <n v="828"/>
    <x v="3"/>
    <x v="4"/>
    <n v="20"/>
    <n v="1.5"/>
    <n v="2"/>
    <n v="1"/>
    <x v="1"/>
    <n v="30.83"/>
  </r>
  <r>
    <n v="27"/>
    <x v="0"/>
    <x v="0"/>
    <n v="62.9"/>
    <n v="1.73"/>
    <n v="187"/>
    <n v="157"/>
    <n v="54"/>
    <n v="0.99"/>
    <n v="569"/>
    <x v="0"/>
    <x v="1"/>
    <n v="27.9"/>
    <n v="2.4"/>
    <n v="4"/>
    <n v="1"/>
    <x v="4"/>
    <n v="28.52"/>
  </r>
  <r>
    <n v="28"/>
    <x v="0"/>
    <x v="1"/>
    <n v="69.3"/>
    <n v="1.99"/>
    <n v="183"/>
    <n v="154"/>
    <n v="62"/>
    <n v="1.97"/>
    <n v="827"/>
    <x v="0"/>
    <x v="3"/>
    <n v="14.4"/>
    <n v="1.5"/>
    <n v="4"/>
    <n v="2"/>
    <x v="2"/>
    <n v="18.72"/>
  </r>
  <r>
    <n v="38"/>
    <x v="3"/>
    <x v="1"/>
    <n v="60.6"/>
    <n v="1.81"/>
    <n v="170"/>
    <n v="159"/>
    <n v="71"/>
    <n v="1.45"/>
    <n v="577"/>
    <x v="1"/>
    <x v="4"/>
    <n v="24.8"/>
    <n v="3.7"/>
    <n v="3"/>
    <n v="3"/>
    <x v="0"/>
    <n v="13.74"/>
  </r>
  <r>
    <n v="59"/>
    <x v="4"/>
    <x v="0"/>
    <n v="40"/>
    <n v="1.65"/>
    <n v="179"/>
    <n v="163"/>
    <n v="71"/>
    <n v="1.93"/>
    <n v="823"/>
    <x v="1"/>
    <x v="3"/>
    <n v="23.4"/>
    <n v="3.4"/>
    <n v="3"/>
    <n v="1"/>
    <x v="2"/>
    <n v="22.78"/>
  </r>
  <r>
    <n v="33"/>
    <x v="0"/>
    <x v="0"/>
    <n v="56.6"/>
    <n v="2"/>
    <n v="173"/>
    <n v="131"/>
    <n v="71"/>
    <n v="1.65"/>
    <n v="680"/>
    <x v="4"/>
    <x v="1"/>
    <n v="24.1"/>
    <n v="1.9"/>
    <n v="3"/>
    <n v="2"/>
    <x v="1"/>
    <n v="37.619999999999997"/>
  </r>
  <r>
    <n v="27"/>
    <x v="0"/>
    <x v="0"/>
    <n v="75.2"/>
    <n v="1.96"/>
    <n v="172"/>
    <n v="132"/>
    <n v="61"/>
    <n v="1.22"/>
    <n v="829"/>
    <x v="2"/>
    <x v="0"/>
    <n v="14.9"/>
    <n v="2.7"/>
    <n v="3"/>
    <n v="1"/>
    <x v="2"/>
    <n v="21.52"/>
  </r>
  <r>
    <n v="46"/>
    <x v="2"/>
    <x v="0"/>
    <n v="78.400000000000006"/>
    <n v="1.55"/>
    <n v="176"/>
    <n v="132"/>
    <n v="69"/>
    <n v="2"/>
    <m/>
    <x v="0"/>
    <x v="3"/>
    <n v="23.3"/>
    <n v="2.2000000000000002"/>
    <n v="2"/>
    <n v="1"/>
    <x v="2"/>
    <n v="23.63"/>
  </r>
  <r>
    <n v="25"/>
    <x v="0"/>
    <x v="1"/>
    <n v="42.2"/>
    <n v="1.82"/>
    <n v="185"/>
    <n v="140"/>
    <n v="56"/>
    <n v="0.86"/>
    <n v="373"/>
    <x v="0"/>
    <x v="4"/>
    <n v="17.899999999999999"/>
    <n v="3.5"/>
    <n v="4"/>
    <n v="2"/>
    <x v="4"/>
    <n v="29.27"/>
  </r>
  <r>
    <n v="29"/>
    <x v="0"/>
    <x v="0"/>
    <n v="57"/>
    <n v="1.7"/>
    <n v="168"/>
    <n v="160"/>
    <n v="61"/>
    <n v="0.74"/>
    <n v="976"/>
    <x v="3"/>
    <x v="0"/>
    <n v="17.7"/>
    <n v="2.8"/>
    <n v="4"/>
    <n v="3"/>
    <x v="0"/>
    <n v="12.32"/>
  </r>
  <r>
    <n v="32"/>
    <x v="0"/>
    <x v="0"/>
    <n v="40"/>
    <n v="1.89"/>
    <n v="177"/>
    <n v="134"/>
    <n v="71"/>
    <m/>
    <n v="1270"/>
    <x v="2"/>
    <x v="3"/>
    <n v="23.9"/>
    <n v="1.9"/>
    <m/>
    <n v="2"/>
    <x v="0"/>
    <n v="18"/>
  </r>
  <r>
    <n v="49"/>
    <x v="2"/>
    <x v="1"/>
    <n v="128.5"/>
    <n v="1.96"/>
    <n v="196"/>
    <n v="138"/>
    <n v="68"/>
    <n v="0.5"/>
    <n v="1165"/>
    <x v="1"/>
    <x v="2"/>
    <n v="26.1"/>
    <n v="3.4"/>
    <n v="2"/>
    <n v="1"/>
    <x v="2"/>
    <n v="22.89"/>
  </r>
  <r>
    <n v="28"/>
    <x v="0"/>
    <x v="0"/>
    <n v="45"/>
    <n v="1.8"/>
    <n v="187"/>
    <n v="162"/>
    <n v="74"/>
    <n v="1.82"/>
    <n v="1395"/>
    <x v="0"/>
    <x v="3"/>
    <n v="23.2"/>
    <n v="2.7"/>
    <n v="4"/>
    <n v="3"/>
    <x v="0"/>
    <n v="12.32"/>
  </r>
  <r>
    <n v="18"/>
    <x v="1"/>
    <x v="0"/>
    <n v="78.5"/>
    <n v="1.81"/>
    <n v="190"/>
    <n v="127"/>
    <n v="74"/>
    <n v="1.38"/>
    <n v="466"/>
    <x v="3"/>
    <x v="1"/>
    <n v="29.9"/>
    <n v="1.7"/>
    <n v="4"/>
    <n v="3"/>
    <x v="0"/>
    <n v="15.7"/>
  </r>
  <r>
    <n v="50"/>
    <x v="2"/>
    <x v="0"/>
    <n v="49.4"/>
    <n v="1.91"/>
    <n v="188"/>
    <n v="131"/>
    <n v="74"/>
    <n v="1.1100000000000001"/>
    <n v="963"/>
    <x v="0"/>
    <x v="0"/>
    <n v="17.600000000000001"/>
    <n v="2.7"/>
    <n v="2"/>
    <n v="1"/>
    <x v="0"/>
    <n v="17.89"/>
  </r>
  <r>
    <n v="27"/>
    <x v="0"/>
    <x v="0"/>
    <n v="50.3"/>
    <n v="1.66"/>
    <n v="180"/>
    <n v="131"/>
    <n v="74"/>
    <n v="1.1200000000000001"/>
    <n v="677"/>
    <x v="1"/>
    <x v="1"/>
    <n v="27.6"/>
    <n v="1.8"/>
    <n v="2"/>
    <n v="2"/>
    <x v="3"/>
    <n v="39.72"/>
  </r>
  <r>
    <n v="40"/>
    <x v="3"/>
    <x v="0"/>
    <n v="61"/>
    <n v="1.88"/>
    <n v="171"/>
    <n v="138"/>
    <n v="62"/>
    <n v="1.38"/>
    <n v="1180"/>
    <x v="2"/>
    <x v="1"/>
    <n v="24.9"/>
    <n v="2"/>
    <n v="2"/>
    <n v="3"/>
    <x v="0"/>
    <n v="12.32"/>
  </r>
  <r>
    <n v="59"/>
    <x v="4"/>
    <x v="1"/>
    <n v="79.3"/>
    <n v="1.79"/>
    <n v="198"/>
    <n v="162"/>
    <n v="74"/>
    <n v="1.78"/>
    <n v="933"/>
    <x v="0"/>
    <x v="2"/>
    <n v="25.2"/>
    <n v="2.7"/>
    <n v="4"/>
    <n v="2"/>
    <x v="0"/>
    <n v="16"/>
  </r>
  <r>
    <n v="57"/>
    <x v="4"/>
    <x v="0"/>
    <n v="40"/>
    <n v="1.62"/>
    <n v="190"/>
    <n v="123"/>
    <n v="57"/>
    <n v="1.43"/>
    <n v="1093"/>
    <x v="3"/>
    <x v="1"/>
    <n v="25.2"/>
    <n v="3.2"/>
    <n v="5"/>
    <n v="1"/>
    <x v="2"/>
    <n v="21.11"/>
  </r>
  <r>
    <n v="18"/>
    <x v="1"/>
    <x v="1"/>
    <n v="50"/>
    <n v="1.69"/>
    <n v="196"/>
    <n v="143"/>
    <n v="53"/>
    <m/>
    <n v="1115"/>
    <x v="3"/>
    <x v="4"/>
    <n v="21.6"/>
    <n v="2.7"/>
    <n v="4"/>
    <m/>
    <x v="4"/>
    <n v="28.53"/>
  </r>
  <r>
    <n v="18"/>
    <x v="1"/>
    <x v="1"/>
    <n v="48.6"/>
    <n v="1.95"/>
    <n v="175"/>
    <n v="152"/>
    <n v="57"/>
    <n v="1.87"/>
    <n v="862"/>
    <x v="0"/>
    <x v="4"/>
    <n v="23.1"/>
    <n v="1.6"/>
    <n v="3"/>
    <n v="1"/>
    <x v="0"/>
    <n v="12.32"/>
  </r>
  <r>
    <n v="26"/>
    <x v="0"/>
    <x v="1"/>
    <n v="91.3"/>
    <n v="1.63"/>
    <n v="186"/>
    <n v="156"/>
    <n v="67"/>
    <n v="0.92"/>
    <n v="1091"/>
    <x v="3"/>
    <x v="4"/>
    <n v="22.6"/>
    <n v="2.4"/>
    <m/>
    <n v="1"/>
    <x v="2"/>
    <n v="19.46"/>
  </r>
  <r>
    <n v="50"/>
    <x v="2"/>
    <x v="0"/>
    <n v="102.2"/>
    <n v="1.65"/>
    <n v="198"/>
    <n v="157"/>
    <n v="64"/>
    <n v="1.64"/>
    <n v="1123"/>
    <x v="3"/>
    <x v="0"/>
    <n v="17.3"/>
    <n v="3.3"/>
    <n v="4"/>
    <n v="2"/>
    <x v="0"/>
    <n v="17.77"/>
  </r>
  <r>
    <n v="48"/>
    <x v="2"/>
    <x v="0"/>
    <n v="40"/>
    <n v="1.75"/>
    <n v="196"/>
    <n v="133"/>
    <n v="74"/>
    <n v="2"/>
    <n v="517"/>
    <x v="1"/>
    <x v="0"/>
    <n v="12.8"/>
    <n v="2.5"/>
    <n v="4"/>
    <n v="1"/>
    <x v="0"/>
    <n v="12.32"/>
  </r>
  <r>
    <n v="41"/>
    <x v="3"/>
    <x v="0"/>
    <n v="69.599999999999994"/>
    <n v="1.63"/>
    <n v="193"/>
    <n v="169"/>
    <n v="55"/>
    <n v="1.46"/>
    <n v="1157"/>
    <x v="0"/>
    <x v="1"/>
    <n v="27.9"/>
    <n v="3.7"/>
    <n v="4"/>
    <n v="1"/>
    <x v="1"/>
    <n v="32.29"/>
  </r>
  <r>
    <n v="23"/>
    <x v="1"/>
    <x v="0"/>
    <n v="56.8"/>
    <n v="1.75"/>
    <n v="183"/>
    <n v="149"/>
    <n v="74"/>
    <n v="1.54"/>
    <n v="926"/>
    <x v="0"/>
    <x v="1"/>
    <n v="25.3"/>
    <n v="2.6"/>
    <n v="2"/>
    <m/>
    <x v="0"/>
    <n v="12.32"/>
  </r>
  <r>
    <n v="50"/>
    <x v="2"/>
    <x v="0"/>
    <n v="99.4"/>
    <n v="1.7"/>
    <n v="181"/>
    <n v="120"/>
    <n v="58"/>
    <n v="0.88"/>
    <n v="694"/>
    <x v="3"/>
    <x v="1"/>
    <n v="30.5"/>
    <n v="1.5"/>
    <n v="3"/>
    <m/>
    <x v="0"/>
    <n v="16.45"/>
  </r>
  <r>
    <n v="18"/>
    <x v="1"/>
    <x v="1"/>
    <n v="51.4"/>
    <n v="1.83"/>
    <n v="195"/>
    <n v="141"/>
    <n v="54"/>
    <n v="0.97"/>
    <n v="1145"/>
    <x v="2"/>
    <x v="4"/>
    <n v="23.7"/>
    <n v="1.7"/>
    <n v="2"/>
    <n v="3"/>
    <x v="0"/>
    <n v="16.63"/>
  </r>
  <r>
    <n v="22"/>
    <x v="1"/>
    <x v="1"/>
    <n v="96.9"/>
    <n v="1.8"/>
    <n v="163"/>
    <n v="132"/>
    <n v="56"/>
    <n v="0.94"/>
    <n v="748"/>
    <x v="2"/>
    <x v="4"/>
    <n v="21.7"/>
    <n v="2.5"/>
    <n v="4"/>
    <n v="2"/>
    <x v="2"/>
    <n v="24.29"/>
  </r>
  <r>
    <n v="26"/>
    <x v="0"/>
    <x v="0"/>
    <n v="64.3"/>
    <n v="1.7"/>
    <n v="192"/>
    <n v="140"/>
    <n v="65"/>
    <n v="1.51"/>
    <n v="1236"/>
    <x v="3"/>
    <x v="2"/>
    <n v="33.9"/>
    <n v="3.6"/>
    <n v="3"/>
    <n v="2"/>
    <x v="3"/>
    <n v="39.07"/>
  </r>
  <r>
    <n v="42"/>
    <x v="3"/>
    <x v="0"/>
    <n v="40"/>
    <n v="1.72"/>
    <n v="197"/>
    <n v="139"/>
    <n v="74"/>
    <n v="1.64"/>
    <n v="1143"/>
    <x v="3"/>
    <x v="1"/>
    <n v="24"/>
    <n v="1.5"/>
    <n v="3"/>
    <n v="2"/>
    <x v="2"/>
    <n v="19.149999999999999"/>
  </r>
  <r>
    <n v="37"/>
    <x v="3"/>
    <x v="1"/>
    <n v="40"/>
    <n v="1.92"/>
    <n v="194"/>
    <n v="128"/>
    <n v="72"/>
    <n v="1.89"/>
    <n v="1753"/>
    <x v="0"/>
    <x v="0"/>
    <n v="10"/>
    <n v="3.4"/>
    <n v="5"/>
    <n v="1"/>
    <x v="0"/>
    <n v="15.24"/>
  </r>
  <r>
    <n v="30"/>
    <x v="0"/>
    <x v="0"/>
    <n v="85.4"/>
    <n v="1.71"/>
    <n v="188"/>
    <n v="169"/>
    <n v="74"/>
    <n v="1.17"/>
    <n v="744"/>
    <x v="2"/>
    <x v="3"/>
    <n v="21.6"/>
    <n v="3.6"/>
    <n v="4"/>
    <n v="2"/>
    <x v="2"/>
    <n v="20.149999999999999"/>
  </r>
  <r>
    <n v="33"/>
    <x v="0"/>
    <x v="0"/>
    <n v="72.900000000000006"/>
    <n v="1.58"/>
    <n v="178"/>
    <n v="153"/>
    <n v="57"/>
    <n v="0.94"/>
    <n v="1139"/>
    <x v="2"/>
    <x v="1"/>
    <n v="25.9"/>
    <n v="3.5"/>
    <n v="2"/>
    <n v="1"/>
    <x v="2"/>
    <n v="18.97"/>
  </r>
  <r>
    <n v="25"/>
    <x v="0"/>
    <x v="0"/>
    <n v="48.8"/>
    <n v="1.84"/>
    <n v="186"/>
    <n v="168"/>
    <n v="65"/>
    <n v="1.68"/>
    <n v="972"/>
    <x v="0"/>
    <x v="1"/>
    <n v="25"/>
    <n v="1.7"/>
    <n v="3"/>
    <n v="2"/>
    <x v="0"/>
    <n v="16.600000000000001"/>
  </r>
  <r>
    <n v="18"/>
    <x v="1"/>
    <x v="1"/>
    <n v="54.9"/>
    <n v="1.74"/>
    <n v="187"/>
    <n v="131"/>
    <n v="74"/>
    <n v="0.93"/>
    <n v="597"/>
    <x v="2"/>
    <x v="0"/>
    <m/>
    <n v="3.2"/>
    <n v="3"/>
    <n v="3"/>
    <x v="2"/>
    <n v="18.89"/>
  </r>
  <r>
    <n v="38"/>
    <x v="3"/>
    <x v="1"/>
    <n v="53.6"/>
    <n v="1.7"/>
    <n v="188"/>
    <n v="126"/>
    <n v="73"/>
    <n v="0.97"/>
    <n v="1083"/>
    <x v="3"/>
    <x v="2"/>
    <n v="30.4"/>
    <n v="3.4"/>
    <n v="4"/>
    <n v="2"/>
    <x v="0"/>
    <n v="12.32"/>
  </r>
  <r>
    <n v="47"/>
    <x v="2"/>
    <x v="1"/>
    <n v="77.900000000000006"/>
    <n v="1.76"/>
    <n v="164"/>
    <n v="139"/>
    <n v="59"/>
    <n v="1.29"/>
    <n v="1233"/>
    <x v="1"/>
    <x v="2"/>
    <n v="34"/>
    <n v="2.8"/>
    <n v="2"/>
    <n v="1"/>
    <x v="0"/>
    <n v="15.38"/>
  </r>
  <r>
    <n v="35"/>
    <x v="3"/>
    <x v="1"/>
    <n v="68.5"/>
    <n v="1.73"/>
    <n v="175"/>
    <n v="142"/>
    <n v="58"/>
    <n v="1.2"/>
    <n v="840"/>
    <x v="1"/>
    <x v="4"/>
    <n v="19.3"/>
    <n v="2.1"/>
    <n v="2"/>
    <n v="3"/>
    <x v="0"/>
    <n v="12.32"/>
  </r>
  <r>
    <n v="59"/>
    <x v="4"/>
    <x v="2"/>
    <m/>
    <n v="1.56"/>
    <n v="164"/>
    <n v="124"/>
    <n v="56"/>
    <n v="0.85"/>
    <n v="917"/>
    <x v="1"/>
    <x v="4"/>
    <n v="29.4"/>
    <n v="3.7"/>
    <n v="2"/>
    <m/>
    <x v="0"/>
    <n v="18.27"/>
  </r>
  <r>
    <n v="28"/>
    <x v="0"/>
    <x v="2"/>
    <n v="77.2"/>
    <n v="1.86"/>
    <n v="180"/>
    <n v="133"/>
    <n v="18"/>
    <n v="1.55"/>
    <n v="1710"/>
    <x v="0"/>
    <x v="4"/>
    <n v="26.5"/>
    <n v="1.6"/>
    <n v="4"/>
    <n v="3"/>
    <x v="0"/>
    <n v="17.34"/>
  </r>
  <r>
    <n v="32"/>
    <x v="0"/>
    <x v="0"/>
    <n v="113.1"/>
    <n v="1.73"/>
    <n v="165"/>
    <n v="135"/>
    <n v="58"/>
    <n v="1.5"/>
    <n v="1081"/>
    <x v="3"/>
    <x v="1"/>
    <n v="26.2"/>
    <n v="3.3"/>
    <n v="4"/>
    <n v="1"/>
    <x v="0"/>
    <n v="12.32"/>
  </r>
  <r>
    <n v="27"/>
    <x v="0"/>
    <x v="0"/>
    <n v="53.7"/>
    <n v="1.75"/>
    <n v="167"/>
    <n v="137"/>
    <n v="74"/>
    <n v="2"/>
    <n v="788"/>
    <x v="3"/>
    <x v="0"/>
    <n v="13.3"/>
    <n v="2.6"/>
    <n v="3"/>
    <m/>
    <x v="0"/>
    <n v="16.239999999999998"/>
  </r>
  <r>
    <n v="25"/>
    <x v="0"/>
    <x v="1"/>
    <n v="61.3"/>
    <n v="1.77"/>
    <n v="173"/>
    <n v="167"/>
    <n v="50"/>
    <n v="1.88"/>
    <n v="1760"/>
    <x v="0"/>
    <x v="2"/>
    <n v="35"/>
    <n v="3.1"/>
    <n v="4"/>
    <n v="2"/>
    <x v="0"/>
    <n v="17.690000000000001"/>
  </r>
  <r>
    <n v="38"/>
    <x v="3"/>
    <x v="1"/>
    <n v="41.1"/>
    <n v="1.67"/>
    <n v="184"/>
    <n v="133"/>
    <n v="74"/>
    <n v="0.63"/>
    <n v="804"/>
    <x v="2"/>
    <x v="2"/>
    <n v="25.6"/>
    <n v="2.8"/>
    <n v="5"/>
    <n v="3"/>
    <x v="0"/>
    <n v="14.26"/>
  </r>
  <r>
    <n v="36"/>
    <x v="3"/>
    <x v="1"/>
    <n v="78.2"/>
    <n v="1.63"/>
    <n v="191"/>
    <n v="169"/>
    <n v="74"/>
    <n v="2"/>
    <n v="1381"/>
    <x v="1"/>
    <x v="4"/>
    <n v="23.1"/>
    <n v="2.7"/>
    <n v="3"/>
    <n v="2"/>
    <x v="2"/>
    <n v="21.82"/>
  </r>
  <r>
    <n v="35"/>
    <x v="3"/>
    <x v="1"/>
    <n v="94.6"/>
    <n v="1.69"/>
    <n v="167"/>
    <n v="158"/>
    <n v="57"/>
    <n v="0.75"/>
    <n v="1534"/>
    <x v="3"/>
    <x v="2"/>
    <n v="33.1"/>
    <n v="2"/>
    <n v="4"/>
    <n v="2"/>
    <x v="2"/>
    <n v="22.21"/>
  </r>
  <r>
    <n v="28"/>
    <x v="0"/>
    <x v="0"/>
    <n v="68.8"/>
    <n v="1.73"/>
    <n v="198"/>
    <n v="169"/>
    <n v="66"/>
    <n v="1.46"/>
    <n v="1279"/>
    <x v="3"/>
    <x v="2"/>
    <n v="31.4"/>
    <n v="1.6"/>
    <n v="3"/>
    <n v="1"/>
    <x v="0"/>
    <n v="12.38"/>
  </r>
  <r>
    <n v="27"/>
    <x v="0"/>
    <x v="0"/>
    <n v="43.4"/>
    <n v="1.71"/>
    <n v="184"/>
    <n v="165"/>
    <n v="71"/>
    <n v="1.24"/>
    <n v="945"/>
    <x v="0"/>
    <x v="0"/>
    <n v="10"/>
    <n v="3.6"/>
    <n v="2"/>
    <n v="2"/>
    <x v="4"/>
    <n v="25.15"/>
  </r>
  <r>
    <n v="37"/>
    <x v="3"/>
    <x v="0"/>
    <n v="40"/>
    <n v="1.81"/>
    <n v="164"/>
    <n v="139"/>
    <n v="62"/>
    <n v="1.35"/>
    <n v="658"/>
    <x v="4"/>
    <x v="0"/>
    <n v="15.4"/>
    <m/>
    <n v="4"/>
    <n v="1"/>
    <x v="0"/>
    <m/>
  </r>
  <r>
    <n v="40"/>
    <x v="3"/>
    <x v="0"/>
    <n v="40"/>
    <n v="1.74"/>
    <n v="173"/>
    <n v="164"/>
    <n v="72"/>
    <n v="1.33"/>
    <n v="1194"/>
    <x v="2"/>
    <x v="3"/>
    <n v="22.7"/>
    <n v="1.5"/>
    <n v="4"/>
    <n v="1"/>
    <x v="0"/>
    <n v="12.32"/>
  </r>
  <r>
    <n v="24"/>
    <x v="1"/>
    <x v="1"/>
    <n v="70.3"/>
    <n v="1.87"/>
    <n v="191"/>
    <n v="127"/>
    <n v="62"/>
    <n v="1.75"/>
    <n v="1285"/>
    <x v="3"/>
    <x v="4"/>
    <n v="23.9"/>
    <n v="1.5"/>
    <n v="2"/>
    <n v="3"/>
    <x v="0"/>
    <n v="14.32"/>
  </r>
  <r>
    <n v="18"/>
    <x v="1"/>
    <x v="1"/>
    <n v="64.7"/>
    <n v="1.67"/>
    <n v="167"/>
    <n v="152"/>
    <n v="74"/>
    <n v="1.38"/>
    <n v="1506"/>
    <x v="2"/>
    <x v="2"/>
    <n v="26"/>
    <n v="1.7"/>
    <n v="4"/>
    <n v="3"/>
    <x v="2"/>
    <n v="19.63"/>
  </r>
  <r>
    <n v="59"/>
    <x v="4"/>
    <x v="1"/>
    <n v="61"/>
    <n v="1.62"/>
    <n v="191"/>
    <n v="162"/>
    <n v="74"/>
    <n v="1.69"/>
    <n v="499"/>
    <x v="2"/>
    <x v="3"/>
    <n v="14.6"/>
    <n v="1.8"/>
    <n v="3"/>
    <n v="3"/>
    <x v="2"/>
    <n v="21.37"/>
  </r>
  <r>
    <n v="37"/>
    <x v="3"/>
    <x v="0"/>
    <n v="44.2"/>
    <n v="1.61"/>
    <n v="168"/>
    <n v="164"/>
    <n v="73"/>
    <n v="1.1299999999999999"/>
    <n v="1011"/>
    <x v="3"/>
    <x v="1"/>
    <n v="28.8"/>
    <n v="2.5"/>
    <n v="4"/>
    <n v="3"/>
    <x v="0"/>
    <n v="14.92"/>
  </r>
  <r>
    <n v="18"/>
    <x v="1"/>
    <x v="1"/>
    <n v="77.8"/>
    <n v="1.76"/>
    <n v="183"/>
    <n v="157"/>
    <n v="74"/>
    <n v="1.27"/>
    <n v="1086"/>
    <x v="2"/>
    <x v="4"/>
    <n v="24.6"/>
    <n v="3.3"/>
    <n v="3"/>
    <n v="1"/>
    <x v="0"/>
    <n v="16.37"/>
  </r>
  <r>
    <n v="53"/>
    <x v="2"/>
    <x v="1"/>
    <n v="53.5"/>
    <n v="1.71"/>
    <n v="195"/>
    <n v="169"/>
    <n v="54"/>
    <n v="1.04"/>
    <n v="900"/>
    <x v="3"/>
    <x v="2"/>
    <n v="25.1"/>
    <n v="2.7"/>
    <n v="3"/>
    <n v="2"/>
    <x v="1"/>
    <n v="33.56"/>
  </r>
  <r>
    <n v="44"/>
    <x v="3"/>
    <x v="1"/>
    <n v="63.7"/>
    <n v="1.62"/>
    <n v="176"/>
    <n v="166"/>
    <n v="54"/>
    <n v="1.1599999999999999"/>
    <n v="1142"/>
    <x v="1"/>
    <x v="4"/>
    <n v="23"/>
    <n v="3.2"/>
    <n v="5"/>
    <n v="2"/>
    <x v="0"/>
    <n v="12.32"/>
  </r>
  <r>
    <n v="28"/>
    <x v="0"/>
    <x v="0"/>
    <n v="64.099999999999994"/>
    <n v="1.82"/>
    <n v="170"/>
    <n v="120"/>
    <n v="57"/>
    <n v="1.53"/>
    <n v="686"/>
    <x v="3"/>
    <x v="0"/>
    <n v="16.3"/>
    <n v="2.7"/>
    <n v="2"/>
    <m/>
    <x v="0"/>
    <n v="13.85"/>
  </r>
  <r>
    <n v="18"/>
    <x v="1"/>
    <x v="0"/>
    <n v="54.5"/>
    <n v="1.67"/>
    <n v="196"/>
    <n v="148"/>
    <n v="73"/>
    <n v="1.21"/>
    <n v="819"/>
    <x v="0"/>
    <x v="1"/>
    <n v="29.4"/>
    <n v="3.1"/>
    <n v="3"/>
    <n v="1"/>
    <x v="0"/>
    <n v="15.16"/>
  </r>
  <r>
    <n v="30"/>
    <x v="0"/>
    <x v="0"/>
    <n v="40"/>
    <n v="1.93"/>
    <n v="180"/>
    <n v="143"/>
    <n v="74"/>
    <n v="1.94"/>
    <n v="916"/>
    <x v="3"/>
    <x v="0"/>
    <n v="17.2"/>
    <n v="2.2999999999999998"/>
    <n v="2"/>
    <n v="1"/>
    <x v="0"/>
    <n v="12.32"/>
  </r>
  <r>
    <n v="25"/>
    <x v="0"/>
    <x v="0"/>
    <n v="68.8"/>
    <n v="1.73"/>
    <n v="182"/>
    <n v="133"/>
    <n v="74"/>
    <n v="1.65"/>
    <n v="851"/>
    <x v="0"/>
    <x v="1"/>
    <n v="28.8"/>
    <n v="1.8"/>
    <n v="3"/>
    <n v="3"/>
    <x v="0"/>
    <n v="12.32"/>
  </r>
  <r>
    <n v="18"/>
    <x v="1"/>
    <x v="2"/>
    <n v="50.6"/>
    <n v="1.74"/>
    <n v="162"/>
    <n v="153"/>
    <n v="74"/>
    <n v="1.25"/>
    <n v="634"/>
    <x v="0"/>
    <x v="4"/>
    <n v="29.3"/>
    <n v="1.5"/>
    <n v="4"/>
    <m/>
    <x v="0"/>
    <n v="17.25"/>
  </r>
  <r>
    <n v="53"/>
    <x v="2"/>
    <x v="0"/>
    <n v="68.900000000000006"/>
    <n v="1.6"/>
    <n v="191"/>
    <n v="155"/>
    <n v="70"/>
    <n v="0.89"/>
    <n v="874"/>
    <x v="3"/>
    <x v="0"/>
    <n v="10.199999999999999"/>
    <n v="1.6"/>
    <n v="3"/>
    <n v="2"/>
    <x v="4"/>
    <n v="27.19"/>
  </r>
  <r>
    <n v="25"/>
    <x v="0"/>
    <x v="1"/>
    <n v="100.4"/>
    <n v="1.76"/>
    <n v="173"/>
    <n v="169"/>
    <n v="58"/>
    <n v="0.85"/>
    <n v="1465"/>
    <x v="1"/>
    <x v="2"/>
    <n v="30.4"/>
    <n v="1.8"/>
    <n v="3"/>
    <n v="1"/>
    <x v="0"/>
    <n v="17.45"/>
  </r>
  <r>
    <n v="58"/>
    <x v="4"/>
    <x v="0"/>
    <n v="105.7"/>
    <n v="1.65"/>
    <n v="171"/>
    <n v="136"/>
    <n v="71"/>
    <n v="1.22"/>
    <n v="841"/>
    <x v="1"/>
    <x v="2"/>
    <n v="32"/>
    <n v="3.4"/>
    <m/>
    <n v="3"/>
    <x v="0"/>
    <n v="13.66"/>
  </r>
  <r>
    <n v="18"/>
    <x v="1"/>
    <x v="0"/>
    <n v="61.9"/>
    <n v="1.58"/>
    <n v="184"/>
    <n v="141"/>
    <n v="18"/>
    <n v="1.63"/>
    <n v="900"/>
    <x v="3"/>
    <x v="1"/>
    <n v="25.2"/>
    <n v="3.7"/>
    <n v="2"/>
    <n v="1"/>
    <x v="0"/>
    <n v="18.23"/>
  </r>
  <r>
    <n v="50"/>
    <x v="2"/>
    <x v="0"/>
    <n v="60.4"/>
    <n v="1.72"/>
    <n v="184"/>
    <n v="124"/>
    <n v="74"/>
    <n v="2"/>
    <n v="494"/>
    <x v="3"/>
    <x v="1"/>
    <n v="27.9"/>
    <n v="3"/>
    <n v="4"/>
    <n v="2"/>
    <x v="2"/>
    <n v="20.81"/>
  </r>
  <r>
    <n v="23"/>
    <x v="1"/>
    <x v="1"/>
    <n v="56.2"/>
    <n v="1.58"/>
    <n v="184"/>
    <n v="141"/>
    <n v="71"/>
    <n v="2"/>
    <n v="640"/>
    <x v="1"/>
    <x v="2"/>
    <n v="25.2"/>
    <n v="1.5"/>
    <n v="4"/>
    <n v="1"/>
    <x v="0"/>
    <m/>
  </r>
  <r>
    <n v="18"/>
    <x v="1"/>
    <x v="0"/>
    <n v="42.6"/>
    <n v="1.56"/>
    <n v="180"/>
    <n v="169"/>
    <n v="62"/>
    <n v="1.27"/>
    <n v="1497"/>
    <x v="0"/>
    <x v="1"/>
    <n v="27.1"/>
    <n v="3.6"/>
    <n v="4"/>
    <n v="1"/>
    <x v="0"/>
    <n v="12.46"/>
  </r>
  <r>
    <n v="59"/>
    <x v="4"/>
    <x v="0"/>
    <n v="97.4"/>
    <n v="1.57"/>
    <n v="199"/>
    <n v="153"/>
    <n v="70"/>
    <n v="0.73"/>
    <n v="877"/>
    <x v="3"/>
    <x v="0"/>
    <n v="18.100000000000001"/>
    <n v="3.3"/>
    <n v="4"/>
    <n v="1"/>
    <x v="4"/>
    <n v="27.67"/>
  </r>
  <r>
    <n v="32"/>
    <x v="0"/>
    <x v="1"/>
    <n v="58.7"/>
    <m/>
    <n v="161"/>
    <n v="130"/>
    <n v="69"/>
    <n v="1.07"/>
    <n v="733"/>
    <x v="0"/>
    <x v="2"/>
    <n v="28.6"/>
    <n v="1.9"/>
    <n v="3"/>
    <n v="3"/>
    <x v="0"/>
    <n v="12.87"/>
  </r>
  <r>
    <n v="21"/>
    <x v="1"/>
    <x v="1"/>
    <n v="46.4"/>
    <n v="2"/>
    <n v="198"/>
    <n v="135"/>
    <n v="74"/>
    <n v="1"/>
    <n v="497"/>
    <x v="1"/>
    <x v="2"/>
    <n v="29.7"/>
    <n v="1.8"/>
    <n v="2"/>
    <n v="1"/>
    <x v="2"/>
    <n v="23.07"/>
  </r>
  <r>
    <n v="32"/>
    <x v="0"/>
    <x v="1"/>
    <n v="57.4"/>
    <n v="1.66"/>
    <n v="189"/>
    <n v="136"/>
    <n v="62"/>
    <n v="1.55"/>
    <n v="1068"/>
    <x v="2"/>
    <x v="4"/>
    <n v="24.6"/>
    <n v="3.4"/>
    <n v="2"/>
    <n v="2"/>
    <x v="0"/>
    <m/>
  </r>
  <r>
    <n v="38"/>
    <x v="3"/>
    <x v="1"/>
    <n v="87.9"/>
    <n v="1.75"/>
    <n v="183"/>
    <n v="130"/>
    <n v="74"/>
    <n v="1.54"/>
    <n v="1273"/>
    <x v="2"/>
    <x v="4"/>
    <n v="24.2"/>
    <n v="1.6"/>
    <n v="3"/>
    <n v="1"/>
    <x v="0"/>
    <n v="12.32"/>
  </r>
  <r>
    <n v="40"/>
    <x v="3"/>
    <x v="1"/>
    <n v="87.8"/>
    <n v="1.64"/>
    <n v="161"/>
    <n v="145"/>
    <n v="59"/>
    <n v="1.63"/>
    <n v="849"/>
    <x v="1"/>
    <x v="4"/>
    <n v="22.5"/>
    <n v="2.6"/>
    <n v="4"/>
    <n v="2"/>
    <x v="0"/>
    <n v="17.55"/>
  </r>
  <r>
    <n v="52"/>
    <x v="2"/>
    <x v="0"/>
    <n v="62.4"/>
    <n v="1.91"/>
    <n v="191"/>
    <n v="161"/>
    <n v="63"/>
    <n v="2"/>
    <n v="1783"/>
    <x v="3"/>
    <x v="1"/>
    <n v="27.3"/>
    <n v="3.2"/>
    <n v="2"/>
    <n v="1"/>
    <x v="0"/>
    <n v="15.2"/>
  </r>
  <r>
    <n v="20"/>
    <x v="1"/>
    <x v="0"/>
    <n v="65.7"/>
    <n v="1.81"/>
    <n v="189"/>
    <n v="165"/>
    <n v="55"/>
    <n v="1.66"/>
    <n v="733"/>
    <x v="0"/>
    <x v="2"/>
    <n v="35"/>
    <n v="3.5"/>
    <n v="4"/>
    <n v="2"/>
    <x v="4"/>
    <n v="25.06"/>
  </r>
  <r>
    <n v="23"/>
    <x v="1"/>
    <x v="0"/>
    <n v="51.4"/>
    <n v="2"/>
    <n v="182"/>
    <n v="158"/>
    <n v="65"/>
    <n v="1.07"/>
    <n v="738"/>
    <x v="0"/>
    <x v="2"/>
    <n v="31.7"/>
    <n v="2.6"/>
    <n v="4"/>
    <n v="2"/>
    <x v="0"/>
    <n v="15.31"/>
  </r>
  <r>
    <n v="34"/>
    <x v="0"/>
    <x v="0"/>
    <n v="75.2"/>
    <n v="2"/>
    <n v="196"/>
    <n v="141"/>
    <n v="73"/>
    <n v="1.1299999999999999"/>
    <n v="753"/>
    <x v="2"/>
    <x v="2"/>
    <n v="33.799999999999997"/>
    <n v="3.6"/>
    <n v="4"/>
    <n v="2"/>
    <x v="0"/>
    <n v="16.39"/>
  </r>
  <r>
    <n v="34"/>
    <x v="0"/>
    <x v="1"/>
    <n v="77.7"/>
    <n v="1.81"/>
    <n v="187"/>
    <n v="149"/>
    <n v="54"/>
    <n v="1.08"/>
    <n v="842"/>
    <x v="0"/>
    <x v="2"/>
    <n v="33"/>
    <n v="3"/>
    <n v="2"/>
    <n v="3"/>
    <x v="0"/>
    <n v="12.32"/>
  </r>
  <r>
    <n v="23"/>
    <x v="1"/>
    <x v="0"/>
    <n v="40"/>
    <n v="1.89"/>
    <n v="162"/>
    <n v="126"/>
    <n v="60"/>
    <n v="0.74"/>
    <n v="1237"/>
    <x v="1"/>
    <x v="1"/>
    <n v="24.7"/>
    <n v="2.9"/>
    <n v="3"/>
    <n v="1"/>
    <x v="0"/>
    <n v="17.09"/>
  </r>
  <r>
    <n v="43"/>
    <x v="3"/>
    <x v="0"/>
    <n v="80.5"/>
    <n v="1.68"/>
    <n v="190"/>
    <n v="135"/>
    <n v="58"/>
    <n v="1.1000000000000001"/>
    <n v="1099"/>
    <x v="3"/>
    <x v="3"/>
    <n v="21.7"/>
    <n v="2.1"/>
    <n v="5"/>
    <n v="1"/>
    <x v="4"/>
    <n v="25.52"/>
  </r>
  <r>
    <n v="18"/>
    <x v="1"/>
    <x v="1"/>
    <n v="40"/>
    <n v="1.78"/>
    <n v="167"/>
    <n v="133"/>
    <n v="62"/>
    <n v="0.86"/>
    <n v="963"/>
    <x v="3"/>
    <x v="3"/>
    <n v="16.899999999999999"/>
    <n v="3.7"/>
    <n v="4"/>
    <n v="3"/>
    <x v="2"/>
    <n v="21.42"/>
  </r>
  <r>
    <n v="28"/>
    <x v="0"/>
    <x v="0"/>
    <n v="109.4"/>
    <n v="1.58"/>
    <n v="170"/>
    <n v="165"/>
    <n v="74"/>
    <n v="1.94"/>
    <n v="619"/>
    <x v="2"/>
    <x v="3"/>
    <n v="21.9"/>
    <n v="2.2000000000000002"/>
    <n v="5"/>
    <n v="1"/>
    <x v="2"/>
    <n v="21.16"/>
  </r>
  <r>
    <n v="57"/>
    <x v="4"/>
    <x v="0"/>
    <n v="40"/>
    <n v="1.58"/>
    <n v="165"/>
    <n v="140"/>
    <n v="55"/>
    <n v="1.33"/>
    <n v="1783"/>
    <x v="0"/>
    <x v="1"/>
    <n v="24.7"/>
    <n v="2.6"/>
    <n v="4"/>
    <n v="1"/>
    <x v="0"/>
    <n v="14.94"/>
  </r>
  <r>
    <n v="18"/>
    <x v="1"/>
    <x v="1"/>
    <n v="40"/>
    <n v="1.8"/>
    <n v="168"/>
    <m/>
    <n v="58"/>
    <n v="0.5"/>
    <n v="729"/>
    <x v="4"/>
    <x v="2"/>
    <n v="32.5"/>
    <n v="3.7"/>
    <n v="3"/>
    <n v="3"/>
    <x v="0"/>
    <n v="12.32"/>
  </r>
  <r>
    <n v="44"/>
    <x v="3"/>
    <x v="0"/>
    <n v="79.5"/>
    <n v="1.73"/>
    <n v="184"/>
    <n v="155"/>
    <n v="56"/>
    <n v="1.57"/>
    <n v="1058"/>
    <x v="3"/>
    <x v="0"/>
    <n v="17.8"/>
    <n v="2.6"/>
    <n v="4"/>
    <n v="2"/>
    <x v="4"/>
    <n v="25.45"/>
  </r>
  <r>
    <n v="21"/>
    <x v="1"/>
    <x v="0"/>
    <n v="68.5"/>
    <n v="1.61"/>
    <n v="191"/>
    <n v="169"/>
    <n v="74"/>
    <n v="1.18"/>
    <n v="1278"/>
    <x v="3"/>
    <x v="0"/>
    <n v="19.899999999999999"/>
    <n v="3.1"/>
    <n v="3"/>
    <n v="2"/>
    <x v="2"/>
    <n v="18.59"/>
  </r>
  <r>
    <n v="39"/>
    <x v="3"/>
    <x v="2"/>
    <n v="65.599999999999994"/>
    <n v="1.75"/>
    <n v="164"/>
    <n v="158"/>
    <n v="66"/>
    <n v="1.0900000000000001"/>
    <n v="1593"/>
    <x v="1"/>
    <x v="3"/>
    <n v="23.7"/>
    <n v="3.1"/>
    <n v="4"/>
    <n v="2"/>
    <x v="2"/>
    <n v="23.89"/>
  </r>
  <r>
    <n v="44"/>
    <x v="3"/>
    <x v="0"/>
    <n v="87.5"/>
    <n v="1.88"/>
    <n v="173"/>
    <n v="132"/>
    <n v="66"/>
    <n v="1.21"/>
    <n v="1643"/>
    <x v="0"/>
    <x v="1"/>
    <n v="26.9"/>
    <n v="3.1"/>
    <n v="2"/>
    <n v="2"/>
    <x v="2"/>
    <n v="21.72"/>
  </r>
  <r>
    <n v="56"/>
    <x v="4"/>
    <x v="1"/>
    <n v="54.5"/>
    <n v="1.76"/>
    <n v="196"/>
    <n v="148"/>
    <n v="74"/>
    <n v="1.4"/>
    <n v="659"/>
    <x v="2"/>
    <x v="2"/>
    <n v="32.1"/>
    <n v="2.8"/>
    <n v="4"/>
    <n v="2"/>
    <x v="4"/>
    <n v="27.02"/>
  </r>
  <r>
    <n v="33"/>
    <x v="0"/>
    <x v="0"/>
    <n v="55.4"/>
    <n v="1.6"/>
    <n v="185"/>
    <n v="144"/>
    <n v="67"/>
    <n v="2"/>
    <n v="1015"/>
    <x v="2"/>
    <x v="1"/>
    <n v="30.6"/>
    <n v="2.7"/>
    <n v="4"/>
    <n v="3"/>
    <x v="2"/>
    <n v="20.82"/>
  </r>
  <r>
    <n v="32"/>
    <x v="0"/>
    <x v="1"/>
    <n v="85.7"/>
    <n v="1.53"/>
    <n v="185"/>
    <n v="133"/>
    <n v="52"/>
    <n v="1.02"/>
    <n v="1108"/>
    <x v="1"/>
    <x v="4"/>
    <n v="24"/>
    <n v="3.4"/>
    <n v="3"/>
    <n v="3"/>
    <x v="0"/>
    <n v="14.19"/>
  </r>
  <r>
    <n v="34"/>
    <x v="0"/>
    <x v="0"/>
    <n v="58.2"/>
    <n v="1.7"/>
    <n v="189"/>
    <n v="134"/>
    <n v="55"/>
    <n v="0.73"/>
    <n v="785"/>
    <x v="2"/>
    <x v="1"/>
    <n v="24"/>
    <n v="1.6"/>
    <n v="4"/>
    <n v="2"/>
    <x v="0"/>
    <n v="12.46"/>
  </r>
  <r>
    <n v="30"/>
    <x v="0"/>
    <x v="1"/>
    <n v="72.5"/>
    <n v="1.91"/>
    <n v="189"/>
    <n v="142"/>
    <n v="58"/>
    <n v="1.44"/>
    <n v="976"/>
    <x v="1"/>
    <x v="2"/>
    <n v="28.2"/>
    <n v="3.6"/>
    <n v="2"/>
    <n v="2"/>
    <x v="4"/>
    <n v="26.6"/>
  </r>
  <r>
    <n v="26"/>
    <x v="0"/>
    <x v="2"/>
    <n v="77.2"/>
    <n v="1.64"/>
    <n v="168"/>
    <n v="162"/>
    <n v="64"/>
    <n v="1.25"/>
    <n v="438"/>
    <x v="0"/>
    <x v="3"/>
    <n v="22.7"/>
    <n v="2.4"/>
    <n v="4"/>
    <n v="2"/>
    <x v="1"/>
    <n v="30.85"/>
  </r>
  <r>
    <n v="20"/>
    <x v="1"/>
    <x v="1"/>
    <n v="90.3"/>
    <n v="1.68"/>
    <n v="169"/>
    <n v="135"/>
    <n v="59"/>
    <n v="1.1000000000000001"/>
    <n v="758"/>
    <x v="1"/>
    <x v="0"/>
    <n v="10.5"/>
    <n v="1.7"/>
    <n v="4"/>
    <n v="1"/>
    <x v="1"/>
    <n v="31.04"/>
  </r>
  <r>
    <n v="42"/>
    <x v="3"/>
    <x v="0"/>
    <n v="95.2"/>
    <n v="1.76"/>
    <n v="178"/>
    <n v="158"/>
    <n v="56"/>
    <n v="1.21"/>
    <n v="770"/>
    <x v="1"/>
    <x v="1"/>
    <n v="25.3"/>
    <n v="2"/>
    <n v="2"/>
    <n v="3"/>
    <x v="0"/>
    <n v="16.059999999999999"/>
  </r>
  <r>
    <n v="26"/>
    <x v="0"/>
    <x v="1"/>
    <n v="75"/>
    <n v="1.91"/>
    <n v="181"/>
    <n v="168"/>
    <n v="74"/>
    <n v="1.1000000000000001"/>
    <n v="943"/>
    <x v="2"/>
    <x v="4"/>
    <n v="24.8"/>
    <n v="2"/>
    <n v="3"/>
    <n v="2"/>
    <x v="2"/>
    <n v="21.87"/>
  </r>
  <r>
    <n v="26"/>
    <x v="0"/>
    <x v="1"/>
    <n v="61.5"/>
    <n v="1.51"/>
    <n v="185"/>
    <n v="155"/>
    <n v="74"/>
    <n v="1.35"/>
    <n v="1079"/>
    <x v="1"/>
    <x v="2"/>
    <n v="31.4"/>
    <n v="3.4"/>
    <n v="4"/>
    <n v="2"/>
    <x v="2"/>
    <n v="21.29"/>
  </r>
  <r>
    <n v="28"/>
    <x v="0"/>
    <x v="0"/>
    <n v="101.9"/>
    <n v="1.5"/>
    <n v="196"/>
    <n v="164"/>
    <n v="56"/>
    <n v="1.87"/>
    <n v="1211"/>
    <x v="1"/>
    <x v="3"/>
    <n v="23.8"/>
    <n v="3.2"/>
    <n v="2"/>
    <n v="2"/>
    <x v="0"/>
    <n v="15.07"/>
  </r>
  <r>
    <n v="54"/>
    <x v="2"/>
    <x v="0"/>
    <n v="41.4"/>
    <n v="1.6"/>
    <n v="163"/>
    <n v="169"/>
    <n v="71"/>
    <n v="1.62"/>
    <n v="1385"/>
    <x v="3"/>
    <x v="0"/>
    <n v="10"/>
    <n v="1.6"/>
    <n v="5"/>
    <n v="3"/>
    <x v="2"/>
    <n v="20.92"/>
  </r>
  <r>
    <n v="18"/>
    <x v="1"/>
    <x v="1"/>
    <n v="71.3"/>
    <n v="1.78"/>
    <n v="167"/>
    <n v="129"/>
    <n v="72"/>
    <n v="0.86"/>
    <n v="1238"/>
    <x v="0"/>
    <x v="4"/>
    <n v="20.6"/>
    <n v="1.5"/>
    <n v="4"/>
    <n v="3"/>
    <x v="1"/>
    <n v="34.18"/>
  </r>
  <r>
    <n v="42"/>
    <x v="3"/>
    <x v="1"/>
    <n v="46.2"/>
    <n v="1.72"/>
    <n v="167"/>
    <n v="130"/>
    <n v="69"/>
    <n v="1.19"/>
    <n v="945"/>
    <x v="2"/>
    <x v="4"/>
    <n v="24.6"/>
    <n v="2.9"/>
    <n v="2"/>
    <n v="3"/>
    <x v="2"/>
    <n v="19.47"/>
  </r>
  <r>
    <n v="24"/>
    <x v="1"/>
    <x v="1"/>
    <n v="64"/>
    <n v="1.83"/>
    <n v="187"/>
    <n v="155"/>
    <n v="74"/>
    <n v="1.79"/>
    <n v="406"/>
    <x v="3"/>
    <x v="2"/>
    <n v="27.7"/>
    <n v="1.5"/>
    <n v="3"/>
    <m/>
    <x v="1"/>
    <n v="31.31"/>
  </r>
  <r>
    <n v="54"/>
    <x v="2"/>
    <x v="1"/>
    <n v="47.2"/>
    <n v="1.75"/>
    <n v="160"/>
    <n v="134"/>
    <n v="68"/>
    <n v="1.18"/>
    <n v="1001"/>
    <x v="3"/>
    <x v="4"/>
    <n v="23.9"/>
    <n v="1.9"/>
    <n v="4"/>
    <n v="1"/>
    <x v="2"/>
    <n v="20"/>
  </r>
  <r>
    <n v="53"/>
    <x v="2"/>
    <x v="1"/>
    <n v="95.5"/>
    <n v="1.52"/>
    <n v="164"/>
    <n v="169"/>
    <n v="52"/>
    <n v="1.31"/>
    <n v="1009"/>
    <x v="3"/>
    <x v="4"/>
    <n v="21.8"/>
    <n v="1.9"/>
    <m/>
    <n v="3"/>
    <x v="0"/>
    <n v="12.32"/>
  </r>
  <r>
    <n v="33"/>
    <x v="0"/>
    <x v="0"/>
    <n v="40"/>
    <n v="1.79"/>
    <n v="194"/>
    <n v="162"/>
    <n v="60"/>
    <n v="1.39"/>
    <n v="1012"/>
    <x v="1"/>
    <x v="3"/>
    <n v="23.7"/>
    <n v="2.8"/>
    <n v="4"/>
    <m/>
    <x v="0"/>
    <n v="13.81"/>
  </r>
  <r>
    <n v="52"/>
    <x v="2"/>
    <x v="0"/>
    <n v="81.099999999999994"/>
    <n v="1.74"/>
    <n v="184"/>
    <n v="168"/>
    <n v="74"/>
    <m/>
    <n v="1080"/>
    <x v="4"/>
    <x v="3"/>
    <n v="23.6"/>
    <n v="3.4"/>
    <n v="5"/>
    <n v="1"/>
    <x v="0"/>
    <n v="12.32"/>
  </r>
  <r>
    <n v="51"/>
    <x v="2"/>
    <x v="0"/>
    <n v="72.099999999999994"/>
    <m/>
    <n v="162"/>
    <n v="160"/>
    <n v="70"/>
    <n v="1.21"/>
    <n v="1186"/>
    <x v="1"/>
    <x v="0"/>
    <n v="17.600000000000001"/>
    <n v="3.2"/>
    <n v="3"/>
    <n v="2"/>
    <x v="0"/>
    <n v="12.66"/>
  </r>
  <r>
    <n v="47"/>
    <x v="2"/>
    <x v="1"/>
    <n v="100.5"/>
    <n v="1.56"/>
    <n v="185"/>
    <n v="133"/>
    <n v="64"/>
    <n v="0.87"/>
    <n v="872"/>
    <x v="1"/>
    <x v="4"/>
    <n v="22.1"/>
    <n v="1.5"/>
    <n v="4"/>
    <n v="2"/>
    <x v="0"/>
    <m/>
  </r>
  <r>
    <n v="55"/>
    <x v="4"/>
    <x v="0"/>
    <n v="129.9"/>
    <n v="1.89"/>
    <n v="177"/>
    <n v="157"/>
    <n v="66"/>
    <n v="0.81"/>
    <n v="1154"/>
    <x v="1"/>
    <x v="0"/>
    <n v="15.2"/>
    <n v="2.4"/>
    <n v="4"/>
    <n v="2"/>
    <x v="2"/>
    <n v="20.100000000000001"/>
  </r>
  <r>
    <n v="28"/>
    <x v="0"/>
    <x v="1"/>
    <n v="75.7"/>
    <n v="1.85"/>
    <n v="160"/>
    <n v="157"/>
    <n v="64"/>
    <n v="1.59"/>
    <n v="1179"/>
    <x v="4"/>
    <x v="2"/>
    <n v="29.7"/>
    <n v="1.5"/>
    <n v="3"/>
    <n v="2"/>
    <x v="1"/>
    <n v="37.5"/>
  </r>
  <r>
    <n v="18"/>
    <x v="1"/>
    <x v="0"/>
    <n v="69"/>
    <n v="1.66"/>
    <n v="196"/>
    <n v="141"/>
    <n v="56"/>
    <n v="1.46"/>
    <n v="1251"/>
    <x v="3"/>
    <x v="1"/>
    <n v="25.7"/>
    <n v="2.4"/>
    <n v="4"/>
    <n v="2"/>
    <x v="0"/>
    <n v="18.23"/>
  </r>
  <r>
    <n v="19"/>
    <x v="1"/>
    <x v="1"/>
    <n v="72.5"/>
    <n v="1.73"/>
    <n v="184"/>
    <n v="135"/>
    <n v="71"/>
    <n v="1.1200000000000001"/>
    <n v="1392"/>
    <x v="2"/>
    <x v="0"/>
    <n v="11.9"/>
    <n v="3.5"/>
    <n v="3"/>
    <n v="1"/>
    <x v="4"/>
    <n v="29.87"/>
  </r>
  <r>
    <n v="30"/>
    <x v="0"/>
    <x v="2"/>
    <n v="50.8"/>
    <n v="1.81"/>
    <n v="196"/>
    <n v="132"/>
    <n v="74"/>
    <n v="1.28"/>
    <n v="794"/>
    <x v="3"/>
    <x v="0"/>
    <n v="14.5"/>
    <n v="3.2"/>
    <n v="3"/>
    <n v="3"/>
    <x v="2"/>
    <n v="22.58"/>
  </r>
  <r>
    <n v="40"/>
    <x v="3"/>
    <x v="0"/>
    <n v="68.2"/>
    <n v="1.5"/>
    <n v="197"/>
    <n v="153"/>
    <n v="71"/>
    <n v="1.24"/>
    <n v="484"/>
    <x v="1"/>
    <x v="1"/>
    <n v="24.1"/>
    <n v="3.5"/>
    <n v="4"/>
    <n v="2"/>
    <x v="0"/>
    <n v="12.45"/>
  </r>
  <r>
    <n v="49"/>
    <x v="2"/>
    <x v="0"/>
    <n v="105"/>
    <n v="1.63"/>
    <n v="170"/>
    <n v="139"/>
    <n v="70"/>
    <n v="1.53"/>
    <n v="1065"/>
    <x v="1"/>
    <x v="1"/>
    <n v="24"/>
    <n v="1.5"/>
    <n v="4"/>
    <n v="2"/>
    <x v="2"/>
    <n v="18.89"/>
  </r>
  <r>
    <n v="57"/>
    <x v="4"/>
    <x v="0"/>
    <n v="129.9"/>
    <n v="1.88"/>
    <n v="162"/>
    <n v="148"/>
    <n v="56"/>
    <n v="1.71"/>
    <n v="1233"/>
    <x v="0"/>
    <x v="1"/>
    <n v="24"/>
    <n v="1.8"/>
    <n v="3"/>
    <n v="1"/>
    <x v="0"/>
    <m/>
  </r>
  <r>
    <n v="27"/>
    <x v="0"/>
    <x v="0"/>
    <n v="61.1"/>
    <n v="1.59"/>
    <s v="\t182"/>
    <n v="139"/>
    <n v="68"/>
    <n v="1.0900000000000001"/>
    <n v="669"/>
    <x v="3"/>
    <x v="0"/>
    <n v="16.7"/>
    <n v="1.5"/>
    <n v="3"/>
    <n v="2"/>
    <x v="0"/>
    <n v="12.32"/>
  </r>
  <r>
    <n v="27"/>
    <x v="0"/>
    <x v="1"/>
    <m/>
    <n v="1.81"/>
    <n v="176"/>
    <n v="169"/>
    <n v="64"/>
    <n v="1.37"/>
    <n v="1783"/>
    <x v="3"/>
    <x v="2"/>
    <n v="28.5"/>
    <n v="1.5"/>
    <n v="3"/>
    <n v="3"/>
    <x v="0"/>
    <n v="16.600000000000001"/>
  </r>
  <r>
    <n v="50"/>
    <x v="2"/>
    <x v="1"/>
    <n v="62.5"/>
    <n v="1.67"/>
    <n v="172"/>
    <n v="121"/>
    <n v="56"/>
    <n v="1.1399999999999999"/>
    <n v="1415"/>
    <x v="1"/>
    <x v="4"/>
    <n v="20.9"/>
    <n v="2.5"/>
    <n v="5"/>
    <n v="2"/>
    <x v="4"/>
    <n v="28.47"/>
  </r>
  <r>
    <n v="59"/>
    <x v="4"/>
    <x v="1"/>
    <n v="62.4"/>
    <n v="1.71"/>
    <n v="197"/>
    <m/>
    <n v="74"/>
    <n v="1.47"/>
    <n v="705"/>
    <x v="1"/>
    <x v="2"/>
    <n v="32"/>
    <n v="2.4"/>
    <n v="4"/>
    <n v="2"/>
    <x v="2"/>
    <n v="19.22"/>
  </r>
  <r>
    <n v="26"/>
    <x v="0"/>
    <x v="1"/>
    <n v="72.400000000000006"/>
    <n v="1.68"/>
    <n v="196"/>
    <n v="169"/>
    <n v="53"/>
    <n v="2"/>
    <n v="1082"/>
    <x v="2"/>
    <x v="2"/>
    <n v="29.8"/>
    <n v="2.5"/>
    <n v="2"/>
    <n v="3"/>
    <x v="2"/>
    <n v="21.68"/>
  </r>
  <r>
    <n v="55"/>
    <x v="4"/>
    <x v="0"/>
    <n v="93.1"/>
    <n v="1.82"/>
    <n v="172"/>
    <n v="148"/>
    <n v="60"/>
    <n v="1.22"/>
    <n v="1039"/>
    <x v="2"/>
    <x v="0"/>
    <n v="17.3"/>
    <n v="2.6"/>
    <n v="4"/>
    <n v="1"/>
    <x v="2"/>
    <n v="20.51"/>
  </r>
  <r>
    <n v="48"/>
    <x v="2"/>
    <x v="0"/>
    <n v="122.3"/>
    <n v="1.71"/>
    <n v="183"/>
    <n v="120"/>
    <n v="63"/>
    <n v="0.79"/>
    <n v="992"/>
    <x v="4"/>
    <x v="0"/>
    <n v="10"/>
    <n v="2.6"/>
    <n v="4"/>
    <n v="1"/>
    <x v="2"/>
    <n v="18.899999999999999"/>
  </r>
  <r>
    <n v="29"/>
    <x v="0"/>
    <x v="0"/>
    <n v="70.8"/>
    <n v="1.85"/>
    <n v="160"/>
    <n v="142"/>
    <n v="52"/>
    <n v="1.5"/>
    <n v="1624"/>
    <x v="3"/>
    <x v="0"/>
    <n v="14.2"/>
    <n v="3.5"/>
    <n v="2"/>
    <n v="3"/>
    <x v="0"/>
    <n v="15.46"/>
  </r>
  <r>
    <n v="52"/>
    <x v="2"/>
    <x v="1"/>
    <n v="51.5"/>
    <n v="1.6"/>
    <n v="184"/>
    <n v="162"/>
    <n v="65"/>
    <n v="1.46"/>
    <n v="1339"/>
    <x v="1"/>
    <x v="2"/>
    <n v="25.2"/>
    <n v="3.2"/>
    <n v="4"/>
    <n v="3"/>
    <x v="0"/>
    <n v="12.32"/>
  </r>
  <r>
    <n v="18"/>
    <x v="1"/>
    <x v="0"/>
    <n v="57.1"/>
    <n v="1.61"/>
    <n v="198"/>
    <n v="129"/>
    <n v="66"/>
    <n v="0.94"/>
    <n v="1064"/>
    <x v="1"/>
    <x v="2"/>
    <n v="31.7"/>
    <n v="2.4"/>
    <n v="2"/>
    <n v="3"/>
    <x v="2"/>
    <n v="19.32"/>
  </r>
  <r>
    <n v="36"/>
    <x v="3"/>
    <x v="0"/>
    <n v="64.400000000000006"/>
    <n v="1.97"/>
    <n v="166"/>
    <n v="153"/>
    <n v="59"/>
    <n v="1.45"/>
    <n v="1132"/>
    <x v="2"/>
    <x v="1"/>
    <n v="27.9"/>
    <n v="2.9"/>
    <n v="3"/>
    <n v="1"/>
    <x v="2"/>
    <n v="23.33"/>
  </r>
  <r>
    <n v="52"/>
    <x v="2"/>
    <x v="1"/>
    <n v="63"/>
    <n v="1.72"/>
    <n v="184"/>
    <n v="131"/>
    <n v="54"/>
    <n v="1.48"/>
    <n v="804"/>
    <x v="1"/>
    <x v="4"/>
    <n v="21.5"/>
    <n v="1.5"/>
    <n v="4"/>
    <n v="3"/>
    <x v="1"/>
    <n v="34.06"/>
  </r>
  <r>
    <n v="29"/>
    <x v="0"/>
    <x v="1"/>
    <n v="77.2"/>
    <n v="1.89"/>
    <n v="192"/>
    <n v="152"/>
    <n v="58"/>
    <n v="2"/>
    <n v="858"/>
    <x v="2"/>
    <x v="2"/>
    <n v="25.6"/>
    <n v="3.2"/>
    <n v="3"/>
    <n v="2"/>
    <x v="2"/>
    <n v="19.23"/>
  </r>
  <r>
    <n v="18"/>
    <x v="1"/>
    <x v="0"/>
    <n v="40"/>
    <n v="1.66"/>
    <n v="190"/>
    <n v="147"/>
    <n v="50"/>
    <n v="1.6"/>
    <n v="1287"/>
    <x v="1"/>
    <x v="1"/>
    <n v="27.6"/>
    <n v="1.9"/>
    <n v="5"/>
    <n v="3"/>
    <x v="2"/>
    <n v="22.99"/>
  </r>
  <r>
    <n v="30"/>
    <x v="0"/>
    <x v="0"/>
    <n v="76.3"/>
    <n v="2"/>
    <n v="193"/>
    <n v="132"/>
    <n v="59"/>
    <n v="1.1100000000000001"/>
    <n v="548"/>
    <x v="2"/>
    <x v="2"/>
    <n v="34.9"/>
    <n v="3.2"/>
    <n v="3"/>
    <n v="1"/>
    <x v="0"/>
    <n v="17.54"/>
  </r>
  <r>
    <n v="29"/>
    <x v="0"/>
    <x v="0"/>
    <n v="71.2"/>
    <n v="1.8"/>
    <n v="176"/>
    <n v="139"/>
    <n v="68"/>
    <n v="1.4"/>
    <n v="354"/>
    <x v="1"/>
    <x v="0"/>
    <n v="10"/>
    <n v="3.4"/>
    <n v="2"/>
    <n v="3"/>
    <x v="1"/>
    <n v="31.75"/>
  </r>
  <r>
    <n v="55"/>
    <x v="4"/>
    <x v="1"/>
    <n v="104.9"/>
    <n v="1.56"/>
    <n v="187"/>
    <n v="155"/>
    <n v="58"/>
    <n v="0.87"/>
    <n v="1260"/>
    <x v="0"/>
    <x v="2"/>
    <n v="27.8"/>
    <n v="3.5"/>
    <n v="3"/>
    <n v="1"/>
    <x v="0"/>
    <n v="12.68"/>
  </r>
  <r>
    <n v="34"/>
    <x v="0"/>
    <x v="0"/>
    <n v="102.1"/>
    <n v="1.53"/>
    <n v="178"/>
    <n v="152"/>
    <n v="50"/>
    <n v="2"/>
    <n v="1783"/>
    <x v="0"/>
    <x v="1"/>
    <n v="26.5"/>
    <n v="2.1"/>
    <n v="3"/>
    <n v="1"/>
    <x v="1"/>
    <n v="38.340000000000003"/>
  </r>
  <r>
    <n v="31"/>
    <x v="0"/>
    <x v="0"/>
    <n v="63.6"/>
    <n v="1.57"/>
    <n v="165"/>
    <n v="169"/>
    <n v="74"/>
    <n v="1.0900000000000001"/>
    <n v="1148"/>
    <x v="0"/>
    <x v="0"/>
    <n v="15.1"/>
    <n v="3.4"/>
    <n v="4"/>
    <n v="1"/>
    <x v="0"/>
    <n v="13.15"/>
  </r>
  <r>
    <n v="26"/>
    <x v="0"/>
    <x v="1"/>
    <n v="68.599999999999994"/>
    <n v="1.7"/>
    <n v="172"/>
    <n v="167"/>
    <n v="57"/>
    <n v="1.32"/>
    <n v="501"/>
    <x v="3"/>
    <x v="2"/>
    <n v="25.4"/>
    <n v="1.5"/>
    <n v="3"/>
    <n v="2"/>
    <x v="0"/>
    <n v="18.29"/>
  </r>
  <r>
    <n v="33"/>
    <x v="0"/>
    <x v="1"/>
    <n v="46"/>
    <n v="1.71"/>
    <n v="163"/>
    <n v="145"/>
    <n v="54"/>
    <n v="1.29"/>
    <n v="671"/>
    <x v="3"/>
    <x v="4"/>
    <n v="21.4"/>
    <n v="3.1"/>
    <n v="2"/>
    <n v="3"/>
    <x v="0"/>
    <n v="14.68"/>
  </r>
  <r>
    <n v="39"/>
    <x v="3"/>
    <x v="0"/>
    <n v="88.6"/>
    <n v="1.8"/>
    <n v="181"/>
    <n v="158"/>
    <n v="71"/>
    <n v="1.29"/>
    <n v="1296"/>
    <x v="0"/>
    <x v="1"/>
    <n v="24.3"/>
    <n v="2.8"/>
    <n v="4"/>
    <n v="1"/>
    <x v="0"/>
    <m/>
  </r>
  <r>
    <n v="36"/>
    <x v="3"/>
    <x v="1"/>
    <n v="79.7"/>
    <n v="1.75"/>
    <n v="168"/>
    <n v="132"/>
    <n v="74"/>
    <n v="1.67"/>
    <n v="445"/>
    <x v="0"/>
    <x v="4"/>
    <n v="23.9"/>
    <n v="3.4"/>
    <n v="4"/>
    <n v="2"/>
    <x v="4"/>
    <n v="25.28"/>
  </r>
  <r>
    <n v="33"/>
    <x v="0"/>
    <x v="0"/>
    <n v="108.7"/>
    <n v="1.75"/>
    <n v="199"/>
    <n v="131"/>
    <n v="74"/>
    <n v="0.86"/>
    <n v="1080"/>
    <x v="3"/>
    <x v="1"/>
    <n v="24.1"/>
    <n v="1.9"/>
    <n v="3"/>
    <n v="1"/>
    <x v="0"/>
    <n v="16.46"/>
  </r>
  <r>
    <n v="45"/>
    <x v="2"/>
    <x v="0"/>
    <n v="61.4"/>
    <n v="1.76"/>
    <n v="194"/>
    <n v="120"/>
    <n v="68"/>
    <n v="1.22"/>
    <n v="909"/>
    <x v="0"/>
    <x v="3"/>
    <n v="21.4"/>
    <n v="2.8"/>
    <n v="2"/>
    <n v="1"/>
    <x v="2"/>
    <n v="21.75"/>
  </r>
  <r>
    <n v="21"/>
    <x v="1"/>
    <x v="0"/>
    <n v="69.2"/>
    <n v="1.87"/>
    <n v="168"/>
    <n v="127"/>
    <n v="68"/>
    <n v="1.47"/>
    <n v="1275"/>
    <x v="3"/>
    <x v="1"/>
    <n v="24.1"/>
    <n v="2.9"/>
    <n v="5"/>
    <n v="3"/>
    <x v="0"/>
    <n v="14.59"/>
  </r>
  <r>
    <n v="52"/>
    <x v="2"/>
    <x v="1"/>
    <n v="67.400000000000006"/>
    <n v="1.72"/>
    <n v="160"/>
    <n v="134"/>
    <n v="51"/>
    <n v="1.49"/>
    <n v="1307"/>
    <x v="0"/>
    <x v="4"/>
    <n v="17"/>
    <n v="2.6"/>
    <n v="2"/>
    <n v="2"/>
    <x v="0"/>
    <n v="15.39"/>
  </r>
  <r>
    <n v="29"/>
    <x v="0"/>
    <x v="0"/>
    <n v="40"/>
    <n v="1.64"/>
    <n v="178"/>
    <n v="130"/>
    <n v="69"/>
    <n v="1.1499999999999999"/>
    <n v="1093"/>
    <x v="2"/>
    <x v="1"/>
    <n v="27.4"/>
    <n v="3.4"/>
    <n v="3"/>
    <n v="2"/>
    <x v="0"/>
    <n v="14.89"/>
  </r>
  <r>
    <n v="47"/>
    <x v="2"/>
    <x v="0"/>
    <n v="46"/>
    <n v="1.58"/>
    <n v="172"/>
    <n v="147"/>
    <n v="72"/>
    <n v="1.37"/>
    <n v="1098"/>
    <x v="0"/>
    <x v="1"/>
    <n v="28.5"/>
    <n v="3.7"/>
    <n v="2"/>
    <n v="3"/>
    <x v="0"/>
    <n v="15.45"/>
  </r>
  <r>
    <n v="34"/>
    <x v="0"/>
    <x v="1"/>
    <n v="89.1"/>
    <n v="1.78"/>
    <n v="174"/>
    <n v="120"/>
    <n v="51"/>
    <n v="1.52"/>
    <n v="574"/>
    <x v="1"/>
    <x v="2"/>
    <n v="27.6"/>
    <n v="1.5"/>
    <n v="4"/>
    <n v="2"/>
    <x v="2"/>
    <n v="20.61"/>
  </r>
  <r>
    <n v="57"/>
    <x v="4"/>
    <x v="1"/>
    <n v="70.400000000000006"/>
    <n v="1.72"/>
    <n v="181"/>
    <n v="161"/>
    <n v="57"/>
    <n v="1.3"/>
    <n v="983"/>
    <x v="3"/>
    <x v="2"/>
    <n v="29.9"/>
    <n v="3.6"/>
    <n v="3"/>
    <n v="2"/>
    <x v="2"/>
    <n v="22.21"/>
  </r>
  <r>
    <n v="24"/>
    <x v="1"/>
    <x v="1"/>
    <n v="65.7"/>
    <n v="1.84"/>
    <n v="165"/>
    <n v="146"/>
    <n v="74"/>
    <n v="1.59"/>
    <n v="954"/>
    <x v="1"/>
    <x v="4"/>
    <n v="17.8"/>
    <n v="2.8"/>
    <n v="5"/>
    <n v="2"/>
    <x v="0"/>
    <n v="16.059999999999999"/>
  </r>
  <r>
    <n v="26"/>
    <x v="0"/>
    <x v="1"/>
    <n v="82.2"/>
    <n v="1.69"/>
    <n v="189"/>
    <n v="139"/>
    <n v="70"/>
    <n v="1.45"/>
    <n v="1184"/>
    <x v="3"/>
    <x v="0"/>
    <n v="10"/>
    <n v="2.5"/>
    <n v="5"/>
    <n v="2"/>
    <x v="0"/>
    <n v="18.010000000000002"/>
  </r>
  <r>
    <n v="32"/>
    <x v="0"/>
    <x v="2"/>
    <n v="52.2"/>
    <n v="1.73"/>
    <n v="196"/>
    <n v="134"/>
    <n v="74"/>
    <n v="2"/>
    <n v="684"/>
    <x v="0"/>
    <x v="4"/>
    <n v="27.4"/>
    <n v="2"/>
    <n v="3"/>
    <n v="1"/>
    <x v="2"/>
    <n v="21.27"/>
  </r>
  <r>
    <n v="54"/>
    <x v="2"/>
    <x v="1"/>
    <n v="128.69999999999999"/>
    <n v="1.91"/>
    <n v="192"/>
    <m/>
    <n v="58"/>
    <n v="1.97"/>
    <n v="1049"/>
    <x v="1"/>
    <x v="4"/>
    <n v="22.9"/>
    <n v="2.7"/>
    <n v="4"/>
    <n v="2"/>
    <x v="2"/>
    <n v="23.32"/>
  </r>
  <r>
    <n v="18"/>
    <x v="1"/>
    <x v="0"/>
    <m/>
    <n v="1.64"/>
    <n v="196"/>
    <n v="169"/>
    <n v="74"/>
    <n v="0.9"/>
    <n v="921"/>
    <x v="0"/>
    <x v="1"/>
    <n v="25.8"/>
    <n v="3.3"/>
    <n v="5"/>
    <n v="2"/>
    <x v="2"/>
    <n v="20.03"/>
  </r>
  <r>
    <n v="18"/>
    <x v="1"/>
    <x v="0"/>
    <n v="110.3"/>
    <n v="1.76"/>
    <n v="168"/>
    <n v="169"/>
    <n v="55"/>
    <n v="1.86"/>
    <n v="1391"/>
    <x v="0"/>
    <x v="2"/>
    <n v="33"/>
    <n v="3.5"/>
    <n v="5"/>
    <n v="3"/>
    <x v="0"/>
    <n v="16.38"/>
  </r>
  <r>
    <n v="54"/>
    <x v="2"/>
    <x v="1"/>
    <n v="42.7"/>
    <n v="1.72"/>
    <n v="191"/>
    <n v="153"/>
    <n v="74"/>
    <n v="2"/>
    <n v="987"/>
    <x v="3"/>
    <x v="3"/>
    <n v="13.6"/>
    <n v="1.5"/>
    <n v="5"/>
    <n v="2"/>
    <x v="2"/>
    <n v="19.11"/>
  </r>
  <r>
    <n v="35"/>
    <x v="3"/>
    <x v="0"/>
    <n v="98"/>
    <n v="1.59"/>
    <n v="179"/>
    <n v="141"/>
    <n v="62"/>
    <n v="1.04"/>
    <n v="729"/>
    <x v="1"/>
    <x v="0"/>
    <n v="14.2"/>
    <n v="1.5"/>
    <n v="3"/>
    <n v="1"/>
    <x v="0"/>
    <n v="18.32"/>
  </r>
  <r>
    <n v="37"/>
    <x v="3"/>
    <x v="0"/>
    <n v="94.5"/>
    <n v="1.84"/>
    <n v="160"/>
    <n v="158"/>
    <n v="61"/>
    <n v="1.2"/>
    <n v="1063"/>
    <x v="2"/>
    <x v="1"/>
    <n v="26.6"/>
    <n v="2.6"/>
    <n v="3"/>
    <n v="2"/>
    <x v="0"/>
    <n v="12.32"/>
  </r>
  <r>
    <n v="30"/>
    <x v="0"/>
    <x v="0"/>
    <n v="57.6"/>
    <n v="1.66"/>
    <n v="169"/>
    <n v="160"/>
    <n v="67"/>
    <n v="1.86"/>
    <n v="1332"/>
    <x v="3"/>
    <x v="1"/>
    <n v="30.9"/>
    <n v="2.7"/>
    <n v="4"/>
    <n v="2"/>
    <x v="1"/>
    <n v="30.42"/>
  </r>
  <r>
    <n v="31"/>
    <x v="0"/>
    <x v="1"/>
    <n v="40"/>
    <n v="1.74"/>
    <n v="194"/>
    <n v="155"/>
    <n v="68"/>
    <n v="1.4"/>
    <n v="716"/>
    <x v="2"/>
    <x v="2"/>
    <n v="30.6"/>
    <n v="1.5"/>
    <n v="4"/>
    <n v="3"/>
    <x v="2"/>
    <n v="20.16"/>
  </r>
  <r>
    <n v="28"/>
    <x v="0"/>
    <x v="1"/>
    <n v="40.299999999999997"/>
    <n v="1.69"/>
    <n v="166"/>
    <n v="169"/>
    <n v="69"/>
    <n v="0.5"/>
    <n v="864"/>
    <x v="1"/>
    <x v="2"/>
    <n v="24.9"/>
    <n v="2.6"/>
    <n v="3"/>
    <n v="3"/>
    <x v="2"/>
    <n v="20.420000000000002"/>
  </r>
  <r>
    <n v="53"/>
    <x v="2"/>
    <x v="1"/>
    <n v="60.8"/>
    <n v="1.66"/>
    <n v="199"/>
    <n v="121"/>
    <n v="69"/>
    <n v="1.1200000000000001"/>
    <n v="926"/>
    <x v="0"/>
    <x v="2"/>
    <n v="26.5"/>
    <n v="3.6"/>
    <n v="4"/>
    <n v="1"/>
    <x v="0"/>
    <n v="12.32"/>
  </r>
  <r>
    <n v="56"/>
    <x v="4"/>
    <x v="1"/>
    <n v="72"/>
    <n v="1.77"/>
    <n v="191"/>
    <n v="168"/>
    <n v="62"/>
    <n v="1.55"/>
    <n v="1144"/>
    <x v="1"/>
    <x v="2"/>
    <n v="30"/>
    <n v="2.7"/>
    <n v="2"/>
    <n v="2"/>
    <x v="2"/>
    <n v="23.34"/>
  </r>
  <r>
    <n v="44"/>
    <x v="3"/>
    <x v="1"/>
    <n v="94.4"/>
    <n v="1.75"/>
    <n v="163"/>
    <n v="154"/>
    <n v="58"/>
    <n v="1.66"/>
    <n v="881"/>
    <x v="2"/>
    <x v="4"/>
    <n v="24.1"/>
    <n v="2.9"/>
    <n v="3"/>
    <n v="3"/>
    <x v="0"/>
    <n v="12.32"/>
  </r>
  <r>
    <n v="38"/>
    <x v="3"/>
    <x v="1"/>
    <n v="71"/>
    <n v="1.84"/>
    <n v="190"/>
    <n v="120"/>
    <n v="53"/>
    <n v="1.93"/>
    <n v="1700"/>
    <x v="1"/>
    <x v="4"/>
    <n v="24.7"/>
    <n v="3.1"/>
    <m/>
    <n v="3"/>
    <x v="2"/>
    <n v="21.97"/>
  </r>
  <r>
    <n v="34"/>
    <x v="0"/>
    <x v="0"/>
    <n v="77.900000000000006"/>
    <n v="1.87"/>
    <n v="183"/>
    <n v="169"/>
    <n v="59"/>
    <n v="1.28"/>
    <n v="691"/>
    <x v="4"/>
    <x v="1"/>
    <n v="24"/>
    <n v="3.4"/>
    <n v="2"/>
    <n v="1"/>
    <x v="0"/>
    <n v="15.67"/>
  </r>
  <r>
    <n v="48"/>
    <x v="2"/>
    <x v="1"/>
    <n v="52.6"/>
    <n v="1.63"/>
    <n v="182"/>
    <n v="129"/>
    <n v="54"/>
    <n v="2"/>
    <n v="1310"/>
    <x v="0"/>
    <x v="2"/>
    <n v="25.1"/>
    <n v="1.5"/>
    <m/>
    <n v="1"/>
    <x v="0"/>
    <n v="14.53"/>
  </r>
  <r>
    <n v="48"/>
    <x v="2"/>
    <x v="0"/>
    <n v="62.9"/>
    <n v="1.67"/>
    <n v="198"/>
    <n v="164"/>
    <n v="64"/>
    <n v="0.84"/>
    <n v="1098"/>
    <x v="2"/>
    <x v="1"/>
    <n v="24.5"/>
    <n v="3.3"/>
    <n v="5"/>
    <n v="1"/>
    <x v="2"/>
    <n v="24.26"/>
  </r>
  <r>
    <n v="33"/>
    <x v="0"/>
    <x v="1"/>
    <n v="59.6"/>
    <n v="1.6"/>
    <n v="187"/>
    <n v="127"/>
    <n v="69"/>
    <n v="1.41"/>
    <n v="573"/>
    <x v="1"/>
    <x v="4"/>
    <n v="22.7"/>
    <n v="2.2000000000000002"/>
    <n v="3"/>
    <n v="1"/>
    <x v="2"/>
    <n v="21.54"/>
  </r>
  <r>
    <n v="46"/>
    <x v="2"/>
    <x v="0"/>
    <n v="50"/>
    <n v="1.5"/>
    <n v="182"/>
    <n v="149"/>
    <n v="64"/>
    <n v="1.44"/>
    <n v="929"/>
    <x v="1"/>
    <x v="3"/>
    <n v="23.8"/>
    <n v="3.3"/>
    <n v="2"/>
    <n v="3"/>
    <x v="0"/>
    <n v="16.09"/>
  </r>
  <r>
    <n v="32"/>
    <x v="0"/>
    <x v="0"/>
    <n v="104.3"/>
    <n v="1.83"/>
    <n v="160"/>
    <m/>
    <n v="64"/>
    <n v="1.83"/>
    <n v="1122"/>
    <x v="3"/>
    <x v="3"/>
    <n v="22.1"/>
    <n v="2.8"/>
    <n v="4"/>
    <n v="2"/>
    <x v="0"/>
    <n v="16.989999999999998"/>
  </r>
  <r>
    <n v="36"/>
    <x v="3"/>
    <x v="0"/>
    <n v="61.2"/>
    <n v="1.93"/>
    <n v="166"/>
    <n v="145"/>
    <n v="55"/>
    <n v="0.77"/>
    <n v="1015"/>
    <x v="2"/>
    <x v="0"/>
    <n v="18.8"/>
    <n v="1.5"/>
    <n v="4"/>
    <n v="2"/>
    <x v="0"/>
    <n v="12.32"/>
  </r>
  <r>
    <n v="36"/>
    <x v="3"/>
    <x v="0"/>
    <n v="82.5"/>
    <n v="1.66"/>
    <n v="166"/>
    <n v="134"/>
    <n v="50"/>
    <n v="0.95"/>
    <n v="640"/>
    <x v="3"/>
    <x v="0"/>
    <n v="11.2"/>
    <n v="3.4"/>
    <n v="5"/>
    <n v="2"/>
    <x v="2"/>
    <n v="21.01"/>
  </r>
  <r>
    <n v="57"/>
    <x v="4"/>
    <x v="0"/>
    <n v="58.3"/>
    <n v="1.73"/>
    <n v="164"/>
    <n v="132"/>
    <n v="50"/>
    <n v="1.48"/>
    <n v="492"/>
    <x v="2"/>
    <x v="1"/>
    <n v="27.7"/>
    <n v="3.6"/>
    <n v="3"/>
    <n v="1"/>
    <x v="2"/>
    <n v="19.23"/>
  </r>
  <r>
    <n v="45"/>
    <x v="2"/>
    <x v="1"/>
    <n v="61.6"/>
    <n v="1.95"/>
    <n v="176"/>
    <m/>
    <n v="64"/>
    <n v="1.1200000000000001"/>
    <n v="1049"/>
    <x v="0"/>
    <x v="2"/>
    <n v="25.1"/>
    <n v="2.4"/>
    <n v="4"/>
    <n v="1"/>
    <x v="1"/>
    <n v="30.72"/>
  </r>
  <r>
    <n v="44"/>
    <x v="3"/>
    <x v="1"/>
    <n v="64.2"/>
    <n v="1.7"/>
    <m/>
    <n v="139"/>
    <n v="62"/>
    <n v="1.3"/>
    <n v="1201"/>
    <x v="3"/>
    <x v="4"/>
    <n v="23.2"/>
    <n v="3.3"/>
    <n v="2"/>
    <n v="2"/>
    <x v="0"/>
    <n v="15.79"/>
  </r>
  <r>
    <n v="31"/>
    <x v="0"/>
    <x v="1"/>
    <n v="53"/>
    <n v="1.83"/>
    <n v="182"/>
    <n v="149"/>
    <n v="55"/>
    <n v="1.33"/>
    <n v="821"/>
    <x v="0"/>
    <x v="4"/>
    <n v="23.6"/>
    <n v="3.4"/>
    <n v="4"/>
    <n v="3"/>
    <x v="2"/>
    <n v="22.89"/>
  </r>
  <r>
    <n v="50"/>
    <x v="2"/>
    <x v="0"/>
    <n v="69.599999999999994"/>
    <n v="1.9"/>
    <n v="172"/>
    <n v="127"/>
    <n v="74"/>
    <m/>
    <n v="303"/>
    <x v="0"/>
    <x v="1"/>
    <n v="26.2"/>
    <n v="1.5"/>
    <n v="3"/>
    <n v="1"/>
    <x v="1"/>
    <n v="29.91"/>
  </r>
  <r>
    <n v="38"/>
    <x v="3"/>
    <x v="0"/>
    <n v="81.099999999999994"/>
    <n v="1.92"/>
    <n v="190"/>
    <n v="125"/>
    <n v="61"/>
    <n v="1.18"/>
    <n v="690"/>
    <x v="3"/>
    <x v="1"/>
    <n v="26.1"/>
    <n v="3.1"/>
    <n v="4"/>
    <n v="3"/>
    <x v="0"/>
    <n v="17.989999999999998"/>
  </r>
  <r>
    <n v="49"/>
    <x v="2"/>
    <x v="0"/>
    <n v="65.7"/>
    <n v="1.77"/>
    <n v="182"/>
    <n v="139"/>
    <n v="74"/>
    <n v="1.18"/>
    <n v="744"/>
    <x v="2"/>
    <x v="1"/>
    <n v="26.8"/>
    <n v="3.1"/>
    <n v="2"/>
    <n v="2"/>
    <x v="2"/>
    <n v="23"/>
  </r>
  <r>
    <n v="21"/>
    <x v="1"/>
    <x v="1"/>
    <n v="81.8"/>
    <n v="1.83"/>
    <n v="182"/>
    <n v="163"/>
    <n v="53"/>
    <n v="2"/>
    <n v="1159"/>
    <x v="1"/>
    <x v="2"/>
    <n v="29.2"/>
    <n v="2.7"/>
    <n v="4"/>
    <n v="1"/>
    <x v="2"/>
    <n v="22.27"/>
  </r>
  <r>
    <n v="28"/>
    <x v="0"/>
    <x v="0"/>
    <n v="91.2"/>
    <n v="1.77"/>
    <n v="164"/>
    <n v="162"/>
    <n v="55"/>
    <n v="1.28"/>
    <n v="648"/>
    <x v="0"/>
    <x v="1"/>
    <n v="25.4"/>
    <n v="3.3"/>
    <n v="2"/>
    <n v="2"/>
    <x v="2"/>
    <n v="18.88"/>
  </r>
  <r>
    <n v="52"/>
    <x v="2"/>
    <x v="0"/>
    <n v="98.5"/>
    <n v="1.96"/>
    <n v="183"/>
    <n v="169"/>
    <n v="50"/>
    <n v="1.98"/>
    <n v="1515"/>
    <x v="0"/>
    <x v="0"/>
    <m/>
    <n v="2.2000000000000002"/>
    <n v="5"/>
    <n v="1"/>
    <x v="1"/>
    <n v="35.08"/>
  </r>
  <r>
    <n v="22"/>
    <x v="1"/>
    <x v="1"/>
    <n v="88.9"/>
    <n v="1.6"/>
    <n v="182"/>
    <n v="148"/>
    <n v="74"/>
    <n v="1.39"/>
    <n v="1386"/>
    <x v="2"/>
    <x v="2"/>
    <n v="28.9"/>
    <n v="2.5"/>
    <n v="3"/>
    <n v="3"/>
    <x v="1"/>
    <n v="32.24"/>
  </r>
  <r>
    <n v="43"/>
    <x v="3"/>
    <x v="1"/>
    <n v="88.5"/>
    <n v="1.72"/>
    <n v="185"/>
    <n v="131"/>
    <n v="67"/>
    <n v="1.48"/>
    <n v="1140"/>
    <x v="1"/>
    <x v="4"/>
    <n v="23.6"/>
    <n v="3.3"/>
    <n v="4"/>
    <n v="1"/>
    <x v="4"/>
    <n v="28.7"/>
  </r>
  <r>
    <n v="46"/>
    <x v="2"/>
    <x v="1"/>
    <n v="85.9"/>
    <n v="1.7"/>
    <n v="180"/>
    <n v="148"/>
    <n v="66"/>
    <n v="1.77"/>
    <n v="1088"/>
    <x v="2"/>
    <x v="3"/>
    <n v="13.8"/>
    <n v="3.4"/>
    <n v="2"/>
    <n v="2"/>
    <x v="2"/>
    <n v="21.8"/>
  </r>
  <r>
    <n v="18"/>
    <x v="1"/>
    <x v="1"/>
    <n v="56.5"/>
    <n v="1.86"/>
    <n v="193"/>
    <n v="129"/>
    <n v="54"/>
    <n v="1.4"/>
    <n v="901"/>
    <x v="2"/>
    <x v="4"/>
    <n v="20.6"/>
    <n v="3.5"/>
    <n v="4"/>
    <n v="2"/>
    <x v="0"/>
    <n v="13.7"/>
  </r>
  <r>
    <n v="43"/>
    <x v="3"/>
    <x v="0"/>
    <n v="65.2"/>
    <n v="1.97"/>
    <n v="184"/>
    <n v="121"/>
    <n v="72"/>
    <n v="1.1000000000000001"/>
    <n v="594"/>
    <x v="2"/>
    <x v="3"/>
    <n v="23.2"/>
    <m/>
    <n v="3"/>
    <n v="2"/>
    <x v="0"/>
    <n v="17.03"/>
  </r>
  <r>
    <n v="18"/>
    <x v="1"/>
    <x v="1"/>
    <n v="71.900000000000006"/>
    <n v="1.54"/>
    <n v="170"/>
    <n v="121"/>
    <n v="59"/>
    <n v="1.48"/>
    <n v="658"/>
    <x v="2"/>
    <x v="4"/>
    <n v="18.899999999999999"/>
    <n v="2.6"/>
    <n v="4"/>
    <n v="2"/>
    <x v="2"/>
    <n v="24.65"/>
  </r>
  <r>
    <n v="44"/>
    <x v="3"/>
    <x v="1"/>
    <n v="66.8"/>
    <n v="1.72"/>
    <n v="191"/>
    <n v="136"/>
    <n v="68"/>
    <n v="1.34"/>
    <n v="1239"/>
    <x v="1"/>
    <x v="2"/>
    <n v="31.5"/>
    <n v="2.8"/>
    <n v="4"/>
    <n v="2"/>
    <x v="2"/>
    <n v="22.21"/>
  </r>
  <r>
    <n v="55"/>
    <x v="4"/>
    <x v="0"/>
    <n v="46.3"/>
    <n v="1.7"/>
    <n v="187"/>
    <n v="139"/>
    <n v="52"/>
    <n v="2"/>
    <n v="1130"/>
    <x v="1"/>
    <x v="1"/>
    <n v="27.3"/>
    <n v="1.5"/>
    <n v="3"/>
    <n v="1"/>
    <x v="1"/>
    <n v="32.94"/>
  </r>
  <r>
    <n v="36"/>
    <x v="3"/>
    <x v="1"/>
    <n v="93.2"/>
    <n v="1.63"/>
    <m/>
    <n v="153"/>
    <n v="55"/>
    <n v="1.21"/>
    <n v="389"/>
    <x v="1"/>
    <x v="2"/>
    <n v="25.8"/>
    <n v="1.5"/>
    <n v="3"/>
    <n v="2"/>
    <x v="4"/>
    <n v="24.94"/>
  </r>
  <r>
    <n v="57"/>
    <x v="4"/>
    <x v="1"/>
    <n v="72.400000000000006"/>
    <n v="1.65"/>
    <n v="168"/>
    <n v="162"/>
    <n v="56"/>
    <n v="1.71"/>
    <n v="1140"/>
    <x v="3"/>
    <x v="0"/>
    <n v="10.9"/>
    <n v="2.5"/>
    <n v="4"/>
    <n v="1"/>
    <x v="4"/>
    <n v="28.3"/>
  </r>
  <r>
    <n v="41"/>
    <x v="3"/>
    <x v="1"/>
    <n v="70.7"/>
    <n v="1.81"/>
    <n v="191"/>
    <n v="134"/>
    <n v="62"/>
    <n v="1.53"/>
    <n v="1381"/>
    <x v="1"/>
    <x v="2"/>
    <n v="30.3"/>
    <n v="3.3"/>
    <n v="2"/>
    <n v="2"/>
    <x v="2"/>
    <n v="23.32"/>
  </r>
  <r>
    <n v="52"/>
    <x v="2"/>
    <x v="0"/>
    <n v="45"/>
    <n v="1.75"/>
    <n v="196"/>
    <n v="143"/>
    <n v="74"/>
    <n v="2"/>
    <n v="926"/>
    <x v="3"/>
    <x v="3"/>
    <n v="22"/>
    <n v="2.4"/>
    <n v="3"/>
    <n v="1"/>
    <x v="1"/>
    <n v="38.799999999999997"/>
  </r>
  <r>
    <n v="18"/>
    <x v="1"/>
    <x v="0"/>
    <n v="74.8"/>
    <n v="1.83"/>
    <n v="165"/>
    <n v="144"/>
    <n v="63"/>
    <n v="1.66"/>
    <n v="1174"/>
    <x v="1"/>
    <x v="3"/>
    <n v="22.9"/>
    <n v="3.1"/>
    <n v="2"/>
    <n v="2"/>
    <x v="0"/>
    <n v="15.29"/>
  </r>
  <r>
    <n v="31"/>
    <x v="0"/>
    <x v="0"/>
    <n v="61.1"/>
    <n v="1.69"/>
    <n v="190"/>
    <n v="123"/>
    <n v="64"/>
    <n v="0.62"/>
    <n v="1227"/>
    <x v="2"/>
    <x v="3"/>
    <n v="23.8"/>
    <n v="3.6"/>
    <n v="2"/>
    <n v="3"/>
    <x v="2"/>
    <n v="19.829999999999998"/>
  </r>
  <r>
    <n v="34"/>
    <x v="0"/>
    <x v="0"/>
    <n v="44.3"/>
    <n v="1.76"/>
    <n v="180"/>
    <n v="129"/>
    <n v="58"/>
    <n v="1.85"/>
    <n v="494"/>
    <x v="0"/>
    <x v="1"/>
    <n v="25.8"/>
    <n v="3.2"/>
    <n v="4"/>
    <n v="3"/>
    <x v="0"/>
    <n v="16.48"/>
  </r>
  <r>
    <n v="20"/>
    <x v="1"/>
    <x v="0"/>
    <n v="96.2"/>
    <n v="1.59"/>
    <n v="170"/>
    <n v="142"/>
    <n v="52"/>
    <n v="1.57"/>
    <n v="1305"/>
    <x v="0"/>
    <x v="0"/>
    <n v="10.199999999999999"/>
    <n v="2.8"/>
    <m/>
    <n v="1"/>
    <x v="2"/>
    <n v="21.72"/>
  </r>
  <r>
    <n v="47"/>
    <x v="2"/>
    <x v="1"/>
    <n v="69.7"/>
    <n v="1.83"/>
    <n v="184"/>
    <n v="121"/>
    <n v="70"/>
    <n v="1.02"/>
    <n v="747"/>
    <x v="2"/>
    <x v="2"/>
    <n v="30.2"/>
    <n v="1.9"/>
    <n v="5"/>
    <n v="1"/>
    <x v="2"/>
    <n v="20.78"/>
  </r>
  <r>
    <n v="33"/>
    <x v="0"/>
    <x v="1"/>
    <n v="41.9"/>
    <n v="1.59"/>
    <n v="166"/>
    <n v="165"/>
    <n v="50"/>
    <n v="2"/>
    <n v="898"/>
    <x v="0"/>
    <x v="4"/>
    <n v="24.6"/>
    <n v="3.2"/>
    <n v="3"/>
    <n v="2"/>
    <x v="0"/>
    <n v="14.53"/>
  </r>
  <r>
    <n v="47"/>
    <x v="2"/>
    <x v="0"/>
    <n v="52.9"/>
    <n v="1.67"/>
    <n v="180"/>
    <n v="142"/>
    <n v="72"/>
    <n v="1.1100000000000001"/>
    <n v="770"/>
    <x v="1"/>
    <x v="3"/>
    <n v="22.9"/>
    <n v="1.5"/>
    <n v="3"/>
    <n v="2"/>
    <x v="1"/>
    <n v="30.5"/>
  </r>
  <r>
    <n v="58"/>
    <x v="4"/>
    <x v="1"/>
    <n v="94.6"/>
    <n v="1.57"/>
    <n v="191"/>
    <n v="152"/>
    <n v="74"/>
    <n v="0.78"/>
    <n v="674"/>
    <x v="1"/>
    <x v="0"/>
    <n v="10.199999999999999"/>
    <n v="3.3"/>
    <m/>
    <n v="1"/>
    <x v="2"/>
    <n v="22.94"/>
  </r>
  <r>
    <n v="47"/>
    <x v="2"/>
    <x v="1"/>
    <n v="70.5"/>
    <n v="1.67"/>
    <n v="166"/>
    <n v="168"/>
    <n v="58"/>
    <n v="1.74"/>
    <n v="898"/>
    <x v="0"/>
    <x v="2"/>
    <n v="30"/>
    <n v="3.2"/>
    <n v="3"/>
    <n v="2"/>
    <x v="3"/>
    <n v="46.78"/>
  </r>
  <r>
    <n v="27"/>
    <x v="0"/>
    <x v="0"/>
    <n v="40"/>
    <n v="1.76"/>
    <n v="192"/>
    <n v="169"/>
    <n v="56"/>
    <n v="2"/>
    <n v="602"/>
    <x v="2"/>
    <x v="1"/>
    <n v="28"/>
    <n v="3.4"/>
    <n v="3"/>
    <n v="3"/>
    <x v="1"/>
    <n v="31.97"/>
  </r>
  <r>
    <n v="51"/>
    <x v="2"/>
    <x v="1"/>
    <n v="51.6"/>
    <n v="1.83"/>
    <n v="194"/>
    <n v="161"/>
    <n v="67"/>
    <n v="2"/>
    <n v="1057"/>
    <x v="3"/>
    <x v="2"/>
    <n v="27.6"/>
    <n v="2.2000000000000002"/>
    <n v="3"/>
    <n v="1"/>
    <x v="2"/>
    <n v="24.12"/>
  </r>
  <r>
    <n v="18"/>
    <x v="1"/>
    <x v="0"/>
    <n v="83.3"/>
    <n v="1.59"/>
    <n v="165"/>
    <n v="169"/>
    <n v="72"/>
    <n v="1.19"/>
    <n v="997"/>
    <x v="0"/>
    <x v="1"/>
    <n v="25.7"/>
    <n v="3.3"/>
    <n v="3"/>
    <n v="1"/>
    <x v="1"/>
    <n v="31.83"/>
  </r>
  <r>
    <n v="20"/>
    <x v="1"/>
    <x v="1"/>
    <n v="67.7"/>
    <n v="1.84"/>
    <n v="193"/>
    <n v="122"/>
    <n v="66"/>
    <n v="1.19"/>
    <n v="900"/>
    <x v="1"/>
    <x v="3"/>
    <n v="13.7"/>
    <n v="3.4"/>
    <n v="5"/>
    <n v="2"/>
    <x v="2"/>
    <n v="19.760000000000002"/>
  </r>
  <r>
    <n v="43"/>
    <x v="3"/>
    <x v="1"/>
    <n v="57.8"/>
    <n v="1.78"/>
    <n v="197"/>
    <n v="163"/>
    <n v="52"/>
    <n v="1.42"/>
    <n v="1418"/>
    <x v="3"/>
    <x v="2"/>
    <n v="28.6"/>
    <n v="1.6"/>
    <n v="2"/>
    <n v="1"/>
    <x v="0"/>
    <n v="14.84"/>
  </r>
  <r>
    <n v="45"/>
    <x v="2"/>
    <x v="1"/>
    <n v="59"/>
    <n v="1.87"/>
    <n v="199"/>
    <n v="157"/>
    <n v="55"/>
    <n v="1.1100000000000001"/>
    <n v="613"/>
    <x v="0"/>
    <x v="4"/>
    <n v="18.2"/>
    <n v="3.2"/>
    <n v="2"/>
    <n v="1"/>
    <x v="1"/>
    <n v="31.55"/>
  </r>
  <r>
    <n v="29"/>
    <x v="0"/>
    <x v="0"/>
    <n v="61.5"/>
    <n v="1.88"/>
    <n v="182"/>
    <n v="152"/>
    <n v="72"/>
    <n v="1.62"/>
    <n v="793"/>
    <x v="2"/>
    <x v="1"/>
    <n v="24.2"/>
    <n v="3.3"/>
    <n v="4"/>
    <n v="3"/>
    <x v="2"/>
    <n v="23.84"/>
  </r>
  <r>
    <n v="18"/>
    <x v="1"/>
    <x v="0"/>
    <n v="40"/>
    <n v="1.75"/>
    <n v="176"/>
    <n v="124"/>
    <n v="68"/>
    <n v="1.01"/>
    <n v="1536"/>
    <x v="2"/>
    <x v="0"/>
    <n v="14.6"/>
    <n v="3.5"/>
    <m/>
    <n v="2"/>
    <x v="0"/>
    <n v="17.62"/>
  </r>
  <r>
    <n v="37"/>
    <x v="3"/>
    <x v="1"/>
    <n v="79.599999999999994"/>
    <n v="1.68"/>
    <n v="180"/>
    <n v="137"/>
    <n v="67"/>
    <n v="2"/>
    <n v="920"/>
    <x v="3"/>
    <x v="2"/>
    <n v="28.6"/>
    <n v="1.8"/>
    <m/>
    <n v="3"/>
    <x v="2"/>
    <n v="23.26"/>
  </r>
  <r>
    <n v="26"/>
    <x v="0"/>
    <x v="0"/>
    <n v="68.599999999999994"/>
    <n v="1.75"/>
    <n v="184"/>
    <n v="140"/>
    <n v="60"/>
    <n v="1.26"/>
    <n v="681"/>
    <x v="2"/>
    <x v="1"/>
    <n v="29.4"/>
    <n v="1.8"/>
    <n v="3"/>
    <n v="3"/>
    <x v="2"/>
    <n v="20.02"/>
  </r>
  <r>
    <n v="49"/>
    <x v="2"/>
    <x v="0"/>
    <n v="77.900000000000006"/>
    <n v="1.75"/>
    <n v="196"/>
    <n v="169"/>
    <n v="64"/>
    <n v="1.24"/>
    <n v="1267"/>
    <x v="2"/>
    <x v="1"/>
    <n v="24.8"/>
    <n v="3.5"/>
    <n v="3"/>
    <n v="2"/>
    <x v="0"/>
    <n v="14.38"/>
  </r>
  <r>
    <n v="23"/>
    <x v="1"/>
    <x v="0"/>
    <n v="40.9"/>
    <n v="1.75"/>
    <n v="187"/>
    <n v="136"/>
    <n v="50"/>
    <n v="1.1399999999999999"/>
    <n v="1135"/>
    <x v="1"/>
    <x v="1"/>
    <n v="24.8"/>
    <n v="3.4"/>
    <n v="3"/>
    <n v="2"/>
    <x v="0"/>
    <n v="12.32"/>
  </r>
  <r>
    <n v="18"/>
    <x v="1"/>
    <x v="1"/>
    <n v="68.7"/>
    <n v="1.77"/>
    <n v="161"/>
    <n v="169"/>
    <n v="68"/>
    <n v="1.01"/>
    <n v="1011"/>
    <x v="1"/>
    <x v="2"/>
    <n v="27.3"/>
    <n v="3.5"/>
    <n v="3"/>
    <n v="2"/>
    <x v="0"/>
    <n v="17"/>
  </r>
  <r>
    <n v="23"/>
    <x v="1"/>
    <x v="1"/>
    <n v="114.9"/>
    <n v="1.61"/>
    <n v="180"/>
    <n v="120"/>
    <n v="56"/>
    <n v="1.27"/>
    <n v="891"/>
    <x v="2"/>
    <x v="2"/>
    <n v="28"/>
    <n v="3.3"/>
    <n v="3"/>
    <n v="1"/>
    <x v="2"/>
    <n v="22.67"/>
  </r>
  <r>
    <n v="47"/>
    <x v="2"/>
    <x v="1"/>
    <n v="65.599999999999994"/>
    <n v="1.77"/>
    <n v="190"/>
    <n v="154"/>
    <n v="54"/>
    <n v="1.59"/>
    <n v="413"/>
    <x v="0"/>
    <x v="4"/>
    <n v="23.1"/>
    <n v="3.6"/>
    <n v="2"/>
    <n v="2"/>
    <x v="0"/>
    <n v="14.47"/>
  </r>
  <r>
    <n v="20"/>
    <x v="1"/>
    <x v="0"/>
    <n v="90.9"/>
    <n v="1.69"/>
    <n v="198"/>
    <n v="142"/>
    <n v="74"/>
    <n v="1.35"/>
    <n v="927"/>
    <x v="1"/>
    <x v="0"/>
    <n v="18.100000000000001"/>
    <n v="3.2"/>
    <n v="4"/>
    <n v="1"/>
    <x v="0"/>
    <n v="16.23"/>
  </r>
  <r>
    <n v="40"/>
    <x v="3"/>
    <x v="1"/>
    <n v="61"/>
    <n v="1.89"/>
    <n v="196"/>
    <n v="123"/>
    <n v="71"/>
    <n v="1.45"/>
    <n v="625"/>
    <x v="0"/>
    <x v="2"/>
    <n v="27.4"/>
    <n v="3.6"/>
    <n v="3"/>
    <n v="1"/>
    <x v="2"/>
    <n v="23.16"/>
  </r>
  <r>
    <n v="18"/>
    <x v="1"/>
    <x v="1"/>
    <n v="66.8"/>
    <n v="1.66"/>
    <n v="166"/>
    <n v="135"/>
    <n v="59"/>
    <n v="2"/>
    <n v="803"/>
    <x v="3"/>
    <x v="4"/>
    <n v="23.2"/>
    <n v="3"/>
    <n v="2"/>
    <n v="1"/>
    <x v="0"/>
    <n v="12.56"/>
  </r>
  <r>
    <n v="56"/>
    <x v="4"/>
    <x v="1"/>
    <n v="42.6"/>
    <n v="1.61"/>
    <n v="190"/>
    <n v="161"/>
    <n v="60"/>
    <n v="1.24"/>
    <n v="1260"/>
    <x v="2"/>
    <x v="4"/>
    <n v="23"/>
    <n v="3.6"/>
    <n v="4"/>
    <n v="3"/>
    <x v="2"/>
    <n v="23.68"/>
  </r>
  <r>
    <n v="56"/>
    <x v="4"/>
    <x v="0"/>
    <n v="88.8"/>
    <n v="1.7"/>
    <n v="173"/>
    <n v="129"/>
    <n v="52"/>
    <n v="1.79"/>
    <n v="933"/>
    <x v="3"/>
    <x v="1"/>
    <n v="24.1"/>
    <n v="1.5"/>
    <n v="4"/>
    <n v="2"/>
    <x v="0"/>
    <n v="12.32"/>
  </r>
  <r>
    <n v="34"/>
    <x v="0"/>
    <x v="0"/>
    <n v="83.2"/>
    <n v="1.64"/>
    <n v="171"/>
    <n v="164"/>
    <n v="69"/>
    <n v="1.19"/>
    <n v="1392"/>
    <x v="3"/>
    <x v="3"/>
    <n v="22.9"/>
    <n v="3.5"/>
    <n v="3"/>
    <n v="1"/>
    <x v="0"/>
    <n v="14.97"/>
  </r>
  <r>
    <n v="38"/>
    <x v="3"/>
    <x v="0"/>
    <n v="99.1"/>
    <n v="1.5"/>
    <n v="185"/>
    <n v="159"/>
    <n v="74"/>
    <n v="1.38"/>
    <n v="995"/>
    <x v="2"/>
    <x v="0"/>
    <n v="17.8"/>
    <n v="1.5"/>
    <n v="4"/>
    <n v="1"/>
    <x v="2"/>
    <n v="24.56"/>
  </r>
  <r>
    <n v="43"/>
    <x v="3"/>
    <x v="1"/>
    <n v="77.8"/>
    <n v="1.7"/>
    <n v="180"/>
    <n v="149"/>
    <n v="58"/>
    <n v="1.38"/>
    <n v="1643"/>
    <x v="0"/>
    <x v="3"/>
    <n v="14.9"/>
    <n v="2.8"/>
    <n v="5"/>
    <n v="1"/>
    <x v="0"/>
    <n v="16.55"/>
  </r>
  <r>
    <n v="18"/>
    <x v="1"/>
    <x v="1"/>
    <n v="47.8"/>
    <n v="1.85"/>
    <n v="161"/>
    <n v="156"/>
    <n v="50"/>
    <n v="1.02"/>
    <n v="1265"/>
    <x v="3"/>
    <x v="2"/>
    <n v="30.8"/>
    <n v="3.2"/>
    <n v="5"/>
    <n v="1"/>
    <x v="0"/>
    <n v="12.32"/>
  </r>
  <r>
    <n v="24"/>
    <x v="1"/>
    <x v="1"/>
    <n v="40"/>
    <n v="1.82"/>
    <n v="168"/>
    <n v="120"/>
    <n v="74"/>
    <n v="1.28"/>
    <n v="303"/>
    <x v="0"/>
    <x v="2"/>
    <n v="25"/>
    <n v="3.6"/>
    <n v="3"/>
    <n v="1"/>
    <x v="0"/>
    <n v="17.95"/>
  </r>
  <r>
    <n v="35"/>
    <x v="3"/>
    <x v="0"/>
    <n v="91"/>
    <n v="1.55"/>
    <n v="174"/>
    <n v="136"/>
    <n v="74"/>
    <n v="0.99"/>
    <n v="1216"/>
    <x v="1"/>
    <x v="1"/>
    <n v="27"/>
    <n v="3.5"/>
    <n v="3"/>
    <n v="3"/>
    <x v="0"/>
    <n v="16"/>
  </r>
  <r>
    <n v="21"/>
    <x v="1"/>
    <x v="1"/>
    <n v="86.3"/>
    <n v="1.74"/>
    <n v="184"/>
    <n v="169"/>
    <n v="61"/>
    <n v="1.85"/>
    <n v="993"/>
    <x v="0"/>
    <x v="2"/>
    <n v="24.9"/>
    <n v="3.4"/>
    <n v="2"/>
    <n v="2"/>
    <x v="2"/>
    <n v="22.21"/>
  </r>
  <r>
    <n v="26"/>
    <x v="0"/>
    <x v="1"/>
    <n v="64.599999999999994"/>
    <n v="1.82"/>
    <n v="196"/>
    <n v="165"/>
    <n v="55"/>
    <n v="1.46"/>
    <n v="1699"/>
    <x v="3"/>
    <x v="2"/>
    <n v="28.1"/>
    <n v="3.3"/>
    <n v="4"/>
    <n v="2"/>
    <x v="2"/>
    <n v="19.63"/>
  </r>
  <r>
    <n v="40"/>
    <x v="3"/>
    <x v="0"/>
    <n v="49.6"/>
    <n v="1.7"/>
    <n v="169"/>
    <m/>
    <n v="72"/>
    <n v="1.6"/>
    <n v="921"/>
    <x v="1"/>
    <x v="2"/>
    <n v="32.5"/>
    <n v="3.6"/>
    <m/>
    <n v="2"/>
    <x v="0"/>
    <n v="12.71"/>
  </r>
  <r>
    <n v="23"/>
    <x v="1"/>
    <x v="0"/>
    <n v="59.6"/>
    <n v="1.81"/>
    <n v="160"/>
    <n v="146"/>
    <n v="71"/>
    <n v="1.54"/>
    <n v="1382"/>
    <x v="2"/>
    <x v="3"/>
    <n v="22.6"/>
    <n v="2.8"/>
    <n v="5"/>
    <n v="2"/>
    <x v="0"/>
    <n v="12.32"/>
  </r>
  <r>
    <n v="46"/>
    <x v="2"/>
    <x v="0"/>
    <n v="53.7"/>
    <n v="1.5"/>
    <n v="177"/>
    <n v="169"/>
    <n v="54"/>
    <n v="1.62"/>
    <n v="1245"/>
    <x v="0"/>
    <x v="1"/>
    <n v="26.8"/>
    <n v="3.7"/>
    <n v="4"/>
    <n v="3"/>
    <x v="2"/>
    <n v="22.71"/>
  </r>
  <r>
    <n v="55"/>
    <x v="4"/>
    <x v="0"/>
    <n v="58.9"/>
    <n v="1.56"/>
    <n v="197"/>
    <n v="125"/>
    <n v="58"/>
    <n v="0.73"/>
    <n v="1103"/>
    <x v="3"/>
    <x v="3"/>
    <n v="22.1"/>
    <n v="3.5"/>
    <n v="3"/>
    <n v="2"/>
    <x v="1"/>
    <n v="30.52"/>
  </r>
  <r>
    <n v="31"/>
    <x v="0"/>
    <x v="1"/>
    <n v="79.400000000000006"/>
    <n v="1.58"/>
    <n v="163"/>
    <n v="125"/>
    <n v="74"/>
    <n v="1.49"/>
    <n v="663"/>
    <x v="1"/>
    <x v="4"/>
    <n v="24"/>
    <n v="2.4"/>
    <n v="3"/>
    <n v="2"/>
    <x v="0"/>
    <n v="12.32"/>
  </r>
  <r>
    <n v="26"/>
    <x v="0"/>
    <x v="1"/>
    <n v="83.1"/>
    <n v="1.52"/>
    <n v="163"/>
    <n v="139"/>
    <n v="51"/>
    <n v="1.95"/>
    <n v="925"/>
    <x v="0"/>
    <x v="0"/>
    <n v="10"/>
    <n v="2.8"/>
    <n v="3"/>
    <n v="1"/>
    <x v="2"/>
    <n v="20.05"/>
  </r>
  <r>
    <n v="31"/>
    <x v="0"/>
    <x v="0"/>
    <n v="61.7"/>
    <n v="1.52"/>
    <n v="177"/>
    <n v="160"/>
    <n v="54"/>
    <n v="0.54"/>
    <n v="1266"/>
    <x v="3"/>
    <x v="3"/>
    <n v="23.1"/>
    <n v="1.7"/>
    <n v="4"/>
    <n v="2"/>
    <x v="0"/>
    <n v="12.32"/>
  </r>
  <r>
    <n v="27"/>
    <x v="0"/>
    <x v="1"/>
    <n v="66.599999999999994"/>
    <n v="1.7"/>
    <n v="171"/>
    <n v="149"/>
    <n v="73"/>
    <n v="1.43"/>
    <n v="1321"/>
    <x v="0"/>
    <x v="2"/>
    <n v="26.6"/>
    <n v="3.3"/>
    <n v="4"/>
    <n v="3"/>
    <x v="0"/>
    <n v="13.51"/>
  </r>
  <r>
    <n v="45"/>
    <x v="2"/>
    <x v="0"/>
    <n v="106.3"/>
    <n v="1.84"/>
    <n v="172"/>
    <n v="123"/>
    <n v="61"/>
    <n v="1.1499999999999999"/>
    <n v="1177"/>
    <x v="0"/>
    <x v="0"/>
    <n v="16.899999999999999"/>
    <n v="2.6"/>
    <n v="4"/>
    <n v="3"/>
    <x v="1"/>
    <n v="30.72"/>
  </r>
  <r>
    <n v="23"/>
    <x v="1"/>
    <x v="0"/>
    <n v="73.2"/>
    <n v="1.58"/>
    <n v="175"/>
    <n v="169"/>
    <n v="18"/>
    <n v="1.54"/>
    <n v="1226"/>
    <x v="2"/>
    <x v="1"/>
    <n v="25"/>
    <n v="2.4"/>
    <n v="3"/>
    <n v="2"/>
    <x v="2"/>
    <n v="24.85"/>
  </r>
  <r>
    <n v="48"/>
    <x v="2"/>
    <x v="0"/>
    <n v="69.900000000000006"/>
    <n v="1.82"/>
    <n v="173"/>
    <n v="162"/>
    <n v="18"/>
    <n v="2"/>
    <n v="1724"/>
    <x v="3"/>
    <x v="1"/>
    <n v="26.7"/>
    <n v="2.4"/>
    <n v="3"/>
    <n v="1"/>
    <x v="2"/>
    <n v="23.63"/>
  </r>
  <r>
    <n v="30"/>
    <x v="0"/>
    <x v="0"/>
    <n v="62.3"/>
    <n v="1.53"/>
    <n v="185"/>
    <n v="153"/>
    <n v="68"/>
    <n v="1.3"/>
    <n v="1382"/>
    <x v="3"/>
    <x v="3"/>
    <n v="20.5"/>
    <n v="1.6"/>
    <n v="2"/>
    <n v="2"/>
    <x v="1"/>
    <n v="34.479999999999997"/>
  </r>
  <r>
    <n v="48"/>
    <x v="2"/>
    <x v="1"/>
    <n v="83"/>
    <n v="1.55"/>
    <n v="164"/>
    <n v="169"/>
    <n v="67"/>
    <n v="1.27"/>
    <n v="1287"/>
    <x v="1"/>
    <x v="4"/>
    <n v="21.5"/>
    <n v="3.5"/>
    <n v="2"/>
    <n v="3"/>
    <x v="2"/>
    <n v="22.88"/>
  </r>
  <r>
    <n v="35"/>
    <x v="3"/>
    <x v="1"/>
    <n v="75.400000000000006"/>
    <n v="1.64"/>
    <n v="198"/>
    <n v="167"/>
    <n v="63"/>
    <n v="1.1399999999999999"/>
    <n v="1045"/>
    <x v="3"/>
    <x v="4"/>
    <n v="20.5"/>
    <n v="1.5"/>
    <n v="3"/>
    <n v="2"/>
    <x v="1"/>
    <n v="30.23"/>
  </r>
  <r>
    <n v="30"/>
    <x v="0"/>
    <x v="0"/>
    <n v="98.3"/>
    <n v="1.84"/>
    <n v="178"/>
    <n v="161"/>
    <n v="74"/>
    <n v="1.58"/>
    <n v="576"/>
    <x v="2"/>
    <x v="3"/>
    <n v="23.3"/>
    <n v="1.6"/>
    <n v="3"/>
    <n v="2"/>
    <x v="0"/>
    <n v="16.149999999999999"/>
  </r>
  <r>
    <n v="38"/>
    <x v="3"/>
    <x v="0"/>
    <n v="46.5"/>
    <n v="1.65"/>
    <n v="182"/>
    <n v="169"/>
    <n v="70"/>
    <n v="1.34"/>
    <n v="806"/>
    <x v="1"/>
    <x v="1"/>
    <n v="24.1"/>
    <n v="3.5"/>
    <n v="2"/>
    <n v="1"/>
    <x v="0"/>
    <n v="12.32"/>
  </r>
  <r>
    <n v="44"/>
    <x v="3"/>
    <x v="1"/>
    <n v="61.6"/>
    <n v="1.65"/>
    <n v="167"/>
    <n v="158"/>
    <n v="74"/>
    <n v="1.1100000000000001"/>
    <n v="1223"/>
    <x v="0"/>
    <x v="4"/>
    <n v="23.8"/>
    <n v="2.9"/>
    <n v="4"/>
    <n v="1"/>
    <x v="0"/>
    <n v="15.25"/>
  </r>
  <r>
    <n v="31"/>
    <x v="0"/>
    <x v="0"/>
    <n v="64"/>
    <n v="1.85"/>
    <n v="184"/>
    <n v="147"/>
    <n v="71"/>
    <n v="1.05"/>
    <n v="571"/>
    <x v="0"/>
    <x v="1"/>
    <n v="27"/>
    <n v="2"/>
    <n v="5"/>
    <n v="2"/>
    <x v="0"/>
    <n v="14.26"/>
  </r>
  <r>
    <n v="18"/>
    <x v="1"/>
    <x v="1"/>
    <n v="59.1"/>
    <n v="1.69"/>
    <n v="180"/>
    <n v="155"/>
    <n v="57"/>
    <n v="1.99"/>
    <n v="1505"/>
    <x v="3"/>
    <x v="2"/>
    <n v="27.5"/>
    <n v="1.9"/>
    <n v="4"/>
    <n v="1"/>
    <x v="0"/>
    <n v="17.36"/>
  </r>
  <r>
    <n v="24"/>
    <x v="1"/>
    <x v="0"/>
    <n v="45.1"/>
    <n v="1.6"/>
    <n v="195"/>
    <n v="163"/>
    <n v="66"/>
    <n v="2"/>
    <n v="453"/>
    <x v="1"/>
    <x v="2"/>
    <n v="31.2"/>
    <n v="1.6"/>
    <n v="2"/>
    <n v="2"/>
    <x v="2"/>
    <n v="22.88"/>
  </r>
  <r>
    <n v="18"/>
    <x v="1"/>
    <x v="1"/>
    <n v="49.1"/>
    <n v="1.68"/>
    <m/>
    <n v="142"/>
    <n v="74"/>
    <n v="1.1299999999999999"/>
    <n v="961"/>
    <x v="3"/>
    <x v="4"/>
    <n v="23.7"/>
    <n v="3.1"/>
    <m/>
    <n v="1"/>
    <x v="0"/>
    <n v="15.28"/>
  </r>
  <r>
    <n v="18"/>
    <x v="1"/>
    <x v="2"/>
    <n v="82.7"/>
    <n v="1.79"/>
    <n v="171"/>
    <n v="167"/>
    <n v="69"/>
    <n v="1.0900000000000001"/>
    <n v="1305"/>
    <x v="2"/>
    <x v="3"/>
    <n v="21.8"/>
    <n v="2.1"/>
    <n v="2"/>
    <n v="1"/>
    <x v="0"/>
    <n v="12.89"/>
  </r>
  <r>
    <n v="33"/>
    <x v="0"/>
    <x v="1"/>
    <n v="85"/>
    <n v="1.73"/>
    <n v="161"/>
    <n v="128"/>
    <n v="64"/>
    <n v="1.34"/>
    <n v="812"/>
    <x v="0"/>
    <x v="3"/>
    <n v="16.600000000000001"/>
    <n v="3.2"/>
    <n v="4"/>
    <n v="1"/>
    <x v="0"/>
    <n v="13.34"/>
  </r>
  <r>
    <n v="21"/>
    <x v="1"/>
    <x v="0"/>
    <n v="77.900000000000006"/>
    <n v="1.8"/>
    <n v="199"/>
    <n v="169"/>
    <n v="56"/>
    <n v="1.3"/>
    <n v="1171"/>
    <x v="1"/>
    <x v="0"/>
    <n v="19.7"/>
    <n v="3.4"/>
    <n v="3"/>
    <n v="2"/>
    <x v="2"/>
    <n v="19.98"/>
  </r>
  <r>
    <n v="20"/>
    <x v="1"/>
    <x v="1"/>
    <n v="40"/>
    <n v="1.52"/>
    <n v="192"/>
    <n v="151"/>
    <n v="63"/>
    <n v="1.5"/>
    <n v="572"/>
    <x v="2"/>
    <x v="2"/>
    <n v="25.1"/>
    <n v="3.7"/>
    <n v="4"/>
    <n v="1"/>
    <x v="4"/>
    <n v="25.64"/>
  </r>
  <r>
    <n v="59"/>
    <x v="4"/>
    <x v="1"/>
    <n v="44.8"/>
    <n v="1.67"/>
    <n v="189"/>
    <n v="130"/>
    <n v="63"/>
    <n v="1.29"/>
    <n v="1021"/>
    <x v="0"/>
    <x v="2"/>
    <n v="29.8"/>
    <n v="3.6"/>
    <n v="3"/>
    <n v="3"/>
    <x v="0"/>
    <n v="12.32"/>
  </r>
  <r>
    <n v="51"/>
    <x v="2"/>
    <x v="0"/>
    <n v="66.400000000000006"/>
    <n v="1.77"/>
    <n v="184"/>
    <n v="147"/>
    <n v="55"/>
    <n v="0.97"/>
    <n v="1531"/>
    <x v="2"/>
    <x v="2"/>
    <n v="33.1"/>
    <n v="3.6"/>
    <n v="3"/>
    <n v="3"/>
    <x v="0"/>
    <n v="14.27"/>
  </r>
  <r>
    <n v="50"/>
    <x v="2"/>
    <x v="1"/>
    <n v="40"/>
    <n v="2"/>
    <n v="192"/>
    <n v="155"/>
    <n v="56"/>
    <n v="0.82"/>
    <n v="829"/>
    <x v="0"/>
    <x v="4"/>
    <n v="24.6"/>
    <n v="2.4"/>
    <n v="3"/>
    <n v="2"/>
    <x v="0"/>
    <n v="16.670000000000002"/>
  </r>
  <r>
    <n v="42"/>
    <x v="3"/>
    <x v="1"/>
    <n v="96.2"/>
    <n v="1.63"/>
    <n v="164"/>
    <n v="148"/>
    <n v="74"/>
    <n v="1.38"/>
    <n v="887"/>
    <x v="0"/>
    <x v="3"/>
    <n v="16.3"/>
    <n v="1.6"/>
    <n v="2"/>
    <n v="3"/>
    <x v="4"/>
    <n v="25.15"/>
  </r>
  <r>
    <n v="45"/>
    <x v="2"/>
    <x v="0"/>
    <n v="54"/>
    <n v="1.86"/>
    <n v="170"/>
    <n v="148"/>
    <n v="65"/>
    <n v="1.36"/>
    <n v="670"/>
    <x v="1"/>
    <x v="1"/>
    <n v="28.9"/>
    <n v="3.5"/>
    <n v="3"/>
    <n v="2"/>
    <x v="0"/>
    <n v="16.72"/>
  </r>
  <r>
    <n v="22"/>
    <x v="1"/>
    <x v="1"/>
    <n v="71.099999999999994"/>
    <n v="1.68"/>
    <n v="164"/>
    <n v="160"/>
    <n v="74"/>
    <n v="1.51"/>
    <n v="955"/>
    <x v="1"/>
    <x v="0"/>
    <n v="10"/>
    <n v="3.3"/>
    <n v="4"/>
    <n v="2"/>
    <x v="0"/>
    <n v="16.09"/>
  </r>
  <r>
    <n v="47"/>
    <x v="2"/>
    <x v="0"/>
    <n v="48.6"/>
    <n v="1.55"/>
    <n v="176"/>
    <n v="165"/>
    <n v="74"/>
    <n v="0.71"/>
    <n v="1305"/>
    <x v="1"/>
    <x v="0"/>
    <n v="15.6"/>
    <n v="2.7"/>
    <n v="2"/>
    <n v="1"/>
    <x v="4"/>
    <n v="27.31"/>
  </r>
  <r>
    <n v="34"/>
    <x v="0"/>
    <x v="0"/>
    <n v="100.1"/>
    <n v="1.97"/>
    <n v="192"/>
    <n v="164"/>
    <n v="73"/>
    <n v="2"/>
    <n v="1747"/>
    <x v="3"/>
    <x v="1"/>
    <n v="25.5"/>
    <n v="1.5"/>
    <n v="4"/>
    <n v="2"/>
    <x v="2"/>
    <n v="22.68"/>
  </r>
  <r>
    <n v="51"/>
    <x v="2"/>
    <x v="0"/>
    <n v="53.7"/>
    <n v="1.72"/>
    <n v="169"/>
    <n v="120"/>
    <n v="52"/>
    <n v="0.95"/>
    <n v="1234"/>
    <x v="2"/>
    <x v="0"/>
    <n v="10"/>
    <n v="3.3"/>
    <m/>
    <n v="3"/>
    <x v="0"/>
    <n v="14.41"/>
  </r>
  <r>
    <n v="27"/>
    <x v="0"/>
    <x v="1"/>
    <n v="83.5"/>
    <n v="1.67"/>
    <n v="162"/>
    <n v="129"/>
    <n v="65"/>
    <n v="1.48"/>
    <n v="1517"/>
    <x v="3"/>
    <x v="2"/>
    <n v="25.8"/>
    <n v="3.3"/>
    <n v="2"/>
    <n v="1"/>
    <x v="0"/>
    <n v="18.45"/>
  </r>
  <r>
    <n v="18"/>
    <x v="1"/>
    <x v="1"/>
    <n v="52.4"/>
    <n v="1.74"/>
    <n v="181"/>
    <n v="169"/>
    <n v="63"/>
    <n v="0.83"/>
    <n v="889"/>
    <x v="0"/>
    <x v="0"/>
    <n v="10"/>
    <n v="2.8"/>
    <n v="4"/>
    <n v="3"/>
    <x v="0"/>
    <n v="13.4"/>
  </r>
  <r>
    <n v="48"/>
    <x v="2"/>
    <x v="1"/>
    <n v="89.5"/>
    <n v="1.61"/>
    <n v="170"/>
    <n v="153"/>
    <n v="57"/>
    <n v="1.38"/>
    <n v="1355"/>
    <x v="0"/>
    <x v="0"/>
    <n v="10"/>
    <n v="3.3"/>
    <n v="3"/>
    <n v="1"/>
    <x v="0"/>
    <n v="12.32"/>
  </r>
  <r>
    <n v="25"/>
    <x v="0"/>
    <x v="0"/>
    <n v="58.2"/>
    <n v="1.64"/>
    <n v="165"/>
    <n v="169"/>
    <n v="71"/>
    <n v="1.92"/>
    <n v="984"/>
    <x v="0"/>
    <x v="3"/>
    <n v="20.8"/>
    <n v="3.3"/>
    <n v="4"/>
    <n v="3"/>
    <x v="2"/>
    <n v="19.05"/>
  </r>
  <r>
    <n v="51"/>
    <x v="2"/>
    <x v="1"/>
    <n v="126"/>
    <n v="1.74"/>
    <n v="190"/>
    <n v="139"/>
    <n v="57"/>
    <n v="1.04"/>
    <n v="1108"/>
    <x v="0"/>
    <x v="2"/>
    <n v="27.3"/>
    <n v="3.2"/>
    <n v="2"/>
    <n v="1"/>
    <x v="2"/>
    <n v="22.63"/>
  </r>
  <r>
    <n v="58"/>
    <x v="4"/>
    <x v="0"/>
    <n v="57.4"/>
    <n v="1.62"/>
    <n v="196"/>
    <n v="154"/>
    <n v="61"/>
    <n v="1.59"/>
    <n v="1015"/>
    <x v="4"/>
    <x v="0"/>
    <n v="15"/>
    <n v="2.1"/>
    <n v="3"/>
    <n v="1"/>
    <x v="4"/>
    <n v="25.02"/>
  </r>
  <r>
    <n v="32"/>
    <x v="0"/>
    <x v="0"/>
    <n v="52.3"/>
    <n v="1.59"/>
    <n v="161"/>
    <n v="121"/>
    <n v="74"/>
    <n v="2"/>
    <n v="723"/>
    <x v="0"/>
    <x v="3"/>
    <n v="20.3"/>
    <n v="3.3"/>
    <n v="3"/>
    <n v="1"/>
    <x v="2"/>
    <n v="22.56"/>
  </r>
  <r>
    <n v="47"/>
    <x v="2"/>
    <x v="2"/>
    <n v="40"/>
    <n v="1.85"/>
    <n v="192"/>
    <n v="139"/>
    <n v="57"/>
    <n v="1.2"/>
    <n v="697"/>
    <x v="1"/>
    <x v="4"/>
    <n v="25.2"/>
    <n v="3.5"/>
    <n v="4"/>
    <n v="1"/>
    <x v="2"/>
    <n v="19.04"/>
  </r>
  <r>
    <n v="55"/>
    <x v="4"/>
    <x v="0"/>
    <n v="129.6"/>
    <n v="1.84"/>
    <n v="188"/>
    <n v="139"/>
    <n v="58"/>
    <n v="1.28"/>
    <n v="1272"/>
    <x v="2"/>
    <x v="0"/>
    <n v="19.2"/>
    <n v="3.5"/>
    <n v="3"/>
    <n v="1"/>
    <x v="0"/>
    <n v="18.38"/>
  </r>
  <r>
    <n v="33"/>
    <x v="0"/>
    <x v="0"/>
    <n v="72.3"/>
    <n v="1.8"/>
    <n v="199"/>
    <n v="120"/>
    <n v="74"/>
    <n v="1.33"/>
    <n v="457"/>
    <x v="2"/>
    <x v="1"/>
    <n v="26.5"/>
    <n v="2.2999999999999998"/>
    <n v="4"/>
    <n v="2"/>
    <x v="0"/>
    <n v="12.32"/>
  </r>
  <r>
    <n v="28"/>
    <x v="0"/>
    <x v="1"/>
    <n v="64.099999999999994"/>
    <n v="1.55"/>
    <n v="179"/>
    <n v="152"/>
    <n v="52"/>
    <n v="1.41"/>
    <n v="1091"/>
    <x v="2"/>
    <x v="2"/>
    <n v="31.1"/>
    <n v="3.3"/>
    <n v="4"/>
    <n v="1"/>
    <x v="0"/>
    <n v="18.43"/>
  </r>
  <r>
    <n v="34"/>
    <x v="0"/>
    <x v="1"/>
    <n v="66.7"/>
    <n v="1.55"/>
    <n v="186"/>
    <n v="169"/>
    <n v="55"/>
    <n v="1.48"/>
    <n v="781"/>
    <x v="1"/>
    <x v="4"/>
    <n v="19.399999999999999"/>
    <n v="2.5"/>
    <n v="3"/>
    <n v="1"/>
    <x v="0"/>
    <n v="12.32"/>
  </r>
  <r>
    <n v="35"/>
    <x v="3"/>
    <x v="1"/>
    <n v="44.9"/>
    <n v="1.92"/>
    <n v="168"/>
    <n v="123"/>
    <n v="67"/>
    <n v="1.29"/>
    <n v="572"/>
    <x v="1"/>
    <x v="4"/>
    <n v="20.8"/>
    <n v="2.1"/>
    <n v="4"/>
    <n v="2"/>
    <x v="0"/>
    <n v="17.329999999999998"/>
  </r>
  <r>
    <n v="36"/>
    <x v="3"/>
    <x v="0"/>
    <n v="90"/>
    <n v="1.69"/>
    <n v="180"/>
    <n v="160"/>
    <n v="72"/>
    <n v="2"/>
    <n v="717"/>
    <x v="2"/>
    <x v="3"/>
    <n v="20.6"/>
    <n v="3.3"/>
    <n v="4"/>
    <n v="1"/>
    <x v="0"/>
    <n v="13.72"/>
  </r>
  <r>
    <n v="27"/>
    <x v="0"/>
    <x v="1"/>
    <n v="77.7"/>
    <n v="1.76"/>
    <n v="167"/>
    <n v="131"/>
    <n v="74"/>
    <n v="1.36"/>
    <n v="448"/>
    <x v="2"/>
    <x v="2"/>
    <n v="24.9"/>
    <n v="2.1"/>
    <n v="5"/>
    <n v="2"/>
    <x v="2"/>
    <n v="23.19"/>
  </r>
  <r>
    <n v="18"/>
    <x v="1"/>
    <x v="1"/>
    <n v="100"/>
    <n v="1.73"/>
    <n v="192"/>
    <n v="166"/>
    <n v="56"/>
    <n v="1.22"/>
    <n v="1631"/>
    <x v="0"/>
    <x v="4"/>
    <n v="23.3"/>
    <n v="1.8"/>
    <n v="4"/>
    <n v="2"/>
    <x v="0"/>
    <n v="12.32"/>
  </r>
  <r>
    <n v="52"/>
    <x v="2"/>
    <x v="1"/>
    <n v="83.4"/>
    <n v="1.52"/>
    <n v="176"/>
    <n v="142"/>
    <n v="56"/>
    <n v="1.45"/>
    <n v="596"/>
    <x v="2"/>
    <x v="2"/>
    <n v="25.6"/>
    <n v="1.9"/>
    <n v="3"/>
    <n v="2"/>
    <x v="0"/>
    <n v="15.21"/>
  </r>
  <r>
    <n v="32"/>
    <x v="0"/>
    <x v="0"/>
    <n v="46.5"/>
    <n v="1.83"/>
    <n v="176"/>
    <n v="128"/>
    <n v="74"/>
    <n v="1.01"/>
    <n v="1061"/>
    <x v="1"/>
    <x v="0"/>
    <n v="10"/>
    <n v="2.5"/>
    <n v="4"/>
    <n v="3"/>
    <x v="0"/>
    <n v="14.63"/>
  </r>
  <r>
    <n v="37"/>
    <x v="3"/>
    <x v="0"/>
    <n v="81.099999999999994"/>
    <n v="1.78"/>
    <n v="195"/>
    <n v="143"/>
    <n v="72"/>
    <n v="1.07"/>
    <n v="770"/>
    <x v="2"/>
    <x v="3"/>
    <n v="22.5"/>
    <n v="2.5"/>
    <n v="3"/>
    <n v="2"/>
    <x v="0"/>
    <n v="12.51"/>
  </r>
  <r>
    <n v="31"/>
    <x v="0"/>
    <x v="1"/>
    <n v="50.7"/>
    <n v="1.86"/>
    <n v="171"/>
    <n v="149"/>
    <n v="74"/>
    <n v="1.29"/>
    <n v="580"/>
    <x v="1"/>
    <x v="0"/>
    <m/>
    <n v="3.6"/>
    <n v="3"/>
    <n v="2"/>
    <x v="2"/>
    <n v="21.13"/>
  </r>
  <r>
    <n v="23"/>
    <x v="1"/>
    <x v="0"/>
    <n v="55.4"/>
    <n v="1.8"/>
    <n v="164"/>
    <n v="163"/>
    <n v="73"/>
    <n v="1.33"/>
    <n v="783"/>
    <x v="0"/>
    <x v="1"/>
    <n v="27.1"/>
    <n v="1.5"/>
    <n v="2"/>
    <n v="1"/>
    <x v="2"/>
    <n v="18.71"/>
  </r>
  <r>
    <n v="23"/>
    <x v="1"/>
    <x v="0"/>
    <n v="40"/>
    <n v="1.8"/>
    <n v="160"/>
    <n v="136"/>
    <n v="62"/>
    <n v="1.85"/>
    <n v="1113"/>
    <x v="0"/>
    <x v="0"/>
    <n v="16.8"/>
    <n v="1.7"/>
    <n v="3"/>
    <m/>
    <x v="0"/>
    <n v="16.37"/>
  </r>
  <r>
    <n v="25"/>
    <x v="0"/>
    <x v="0"/>
    <n v="76.2"/>
    <n v="1.87"/>
    <n v="184"/>
    <n v="148"/>
    <n v="69"/>
    <n v="1.96"/>
    <n v="809"/>
    <x v="2"/>
    <x v="1"/>
    <n v="26.2"/>
    <n v="2.2999999999999998"/>
    <n v="3"/>
    <n v="1"/>
    <x v="0"/>
    <n v="17.02"/>
  </r>
  <r>
    <n v="52"/>
    <x v="2"/>
    <x v="1"/>
    <n v="84.5"/>
    <n v="1.75"/>
    <n v="180"/>
    <n v="158"/>
    <n v="71"/>
    <n v="2"/>
    <n v="830"/>
    <x v="0"/>
    <x v="3"/>
    <n v="14.1"/>
    <n v="1.5"/>
    <n v="4"/>
    <n v="3"/>
    <x v="0"/>
    <n v="18.25"/>
  </r>
  <r>
    <n v="59"/>
    <x v="4"/>
    <x v="1"/>
    <n v="40"/>
    <n v="2"/>
    <n v="173"/>
    <n v="141"/>
    <n v="68"/>
    <n v="1.04"/>
    <n v="1331"/>
    <x v="0"/>
    <x v="2"/>
    <n v="27"/>
    <n v="3.7"/>
    <n v="2"/>
    <n v="1"/>
    <x v="3"/>
    <n v="43.74"/>
  </r>
  <r>
    <n v="37"/>
    <x v="3"/>
    <x v="2"/>
    <n v="40"/>
    <n v="1.92"/>
    <n v="163"/>
    <n v="129"/>
    <n v="68"/>
    <n v="1.22"/>
    <n v="1025"/>
    <x v="1"/>
    <x v="3"/>
    <n v="22.7"/>
    <n v="3.3"/>
    <n v="2"/>
    <n v="1"/>
    <x v="2"/>
    <n v="23.28"/>
  </r>
  <r>
    <n v="42"/>
    <x v="3"/>
    <x v="0"/>
    <n v="55.6"/>
    <n v="1.63"/>
    <n v="176"/>
    <n v="134"/>
    <n v="74"/>
    <n v="1.41"/>
    <n v="384"/>
    <x v="1"/>
    <x v="3"/>
    <n v="22"/>
    <n v="3.3"/>
    <n v="3"/>
    <n v="1"/>
    <x v="1"/>
    <n v="32.64"/>
  </r>
  <r>
    <n v="29"/>
    <x v="0"/>
    <x v="1"/>
    <n v="73.599999999999994"/>
    <n v="1.82"/>
    <n v="162"/>
    <n v="141"/>
    <n v="55"/>
    <n v="1.5"/>
    <n v="1057"/>
    <x v="1"/>
    <x v="2"/>
    <n v="25.2"/>
    <n v="2.1"/>
    <n v="2"/>
    <n v="2"/>
    <x v="1"/>
    <n v="30.41"/>
  </r>
  <r>
    <n v="29"/>
    <x v="0"/>
    <x v="0"/>
    <n v="50.8"/>
    <n v="1.89"/>
    <n v="199"/>
    <n v="163"/>
    <n v="59"/>
    <n v="0.8"/>
    <n v="784"/>
    <x v="2"/>
    <x v="2"/>
    <n v="35"/>
    <n v="2.5"/>
    <n v="3"/>
    <n v="2"/>
    <x v="2"/>
    <n v="22.37"/>
  </r>
  <r>
    <n v="27"/>
    <x v="0"/>
    <x v="1"/>
    <n v="72.5"/>
    <n v="1.88"/>
    <n v="181"/>
    <n v="162"/>
    <n v="69"/>
    <n v="1.21"/>
    <n v="1120"/>
    <x v="2"/>
    <x v="2"/>
    <n v="34.6"/>
    <n v="3.4"/>
    <n v="4"/>
    <n v="1"/>
    <x v="4"/>
    <n v="27.76"/>
  </r>
  <r>
    <n v="22"/>
    <x v="1"/>
    <x v="1"/>
    <n v="128.4"/>
    <m/>
    <n v="166"/>
    <n v="169"/>
    <n v="50"/>
    <n v="1.53"/>
    <n v="914"/>
    <x v="2"/>
    <x v="3"/>
    <n v="16.7"/>
    <n v="2.8"/>
    <n v="3"/>
    <n v="2"/>
    <x v="0"/>
    <n v="13.01"/>
  </r>
  <r>
    <n v="41"/>
    <x v="3"/>
    <x v="1"/>
    <n v="74.7"/>
    <n v="1.84"/>
    <n v="170"/>
    <n v="169"/>
    <n v="57"/>
    <m/>
    <n v="1257"/>
    <x v="0"/>
    <x v="4"/>
    <n v="24.8"/>
    <n v="2.5"/>
    <n v="3"/>
    <n v="3"/>
    <x v="0"/>
    <n v="14.71"/>
  </r>
  <r>
    <n v="21"/>
    <x v="1"/>
    <x v="0"/>
    <n v="94.4"/>
    <n v="1.69"/>
    <n v="197"/>
    <n v="155"/>
    <n v="61"/>
    <n v="1.94"/>
    <n v="1089"/>
    <x v="0"/>
    <x v="3"/>
    <n v="20.7"/>
    <n v="2.4"/>
    <m/>
    <n v="2"/>
    <x v="0"/>
    <n v="14.52"/>
  </r>
  <r>
    <n v="52"/>
    <x v="2"/>
    <x v="1"/>
    <n v="57.5"/>
    <n v="1.87"/>
    <n v="174"/>
    <n v="149"/>
    <n v="70"/>
    <n v="1.05"/>
    <n v="880"/>
    <x v="4"/>
    <x v="0"/>
    <n v="12.5"/>
    <n v="2.5"/>
    <n v="2"/>
    <n v="2"/>
    <x v="0"/>
    <n v="12.32"/>
  </r>
  <r>
    <n v="32"/>
    <x v="0"/>
    <x v="1"/>
    <n v="51.1"/>
    <n v="1.86"/>
    <n v="199"/>
    <n v="131"/>
    <n v="63"/>
    <n v="1"/>
    <n v="865"/>
    <x v="2"/>
    <x v="2"/>
    <n v="34.799999999999997"/>
    <n v="3.2"/>
    <n v="3"/>
    <n v="1"/>
    <x v="2"/>
    <n v="21.49"/>
  </r>
  <r>
    <n v="30"/>
    <x v="0"/>
    <x v="0"/>
    <n v="88.8"/>
    <n v="1.69"/>
    <n v="171"/>
    <n v="127"/>
    <n v="70"/>
    <n v="1.21"/>
    <n v="1097"/>
    <x v="0"/>
    <x v="1"/>
    <n v="25.6"/>
    <n v="3.4"/>
    <m/>
    <n v="1"/>
    <x v="2"/>
    <n v="19.29"/>
  </r>
  <r>
    <n v="31"/>
    <x v="0"/>
    <x v="0"/>
    <m/>
    <n v="1.54"/>
    <n v="161"/>
    <n v="156"/>
    <n v="74"/>
    <n v="0.68"/>
    <n v="882"/>
    <x v="1"/>
    <x v="1"/>
    <n v="28.9"/>
    <n v="2.6"/>
    <n v="4"/>
    <n v="1"/>
    <x v="0"/>
    <n v="12.32"/>
  </r>
  <r>
    <n v="49"/>
    <x v="2"/>
    <x v="0"/>
    <n v="80"/>
    <n v="2"/>
    <n v="162"/>
    <n v="151"/>
    <n v="74"/>
    <n v="1.07"/>
    <m/>
    <x v="4"/>
    <x v="0"/>
    <n v="15.7"/>
    <n v="3.6"/>
    <n v="3"/>
    <n v="2"/>
    <x v="4"/>
    <n v="29.6"/>
  </r>
  <r>
    <n v="23"/>
    <x v="1"/>
    <x v="0"/>
    <n v="52.6"/>
    <n v="1.78"/>
    <n v="176"/>
    <n v="169"/>
    <n v="53"/>
    <n v="1.1499999999999999"/>
    <n v="1384"/>
    <x v="1"/>
    <x v="2"/>
    <n v="31.1"/>
    <n v="2.4"/>
    <n v="3"/>
    <n v="2"/>
    <x v="2"/>
    <n v="21.08"/>
  </r>
  <r>
    <n v="18"/>
    <x v="1"/>
    <x v="1"/>
    <n v="57.5"/>
    <n v="1.74"/>
    <n v="193"/>
    <n v="154"/>
    <n v="70"/>
    <n v="1.1599999999999999"/>
    <n v="1358"/>
    <x v="2"/>
    <x v="2"/>
    <n v="33.9"/>
    <n v="3.7"/>
    <n v="4"/>
    <n v="3"/>
    <x v="0"/>
    <n v="12.32"/>
  </r>
  <r>
    <n v="52"/>
    <x v="2"/>
    <x v="0"/>
    <n v="45.1"/>
    <n v="1.65"/>
    <n v="165"/>
    <n v="164"/>
    <n v="71"/>
    <n v="1.76"/>
    <n v="1380"/>
    <x v="3"/>
    <x v="3"/>
    <n v="21.5"/>
    <n v="3.3"/>
    <n v="5"/>
    <n v="1"/>
    <x v="4"/>
    <n v="29.89"/>
  </r>
  <r>
    <n v="45"/>
    <x v="2"/>
    <x v="1"/>
    <n v="98.7"/>
    <n v="1.77"/>
    <n v="183"/>
    <n v="132"/>
    <n v="74"/>
    <n v="1.32"/>
    <n v="400"/>
    <x v="1"/>
    <x v="4"/>
    <n v="19.5"/>
    <n v="2"/>
    <n v="4"/>
    <n v="2"/>
    <x v="0"/>
    <n v="18.18"/>
  </r>
  <r>
    <n v="51"/>
    <x v="2"/>
    <x v="1"/>
    <n v="63"/>
    <n v="1.78"/>
    <n v="161"/>
    <n v="152"/>
    <n v="50"/>
    <n v="1.33"/>
    <n v="1339"/>
    <x v="0"/>
    <x v="2"/>
    <n v="29.1"/>
    <n v="1.8"/>
    <n v="2"/>
    <n v="2"/>
    <x v="0"/>
    <n v="15.95"/>
  </r>
  <r>
    <n v="34"/>
    <x v="0"/>
    <x v="0"/>
    <n v="101.5"/>
    <n v="1.57"/>
    <n v="184"/>
    <n v="120"/>
    <n v="55"/>
    <n v="1.02"/>
    <n v="601"/>
    <x v="0"/>
    <x v="0"/>
    <n v="17.7"/>
    <n v="2.2999999999999998"/>
    <n v="5"/>
    <m/>
    <x v="3"/>
    <n v="46.11"/>
  </r>
  <r>
    <n v="18"/>
    <x v="1"/>
    <x v="0"/>
    <n v="89.8"/>
    <n v="1.66"/>
    <n v="185"/>
    <n v="140"/>
    <n v="54"/>
    <n v="2"/>
    <n v="1283"/>
    <x v="2"/>
    <x v="1"/>
    <n v="28.4"/>
    <n v="1.9"/>
    <m/>
    <n v="2"/>
    <x v="0"/>
    <n v="16.690000000000001"/>
  </r>
  <r>
    <n v="42"/>
    <x v="3"/>
    <x v="1"/>
    <n v="43.5"/>
    <n v="1.56"/>
    <n v="192"/>
    <n v="159"/>
    <n v="57"/>
    <n v="1.96"/>
    <n v="555"/>
    <x v="4"/>
    <x v="2"/>
    <n v="25.3"/>
    <n v="3.6"/>
    <n v="3"/>
    <n v="2"/>
    <x v="4"/>
    <n v="28.64"/>
  </r>
  <r>
    <n v="28"/>
    <x v="0"/>
    <x v="0"/>
    <n v="121.1"/>
    <n v="1.75"/>
    <n v="163"/>
    <n v="149"/>
    <n v="68"/>
    <n v="1.57"/>
    <n v="716"/>
    <x v="0"/>
    <x v="3"/>
    <n v="21"/>
    <n v="3.3"/>
    <n v="5"/>
    <n v="1"/>
    <x v="4"/>
    <n v="26.5"/>
  </r>
  <r>
    <n v="18"/>
    <x v="1"/>
    <x v="1"/>
    <n v="46.3"/>
    <n v="2"/>
    <n v="167"/>
    <n v="169"/>
    <n v="64"/>
    <n v="1.29"/>
    <n v="1556"/>
    <x v="3"/>
    <x v="4"/>
    <n v="22.5"/>
    <n v="2.6"/>
    <n v="2"/>
    <n v="3"/>
    <x v="0"/>
    <n v="17.38"/>
  </r>
  <r>
    <n v="35"/>
    <x v="3"/>
    <x v="1"/>
    <n v="40"/>
    <n v="1.71"/>
    <n v="162"/>
    <n v="133"/>
    <n v="69"/>
    <n v="1.99"/>
    <n v="840"/>
    <x v="3"/>
    <x v="4"/>
    <n v="20.2"/>
    <n v="3.2"/>
    <n v="4"/>
    <n v="2"/>
    <x v="4"/>
    <n v="27.14"/>
  </r>
  <r>
    <n v="56"/>
    <x v="4"/>
    <x v="0"/>
    <n v="64.2"/>
    <n v="1.79"/>
    <n v="196"/>
    <n v="165"/>
    <n v="58"/>
    <n v="0.97"/>
    <n v="667"/>
    <x v="1"/>
    <x v="0"/>
    <n v="15.9"/>
    <n v="3.3"/>
    <n v="4"/>
    <n v="1"/>
    <x v="0"/>
    <n v="12.32"/>
  </r>
  <r>
    <n v="18"/>
    <x v="1"/>
    <x v="0"/>
    <n v="56"/>
    <n v="1.82"/>
    <n v="170"/>
    <n v="131"/>
    <n v="62"/>
    <n v="1.55"/>
    <n v="1249"/>
    <x v="2"/>
    <x v="0"/>
    <m/>
    <n v="2"/>
    <n v="3"/>
    <n v="3"/>
    <x v="0"/>
    <n v="15.72"/>
  </r>
  <r>
    <n v="45"/>
    <x v="2"/>
    <x v="1"/>
    <n v="43.8"/>
    <m/>
    <n v="161"/>
    <n v="169"/>
    <n v="72"/>
    <n v="1.97"/>
    <n v="1783"/>
    <x v="2"/>
    <x v="2"/>
    <n v="24.9"/>
    <n v="3.5"/>
    <n v="4"/>
    <n v="3"/>
    <x v="0"/>
    <n v="15.83"/>
  </r>
  <r>
    <n v="32"/>
    <x v="0"/>
    <x v="0"/>
    <n v="90.5"/>
    <n v="1.63"/>
    <n v="184"/>
    <n v="166"/>
    <n v="50"/>
    <n v="1.46"/>
    <n v="1217"/>
    <x v="0"/>
    <x v="2"/>
    <n v="31.3"/>
    <n v="2"/>
    <n v="5"/>
    <n v="1"/>
    <x v="0"/>
    <n v="12.99"/>
  </r>
  <r>
    <n v="42"/>
    <x v="3"/>
    <x v="0"/>
    <n v="40"/>
    <n v="1.81"/>
    <n v="177"/>
    <n v="145"/>
    <n v="59"/>
    <n v="1.71"/>
    <n v="1065"/>
    <x v="2"/>
    <x v="1"/>
    <n v="26.6"/>
    <n v="1.5"/>
    <n v="3"/>
    <n v="1"/>
    <x v="2"/>
    <n v="23.25"/>
  </r>
  <r>
    <n v="54"/>
    <x v="2"/>
    <x v="1"/>
    <n v="72.599999999999994"/>
    <n v="1.56"/>
    <n v="172"/>
    <n v="165"/>
    <n v="69"/>
    <n v="1.26"/>
    <n v="966"/>
    <x v="2"/>
    <x v="2"/>
    <n v="26.1"/>
    <n v="3.5"/>
    <n v="2"/>
    <n v="1"/>
    <x v="1"/>
    <n v="31.41"/>
  </r>
  <r>
    <n v="18"/>
    <x v="1"/>
    <x v="1"/>
    <n v="40"/>
    <n v="1.58"/>
    <m/>
    <n v="164"/>
    <n v="52"/>
    <n v="1.08"/>
    <n v="1262"/>
    <x v="2"/>
    <x v="4"/>
    <n v="24.7"/>
    <n v="3.2"/>
    <n v="4"/>
    <n v="1"/>
    <x v="4"/>
    <n v="28.07"/>
  </r>
  <r>
    <n v="34"/>
    <x v="0"/>
    <x v="0"/>
    <n v="89.7"/>
    <n v="1.78"/>
    <n v="184"/>
    <n v="142"/>
    <n v="53"/>
    <n v="0.53"/>
    <n v="1662"/>
    <x v="2"/>
    <x v="1"/>
    <n v="24.2"/>
    <n v="1.5"/>
    <n v="3"/>
    <n v="1"/>
    <x v="3"/>
    <n v="39.54"/>
  </r>
  <r>
    <n v="21"/>
    <x v="1"/>
    <x v="0"/>
    <n v="59.7"/>
    <n v="1.65"/>
    <n v="191"/>
    <n v="138"/>
    <n v="68"/>
    <n v="0.95"/>
    <n v="539"/>
    <x v="2"/>
    <x v="2"/>
    <n v="35"/>
    <n v="3.2"/>
    <n v="4"/>
    <n v="2"/>
    <x v="0"/>
    <n v="17.55"/>
  </r>
  <r>
    <n v="18"/>
    <x v="1"/>
    <x v="1"/>
    <n v="42"/>
    <n v="1.82"/>
    <n v="188"/>
    <n v="137"/>
    <n v="67"/>
    <n v="0.77"/>
    <n v="589"/>
    <x v="2"/>
    <x v="3"/>
    <n v="16.399999999999999"/>
    <n v="2"/>
    <n v="2"/>
    <n v="3"/>
    <x v="4"/>
    <n v="29.09"/>
  </r>
  <r>
    <n v="18"/>
    <x v="1"/>
    <x v="1"/>
    <n v="57.9"/>
    <n v="2"/>
    <n v="168"/>
    <n v="156"/>
    <n v="50"/>
    <n v="1.05"/>
    <n v="689"/>
    <x v="1"/>
    <x v="2"/>
    <n v="28.3"/>
    <n v="3.6"/>
    <n v="3"/>
    <n v="3"/>
    <x v="0"/>
    <n v="18.309999999999999"/>
  </r>
  <r>
    <n v="49"/>
    <x v="2"/>
    <x v="2"/>
    <n v="50.2"/>
    <n v="1.7"/>
    <n v="164"/>
    <n v="169"/>
    <n v="73"/>
    <n v="0.75"/>
    <n v="622"/>
    <x v="1"/>
    <x v="4"/>
    <n v="28"/>
    <n v="1.6"/>
    <n v="2"/>
    <n v="1"/>
    <x v="0"/>
    <n v="13.34"/>
  </r>
  <r>
    <n v="18"/>
    <x v="1"/>
    <x v="0"/>
    <n v="40"/>
    <n v="1.8"/>
    <n v="187"/>
    <n v="158"/>
    <n v="71"/>
    <n v="1.24"/>
    <n v="665"/>
    <x v="0"/>
    <x v="1"/>
    <n v="24.1"/>
    <n v="1.7"/>
    <n v="2"/>
    <n v="2"/>
    <x v="0"/>
    <n v="14.93"/>
  </r>
  <r>
    <n v="18"/>
    <x v="1"/>
    <x v="0"/>
    <n v="70.900000000000006"/>
    <n v="1.87"/>
    <n v="176"/>
    <n v="164"/>
    <n v="59"/>
    <n v="2"/>
    <n v="745"/>
    <x v="2"/>
    <x v="1"/>
    <n v="28.2"/>
    <n v="3.2"/>
    <n v="4"/>
    <n v="2"/>
    <x v="0"/>
    <n v="15.74"/>
  </r>
  <r>
    <n v="26"/>
    <x v="0"/>
    <x v="1"/>
    <n v="44"/>
    <n v="1.6"/>
    <n v="190"/>
    <n v="125"/>
    <n v="68"/>
    <n v="1.06"/>
    <n v="1246"/>
    <x v="0"/>
    <x v="4"/>
    <n v="21.1"/>
    <n v="2.7"/>
    <n v="2"/>
    <n v="2"/>
    <x v="0"/>
    <n v="15.5"/>
  </r>
  <r>
    <n v="31"/>
    <x v="0"/>
    <x v="0"/>
    <n v="46.9"/>
    <n v="1.75"/>
    <n v="192"/>
    <n v="146"/>
    <n v="63"/>
    <n v="2"/>
    <n v="748"/>
    <x v="1"/>
    <x v="0"/>
    <n v="15.3"/>
    <n v="1.7"/>
    <n v="4"/>
    <m/>
    <x v="0"/>
    <n v="12.48"/>
  </r>
  <r>
    <n v="49"/>
    <x v="2"/>
    <x v="1"/>
    <n v="47.5"/>
    <n v="1.79"/>
    <n v="161"/>
    <n v="169"/>
    <n v="61"/>
    <n v="1.43"/>
    <n v="957"/>
    <x v="0"/>
    <x v="2"/>
    <n v="25.8"/>
    <n v="3"/>
    <n v="4"/>
    <n v="1"/>
    <x v="0"/>
    <n v="13.47"/>
  </r>
  <r>
    <n v="38"/>
    <x v="3"/>
    <x v="1"/>
    <n v="69"/>
    <n v="1.82"/>
    <n v="170"/>
    <n v="133"/>
    <n v="53"/>
    <n v="1.24"/>
    <n v="1610"/>
    <x v="0"/>
    <x v="2"/>
    <n v="30.1"/>
    <n v="2.8"/>
    <n v="2"/>
    <n v="2"/>
    <x v="2"/>
    <n v="20.05"/>
  </r>
  <r>
    <n v="18"/>
    <x v="1"/>
    <x v="0"/>
    <n v="59.1"/>
    <n v="2"/>
    <n v="181"/>
    <n v="123"/>
    <n v="72"/>
    <n v="1.94"/>
    <n v="901"/>
    <x v="2"/>
    <x v="3"/>
    <n v="23.2"/>
    <n v="2.4"/>
    <n v="4"/>
    <n v="2"/>
    <x v="0"/>
    <n v="13.32"/>
  </r>
  <r>
    <n v="53"/>
    <x v="2"/>
    <x v="0"/>
    <n v="40"/>
    <n v="1.66"/>
    <n v="192"/>
    <n v="169"/>
    <n v="72"/>
    <n v="1.1100000000000001"/>
    <m/>
    <x v="3"/>
    <x v="1"/>
    <n v="27.5"/>
    <n v="2.8"/>
    <n v="4"/>
    <n v="3"/>
    <x v="2"/>
    <n v="22.65"/>
  </r>
  <r>
    <n v="18"/>
    <x v="1"/>
    <x v="0"/>
    <n v="74.599999999999994"/>
    <n v="1.71"/>
    <n v="169"/>
    <n v="143"/>
    <n v="54"/>
    <n v="1.49"/>
    <n v="1213"/>
    <x v="4"/>
    <x v="1"/>
    <n v="28.7"/>
    <n v="2"/>
    <n v="2"/>
    <n v="1"/>
    <x v="2"/>
    <n v="18.68"/>
  </r>
  <r>
    <n v="35"/>
    <x v="3"/>
    <x v="1"/>
    <n v="98.6"/>
    <n v="1.55"/>
    <n v="184"/>
    <n v="141"/>
    <n v="59"/>
    <n v="2"/>
    <n v="1172"/>
    <x v="1"/>
    <x v="2"/>
    <n v="27.8"/>
    <n v="3.2"/>
    <n v="2"/>
    <n v="2"/>
    <x v="2"/>
    <n v="23.47"/>
  </r>
  <r>
    <n v="29"/>
    <x v="0"/>
    <x v="0"/>
    <n v="58.4"/>
    <n v="1.61"/>
    <n v="182"/>
    <n v="165"/>
    <n v="70"/>
    <n v="0.77"/>
    <n v="1259"/>
    <x v="2"/>
    <x v="3"/>
    <n v="20.100000000000001"/>
    <n v="3.5"/>
    <n v="4"/>
    <n v="2"/>
    <x v="4"/>
    <n v="26.13"/>
  </r>
  <r>
    <n v="35"/>
    <x v="3"/>
    <x v="0"/>
    <n v="76.099999999999994"/>
    <n v="1.81"/>
    <m/>
    <n v="153"/>
    <n v="74"/>
    <n v="2"/>
    <n v="1119"/>
    <x v="2"/>
    <x v="0"/>
    <n v="17.7"/>
    <n v="3.3"/>
    <n v="2"/>
    <n v="1"/>
    <x v="4"/>
    <n v="26.86"/>
  </r>
  <r>
    <n v="38"/>
    <x v="3"/>
    <x v="1"/>
    <n v="93.7"/>
    <n v="1.66"/>
    <n v="168"/>
    <n v="169"/>
    <n v="68"/>
    <n v="1.97"/>
    <n v="875"/>
    <x v="1"/>
    <x v="2"/>
    <n v="29"/>
    <n v="3.4"/>
    <n v="4"/>
    <n v="2"/>
    <x v="0"/>
    <n v="13.87"/>
  </r>
  <r>
    <n v="42"/>
    <x v="3"/>
    <x v="0"/>
    <n v="88.6"/>
    <n v="2"/>
    <n v="171"/>
    <n v="166"/>
    <n v="72"/>
    <n v="1.1100000000000001"/>
    <n v="1335"/>
    <x v="3"/>
    <x v="0"/>
    <n v="18.600000000000001"/>
    <n v="2.2000000000000002"/>
    <n v="5"/>
    <n v="2"/>
    <x v="0"/>
    <n v="18.3"/>
  </r>
  <r>
    <n v="18"/>
    <x v="1"/>
    <x v="1"/>
    <n v="49.9"/>
    <n v="1.77"/>
    <n v="191"/>
    <n v="123"/>
    <n v="74"/>
    <n v="1.4"/>
    <n v="626"/>
    <x v="0"/>
    <x v="2"/>
    <n v="25.9"/>
    <n v="3.4"/>
    <n v="2"/>
    <n v="2"/>
    <x v="2"/>
    <n v="24.35"/>
  </r>
  <r>
    <n v="42"/>
    <x v="3"/>
    <x v="0"/>
    <n v="99.9"/>
    <n v="1.6"/>
    <n v="189"/>
    <n v="169"/>
    <n v="58"/>
    <n v="1.85"/>
    <n v="1099"/>
    <x v="2"/>
    <x v="2"/>
    <n v="32.6"/>
    <n v="2.2000000000000002"/>
    <n v="2"/>
    <n v="1"/>
    <x v="0"/>
    <n v="15.78"/>
  </r>
  <r>
    <n v="26"/>
    <x v="0"/>
    <x v="0"/>
    <n v="58.6"/>
    <n v="1.78"/>
    <n v="198"/>
    <n v="143"/>
    <n v="74"/>
    <n v="1.59"/>
    <n v="1008"/>
    <x v="1"/>
    <x v="3"/>
    <n v="21.1"/>
    <n v="2.2000000000000002"/>
    <n v="3"/>
    <n v="1"/>
    <x v="3"/>
    <n v="44.77"/>
  </r>
  <r>
    <n v="36"/>
    <x v="3"/>
    <x v="1"/>
    <n v="57.4"/>
    <n v="1.58"/>
    <n v="192"/>
    <n v="152"/>
    <n v="70"/>
    <n v="1.38"/>
    <n v="1137"/>
    <x v="3"/>
    <x v="4"/>
    <n v="18.3"/>
    <n v="3.2"/>
    <n v="2"/>
    <n v="1"/>
    <x v="2"/>
    <n v="20.91"/>
  </r>
  <r>
    <n v="47"/>
    <x v="2"/>
    <x v="1"/>
    <n v="48.1"/>
    <n v="1.71"/>
    <n v="185"/>
    <n v="129"/>
    <n v="74"/>
    <n v="0.87"/>
    <n v="1177"/>
    <x v="0"/>
    <x v="2"/>
    <n v="28.1"/>
    <n v="2.6"/>
    <n v="3"/>
    <n v="3"/>
    <x v="0"/>
    <n v="12.32"/>
  </r>
  <r>
    <n v="30"/>
    <x v="0"/>
    <x v="1"/>
    <n v="60.1"/>
    <n v="1.93"/>
    <n v="187"/>
    <n v="140"/>
    <n v="58"/>
    <n v="1.48"/>
    <n v="875"/>
    <x v="2"/>
    <x v="2"/>
    <n v="29.7"/>
    <n v="3.1"/>
    <n v="5"/>
    <n v="1"/>
    <x v="2"/>
    <n v="24.29"/>
  </r>
  <r>
    <n v="23"/>
    <x v="1"/>
    <x v="0"/>
    <n v="88"/>
    <n v="2"/>
    <n v="193"/>
    <n v="128"/>
    <n v="70"/>
    <n v="1.24"/>
    <n v="399"/>
    <x v="2"/>
    <x v="3"/>
    <n v="23.9"/>
    <n v="2.8"/>
    <n v="3"/>
    <n v="1"/>
    <x v="1"/>
    <n v="31.33"/>
  </r>
  <r>
    <n v="39"/>
    <x v="3"/>
    <x v="0"/>
    <n v="62.5"/>
    <n v="1.74"/>
    <n v="162"/>
    <n v="141"/>
    <n v="58"/>
    <n v="1.27"/>
    <n v="699"/>
    <x v="4"/>
    <x v="1"/>
    <n v="24.2"/>
    <n v="1.8"/>
    <n v="3"/>
    <n v="1"/>
    <x v="0"/>
    <n v="17.600000000000001"/>
  </r>
  <r>
    <n v="38"/>
    <x v="3"/>
    <x v="0"/>
    <n v="69.400000000000006"/>
    <n v="2"/>
    <n v="195"/>
    <n v="130"/>
    <n v="18"/>
    <n v="1.34"/>
    <n v="1197"/>
    <x v="0"/>
    <x v="0"/>
    <n v="19.5"/>
    <n v="2.6"/>
    <n v="3"/>
    <n v="3"/>
    <x v="0"/>
    <n v="14.99"/>
  </r>
  <r>
    <n v="20"/>
    <x v="1"/>
    <x v="0"/>
    <n v="69.3"/>
    <n v="1.75"/>
    <n v="180"/>
    <n v="120"/>
    <n v="72"/>
    <n v="1.06"/>
    <n v="1421"/>
    <x v="3"/>
    <x v="1"/>
    <n v="24.6"/>
    <n v="3.2"/>
    <n v="4"/>
    <n v="2"/>
    <x v="4"/>
    <n v="25.22"/>
  </r>
  <r>
    <n v="18"/>
    <x v="1"/>
    <x v="1"/>
    <n v="52.6"/>
    <n v="1.76"/>
    <n v="175"/>
    <n v="154"/>
    <n v="50"/>
    <n v="1.17"/>
    <n v="1783"/>
    <x v="3"/>
    <x v="4"/>
    <n v="21"/>
    <n v="3"/>
    <n v="3"/>
    <n v="2"/>
    <x v="1"/>
    <n v="30.92"/>
  </r>
  <r>
    <n v="39"/>
    <x v="3"/>
    <x v="0"/>
    <n v="65.599999999999994"/>
    <n v="1.7"/>
    <n v="172"/>
    <n v="148"/>
    <n v="68"/>
    <n v="0.87"/>
    <n v="1709"/>
    <x v="2"/>
    <x v="3"/>
    <n v="20.2"/>
    <n v="1.5"/>
    <n v="4"/>
    <n v="3"/>
    <x v="0"/>
    <n v="14.83"/>
  </r>
  <r>
    <n v="45"/>
    <x v="2"/>
    <x v="1"/>
    <n v="71.400000000000006"/>
    <m/>
    <n v="179"/>
    <n v="140"/>
    <n v="52"/>
    <n v="1.56"/>
    <n v="1246"/>
    <x v="0"/>
    <x v="4"/>
    <n v="24.6"/>
    <n v="2.6"/>
    <n v="4"/>
    <n v="1"/>
    <x v="0"/>
    <n v="15.53"/>
  </r>
  <r>
    <n v="22"/>
    <x v="1"/>
    <x v="1"/>
    <n v="80.599999999999994"/>
    <n v="1.71"/>
    <n v="176"/>
    <n v="139"/>
    <n v="60"/>
    <n v="2"/>
    <n v="957"/>
    <x v="1"/>
    <x v="2"/>
    <n v="31"/>
    <n v="2.4"/>
    <n v="4"/>
    <n v="2"/>
    <x v="0"/>
    <n v="12.32"/>
  </r>
  <r>
    <n v="57"/>
    <x v="4"/>
    <x v="0"/>
    <n v="43.5"/>
    <n v="2"/>
    <n v="172"/>
    <n v="159"/>
    <n v="59"/>
    <n v="1.73"/>
    <n v="530"/>
    <x v="3"/>
    <x v="0"/>
    <n v="18.7"/>
    <n v="2.1"/>
    <n v="2"/>
    <n v="3"/>
    <x v="2"/>
    <n v="23.74"/>
  </r>
  <r>
    <n v="25"/>
    <x v="0"/>
    <x v="0"/>
    <n v="72.599999999999994"/>
    <n v="1.7"/>
    <n v="161"/>
    <n v="168"/>
    <n v="51"/>
    <n v="1.28"/>
    <n v="1262"/>
    <x v="0"/>
    <x v="3"/>
    <n v="22"/>
    <n v="3.1"/>
    <n v="4"/>
    <n v="2"/>
    <x v="0"/>
    <n v="16.45"/>
  </r>
  <r>
    <n v="18"/>
    <x v="1"/>
    <x v="1"/>
    <n v="87.5"/>
    <n v="1.76"/>
    <n v="169"/>
    <n v="160"/>
    <n v="60"/>
    <n v="2"/>
    <n v="1042"/>
    <x v="3"/>
    <x v="4"/>
    <n v="22.4"/>
    <n v="3.3"/>
    <n v="2"/>
    <n v="3"/>
    <x v="2"/>
    <n v="21.79"/>
  </r>
  <r>
    <n v="50"/>
    <x v="2"/>
    <x v="1"/>
    <n v="46.8"/>
    <n v="1.77"/>
    <n v="180"/>
    <n v="128"/>
    <n v="70"/>
    <n v="1.4"/>
    <n v="803"/>
    <x v="2"/>
    <x v="4"/>
    <n v="17"/>
    <n v="3.3"/>
    <n v="4"/>
    <n v="1"/>
    <x v="2"/>
    <n v="21.83"/>
  </r>
  <r>
    <n v="27"/>
    <x v="0"/>
    <x v="1"/>
    <n v="42.5"/>
    <n v="1.61"/>
    <n v="183"/>
    <n v="155"/>
    <n v="71"/>
    <n v="2"/>
    <n v="933"/>
    <x v="2"/>
    <x v="4"/>
    <n v="22.9"/>
    <n v="1.6"/>
    <n v="2"/>
    <n v="1"/>
    <x v="0"/>
    <m/>
  </r>
  <r>
    <n v="43"/>
    <x v="3"/>
    <x v="1"/>
    <n v="83.5"/>
    <n v="1.96"/>
    <n v="168"/>
    <n v="169"/>
    <n v="54"/>
    <n v="1.47"/>
    <n v="1522"/>
    <x v="0"/>
    <x v="0"/>
    <m/>
    <n v="2.1"/>
    <n v="4"/>
    <n v="2"/>
    <x v="2"/>
    <n v="24.03"/>
  </r>
  <r>
    <n v="18"/>
    <x v="1"/>
    <x v="0"/>
    <n v="44.9"/>
    <n v="1.77"/>
    <n v="168"/>
    <n v="127"/>
    <n v="57"/>
    <n v="1.66"/>
    <n v="512"/>
    <x v="0"/>
    <x v="0"/>
    <n v="12.3"/>
    <n v="3.7"/>
    <n v="3"/>
    <n v="1"/>
    <x v="2"/>
    <n v="20.39"/>
  </r>
  <r>
    <n v="18"/>
    <x v="1"/>
    <x v="1"/>
    <n v="63.9"/>
    <n v="1.71"/>
    <n v="164"/>
    <n v="140"/>
    <n v="66"/>
    <n v="1.48"/>
    <n v="785"/>
    <x v="3"/>
    <x v="2"/>
    <n v="30.2"/>
    <n v="3.3"/>
    <n v="4"/>
    <n v="2"/>
    <x v="2"/>
    <n v="21.96"/>
  </r>
  <r>
    <n v="36"/>
    <x v="3"/>
    <x v="0"/>
    <n v="67.5"/>
    <n v="1.71"/>
    <n v="173"/>
    <m/>
    <n v="60"/>
    <n v="1.1000000000000001"/>
    <n v="511"/>
    <x v="2"/>
    <x v="3"/>
    <n v="20.6"/>
    <n v="1.5"/>
    <n v="4"/>
    <n v="1"/>
    <x v="2"/>
    <n v="18.75"/>
  </r>
  <r>
    <n v="24"/>
    <x v="1"/>
    <x v="0"/>
    <n v="59"/>
    <n v="1.68"/>
    <m/>
    <n v="132"/>
    <n v="56"/>
    <n v="1.17"/>
    <n v="1186"/>
    <x v="1"/>
    <x v="1"/>
    <n v="24.2"/>
    <n v="3.4"/>
    <n v="3"/>
    <n v="3"/>
    <x v="0"/>
    <n v="14.37"/>
  </r>
  <r>
    <n v="21"/>
    <x v="1"/>
    <x v="1"/>
    <n v="90.1"/>
    <n v="1.72"/>
    <n v="184"/>
    <n v="138"/>
    <n v="68"/>
    <n v="1.35"/>
    <n v="1043"/>
    <x v="3"/>
    <x v="2"/>
    <n v="27.1"/>
    <n v="2.1"/>
    <n v="4"/>
    <n v="3"/>
    <x v="2"/>
    <n v="22.34"/>
  </r>
  <r>
    <n v="18"/>
    <x v="1"/>
    <x v="1"/>
    <n v="48.2"/>
    <n v="1.75"/>
    <n v="180"/>
    <n v="134"/>
    <n v="63"/>
    <n v="1.39"/>
    <n v="1053"/>
    <x v="3"/>
    <x v="4"/>
    <n v="22.1"/>
    <n v="2.2000000000000002"/>
    <n v="4"/>
    <n v="1"/>
    <x v="0"/>
    <n v="16.34"/>
  </r>
  <r>
    <n v="18"/>
    <x v="1"/>
    <x v="1"/>
    <n v="78.099999999999994"/>
    <n v="1.75"/>
    <n v="184"/>
    <n v="158"/>
    <n v="50"/>
    <m/>
    <n v="871"/>
    <x v="1"/>
    <x v="2"/>
    <n v="31.6"/>
    <n v="2.5"/>
    <n v="2"/>
    <n v="3"/>
    <x v="0"/>
    <n v="17.61"/>
  </r>
  <r>
    <n v="31"/>
    <x v="0"/>
    <x v="1"/>
    <n v="67.400000000000006"/>
    <n v="1.83"/>
    <n v="167"/>
    <n v="122"/>
    <n v="66"/>
    <n v="1.49"/>
    <n v="1032"/>
    <x v="2"/>
    <x v="2"/>
    <n v="30.6"/>
    <n v="3.1"/>
    <n v="5"/>
    <n v="2"/>
    <x v="0"/>
    <n v="18.29"/>
  </r>
  <r>
    <n v="27"/>
    <x v="0"/>
    <x v="1"/>
    <n v="44.1"/>
    <n v="1.56"/>
    <n v="169"/>
    <m/>
    <n v="72"/>
    <n v="1.34"/>
    <n v="1124"/>
    <x v="0"/>
    <x v="0"/>
    <n v="10"/>
    <n v="3.1"/>
    <n v="2"/>
    <n v="1"/>
    <x v="2"/>
    <n v="20.18"/>
  </r>
  <r>
    <n v="26"/>
    <x v="0"/>
    <x v="1"/>
    <n v="65"/>
    <n v="1.69"/>
    <n v="171"/>
    <n v="162"/>
    <n v="62"/>
    <n v="1.54"/>
    <n v="1066"/>
    <x v="0"/>
    <x v="3"/>
    <n v="16.600000000000001"/>
    <n v="3.5"/>
    <n v="2"/>
    <n v="2"/>
    <x v="4"/>
    <n v="29.56"/>
  </r>
  <r>
    <n v="33"/>
    <x v="0"/>
    <x v="0"/>
    <n v="95"/>
    <n v="1.85"/>
    <n v="168"/>
    <n v="140"/>
    <n v="56"/>
    <n v="1.3"/>
    <n v="958"/>
    <x v="0"/>
    <x v="3"/>
    <n v="20.5"/>
    <n v="3.3"/>
    <n v="3"/>
    <n v="2"/>
    <x v="0"/>
    <n v="12.66"/>
  </r>
  <r>
    <n v="30"/>
    <x v="0"/>
    <x v="0"/>
    <n v="65.3"/>
    <n v="1.76"/>
    <n v="192"/>
    <n v="161"/>
    <n v="57"/>
    <n v="1.1599999999999999"/>
    <n v="1092"/>
    <x v="1"/>
    <x v="2"/>
    <n v="32.1"/>
    <n v="1.9"/>
    <n v="4"/>
    <n v="3"/>
    <x v="2"/>
    <n v="23.82"/>
  </r>
  <r>
    <n v="59"/>
    <x v="4"/>
    <x v="1"/>
    <n v="40"/>
    <n v="1.72"/>
    <n v="182"/>
    <n v="164"/>
    <n v="56"/>
    <n v="1.27"/>
    <n v="1783"/>
    <x v="2"/>
    <x v="0"/>
    <n v="12.6"/>
    <n v="3.1"/>
    <n v="4"/>
    <n v="3"/>
    <x v="0"/>
    <n v="12.32"/>
  </r>
  <r>
    <n v="46"/>
    <x v="2"/>
    <x v="0"/>
    <n v="82.9"/>
    <n v="1.74"/>
    <n v="194"/>
    <n v="165"/>
    <n v="52"/>
    <n v="2"/>
    <n v="1107"/>
    <x v="1"/>
    <x v="1"/>
    <n v="24.3"/>
    <n v="3.1"/>
    <n v="3"/>
    <n v="3"/>
    <x v="0"/>
    <n v="14.4"/>
  </r>
  <r>
    <n v="18"/>
    <x v="1"/>
    <x v="1"/>
    <n v="59.4"/>
    <n v="1.87"/>
    <n v="195"/>
    <n v="139"/>
    <n v="74"/>
    <n v="2"/>
    <n v="958"/>
    <x v="3"/>
    <x v="3"/>
    <n v="14.9"/>
    <n v="2.7"/>
    <n v="3"/>
    <n v="2"/>
    <x v="1"/>
    <n v="36.72"/>
  </r>
  <r>
    <n v="49"/>
    <x v="2"/>
    <x v="1"/>
    <n v="58.2"/>
    <n v="1.82"/>
    <n v="171"/>
    <n v="154"/>
    <n v="67"/>
    <n v="1.38"/>
    <n v="624"/>
    <x v="0"/>
    <x v="4"/>
    <n v="20.8"/>
    <n v="3.5"/>
    <n v="4"/>
    <n v="1"/>
    <x v="2"/>
    <n v="19.11"/>
  </r>
  <r>
    <n v="37"/>
    <x v="3"/>
    <x v="0"/>
    <n v="77.3"/>
    <n v="1.58"/>
    <n v="180"/>
    <n v="140"/>
    <n v="61"/>
    <n v="1.57"/>
    <n v="1333"/>
    <x v="2"/>
    <x v="3"/>
    <n v="23.5"/>
    <n v="1.5"/>
    <n v="2"/>
    <n v="2"/>
    <x v="0"/>
    <n v="12.32"/>
  </r>
  <r>
    <n v="22"/>
    <x v="1"/>
    <x v="1"/>
    <n v="66"/>
    <n v="1.67"/>
    <n v="181"/>
    <n v="122"/>
    <n v="50"/>
    <n v="0.96"/>
    <n v="912"/>
    <x v="1"/>
    <x v="2"/>
    <n v="26.3"/>
    <n v="1.5"/>
    <n v="3"/>
    <n v="2"/>
    <x v="0"/>
    <n v="15.29"/>
  </r>
  <r>
    <n v="29"/>
    <x v="0"/>
    <x v="0"/>
    <n v="67.400000000000006"/>
    <n v="1.76"/>
    <n v="187"/>
    <n v="120"/>
    <n v="74"/>
    <n v="1.1000000000000001"/>
    <n v="911"/>
    <x v="1"/>
    <x v="3"/>
    <n v="21.4"/>
    <n v="2.2999999999999998"/>
    <n v="5"/>
    <n v="1"/>
    <x v="2"/>
    <n v="19.600000000000001"/>
  </r>
  <r>
    <n v="31"/>
    <x v="0"/>
    <x v="1"/>
    <n v="62.2"/>
    <n v="1.7"/>
    <n v="168"/>
    <n v="155"/>
    <n v="55"/>
    <n v="0.62"/>
    <n v="1596"/>
    <x v="0"/>
    <x v="2"/>
    <n v="35"/>
    <n v="3.2"/>
    <n v="2"/>
    <n v="1"/>
    <x v="0"/>
    <n v="16.7"/>
  </r>
  <r>
    <n v="45"/>
    <x v="2"/>
    <x v="2"/>
    <n v="67.3"/>
    <n v="1.67"/>
    <n v="198"/>
    <n v="155"/>
    <n v="54"/>
    <n v="0.72"/>
    <n v="1006"/>
    <x v="3"/>
    <x v="2"/>
    <n v="33.200000000000003"/>
    <n v="3.5"/>
    <n v="4"/>
    <n v="2"/>
    <x v="0"/>
    <n v="17.760000000000002"/>
  </r>
  <r>
    <n v="27"/>
    <x v="0"/>
    <x v="0"/>
    <n v="59.6"/>
    <n v="1.73"/>
    <n v="182"/>
    <n v="139"/>
    <n v="71"/>
    <n v="1.42"/>
    <n v="1321"/>
    <x v="0"/>
    <x v="0"/>
    <n v="16.3"/>
    <n v="3.3"/>
    <n v="4"/>
    <n v="3"/>
    <x v="0"/>
    <n v="16.62"/>
  </r>
  <r>
    <n v="35"/>
    <x v="3"/>
    <x v="1"/>
    <n v="40"/>
    <n v="1.72"/>
    <n v="182"/>
    <n v="120"/>
    <n v="70"/>
    <n v="1.22"/>
    <n v="1178"/>
    <x v="2"/>
    <x v="3"/>
    <n v="14.6"/>
    <n v="1.9"/>
    <n v="4"/>
    <n v="2"/>
    <x v="0"/>
    <n v="17.87"/>
  </r>
  <r>
    <n v="24"/>
    <x v="1"/>
    <x v="1"/>
    <n v="41.3"/>
    <n v="1.73"/>
    <n v="180"/>
    <n v="156"/>
    <n v="74"/>
    <n v="1.55"/>
    <n v="1285"/>
    <x v="2"/>
    <x v="2"/>
    <n v="26.2"/>
    <n v="3.2"/>
    <n v="4"/>
    <n v="3"/>
    <x v="0"/>
    <n v="14.93"/>
  </r>
  <r>
    <n v="48"/>
    <x v="2"/>
    <x v="1"/>
    <n v="97"/>
    <n v="1.73"/>
    <n v="172"/>
    <n v="122"/>
    <n v="74"/>
    <n v="1.7"/>
    <n v="903"/>
    <x v="1"/>
    <x v="0"/>
    <n v="12.8"/>
    <n v="3.5"/>
    <n v="4"/>
    <n v="2"/>
    <x v="2"/>
    <n v="22.39"/>
  </r>
  <r>
    <n v="59"/>
    <x v="4"/>
    <x v="0"/>
    <n v="47.2"/>
    <n v="1.68"/>
    <n v="185"/>
    <n v="159"/>
    <n v="70"/>
    <n v="1.49"/>
    <n v="704"/>
    <x v="0"/>
    <x v="0"/>
    <n v="15.4"/>
    <n v="2.2000000000000002"/>
    <n v="4"/>
    <n v="2"/>
    <x v="2"/>
    <n v="23.79"/>
  </r>
  <r>
    <n v="49"/>
    <x v="2"/>
    <x v="0"/>
    <n v="58.7"/>
    <n v="1.79"/>
    <m/>
    <n v="120"/>
    <n v="67"/>
    <n v="0.9"/>
    <n v="900"/>
    <x v="1"/>
    <x v="1"/>
    <n v="24.4"/>
    <n v="3.7"/>
    <n v="4"/>
    <n v="2"/>
    <x v="4"/>
    <n v="28.66"/>
  </r>
  <r>
    <n v="33"/>
    <x v="0"/>
    <x v="1"/>
    <n v="65.7"/>
    <n v="1.97"/>
    <n v="167"/>
    <n v="144"/>
    <n v="53"/>
    <n v="1.1000000000000001"/>
    <n v="872"/>
    <x v="1"/>
    <x v="4"/>
    <n v="19.100000000000001"/>
    <n v="2"/>
    <n v="4"/>
    <n v="1"/>
    <x v="2"/>
    <n v="19.14"/>
  </r>
  <r>
    <n v="31"/>
    <x v="0"/>
    <x v="1"/>
    <n v="80.2"/>
    <n v="1.74"/>
    <n v="187"/>
    <n v="141"/>
    <n v="72"/>
    <n v="1.23"/>
    <n v="1326"/>
    <x v="0"/>
    <x v="4"/>
    <n v="21.2"/>
    <n v="2.8"/>
    <n v="2"/>
    <n v="2"/>
    <x v="0"/>
    <n v="16.100000000000001"/>
  </r>
  <r>
    <n v="40"/>
    <x v="3"/>
    <x v="1"/>
    <n v="59.3"/>
    <n v="2"/>
    <n v="166"/>
    <n v="141"/>
    <n v="74"/>
    <n v="1.44"/>
    <n v="801"/>
    <x v="1"/>
    <x v="4"/>
    <n v="24.6"/>
    <n v="3.4"/>
    <n v="5"/>
    <n v="2"/>
    <x v="0"/>
    <n v="17.04"/>
  </r>
  <r>
    <n v="28"/>
    <x v="0"/>
    <x v="1"/>
    <n v="61.1"/>
    <n v="1.74"/>
    <n v="163"/>
    <n v="156"/>
    <n v="59"/>
    <n v="1.89"/>
    <n v="1277"/>
    <x v="1"/>
    <x v="4"/>
    <n v="21.5"/>
    <n v="3.4"/>
    <n v="2"/>
    <n v="2"/>
    <x v="0"/>
    <m/>
  </r>
  <r>
    <n v="57"/>
    <x v="4"/>
    <x v="0"/>
    <n v="79.400000000000006"/>
    <n v="1.55"/>
    <n v="160"/>
    <n v="164"/>
    <n v="50"/>
    <n v="1.55"/>
    <n v="1116"/>
    <x v="0"/>
    <x v="2"/>
    <n v="32.200000000000003"/>
    <n v="3.6"/>
    <n v="2"/>
    <n v="2"/>
    <x v="0"/>
    <n v="14.69"/>
  </r>
  <r>
    <n v="55"/>
    <x v="4"/>
    <x v="1"/>
    <n v="86.2"/>
    <n v="2"/>
    <n v="189"/>
    <n v="159"/>
    <n v="66"/>
    <n v="1.78"/>
    <n v="462"/>
    <x v="0"/>
    <x v="2"/>
    <n v="27.2"/>
    <m/>
    <n v="3"/>
    <n v="1"/>
    <x v="2"/>
    <n v="20.09"/>
  </r>
  <r>
    <n v="28"/>
    <x v="0"/>
    <x v="1"/>
    <n v="59.3"/>
    <n v="1.79"/>
    <n v="189"/>
    <n v="128"/>
    <n v="69"/>
    <n v="0.91"/>
    <n v="877"/>
    <x v="0"/>
    <x v="4"/>
    <n v="24.8"/>
    <n v="2.1"/>
    <n v="4"/>
    <n v="1"/>
    <x v="4"/>
    <n v="28.16"/>
  </r>
  <r>
    <n v="23"/>
    <x v="1"/>
    <x v="1"/>
    <n v="40"/>
    <n v="1.87"/>
    <n v="161"/>
    <m/>
    <n v="74"/>
    <n v="1.5"/>
    <n v="1200"/>
    <x v="0"/>
    <x v="4"/>
    <n v="23.7"/>
    <n v="3.3"/>
    <n v="4"/>
    <n v="3"/>
    <x v="0"/>
    <n v="13.11"/>
  </r>
  <r>
    <n v="30"/>
    <x v="0"/>
    <x v="2"/>
    <n v="61.8"/>
    <n v="1.88"/>
    <n v="189"/>
    <n v="142"/>
    <n v="73"/>
    <n v="1.02"/>
    <n v="1033"/>
    <x v="1"/>
    <x v="3"/>
    <n v="23.7"/>
    <n v="2.2999999999999998"/>
    <n v="4"/>
    <n v="1"/>
    <x v="2"/>
    <n v="21.86"/>
  </r>
  <r>
    <n v="30"/>
    <x v="0"/>
    <x v="1"/>
    <n v="40"/>
    <n v="1.63"/>
    <n v="192"/>
    <n v="157"/>
    <n v="64"/>
    <n v="1.31"/>
    <n v="1078"/>
    <x v="2"/>
    <x v="0"/>
    <n v="10"/>
    <n v="2.8"/>
    <n v="3"/>
    <n v="1"/>
    <x v="0"/>
    <n v="14.92"/>
  </r>
  <r>
    <n v="25"/>
    <x v="0"/>
    <x v="0"/>
    <n v="61.4"/>
    <n v="1.7"/>
    <n v="172"/>
    <n v="166"/>
    <n v="72"/>
    <n v="1.28"/>
    <n v="1064"/>
    <x v="3"/>
    <x v="2"/>
    <n v="32.5"/>
    <n v="3"/>
    <n v="3"/>
    <n v="2"/>
    <x v="2"/>
    <n v="19.45"/>
  </r>
  <r>
    <n v="46"/>
    <x v="2"/>
    <x v="0"/>
    <n v="80.2"/>
    <n v="1.98"/>
    <n v="172"/>
    <n v="155"/>
    <n v="73"/>
    <n v="1.29"/>
    <n v="1355"/>
    <x v="3"/>
    <x v="1"/>
    <n v="26.8"/>
    <n v="3.3"/>
    <n v="4"/>
    <n v="3"/>
    <x v="0"/>
    <n v="15.63"/>
  </r>
  <r>
    <n v="24"/>
    <x v="1"/>
    <x v="0"/>
    <n v="89"/>
    <n v="1.61"/>
    <m/>
    <n v="160"/>
    <n v="74"/>
    <n v="1.3"/>
    <n v="827"/>
    <x v="3"/>
    <x v="3"/>
    <n v="23.8"/>
    <n v="3.1"/>
    <n v="3"/>
    <n v="3"/>
    <x v="1"/>
    <n v="30.63"/>
  </r>
  <r>
    <n v="28"/>
    <x v="0"/>
    <x v="1"/>
    <n v="58"/>
    <n v="1.77"/>
    <n v="179"/>
    <n v="157"/>
    <n v="74"/>
    <n v="1.59"/>
    <n v="1145"/>
    <x v="3"/>
    <x v="4"/>
    <n v="21.3"/>
    <n v="1.5"/>
    <n v="2"/>
    <n v="3"/>
    <x v="0"/>
    <n v="14.72"/>
  </r>
  <r>
    <n v="27"/>
    <x v="0"/>
    <x v="1"/>
    <n v="53"/>
    <n v="1.91"/>
    <n v="172"/>
    <n v="123"/>
    <n v="54"/>
    <n v="1.0900000000000001"/>
    <n v="655"/>
    <x v="0"/>
    <x v="2"/>
    <n v="34.4"/>
    <n v="3.1"/>
    <n v="3"/>
    <n v="2"/>
    <x v="2"/>
    <n v="21.18"/>
  </r>
  <r>
    <n v="23"/>
    <x v="1"/>
    <x v="0"/>
    <n v="51.2"/>
    <n v="1.92"/>
    <n v="187"/>
    <n v="169"/>
    <n v="55"/>
    <n v="1.1000000000000001"/>
    <n v="969"/>
    <x v="3"/>
    <x v="1"/>
    <n v="25.3"/>
    <n v="2.7"/>
    <n v="2"/>
    <n v="1"/>
    <x v="0"/>
    <n v="16.98"/>
  </r>
  <r>
    <n v="26"/>
    <x v="0"/>
    <x v="0"/>
    <n v="51.9"/>
    <n v="1.9"/>
    <n v="182"/>
    <n v="129"/>
    <n v="55"/>
    <n v="2"/>
    <n v="1418"/>
    <x v="1"/>
    <x v="2"/>
    <n v="32.200000000000003"/>
    <n v="2.4"/>
    <n v="2"/>
    <n v="1"/>
    <x v="2"/>
    <n v="20.41"/>
  </r>
  <r>
    <n v="27"/>
    <x v="0"/>
    <x v="0"/>
    <n v="56.3"/>
    <n v="1.7"/>
    <n v="191"/>
    <n v="134"/>
    <n v="72"/>
    <n v="1.61"/>
    <n v="1631"/>
    <x v="3"/>
    <x v="3"/>
    <n v="23.4"/>
    <n v="3.3"/>
    <n v="3"/>
    <n v="1"/>
    <x v="1"/>
    <n v="30.84"/>
  </r>
  <r>
    <n v="18"/>
    <x v="1"/>
    <x v="1"/>
    <n v="92.4"/>
    <n v="1.52"/>
    <n v="197"/>
    <n v="135"/>
    <n v="59"/>
    <n v="1.1200000000000001"/>
    <n v="1515"/>
    <x v="1"/>
    <x v="2"/>
    <n v="25.9"/>
    <n v="3.2"/>
    <n v="3"/>
    <n v="2"/>
    <x v="0"/>
    <n v="16.46"/>
  </r>
  <r>
    <n v="59"/>
    <x v="4"/>
    <x v="1"/>
    <n v="108.3"/>
    <n v="1.53"/>
    <n v="183"/>
    <n v="122"/>
    <n v="50"/>
    <n v="0.86"/>
    <n v="1071"/>
    <x v="2"/>
    <x v="4"/>
    <n v="21.9"/>
    <n v="3.3"/>
    <n v="3"/>
    <n v="1"/>
    <x v="0"/>
    <n v="17.75"/>
  </r>
  <r>
    <n v="22"/>
    <x v="1"/>
    <x v="0"/>
    <n v="71.5"/>
    <n v="1.81"/>
    <n v="195"/>
    <n v="164"/>
    <n v="51"/>
    <n v="1.52"/>
    <n v="935"/>
    <x v="3"/>
    <x v="3"/>
    <n v="22"/>
    <n v="2.6"/>
    <n v="3"/>
    <n v="2"/>
    <x v="0"/>
    <n v="14.55"/>
  </r>
  <r>
    <n v="18"/>
    <x v="1"/>
    <x v="1"/>
    <n v="89.4"/>
    <n v="1.84"/>
    <n v="168"/>
    <n v="168"/>
    <n v="69"/>
    <n v="2"/>
    <n v="968"/>
    <x v="0"/>
    <x v="4"/>
    <n v="17.3"/>
    <n v="2.6"/>
    <n v="5"/>
    <n v="2"/>
    <x v="0"/>
    <n v="14.77"/>
  </r>
  <r>
    <n v="32"/>
    <x v="0"/>
    <x v="1"/>
    <n v="82.3"/>
    <n v="1.55"/>
    <n v="172"/>
    <n v="128"/>
    <n v="74"/>
    <n v="1.52"/>
    <n v="990"/>
    <x v="2"/>
    <x v="2"/>
    <n v="26.7"/>
    <n v="2"/>
    <n v="3"/>
    <n v="1"/>
    <x v="2"/>
    <n v="20.149999999999999"/>
  </r>
  <r>
    <n v="35"/>
    <x v="3"/>
    <x v="1"/>
    <n v="96.5"/>
    <n v="1.54"/>
    <n v="168"/>
    <n v="160"/>
    <n v="70"/>
    <n v="1.43"/>
    <n v="1573"/>
    <x v="3"/>
    <x v="2"/>
    <n v="35"/>
    <n v="3.4"/>
    <n v="4"/>
    <n v="1"/>
    <x v="2"/>
    <n v="20.43"/>
  </r>
  <r>
    <n v="44"/>
    <x v="3"/>
    <x v="1"/>
    <n v="40"/>
    <n v="1.91"/>
    <n v="181"/>
    <n v="124"/>
    <n v="71"/>
    <n v="1.55"/>
    <n v="1545"/>
    <x v="1"/>
    <x v="2"/>
    <n v="26.5"/>
    <n v="3.4"/>
    <n v="3"/>
    <n v="1"/>
    <x v="1"/>
    <n v="35.01"/>
  </r>
  <r>
    <n v="43"/>
    <x v="3"/>
    <x v="1"/>
    <n v="65.2"/>
    <n v="1.5"/>
    <n v="182"/>
    <n v="157"/>
    <n v="68"/>
    <n v="2"/>
    <n v="1417"/>
    <x v="3"/>
    <x v="2"/>
    <n v="26.7"/>
    <n v="3.1"/>
    <n v="4"/>
    <n v="2"/>
    <x v="0"/>
    <n v="14.95"/>
  </r>
  <r>
    <n v="38"/>
    <x v="3"/>
    <x v="0"/>
    <n v="77.099999999999994"/>
    <m/>
    <n v="177"/>
    <n v="169"/>
    <n v="72"/>
    <n v="1.73"/>
    <n v="1538"/>
    <x v="1"/>
    <x v="1"/>
    <n v="26.4"/>
    <n v="3.6"/>
    <n v="3"/>
    <n v="1"/>
    <x v="0"/>
    <n v="13.97"/>
  </r>
  <r>
    <n v="18"/>
    <x v="1"/>
    <x v="1"/>
    <n v="53.9"/>
    <n v="1.62"/>
    <n v="170"/>
    <n v="169"/>
    <n v="72"/>
    <n v="1.38"/>
    <n v="810"/>
    <x v="1"/>
    <x v="4"/>
    <n v="24.7"/>
    <n v="3.4"/>
    <n v="3"/>
    <n v="1"/>
    <x v="4"/>
    <n v="29.34"/>
  </r>
  <r>
    <n v="42"/>
    <x v="3"/>
    <x v="1"/>
    <m/>
    <n v="1.87"/>
    <n v="176"/>
    <n v="127"/>
    <n v="74"/>
    <n v="1.82"/>
    <n v="693"/>
    <x v="3"/>
    <x v="0"/>
    <n v="10"/>
    <n v="2.1"/>
    <n v="4"/>
    <n v="1"/>
    <x v="2"/>
    <n v="20.3"/>
  </r>
  <r>
    <n v="22"/>
    <x v="1"/>
    <x v="2"/>
    <n v="69.599999999999994"/>
    <n v="1.8"/>
    <n v="186"/>
    <n v="136"/>
    <n v="73"/>
    <n v="1.37"/>
    <n v="1081"/>
    <x v="1"/>
    <x v="4"/>
    <n v="28.6"/>
    <n v="2"/>
    <n v="5"/>
    <n v="3"/>
    <x v="2"/>
    <n v="21.14"/>
  </r>
  <r>
    <n v="18"/>
    <x v="1"/>
    <x v="2"/>
    <n v="62.9"/>
    <n v="1.72"/>
    <n v="191"/>
    <n v="157"/>
    <n v="63"/>
    <n v="1.31"/>
    <n v="514"/>
    <x v="0"/>
    <x v="4"/>
    <n v="26.3"/>
    <n v="2.2000000000000002"/>
    <n v="3"/>
    <n v="2"/>
    <x v="0"/>
    <n v="12.32"/>
  </r>
  <r>
    <n v="18"/>
    <x v="1"/>
    <x v="2"/>
    <n v="69.099999999999994"/>
    <n v="1.64"/>
    <n v="183"/>
    <n v="139"/>
    <n v="73"/>
    <n v="1.32"/>
    <n v="1002"/>
    <x v="4"/>
    <x v="4"/>
    <n v="26"/>
    <n v="1.5"/>
    <n v="5"/>
    <n v="1"/>
    <x v="0"/>
    <n v="16.27"/>
  </r>
  <r>
    <n v="37"/>
    <x v="3"/>
    <x v="0"/>
    <n v="61.3"/>
    <n v="1.96"/>
    <n v="193"/>
    <n v="169"/>
    <n v="65"/>
    <n v="2"/>
    <n v="947"/>
    <x v="3"/>
    <x v="2"/>
    <n v="31.1"/>
    <n v="3.5"/>
    <n v="5"/>
    <n v="1"/>
    <x v="2"/>
    <n v="24.18"/>
  </r>
  <r>
    <n v="37"/>
    <x v="3"/>
    <x v="0"/>
    <n v="78.5"/>
    <n v="1.5"/>
    <n v="189"/>
    <n v="169"/>
    <n v="60"/>
    <n v="1.67"/>
    <n v="954"/>
    <x v="2"/>
    <x v="0"/>
    <n v="17.899999999999999"/>
    <n v="2.4"/>
    <n v="3"/>
    <n v="3"/>
    <x v="2"/>
    <n v="21.98"/>
  </r>
  <r>
    <n v="41"/>
    <x v="3"/>
    <x v="0"/>
    <n v="40"/>
    <n v="1.78"/>
    <n v="182"/>
    <n v="155"/>
    <n v="68"/>
    <n v="1.51"/>
    <n v="1376"/>
    <x v="2"/>
    <x v="1"/>
    <n v="29.8"/>
    <n v="2.1"/>
    <n v="2"/>
    <n v="3"/>
    <x v="0"/>
    <n v="12.32"/>
  </r>
  <r>
    <n v="18"/>
    <x v="1"/>
    <x v="1"/>
    <n v="49.9"/>
    <n v="1.75"/>
    <n v="182"/>
    <n v="158"/>
    <n v="74"/>
    <n v="2"/>
    <n v="1032"/>
    <x v="0"/>
    <x v="4"/>
    <n v="23.1"/>
    <n v="3.1"/>
    <n v="5"/>
    <n v="1"/>
    <x v="0"/>
    <n v="17.64"/>
  </r>
  <r>
    <n v="46"/>
    <x v="2"/>
    <x v="0"/>
    <n v="69.900000000000006"/>
    <n v="1.68"/>
    <n v="173"/>
    <n v="168"/>
    <n v="64"/>
    <n v="1.43"/>
    <n v="911"/>
    <x v="0"/>
    <x v="2"/>
    <n v="35"/>
    <n v="3.4"/>
    <n v="3"/>
    <n v="2"/>
    <x v="2"/>
    <n v="18.95"/>
  </r>
  <r>
    <n v="24"/>
    <x v="1"/>
    <x v="1"/>
    <n v="62.5"/>
    <n v="1.58"/>
    <n v="175"/>
    <n v="137"/>
    <n v="51"/>
    <n v="2"/>
    <n v="1231"/>
    <x v="0"/>
    <x v="2"/>
    <n v="32.200000000000003"/>
    <n v="3.6"/>
    <n v="4"/>
    <n v="1"/>
    <x v="1"/>
    <n v="36.26"/>
  </r>
  <r>
    <n v="22"/>
    <x v="1"/>
    <x v="1"/>
    <n v="40"/>
    <n v="1.67"/>
    <n v="162"/>
    <n v="146"/>
    <n v="59"/>
    <n v="1.04"/>
    <n v="807"/>
    <x v="0"/>
    <x v="4"/>
    <n v="24.1"/>
    <n v="1.5"/>
    <n v="3"/>
    <n v="1"/>
    <x v="0"/>
    <n v="13.05"/>
  </r>
  <r>
    <n v="53"/>
    <x v="2"/>
    <x v="0"/>
    <n v="46.8"/>
    <n v="1.69"/>
    <n v="163"/>
    <n v="169"/>
    <n v="56"/>
    <n v="1.32"/>
    <n v="1017"/>
    <x v="2"/>
    <x v="1"/>
    <n v="27.6"/>
    <n v="2.4"/>
    <n v="4"/>
    <n v="2"/>
    <x v="4"/>
    <n v="29.04"/>
  </r>
  <r>
    <n v="44"/>
    <x v="3"/>
    <x v="0"/>
    <n v="75.2"/>
    <n v="1.9"/>
    <n v="185"/>
    <n v="131"/>
    <n v="65"/>
    <n v="0.94"/>
    <n v="1303"/>
    <x v="1"/>
    <x v="0"/>
    <n v="18"/>
    <n v="3.4"/>
    <n v="3"/>
    <n v="2"/>
    <x v="0"/>
    <m/>
  </r>
  <r>
    <n v="43"/>
    <x v="3"/>
    <x v="1"/>
    <n v="70.099999999999994"/>
    <n v="1.72"/>
    <n v="187"/>
    <n v="129"/>
    <n v="54"/>
    <n v="1.43"/>
    <n v="984"/>
    <x v="2"/>
    <x v="2"/>
    <n v="25"/>
    <n v="1.6"/>
    <n v="3"/>
    <n v="1"/>
    <x v="4"/>
    <n v="25.52"/>
  </r>
  <r>
    <n v="18"/>
    <x v="1"/>
    <x v="1"/>
    <n v="40"/>
    <n v="1.7"/>
    <n v="190"/>
    <n v="120"/>
    <n v="64"/>
    <n v="1.33"/>
    <n v="1589"/>
    <x v="3"/>
    <x v="2"/>
    <n v="26.8"/>
    <n v="3.1"/>
    <n v="2"/>
    <n v="1"/>
    <x v="2"/>
    <n v="18.760000000000002"/>
  </r>
  <r>
    <n v="59"/>
    <x v="4"/>
    <x v="0"/>
    <n v="73.599999999999994"/>
    <n v="1.6"/>
    <n v="164"/>
    <n v="158"/>
    <n v="58"/>
    <n v="1.35"/>
    <n v="1216"/>
    <x v="0"/>
    <x v="1"/>
    <n v="30"/>
    <n v="2.2999999999999998"/>
    <n v="5"/>
    <n v="2"/>
    <x v="0"/>
    <n v="15.78"/>
  </r>
  <r>
    <n v="18"/>
    <x v="1"/>
    <x v="1"/>
    <n v="40"/>
    <n v="1.65"/>
    <n v="160"/>
    <n v="144"/>
    <n v="73"/>
    <n v="2"/>
    <n v="1078"/>
    <x v="3"/>
    <x v="4"/>
    <n v="17.399999999999999"/>
    <n v="3.5"/>
    <n v="2"/>
    <n v="1"/>
    <x v="2"/>
    <n v="21.36"/>
  </r>
  <r>
    <n v="43"/>
    <x v="3"/>
    <x v="1"/>
    <n v="72.599999999999994"/>
    <n v="1.64"/>
    <n v="166"/>
    <n v="152"/>
    <n v="54"/>
    <n v="1.22"/>
    <n v="1188"/>
    <x v="1"/>
    <x v="4"/>
    <n v="21.3"/>
    <n v="2.5"/>
    <n v="2"/>
    <n v="2"/>
    <x v="0"/>
    <n v="12.97"/>
  </r>
  <r>
    <n v="36"/>
    <x v="3"/>
    <x v="1"/>
    <n v="87.6"/>
    <n v="1.81"/>
    <n v="179"/>
    <n v="140"/>
    <n v="56"/>
    <n v="0.9"/>
    <n v="645"/>
    <x v="2"/>
    <x v="4"/>
    <n v="22.1"/>
    <n v="3.6"/>
    <n v="2"/>
    <n v="1"/>
    <x v="0"/>
    <n v="18.22"/>
  </r>
  <r>
    <n v="26"/>
    <x v="0"/>
    <x v="0"/>
    <n v="110.3"/>
    <n v="1.94"/>
    <n v="171"/>
    <m/>
    <n v="51"/>
    <n v="1.25"/>
    <n v="1376"/>
    <x v="2"/>
    <x v="1"/>
    <n v="30"/>
    <n v="3.7"/>
    <n v="3"/>
    <n v="1"/>
    <x v="0"/>
    <n v="12.32"/>
  </r>
  <r>
    <n v="18"/>
    <x v="1"/>
    <x v="0"/>
    <n v="79"/>
    <n v="1.68"/>
    <n v="195"/>
    <n v="158"/>
    <n v="61"/>
    <n v="2"/>
    <n v="1410"/>
    <x v="0"/>
    <x v="2"/>
    <n v="31.1"/>
    <n v="2.5"/>
    <n v="5"/>
    <n v="2"/>
    <x v="0"/>
    <n v="14.2"/>
  </r>
  <r>
    <n v="40"/>
    <x v="3"/>
    <x v="1"/>
    <n v="40"/>
    <n v="1.73"/>
    <n v="194"/>
    <n v="149"/>
    <n v="72"/>
    <n v="1.06"/>
    <n v="811"/>
    <x v="2"/>
    <x v="4"/>
    <n v="19.399999999999999"/>
    <n v="2.7"/>
    <n v="2"/>
    <n v="3"/>
    <x v="1"/>
    <n v="36.56"/>
  </r>
  <r>
    <n v="18"/>
    <x v="1"/>
    <x v="1"/>
    <n v="123.8"/>
    <n v="1.62"/>
    <n v="164"/>
    <n v="167"/>
    <n v="59"/>
    <n v="1.43"/>
    <n v="303"/>
    <x v="0"/>
    <x v="4"/>
    <n v="22.3"/>
    <n v="3.6"/>
    <n v="2"/>
    <n v="3"/>
    <x v="2"/>
    <n v="24.63"/>
  </r>
  <r>
    <n v="59"/>
    <x v="4"/>
    <x v="0"/>
    <n v="40"/>
    <n v="1.84"/>
    <n v="167"/>
    <n v="137"/>
    <n v="53"/>
    <n v="1.87"/>
    <n v="681"/>
    <x v="3"/>
    <x v="3"/>
    <n v="23.7"/>
    <n v="2.2000000000000002"/>
    <n v="2"/>
    <n v="2"/>
    <x v="0"/>
    <n v="14.55"/>
  </r>
  <r>
    <n v="38"/>
    <x v="3"/>
    <x v="1"/>
    <n v="41.4"/>
    <n v="1.71"/>
    <n v="183"/>
    <n v="168"/>
    <n v="73"/>
    <n v="0.94"/>
    <n v="1253"/>
    <x v="3"/>
    <x v="2"/>
    <n v="30.8"/>
    <n v="3.2"/>
    <n v="3"/>
    <n v="1"/>
    <x v="0"/>
    <n v="14.6"/>
  </r>
  <r>
    <n v="33"/>
    <x v="0"/>
    <x v="0"/>
    <n v="60.5"/>
    <n v="1.76"/>
    <n v="160"/>
    <n v="146"/>
    <n v="67"/>
    <n v="0.57999999999999996"/>
    <n v="1172"/>
    <x v="2"/>
    <x v="1"/>
    <n v="26.4"/>
    <m/>
    <n v="4"/>
    <n v="2"/>
    <x v="4"/>
    <n v="28.93"/>
  </r>
  <r>
    <n v="45"/>
    <x v="2"/>
    <x v="0"/>
    <n v="40"/>
    <n v="1.69"/>
    <n v="162"/>
    <n v="147"/>
    <n v="68"/>
    <n v="1.19"/>
    <n v="979"/>
    <x v="2"/>
    <x v="1"/>
    <n v="25.2"/>
    <n v="2.4"/>
    <n v="4"/>
    <n v="2"/>
    <x v="0"/>
    <n v="12.75"/>
  </r>
  <r>
    <n v="44"/>
    <x v="3"/>
    <x v="0"/>
    <n v="52.8"/>
    <n v="1.71"/>
    <n v="198"/>
    <n v="132"/>
    <n v="63"/>
    <n v="2"/>
    <n v="1783"/>
    <x v="2"/>
    <x v="3"/>
    <n v="21.7"/>
    <n v="3.4"/>
    <n v="4"/>
    <n v="2"/>
    <x v="0"/>
    <n v="12.32"/>
  </r>
  <r>
    <n v="39"/>
    <x v="3"/>
    <x v="0"/>
    <n v="69.900000000000006"/>
    <n v="1.85"/>
    <n v="164"/>
    <n v="147"/>
    <n v="50"/>
    <n v="1.3"/>
    <n v="1562"/>
    <x v="3"/>
    <x v="1"/>
    <n v="27.7"/>
    <n v="3.7"/>
    <n v="3"/>
    <n v="3"/>
    <x v="0"/>
    <n v="12.87"/>
  </r>
  <r>
    <n v="25"/>
    <x v="0"/>
    <x v="0"/>
    <n v="51"/>
    <n v="1.76"/>
    <n v="167"/>
    <n v="127"/>
    <n v="70"/>
    <n v="0.72"/>
    <n v="1119"/>
    <x v="4"/>
    <x v="1"/>
    <n v="25.1"/>
    <n v="2.6"/>
    <n v="4"/>
    <n v="3"/>
    <x v="0"/>
    <n v="12.64"/>
  </r>
  <r>
    <n v="50"/>
    <x v="2"/>
    <x v="0"/>
    <n v="92.6"/>
    <n v="1.91"/>
    <n v="171"/>
    <n v="137"/>
    <n v="54"/>
    <n v="1.6"/>
    <n v="303"/>
    <x v="0"/>
    <x v="1"/>
    <n v="25.2"/>
    <n v="2.2999999999999998"/>
    <n v="3"/>
    <n v="1"/>
    <x v="2"/>
    <n v="21.42"/>
  </r>
  <r>
    <n v="21"/>
    <x v="1"/>
    <x v="0"/>
    <n v="52.7"/>
    <n v="1.53"/>
    <n v="182"/>
    <n v="134"/>
    <n v="50"/>
    <n v="1.19"/>
    <n v="1090"/>
    <x v="0"/>
    <x v="2"/>
    <n v="31.5"/>
    <n v="3.4"/>
    <n v="3"/>
    <n v="3"/>
    <x v="4"/>
    <n v="25.06"/>
  </r>
  <r>
    <n v="49"/>
    <x v="2"/>
    <x v="1"/>
    <n v="40"/>
    <n v="1.75"/>
    <n v="166"/>
    <n v="169"/>
    <n v="59"/>
    <n v="1.3"/>
    <m/>
    <x v="3"/>
    <x v="4"/>
    <n v="19.7"/>
    <n v="1.6"/>
    <n v="4"/>
    <n v="2"/>
    <x v="2"/>
    <n v="19.149999999999999"/>
  </r>
  <r>
    <n v="20"/>
    <x v="1"/>
    <x v="1"/>
    <n v="40"/>
    <n v="1.78"/>
    <n v="192"/>
    <n v="149"/>
    <n v="57"/>
    <n v="0.93"/>
    <n v="1075"/>
    <x v="0"/>
    <x v="2"/>
    <n v="25.5"/>
    <n v="1.9"/>
    <n v="4"/>
    <n v="1"/>
    <x v="2"/>
    <n v="22.57"/>
  </r>
  <r>
    <n v="50"/>
    <x v="2"/>
    <x v="1"/>
    <n v="40"/>
    <n v="1.92"/>
    <n v="168"/>
    <n v="144"/>
    <n v="55"/>
    <n v="1.48"/>
    <n v="692"/>
    <x v="1"/>
    <x v="3"/>
    <n v="16"/>
    <n v="2.5"/>
    <n v="5"/>
    <n v="1"/>
    <x v="0"/>
    <n v="18.29"/>
  </r>
  <r>
    <n v="52"/>
    <x v="2"/>
    <x v="0"/>
    <n v="81.7"/>
    <n v="1.59"/>
    <n v="164"/>
    <n v="136"/>
    <n v="67"/>
    <n v="1.91"/>
    <n v="1025"/>
    <x v="2"/>
    <x v="1"/>
    <n v="28.2"/>
    <n v="3.4"/>
    <n v="2"/>
    <n v="2"/>
    <x v="2"/>
    <n v="19.89"/>
  </r>
  <r>
    <n v="41"/>
    <x v="3"/>
    <x v="1"/>
    <n v="65.900000000000006"/>
    <n v="1.93"/>
    <n v="188"/>
    <n v="124"/>
    <n v="74"/>
    <n v="1.36"/>
    <n v="1419"/>
    <x v="3"/>
    <x v="4"/>
    <n v="22.6"/>
    <n v="1.5"/>
    <n v="2"/>
    <n v="2"/>
    <x v="0"/>
    <n v="17.600000000000001"/>
  </r>
  <r>
    <n v="22"/>
    <x v="1"/>
    <x v="1"/>
    <n v="55"/>
    <n v="1.88"/>
    <n v="176"/>
    <n v="131"/>
    <n v="74"/>
    <n v="2"/>
    <n v="1445"/>
    <x v="3"/>
    <x v="3"/>
    <n v="16.3"/>
    <n v="1.9"/>
    <m/>
    <n v="1"/>
    <x v="4"/>
    <n v="26.04"/>
  </r>
  <r>
    <n v="19"/>
    <x v="1"/>
    <x v="2"/>
    <n v="92.2"/>
    <n v="1.73"/>
    <n v="170"/>
    <n v="150"/>
    <n v="74"/>
    <n v="2"/>
    <n v="538"/>
    <x v="1"/>
    <x v="0"/>
    <n v="10"/>
    <n v="2.2000000000000002"/>
    <n v="2"/>
    <n v="1"/>
    <x v="0"/>
    <n v="15.3"/>
  </r>
  <r>
    <n v="31"/>
    <x v="0"/>
    <x v="0"/>
    <n v="67.900000000000006"/>
    <n v="1.7"/>
    <n v="163"/>
    <n v="124"/>
    <n v="68"/>
    <n v="1.43"/>
    <n v="1338"/>
    <x v="1"/>
    <x v="0"/>
    <n v="13"/>
    <n v="3.1"/>
    <n v="5"/>
    <n v="1"/>
    <x v="0"/>
    <n v="13.87"/>
  </r>
  <r>
    <n v="32"/>
    <x v="0"/>
    <x v="0"/>
    <n v="86"/>
    <n v="1.6"/>
    <n v="164"/>
    <n v="144"/>
    <n v="65"/>
    <n v="1.0900000000000001"/>
    <n v="1196"/>
    <x v="2"/>
    <x v="0"/>
    <n v="17.399999999999999"/>
    <n v="1.5"/>
    <n v="2"/>
    <n v="1"/>
    <x v="2"/>
    <n v="20.18"/>
  </r>
  <r>
    <n v="29"/>
    <x v="0"/>
    <x v="0"/>
    <n v="60.6"/>
    <n v="1.83"/>
    <n v="172"/>
    <n v="161"/>
    <n v="60"/>
    <n v="1.32"/>
    <n v="760"/>
    <x v="0"/>
    <x v="1"/>
    <n v="25"/>
    <n v="3.3"/>
    <n v="5"/>
    <n v="2"/>
    <x v="0"/>
    <n v="18.03"/>
  </r>
  <r>
    <n v="34"/>
    <x v="0"/>
    <x v="1"/>
    <n v="47.8"/>
    <n v="1.69"/>
    <n v="182"/>
    <n v="153"/>
    <n v="68"/>
    <n v="1.63"/>
    <n v="1249"/>
    <x v="3"/>
    <x v="4"/>
    <n v="20.2"/>
    <n v="1.5"/>
    <n v="4"/>
    <n v="3"/>
    <x v="0"/>
    <n v="12.32"/>
  </r>
  <r>
    <n v="19"/>
    <x v="1"/>
    <x v="1"/>
    <n v="79.400000000000006"/>
    <n v="1.77"/>
    <n v="165"/>
    <n v="150"/>
    <n v="73"/>
    <n v="1.23"/>
    <n v="1148"/>
    <x v="1"/>
    <x v="4"/>
    <n v="24.1"/>
    <n v="3.3"/>
    <n v="3"/>
    <n v="2"/>
    <x v="2"/>
    <n v="22.64"/>
  </r>
  <r>
    <n v="33"/>
    <x v="0"/>
    <x v="0"/>
    <n v="62.4"/>
    <n v="1.72"/>
    <n v="168"/>
    <n v="164"/>
    <n v="74"/>
    <n v="0.91"/>
    <n v="1042"/>
    <x v="3"/>
    <x v="1"/>
    <n v="27.1"/>
    <n v="3.4"/>
    <n v="5"/>
    <n v="2"/>
    <x v="4"/>
    <n v="29.29"/>
  </r>
  <r>
    <n v="47"/>
    <x v="2"/>
    <x v="1"/>
    <n v="71.3"/>
    <n v="1.83"/>
    <n v="186"/>
    <n v="163"/>
    <n v="68"/>
    <n v="0.95"/>
    <n v="837"/>
    <x v="0"/>
    <x v="4"/>
    <n v="22.6"/>
    <n v="1.5"/>
    <n v="5"/>
    <n v="2"/>
    <x v="2"/>
    <n v="18.61"/>
  </r>
  <r>
    <n v="37"/>
    <x v="3"/>
    <x v="1"/>
    <n v="116.2"/>
    <n v="1.65"/>
    <n v="194"/>
    <n v="160"/>
    <n v="74"/>
    <n v="1.98"/>
    <n v="1036"/>
    <x v="3"/>
    <x v="4"/>
    <n v="22.1"/>
    <n v="2.4"/>
    <n v="4"/>
    <n v="1"/>
    <x v="2"/>
    <n v="23.58"/>
  </r>
  <r>
    <n v="50"/>
    <x v="2"/>
    <x v="1"/>
    <n v="55.8"/>
    <n v="1.81"/>
    <n v="161"/>
    <n v="126"/>
    <n v="55"/>
    <n v="1.32"/>
    <n v="909"/>
    <x v="3"/>
    <x v="4"/>
    <n v="23.6"/>
    <n v="2.9"/>
    <n v="4"/>
    <n v="2"/>
    <x v="0"/>
    <n v="12.32"/>
  </r>
  <r>
    <n v="49"/>
    <x v="2"/>
    <x v="1"/>
    <n v="53.5"/>
    <n v="1.79"/>
    <n v="167"/>
    <n v="158"/>
    <n v="64"/>
    <n v="1.31"/>
    <n v="1268"/>
    <x v="3"/>
    <x v="0"/>
    <m/>
    <n v="1.9"/>
    <n v="2"/>
    <n v="1"/>
    <x v="4"/>
    <n v="27.68"/>
  </r>
  <r>
    <n v="53"/>
    <x v="2"/>
    <x v="0"/>
    <n v="55.9"/>
    <n v="1.78"/>
    <n v="182"/>
    <n v="125"/>
    <n v="58"/>
    <n v="1.45"/>
    <n v="1308"/>
    <x v="3"/>
    <x v="3"/>
    <n v="21.1"/>
    <n v="1.5"/>
    <n v="3"/>
    <n v="2"/>
    <x v="0"/>
    <n v="12.32"/>
  </r>
  <r>
    <n v="29"/>
    <x v="0"/>
    <x v="0"/>
    <n v="80.7"/>
    <n v="1.74"/>
    <n v="192"/>
    <n v="121"/>
    <n v="72"/>
    <n v="1.43"/>
    <n v="839"/>
    <x v="0"/>
    <x v="1"/>
    <n v="26.5"/>
    <n v="1.5"/>
    <n v="4"/>
    <n v="1"/>
    <x v="0"/>
    <n v="12.32"/>
  </r>
  <r>
    <n v="46"/>
    <x v="2"/>
    <x v="1"/>
    <n v="69"/>
    <n v="1.88"/>
    <n v="177"/>
    <n v="120"/>
    <n v="74"/>
    <n v="1.63"/>
    <n v="1183"/>
    <x v="0"/>
    <x v="4"/>
    <n v="23.4"/>
    <n v="3.6"/>
    <n v="4"/>
    <n v="2"/>
    <x v="0"/>
    <n v="14.54"/>
  </r>
  <r>
    <n v="34"/>
    <x v="0"/>
    <x v="1"/>
    <n v="60.5"/>
    <n v="1.8"/>
    <n v="171"/>
    <n v="120"/>
    <n v="68"/>
    <n v="1.57"/>
    <n v="1452"/>
    <x v="1"/>
    <x v="2"/>
    <n v="27.1"/>
    <n v="3.2"/>
    <n v="3"/>
    <n v="1"/>
    <x v="0"/>
    <n v="12.32"/>
  </r>
  <r>
    <n v="44"/>
    <x v="3"/>
    <x v="2"/>
    <n v="71.599999999999994"/>
    <n v="1.73"/>
    <n v="167"/>
    <n v="138"/>
    <n v="71"/>
    <n v="1.45"/>
    <n v="1000"/>
    <x v="0"/>
    <x v="3"/>
    <n v="23.6"/>
    <n v="2.6"/>
    <n v="2"/>
    <n v="3"/>
    <x v="2"/>
    <n v="21.12"/>
  </r>
  <r>
    <n v="51"/>
    <x v="2"/>
    <x v="0"/>
    <n v="96.3"/>
    <n v="1.88"/>
    <n v="166"/>
    <n v="127"/>
    <n v="59"/>
    <n v="1.32"/>
    <n v="1362"/>
    <x v="0"/>
    <x v="1"/>
    <n v="28.1"/>
    <n v="1.9"/>
    <n v="2"/>
    <n v="2"/>
    <x v="0"/>
    <n v="16.309999999999999"/>
  </r>
  <r>
    <n v="47"/>
    <x v="2"/>
    <x v="1"/>
    <n v="48.4"/>
    <n v="1.65"/>
    <n v="196"/>
    <n v="148"/>
    <n v="60"/>
    <n v="1.29"/>
    <n v="1357"/>
    <x v="1"/>
    <x v="0"/>
    <n v="11.3"/>
    <n v="1.5"/>
    <n v="3"/>
    <n v="2"/>
    <x v="0"/>
    <n v="12.51"/>
  </r>
  <r>
    <n v="52"/>
    <x v="2"/>
    <x v="1"/>
    <n v="77.8"/>
    <n v="1.59"/>
    <n v="183"/>
    <n v="135"/>
    <n v="50"/>
    <n v="1.37"/>
    <n v="949"/>
    <x v="1"/>
    <x v="2"/>
    <n v="27.3"/>
    <n v="2.9"/>
    <n v="4"/>
    <n v="2"/>
    <x v="2"/>
    <n v="23.73"/>
  </r>
  <r>
    <n v="25"/>
    <x v="0"/>
    <x v="1"/>
    <n v="85.5"/>
    <n v="1.8"/>
    <n v="168"/>
    <n v="156"/>
    <n v="69"/>
    <n v="1.39"/>
    <n v="644"/>
    <x v="0"/>
    <x v="3"/>
    <n v="15.7"/>
    <n v="3.3"/>
    <n v="2"/>
    <n v="1"/>
    <x v="0"/>
    <n v="12.32"/>
  </r>
  <r>
    <n v="28"/>
    <x v="0"/>
    <x v="2"/>
    <n v="74.900000000000006"/>
    <n v="1.74"/>
    <n v="196"/>
    <n v="163"/>
    <n v="54"/>
    <n v="1.24"/>
    <n v="1144"/>
    <x v="1"/>
    <x v="4"/>
    <n v="30.7"/>
    <n v="1.6"/>
    <n v="2"/>
    <n v="1"/>
    <x v="4"/>
    <n v="25.53"/>
  </r>
  <r>
    <n v="30"/>
    <x v="0"/>
    <x v="1"/>
    <n v="67.400000000000006"/>
    <n v="1.79"/>
    <n v="185"/>
    <n v="169"/>
    <n v="59"/>
    <n v="1.27"/>
    <n v="1398"/>
    <x v="1"/>
    <x v="4"/>
    <n v="18.899999999999999"/>
    <n v="3.4"/>
    <n v="5"/>
    <n v="3"/>
    <x v="4"/>
    <n v="25.14"/>
  </r>
  <r>
    <n v="36"/>
    <x v="3"/>
    <x v="1"/>
    <n v="71"/>
    <n v="1.66"/>
    <n v="168"/>
    <n v="131"/>
    <n v="74"/>
    <n v="1.1000000000000001"/>
    <n v="567"/>
    <x v="2"/>
    <x v="4"/>
    <n v="20.3"/>
    <n v="3.7"/>
    <n v="4"/>
    <n v="1"/>
    <x v="4"/>
    <n v="28.31"/>
  </r>
  <r>
    <n v="24"/>
    <x v="1"/>
    <x v="0"/>
    <n v="50.5"/>
    <n v="2"/>
    <n v="177"/>
    <n v="129"/>
    <n v="70"/>
    <n v="1.33"/>
    <n v="1213"/>
    <x v="0"/>
    <x v="1"/>
    <n v="26.6"/>
    <m/>
    <n v="2"/>
    <n v="2"/>
    <x v="0"/>
    <n v="16.2"/>
  </r>
  <r>
    <n v="55"/>
    <x v="4"/>
    <x v="1"/>
    <n v="94.8"/>
    <n v="2"/>
    <n v="192"/>
    <n v="169"/>
    <n v="50"/>
    <n v="1.38"/>
    <n v="1458"/>
    <x v="0"/>
    <x v="4"/>
    <n v="23.2"/>
    <n v="2.2999999999999998"/>
    <n v="3"/>
    <n v="3"/>
    <x v="0"/>
    <m/>
  </r>
  <r>
    <n v="18"/>
    <x v="1"/>
    <x v="0"/>
    <n v="73.599999999999994"/>
    <n v="1.79"/>
    <n v="195"/>
    <n v="146"/>
    <n v="73"/>
    <n v="1.1299999999999999"/>
    <n v="636"/>
    <x v="2"/>
    <x v="0"/>
    <n v="14.1"/>
    <n v="2.7"/>
    <n v="2"/>
    <n v="1"/>
    <x v="0"/>
    <n v="12.32"/>
  </r>
  <r>
    <n v="21"/>
    <x v="1"/>
    <x v="1"/>
    <n v="47.8"/>
    <n v="1.62"/>
    <n v="173"/>
    <n v="129"/>
    <n v="74"/>
    <n v="1.59"/>
    <n v="1638"/>
    <x v="2"/>
    <x v="2"/>
    <n v="25.8"/>
    <n v="2.4"/>
    <n v="3"/>
    <n v="2"/>
    <x v="0"/>
    <n v="12.32"/>
  </r>
  <r>
    <n v="41"/>
    <x v="3"/>
    <x v="1"/>
    <n v="40"/>
    <n v="1.74"/>
    <n v="166"/>
    <n v="154"/>
    <n v="71"/>
    <n v="1.1299999999999999"/>
    <n v="1356"/>
    <x v="2"/>
    <x v="4"/>
    <n v="20.100000000000001"/>
    <n v="2.8"/>
    <n v="3"/>
    <n v="3"/>
    <x v="0"/>
    <n v="15.67"/>
  </r>
  <r>
    <n v="51"/>
    <x v="2"/>
    <x v="1"/>
    <n v="43.9"/>
    <n v="1.78"/>
    <n v="194"/>
    <n v="136"/>
    <n v="51"/>
    <n v="0.98"/>
    <n v="1293"/>
    <x v="0"/>
    <x v="2"/>
    <n v="27"/>
    <n v="1.5"/>
    <n v="2"/>
    <n v="1"/>
    <x v="0"/>
    <n v="15.75"/>
  </r>
  <r>
    <n v="47"/>
    <x v="2"/>
    <x v="1"/>
    <n v="59.6"/>
    <n v="1.88"/>
    <n v="192"/>
    <n v="125"/>
    <n v="50"/>
    <n v="1.32"/>
    <n v="1108"/>
    <x v="3"/>
    <x v="2"/>
    <n v="30.6"/>
    <n v="2.2999999999999998"/>
    <n v="3"/>
    <n v="2"/>
    <x v="0"/>
    <n v="12.32"/>
  </r>
  <r>
    <n v="22"/>
    <x v="1"/>
    <x v="0"/>
    <n v="56.1"/>
    <n v="1.91"/>
    <n v="167"/>
    <n v="122"/>
    <n v="70"/>
    <n v="1.4"/>
    <n v="1183"/>
    <x v="1"/>
    <x v="1"/>
    <n v="24.9"/>
    <n v="2.7"/>
    <n v="2"/>
    <n v="1"/>
    <x v="0"/>
    <n v="12.32"/>
  </r>
  <r>
    <n v="18"/>
    <x v="1"/>
    <x v="1"/>
    <n v="56.5"/>
    <n v="1.93"/>
    <n v="177"/>
    <n v="156"/>
    <n v="52"/>
    <n v="1.53"/>
    <n v="1419"/>
    <x v="0"/>
    <x v="4"/>
    <n v="22.3"/>
    <n v="3.5"/>
    <n v="4"/>
    <n v="2"/>
    <x v="0"/>
    <n v="16.43"/>
  </r>
  <r>
    <n v="39"/>
    <x v="3"/>
    <x v="1"/>
    <n v="83.7"/>
    <n v="1.52"/>
    <n v="187"/>
    <n v="152"/>
    <n v="58"/>
    <n v="1.65"/>
    <n v="1647"/>
    <x v="0"/>
    <x v="2"/>
    <n v="29.3"/>
    <n v="3.2"/>
    <m/>
    <m/>
    <x v="0"/>
    <n v="15.84"/>
  </r>
  <r>
    <n v="34"/>
    <x v="0"/>
    <x v="0"/>
    <n v="79.099999999999994"/>
    <n v="1.73"/>
    <n v="188"/>
    <n v="151"/>
    <n v="58"/>
    <n v="1.32"/>
    <n v="1191"/>
    <x v="3"/>
    <x v="1"/>
    <n v="30.7"/>
    <n v="3.6"/>
    <m/>
    <n v="2"/>
    <x v="0"/>
    <n v="18.309999999999999"/>
  </r>
  <r>
    <n v="46"/>
    <x v="2"/>
    <x v="0"/>
    <n v="56.7"/>
    <n v="1.97"/>
    <n v="199"/>
    <n v="160"/>
    <n v="56"/>
    <n v="1.3"/>
    <n v="1215"/>
    <x v="2"/>
    <x v="1"/>
    <n v="26.4"/>
    <n v="2.4"/>
    <n v="3"/>
    <n v="1"/>
    <x v="0"/>
    <n v="16.02"/>
  </r>
  <r>
    <n v="22"/>
    <x v="1"/>
    <x v="0"/>
    <n v="48.9"/>
    <n v="1.84"/>
    <n v="185"/>
    <n v="164"/>
    <n v="73"/>
    <n v="1.1299999999999999"/>
    <m/>
    <x v="3"/>
    <x v="1"/>
    <n v="27"/>
    <n v="1.5"/>
    <n v="3"/>
    <n v="3"/>
    <x v="2"/>
    <n v="22.64"/>
  </r>
  <r>
    <n v="43"/>
    <x v="3"/>
    <x v="0"/>
    <n v="47.1"/>
    <n v="1.81"/>
    <n v="166"/>
    <n v="149"/>
    <n v="69"/>
    <n v="0.76"/>
    <n v="998"/>
    <x v="2"/>
    <x v="3"/>
    <n v="22.2"/>
    <n v="3"/>
    <n v="4"/>
    <n v="1"/>
    <x v="4"/>
    <n v="29.69"/>
  </r>
  <r>
    <n v="51"/>
    <x v="2"/>
    <x v="1"/>
    <n v="65.099999999999994"/>
    <n v="1.85"/>
    <n v="185"/>
    <n v="130"/>
    <n v="60"/>
    <n v="2"/>
    <n v="717"/>
    <x v="1"/>
    <x v="4"/>
    <n v="22.2"/>
    <n v="1.9"/>
    <n v="2"/>
    <n v="2"/>
    <x v="0"/>
    <n v="15.62"/>
  </r>
  <r>
    <n v="55"/>
    <x v="4"/>
    <x v="0"/>
    <n v="60.6"/>
    <n v="1.68"/>
    <n v="185"/>
    <n v="124"/>
    <n v="70"/>
    <n v="1.35"/>
    <n v="1447"/>
    <x v="2"/>
    <x v="1"/>
    <n v="24"/>
    <n v="2"/>
    <n v="4"/>
    <n v="1"/>
    <x v="2"/>
    <n v="18.66"/>
  </r>
  <r>
    <n v="42"/>
    <x v="3"/>
    <x v="0"/>
    <n v="101"/>
    <n v="1.56"/>
    <n v="186"/>
    <n v="168"/>
    <n v="56"/>
    <n v="1.19"/>
    <n v="650"/>
    <x v="2"/>
    <x v="1"/>
    <n v="27.6"/>
    <n v="3.6"/>
    <n v="4"/>
    <n v="1"/>
    <x v="2"/>
    <n v="24.46"/>
  </r>
  <r>
    <n v="31"/>
    <x v="0"/>
    <x v="0"/>
    <n v="66.400000000000006"/>
    <n v="1.76"/>
    <n v="175"/>
    <n v="140"/>
    <n v="69"/>
    <n v="1.55"/>
    <n v="640"/>
    <x v="0"/>
    <x v="1"/>
    <n v="24.7"/>
    <n v="3.5"/>
    <n v="4"/>
    <n v="2"/>
    <x v="4"/>
    <n v="29.07"/>
  </r>
  <r>
    <n v="49"/>
    <x v="2"/>
    <x v="1"/>
    <n v="97.1"/>
    <n v="2"/>
    <n v="174"/>
    <n v="153"/>
    <n v="74"/>
    <n v="1.26"/>
    <n v="763"/>
    <x v="0"/>
    <x v="0"/>
    <n v="10"/>
    <n v="2.6"/>
    <n v="2"/>
    <n v="2"/>
    <x v="2"/>
    <n v="23.64"/>
  </r>
  <r>
    <n v="29"/>
    <x v="0"/>
    <x v="1"/>
    <n v="73.7"/>
    <n v="1.88"/>
    <n v="192"/>
    <n v="141"/>
    <n v="59"/>
    <n v="1.68"/>
    <n v="769"/>
    <x v="1"/>
    <x v="0"/>
    <m/>
    <n v="3.2"/>
    <n v="3"/>
    <n v="3"/>
    <x v="2"/>
    <n v="24.55"/>
  </r>
  <r>
    <n v="44"/>
    <x v="3"/>
    <x v="1"/>
    <n v="86.1"/>
    <n v="1.73"/>
    <n v="178"/>
    <n v="140"/>
    <n v="51"/>
    <n v="1.1200000000000001"/>
    <n v="1244"/>
    <x v="0"/>
    <x v="4"/>
    <n v="22.7"/>
    <n v="3.4"/>
    <n v="3"/>
    <n v="3"/>
    <x v="2"/>
    <n v="19.23"/>
  </r>
  <r>
    <n v="37"/>
    <x v="3"/>
    <x v="0"/>
    <n v="58.7"/>
    <n v="1.78"/>
    <n v="195"/>
    <n v="154"/>
    <n v="59"/>
    <n v="1.34"/>
    <n v="1015"/>
    <x v="1"/>
    <x v="1"/>
    <n v="29.5"/>
    <n v="2.8"/>
    <n v="2"/>
    <n v="3"/>
    <x v="2"/>
    <n v="18.670000000000002"/>
  </r>
  <r>
    <n v="37"/>
    <x v="3"/>
    <x v="0"/>
    <n v="69.099999999999994"/>
    <n v="1.74"/>
    <n v="175"/>
    <n v="127"/>
    <n v="53"/>
    <n v="1.61"/>
    <n v="1411"/>
    <x v="0"/>
    <x v="2"/>
    <n v="31.9"/>
    <n v="3.6"/>
    <n v="2"/>
    <n v="2"/>
    <x v="0"/>
    <n v="18.07"/>
  </r>
  <r>
    <n v="46"/>
    <x v="2"/>
    <x v="0"/>
    <n v="73"/>
    <n v="1.73"/>
    <n v="164"/>
    <n v="150"/>
    <n v="54"/>
    <n v="1.87"/>
    <n v="1037"/>
    <x v="1"/>
    <x v="1"/>
    <n v="25.1"/>
    <n v="3.4"/>
    <n v="2"/>
    <m/>
    <x v="0"/>
    <n v="15.27"/>
  </r>
  <r>
    <n v="53"/>
    <x v="2"/>
    <x v="1"/>
    <n v="67.3"/>
    <n v="1.5"/>
    <n v="199"/>
    <n v="151"/>
    <n v="60"/>
    <n v="1.04"/>
    <n v="593"/>
    <x v="2"/>
    <x v="3"/>
    <n v="15.8"/>
    <n v="3.4"/>
    <n v="4"/>
    <n v="2"/>
    <x v="0"/>
    <n v="12.32"/>
  </r>
  <r>
    <n v="47"/>
    <x v="2"/>
    <x v="0"/>
    <n v="59.2"/>
    <n v="1.67"/>
    <n v="182"/>
    <n v="169"/>
    <n v="57"/>
    <n v="1.06"/>
    <n v="1252"/>
    <x v="2"/>
    <x v="2"/>
    <n v="31.5"/>
    <n v="2.2000000000000002"/>
    <n v="3"/>
    <n v="2"/>
    <x v="2"/>
    <n v="23.65"/>
  </r>
  <r>
    <n v="46"/>
    <x v="2"/>
    <x v="0"/>
    <n v="119.6"/>
    <n v="1.71"/>
    <n v="176"/>
    <n v="129"/>
    <n v="53"/>
    <n v="1.26"/>
    <n v="1144"/>
    <x v="2"/>
    <x v="3"/>
    <n v="23.9"/>
    <n v="1.7"/>
    <n v="4"/>
    <n v="2"/>
    <x v="0"/>
    <n v="12.32"/>
  </r>
  <r>
    <n v="53"/>
    <x v="2"/>
    <x v="1"/>
    <n v="80.099999999999994"/>
    <n v="1.69"/>
    <n v="188"/>
    <n v="167"/>
    <n v="74"/>
    <n v="2"/>
    <n v="1196"/>
    <x v="0"/>
    <x v="3"/>
    <n v="13"/>
    <n v="2.2999999999999998"/>
    <n v="3"/>
    <n v="1"/>
    <x v="0"/>
    <n v="14.85"/>
  </r>
  <r>
    <n v="42"/>
    <x v="3"/>
    <x v="1"/>
    <n v="59.1"/>
    <n v="1.65"/>
    <n v="183"/>
    <n v="138"/>
    <n v="71"/>
    <n v="2"/>
    <n v="957"/>
    <x v="0"/>
    <x v="4"/>
    <n v="21.2"/>
    <n v="2"/>
    <n v="2"/>
    <n v="2"/>
    <x v="1"/>
    <n v="35.06"/>
  </r>
  <r>
    <n v="48"/>
    <x v="2"/>
    <x v="2"/>
    <n v="88.8"/>
    <n v="1.91"/>
    <n v="183"/>
    <n v="156"/>
    <n v="67"/>
    <n v="0.87"/>
    <n v="853"/>
    <x v="1"/>
    <x v="2"/>
    <n v="32.5"/>
    <n v="3.3"/>
    <n v="3"/>
    <n v="2"/>
    <x v="2"/>
    <n v="19.12"/>
  </r>
  <r>
    <n v="36"/>
    <x v="3"/>
    <x v="1"/>
    <n v="53.4"/>
    <n v="1.75"/>
    <n v="177"/>
    <n v="120"/>
    <n v="70"/>
    <n v="0.68"/>
    <n v="1257"/>
    <x v="3"/>
    <x v="2"/>
    <n v="26.7"/>
    <n v="2.7"/>
    <n v="5"/>
    <n v="2"/>
    <x v="1"/>
    <n v="35.28"/>
  </r>
  <r>
    <n v="18"/>
    <x v="1"/>
    <x v="1"/>
    <n v="98.9"/>
    <n v="1.58"/>
    <n v="181"/>
    <n v="126"/>
    <n v="68"/>
    <n v="1.48"/>
    <n v="1330"/>
    <x v="1"/>
    <x v="2"/>
    <n v="27.5"/>
    <n v="3.1"/>
    <n v="3"/>
    <n v="2"/>
    <x v="0"/>
    <n v="12.32"/>
  </r>
  <r>
    <n v="41"/>
    <x v="3"/>
    <x v="0"/>
    <n v="112.2"/>
    <n v="1.81"/>
    <n v="188"/>
    <n v="159"/>
    <n v="53"/>
    <n v="1.1599999999999999"/>
    <n v="995"/>
    <x v="3"/>
    <x v="1"/>
    <n v="30.3"/>
    <n v="3.3"/>
    <n v="3"/>
    <n v="2"/>
    <x v="0"/>
    <n v="18.28"/>
  </r>
  <r>
    <n v="30"/>
    <x v="0"/>
    <x v="1"/>
    <n v="101.6"/>
    <n v="1.73"/>
    <n v="190"/>
    <n v="133"/>
    <n v="56"/>
    <n v="1.38"/>
    <n v="1047"/>
    <x v="1"/>
    <x v="4"/>
    <n v="22.1"/>
    <n v="3.2"/>
    <n v="3"/>
    <n v="3"/>
    <x v="3"/>
    <n v="40.75"/>
  </r>
  <r>
    <n v="19"/>
    <x v="1"/>
    <x v="0"/>
    <n v="74.7"/>
    <n v="1.85"/>
    <n v="194"/>
    <n v="127"/>
    <n v="74"/>
    <n v="0.65"/>
    <n v="1105"/>
    <x v="1"/>
    <x v="0"/>
    <n v="19.399999999999999"/>
    <n v="3.6"/>
    <n v="2"/>
    <n v="2"/>
    <x v="0"/>
    <n v="16.46"/>
  </r>
  <r>
    <n v="22"/>
    <x v="1"/>
    <x v="1"/>
    <n v="68.400000000000006"/>
    <n v="1.86"/>
    <n v="175"/>
    <n v="129"/>
    <n v="66"/>
    <n v="1.99"/>
    <n v="895"/>
    <x v="1"/>
    <x v="4"/>
    <n v="20"/>
    <n v="3.6"/>
    <n v="5"/>
    <n v="1"/>
    <x v="0"/>
    <n v="16.16"/>
  </r>
  <r>
    <n v="22"/>
    <x v="1"/>
    <x v="0"/>
    <n v="86.2"/>
    <n v="1.93"/>
    <n v="167"/>
    <n v="145"/>
    <n v="62"/>
    <n v="1.74"/>
    <n v="640"/>
    <x v="0"/>
    <x v="0"/>
    <n v="18.600000000000001"/>
    <n v="3.3"/>
    <n v="3"/>
    <n v="1"/>
    <x v="4"/>
    <n v="29.48"/>
  </r>
  <r>
    <n v="51"/>
    <x v="2"/>
    <x v="1"/>
    <n v="98.9"/>
    <n v="1.85"/>
    <n v="181"/>
    <n v="138"/>
    <n v="70"/>
    <n v="1.49"/>
    <n v="859"/>
    <x v="1"/>
    <x v="2"/>
    <n v="25"/>
    <n v="1.5"/>
    <n v="2"/>
    <n v="2"/>
    <x v="4"/>
    <n v="25.3"/>
  </r>
  <r>
    <n v="27"/>
    <x v="0"/>
    <x v="0"/>
    <n v="50.6"/>
    <n v="2"/>
    <n v="174"/>
    <n v="129"/>
    <n v="68"/>
    <n v="1.34"/>
    <n v="1179"/>
    <x v="2"/>
    <x v="2"/>
    <n v="31"/>
    <n v="2"/>
    <n v="5"/>
    <n v="2"/>
    <x v="2"/>
    <n v="24.12"/>
  </r>
  <r>
    <n v="56"/>
    <x v="4"/>
    <x v="0"/>
    <n v="68.099999999999994"/>
    <n v="2"/>
    <n v="168"/>
    <n v="160"/>
    <n v="74"/>
    <n v="1.39"/>
    <n v="1350"/>
    <x v="3"/>
    <x v="3"/>
    <n v="23.8"/>
    <n v="3.3"/>
    <n v="5"/>
    <n v="2"/>
    <x v="0"/>
    <n v="17.05"/>
  </r>
  <r>
    <n v="22"/>
    <x v="1"/>
    <x v="0"/>
    <n v="53"/>
    <n v="1.83"/>
    <n v="199"/>
    <n v="129"/>
    <n v="74"/>
    <n v="0.88"/>
    <n v="540"/>
    <x v="0"/>
    <x v="0"/>
    <n v="11.9"/>
    <n v="3.1"/>
    <n v="4"/>
    <n v="2"/>
    <x v="0"/>
    <n v="15.29"/>
  </r>
  <r>
    <n v="28"/>
    <x v="0"/>
    <x v="1"/>
    <n v="59.2"/>
    <n v="1.68"/>
    <n v="187"/>
    <n v="127"/>
    <n v="54"/>
    <n v="1.53"/>
    <n v="466"/>
    <x v="0"/>
    <x v="2"/>
    <n v="27.3"/>
    <n v="2.9"/>
    <n v="2"/>
    <n v="3"/>
    <x v="0"/>
    <n v="12.32"/>
  </r>
  <r>
    <n v="35"/>
    <x v="3"/>
    <x v="1"/>
    <n v="40"/>
    <n v="2"/>
    <n v="169"/>
    <n v="138"/>
    <n v="72"/>
    <n v="1.08"/>
    <n v="576"/>
    <x v="0"/>
    <x v="2"/>
    <n v="31.2"/>
    <n v="2.9"/>
    <n v="2"/>
    <n v="3"/>
    <x v="2"/>
    <n v="20.21"/>
  </r>
  <r>
    <n v="48"/>
    <x v="2"/>
    <x v="1"/>
    <n v="90.4"/>
    <n v="2"/>
    <n v="193"/>
    <n v="156"/>
    <n v="59"/>
    <n v="1.78"/>
    <n v="1246"/>
    <x v="1"/>
    <x v="4"/>
    <n v="24.4"/>
    <n v="2.2999999999999998"/>
    <n v="3"/>
    <n v="2"/>
    <x v="0"/>
    <n v="13.35"/>
  </r>
  <r>
    <n v="25"/>
    <x v="0"/>
    <x v="0"/>
    <n v="74.599999999999994"/>
    <n v="1.63"/>
    <n v="182"/>
    <n v="160"/>
    <n v="60"/>
    <n v="0.93"/>
    <n v="1028"/>
    <x v="2"/>
    <x v="0"/>
    <n v="14.8"/>
    <n v="3.5"/>
    <n v="3"/>
    <n v="2"/>
    <x v="0"/>
    <n v="18.079999999999998"/>
  </r>
  <r>
    <n v="24"/>
    <x v="1"/>
    <x v="1"/>
    <n v="92.2"/>
    <n v="1.71"/>
    <n v="194"/>
    <n v="141"/>
    <n v="59"/>
    <n v="2"/>
    <n v="1580"/>
    <x v="2"/>
    <x v="2"/>
    <n v="32.9"/>
    <n v="2.4"/>
    <n v="4"/>
    <n v="2"/>
    <x v="0"/>
    <m/>
  </r>
  <r>
    <n v="35"/>
    <x v="3"/>
    <x v="0"/>
    <n v="56.2"/>
    <n v="1.74"/>
    <n v="170"/>
    <n v="151"/>
    <n v="66"/>
    <n v="0.99"/>
    <n v="1215"/>
    <x v="0"/>
    <x v="1"/>
    <n v="26.9"/>
    <n v="2.9"/>
    <n v="4"/>
    <n v="2"/>
    <x v="2"/>
    <n v="20.61"/>
  </r>
  <r>
    <n v="18"/>
    <x v="1"/>
    <x v="1"/>
    <n v="63"/>
    <n v="1.66"/>
    <n v="191"/>
    <n v="168"/>
    <n v="74"/>
    <n v="0.89"/>
    <n v="456"/>
    <x v="0"/>
    <x v="4"/>
    <n v="24.5"/>
    <n v="2.7"/>
    <n v="3"/>
    <n v="2"/>
    <x v="0"/>
    <n v="14.75"/>
  </r>
  <r>
    <n v="50"/>
    <x v="2"/>
    <x v="0"/>
    <n v="76.099999999999994"/>
    <n v="1.82"/>
    <n v="191"/>
    <n v="146"/>
    <n v="54"/>
    <n v="1.1200000000000001"/>
    <n v="817"/>
    <x v="1"/>
    <x v="1"/>
    <n v="25"/>
    <n v="3.2"/>
    <n v="2"/>
    <n v="1"/>
    <x v="0"/>
    <n v="14.5"/>
  </r>
  <r>
    <n v="52"/>
    <x v="2"/>
    <x v="1"/>
    <n v="66.599999999999994"/>
    <n v="1.56"/>
    <n v="175"/>
    <n v="152"/>
    <n v="60"/>
    <n v="1.04"/>
    <n v="1783"/>
    <x v="3"/>
    <x v="3"/>
    <n v="15.4"/>
    <n v="2.7"/>
    <n v="4"/>
    <n v="2"/>
    <x v="3"/>
    <n v="40"/>
  </r>
  <r>
    <n v="32"/>
    <x v="0"/>
    <x v="0"/>
    <n v="45.9"/>
    <n v="1.83"/>
    <n v="192"/>
    <n v="120"/>
    <n v="55"/>
    <n v="1.49"/>
    <n v="808"/>
    <x v="3"/>
    <x v="3"/>
    <n v="22.4"/>
    <n v="1.5"/>
    <n v="3"/>
    <n v="1"/>
    <x v="0"/>
    <n v="17.82"/>
  </r>
  <r>
    <n v="31"/>
    <x v="0"/>
    <x v="0"/>
    <n v="86.4"/>
    <n v="1.59"/>
    <n v="187"/>
    <n v="169"/>
    <n v="50"/>
    <n v="2"/>
    <n v="1336"/>
    <x v="3"/>
    <x v="1"/>
    <n v="27.6"/>
    <n v="1.6"/>
    <n v="4"/>
    <n v="1"/>
    <x v="0"/>
    <n v="14.57"/>
  </r>
  <r>
    <n v="30"/>
    <x v="0"/>
    <x v="0"/>
    <n v="54.9"/>
    <n v="1.93"/>
    <n v="187"/>
    <n v="165"/>
    <n v="70"/>
    <n v="0.94"/>
    <n v="836"/>
    <x v="1"/>
    <x v="1"/>
    <n v="26.7"/>
    <n v="3.7"/>
    <n v="4"/>
    <n v="2"/>
    <x v="0"/>
    <n v="13.37"/>
  </r>
  <r>
    <n v="21"/>
    <x v="1"/>
    <x v="1"/>
    <n v="91.2"/>
    <n v="1.7"/>
    <n v="194"/>
    <n v="142"/>
    <n v="62"/>
    <n v="0.91"/>
    <n v="1090"/>
    <x v="0"/>
    <x v="2"/>
    <n v="33.299999999999997"/>
    <n v="3.7"/>
    <n v="3"/>
    <n v="2"/>
    <x v="0"/>
    <n v="17.63"/>
  </r>
  <r>
    <n v="46"/>
    <x v="2"/>
    <x v="1"/>
    <n v="54.2"/>
    <n v="1.91"/>
    <n v="171"/>
    <n v="169"/>
    <n v="67"/>
    <n v="0.9"/>
    <n v="771"/>
    <x v="2"/>
    <x v="3"/>
    <n v="14"/>
    <n v="2.6"/>
    <n v="3"/>
    <n v="3"/>
    <x v="4"/>
    <n v="26.79"/>
  </r>
  <r>
    <n v="22"/>
    <x v="1"/>
    <x v="0"/>
    <n v="60.8"/>
    <n v="1.77"/>
    <n v="169"/>
    <n v="130"/>
    <n v="74"/>
    <n v="1.1000000000000001"/>
    <n v="1298"/>
    <x v="1"/>
    <x v="1"/>
    <n v="25.4"/>
    <n v="3.3"/>
    <n v="2"/>
    <n v="3"/>
    <x v="0"/>
    <n v="13.58"/>
  </r>
  <r>
    <n v="30"/>
    <x v="0"/>
    <x v="1"/>
    <n v="46.8"/>
    <n v="1.67"/>
    <n v="164"/>
    <n v="153"/>
    <n v="74"/>
    <n v="1.53"/>
    <n v="684"/>
    <x v="1"/>
    <x v="3"/>
    <n v="15.2"/>
    <n v="2.2999999999999998"/>
    <n v="4"/>
    <n v="2"/>
    <x v="0"/>
    <n v="12.32"/>
  </r>
  <r>
    <n v="31"/>
    <x v="0"/>
    <x v="0"/>
    <n v="48.1"/>
    <n v="1.58"/>
    <n v="181"/>
    <n v="125"/>
    <n v="70"/>
    <n v="1.88"/>
    <n v="695"/>
    <x v="2"/>
    <x v="3"/>
    <n v="23.1"/>
    <n v="3.3"/>
    <n v="3"/>
    <n v="2"/>
    <x v="4"/>
    <n v="26.69"/>
  </r>
  <r>
    <n v="36"/>
    <x v="3"/>
    <x v="1"/>
    <n v="56.5"/>
    <n v="1.61"/>
    <n v="189"/>
    <n v="123"/>
    <n v="58"/>
    <n v="2"/>
    <n v="1093"/>
    <x v="3"/>
    <x v="2"/>
    <n v="32.6"/>
    <n v="3.5"/>
    <n v="3"/>
    <n v="3"/>
    <x v="4"/>
    <n v="25.74"/>
  </r>
  <r>
    <n v="55"/>
    <x v="4"/>
    <x v="0"/>
    <n v="78.400000000000006"/>
    <n v="1.59"/>
    <n v="171"/>
    <n v="132"/>
    <n v="74"/>
    <n v="2"/>
    <n v="1182"/>
    <x v="2"/>
    <x v="0"/>
    <n v="13.6"/>
    <n v="3.7"/>
    <n v="3"/>
    <n v="1"/>
    <x v="0"/>
    <n v="12.32"/>
  </r>
  <r>
    <n v="44"/>
    <x v="3"/>
    <x v="1"/>
    <n v="78.2"/>
    <n v="1.8"/>
    <n v="171"/>
    <n v="169"/>
    <n v="59"/>
    <n v="1.79"/>
    <n v="1730"/>
    <x v="2"/>
    <x v="4"/>
    <n v="17"/>
    <n v="3.5"/>
    <n v="5"/>
    <n v="1"/>
    <x v="0"/>
    <n v="18.170000000000002"/>
  </r>
  <r>
    <n v="34"/>
    <x v="0"/>
    <x v="0"/>
    <n v="74.2"/>
    <n v="1.83"/>
    <n v="194"/>
    <n v="153"/>
    <n v="60"/>
    <n v="1.24"/>
    <n v="1632"/>
    <x v="0"/>
    <x v="1"/>
    <n v="27.3"/>
    <n v="3"/>
    <n v="4"/>
    <n v="2"/>
    <x v="2"/>
    <n v="20.18"/>
  </r>
  <r>
    <n v="57"/>
    <x v="4"/>
    <x v="0"/>
    <n v="84"/>
    <n v="1.95"/>
    <n v="199"/>
    <n v="142"/>
    <n v="51"/>
    <n v="1.66"/>
    <n v="872"/>
    <x v="0"/>
    <x v="0"/>
    <n v="17.5"/>
    <n v="3.4"/>
    <n v="4"/>
    <n v="1"/>
    <x v="2"/>
    <n v="21.88"/>
  </r>
  <r>
    <n v="47"/>
    <x v="2"/>
    <x v="0"/>
    <n v="79.2"/>
    <n v="1.81"/>
    <n v="160"/>
    <n v="169"/>
    <n v="74"/>
    <n v="1.28"/>
    <n v="595"/>
    <x v="3"/>
    <x v="0"/>
    <n v="19"/>
    <n v="3.3"/>
    <n v="2"/>
    <n v="2"/>
    <x v="2"/>
    <n v="20.55"/>
  </r>
  <r>
    <n v="20"/>
    <x v="1"/>
    <x v="0"/>
    <n v="102.9"/>
    <n v="1.61"/>
    <n v="172"/>
    <n v="146"/>
    <n v="70"/>
    <n v="1.57"/>
    <n v="1113"/>
    <x v="3"/>
    <x v="3"/>
    <n v="23.5"/>
    <n v="3.2"/>
    <n v="3"/>
    <n v="3"/>
    <x v="2"/>
    <n v="21.82"/>
  </r>
  <r>
    <n v="30"/>
    <x v="0"/>
    <x v="0"/>
    <n v="57.8"/>
    <n v="1.89"/>
    <n v="168"/>
    <n v="165"/>
    <n v="67"/>
    <n v="1.38"/>
    <n v="1099"/>
    <x v="0"/>
    <x v="1"/>
    <n v="25.6"/>
    <n v="1.5"/>
    <m/>
    <n v="1"/>
    <x v="0"/>
    <n v="15.3"/>
  </r>
  <r>
    <n v="37"/>
    <x v="3"/>
    <x v="0"/>
    <n v="94.5"/>
    <n v="1.73"/>
    <n v="198"/>
    <n v="135"/>
    <n v="74"/>
    <n v="1.1599999999999999"/>
    <n v="717"/>
    <x v="0"/>
    <x v="3"/>
    <n v="23.8"/>
    <n v="1.6"/>
    <n v="4"/>
    <n v="3"/>
    <x v="0"/>
    <n v="17.52"/>
  </r>
  <r>
    <n v="54"/>
    <x v="2"/>
    <x v="1"/>
    <n v="70.900000000000006"/>
    <n v="1.7"/>
    <s v="\n175"/>
    <n v="131"/>
    <n v="74"/>
    <n v="1.5"/>
    <n v="750"/>
    <x v="2"/>
    <x v="2"/>
    <n v="29.4"/>
    <n v="3.7"/>
    <n v="4"/>
    <n v="2"/>
    <x v="0"/>
    <n v="13.4"/>
  </r>
  <r>
    <n v="54"/>
    <x v="2"/>
    <x v="0"/>
    <n v="52.6"/>
    <n v="1.81"/>
    <n v="167"/>
    <n v="167"/>
    <n v="53"/>
    <n v="1.46"/>
    <n v="988"/>
    <x v="3"/>
    <x v="1"/>
    <n v="26.7"/>
    <n v="2.4"/>
    <n v="2"/>
    <n v="1"/>
    <x v="4"/>
    <n v="27.97"/>
  </r>
  <r>
    <n v="31"/>
    <x v="0"/>
    <x v="0"/>
    <n v="50.9"/>
    <n v="1.51"/>
    <n v="174"/>
    <n v="130"/>
    <n v="58"/>
    <n v="2"/>
    <n v="1743"/>
    <x v="0"/>
    <x v="1"/>
    <n v="26.9"/>
    <n v="3.5"/>
    <m/>
    <n v="1"/>
    <x v="2"/>
    <n v="22.5"/>
  </r>
  <r>
    <n v="43"/>
    <x v="3"/>
    <x v="2"/>
    <n v="58.9"/>
    <n v="1.85"/>
    <n v="174"/>
    <n v="139"/>
    <n v="67"/>
    <n v="1.41"/>
    <n v="1217"/>
    <x v="4"/>
    <x v="0"/>
    <n v="19.899999999999999"/>
    <n v="2"/>
    <n v="2"/>
    <n v="1"/>
    <x v="2"/>
    <n v="20.61"/>
  </r>
  <r>
    <n v="22"/>
    <x v="1"/>
    <x v="0"/>
    <n v="69.3"/>
    <n v="1.56"/>
    <n v="164"/>
    <n v="136"/>
    <n v="50"/>
    <n v="1.33"/>
    <n v="1084"/>
    <x v="3"/>
    <x v="1"/>
    <n v="30.7"/>
    <n v="3.4"/>
    <n v="3"/>
    <m/>
    <x v="2"/>
    <n v="23.56"/>
  </r>
  <r>
    <n v="18"/>
    <x v="1"/>
    <x v="0"/>
    <n v="93.3"/>
    <n v="1.71"/>
    <n v="199"/>
    <m/>
    <n v="50"/>
    <n v="1.59"/>
    <n v="1166"/>
    <x v="3"/>
    <x v="3"/>
    <n v="22.3"/>
    <n v="2.6"/>
    <n v="4"/>
    <n v="1"/>
    <x v="2"/>
    <n v="24.01"/>
  </r>
  <r>
    <n v="24"/>
    <x v="1"/>
    <x v="0"/>
    <n v="91.2"/>
    <n v="1.82"/>
    <n v="181"/>
    <n v="158"/>
    <n v="74"/>
    <n v="1.49"/>
    <n v="1263"/>
    <x v="4"/>
    <x v="1"/>
    <n v="26.9"/>
    <n v="1.8"/>
    <n v="2"/>
    <n v="2"/>
    <x v="0"/>
    <n v="12.74"/>
  </r>
  <r>
    <n v="45"/>
    <x v="2"/>
    <x v="0"/>
    <n v="40"/>
    <n v="1.59"/>
    <n v="199"/>
    <n v="144"/>
    <n v="70"/>
    <n v="1.2"/>
    <m/>
    <x v="2"/>
    <x v="0"/>
    <n v="15.3"/>
    <m/>
    <n v="3"/>
    <n v="3"/>
    <x v="2"/>
    <n v="19.329999999999998"/>
  </r>
  <r>
    <n v="34"/>
    <x v="0"/>
    <x v="2"/>
    <n v="80.599999999999994"/>
    <n v="1.76"/>
    <n v="177"/>
    <n v="163"/>
    <n v="18"/>
    <n v="2"/>
    <n v="1783"/>
    <x v="1"/>
    <x v="4"/>
    <n v="27.5"/>
    <n v="3.4"/>
    <n v="4"/>
    <n v="1"/>
    <x v="0"/>
    <n v="13.09"/>
  </r>
  <r>
    <n v="25"/>
    <x v="0"/>
    <x v="1"/>
    <n v="40"/>
    <n v="1.56"/>
    <n v="195"/>
    <n v="132"/>
    <n v="57"/>
    <n v="0.65"/>
    <n v="499"/>
    <x v="3"/>
    <x v="3"/>
    <n v="16.7"/>
    <n v="3.4"/>
    <n v="3"/>
    <n v="2"/>
    <x v="0"/>
    <n v="12.32"/>
  </r>
  <r>
    <n v="45"/>
    <x v="2"/>
    <x v="1"/>
    <n v="76.599999999999994"/>
    <n v="1.77"/>
    <n v="181"/>
    <n v="122"/>
    <n v="64"/>
    <n v="1.82"/>
    <n v="1186"/>
    <x v="1"/>
    <x v="4"/>
    <n v="19.100000000000001"/>
    <n v="3.5"/>
    <n v="2"/>
    <n v="1"/>
    <x v="2"/>
    <n v="20.79"/>
  </r>
  <r>
    <n v="25"/>
    <x v="0"/>
    <x v="0"/>
    <n v="61.1"/>
    <n v="1.72"/>
    <n v="176"/>
    <n v="162"/>
    <n v="53"/>
    <n v="0.92"/>
    <n v="1378"/>
    <x v="0"/>
    <x v="0"/>
    <n v="15"/>
    <n v="3.4"/>
    <n v="4"/>
    <n v="1"/>
    <x v="0"/>
    <n v="12.62"/>
  </r>
  <r>
    <n v="51"/>
    <x v="2"/>
    <x v="0"/>
    <n v="58.8"/>
    <n v="1.78"/>
    <n v="172"/>
    <n v="120"/>
    <n v="54"/>
    <n v="2"/>
    <n v="1113"/>
    <x v="2"/>
    <x v="2"/>
    <n v="31.5"/>
    <n v="2.2999999999999998"/>
    <n v="4"/>
    <n v="1"/>
    <x v="0"/>
    <m/>
  </r>
  <r>
    <n v="31"/>
    <x v="0"/>
    <x v="0"/>
    <n v="48.4"/>
    <n v="1.81"/>
    <n v="178"/>
    <n v="120"/>
    <n v="71"/>
    <n v="1.45"/>
    <n v="1004"/>
    <x v="0"/>
    <x v="3"/>
    <n v="23.1"/>
    <n v="1.5"/>
    <n v="3"/>
    <n v="1"/>
    <x v="1"/>
    <n v="31.33"/>
  </r>
  <r>
    <n v="28"/>
    <x v="0"/>
    <x v="0"/>
    <n v="77.8"/>
    <n v="1.62"/>
    <n v="164"/>
    <n v="161"/>
    <n v="70"/>
    <n v="1.52"/>
    <n v="1095"/>
    <x v="0"/>
    <x v="3"/>
    <n v="23.1"/>
    <n v="3.5"/>
    <n v="5"/>
    <n v="2"/>
    <x v="2"/>
    <n v="21.22"/>
  </r>
  <r>
    <n v="48"/>
    <x v="2"/>
    <x v="1"/>
    <n v="119.9"/>
    <n v="1.73"/>
    <n v="165"/>
    <n v="156"/>
    <n v="66"/>
    <n v="0.99"/>
    <n v="781"/>
    <x v="1"/>
    <x v="4"/>
    <n v="18.5"/>
    <n v="3.6"/>
    <n v="3"/>
    <n v="1"/>
    <x v="0"/>
    <n v="18.18"/>
  </r>
  <r>
    <n v="44"/>
    <x v="3"/>
    <x v="2"/>
    <n v="64.5"/>
    <n v="1.5"/>
    <n v="173"/>
    <n v="166"/>
    <n v="50"/>
    <n v="0.54"/>
    <n v="874"/>
    <x v="3"/>
    <x v="4"/>
    <n v="25.2"/>
    <n v="1.9"/>
    <n v="3"/>
    <n v="2"/>
    <x v="0"/>
    <n v="12.32"/>
  </r>
  <r>
    <n v="39"/>
    <x v="3"/>
    <x v="0"/>
    <n v="84"/>
    <n v="1.79"/>
    <n v="176"/>
    <n v="126"/>
    <n v="72"/>
    <n v="1.5"/>
    <n v="1057"/>
    <x v="2"/>
    <x v="1"/>
    <n v="28"/>
    <n v="3.3"/>
    <n v="3"/>
    <n v="1"/>
    <x v="1"/>
    <n v="30.44"/>
  </r>
  <r>
    <n v="34"/>
    <x v="0"/>
    <x v="1"/>
    <n v="80.7"/>
    <n v="1.8"/>
    <n v="193"/>
    <n v="153"/>
    <n v="57"/>
    <n v="1.18"/>
    <n v="930"/>
    <x v="3"/>
    <x v="2"/>
    <n v="27.2"/>
    <n v="2.2999999999999998"/>
    <n v="3"/>
    <n v="1"/>
    <x v="0"/>
    <n v="13.63"/>
  </r>
  <r>
    <n v="24"/>
    <x v="1"/>
    <x v="0"/>
    <n v="102.6"/>
    <n v="1.67"/>
    <n v="190"/>
    <n v="132"/>
    <n v="73"/>
    <n v="1.41"/>
    <n v="800"/>
    <x v="3"/>
    <x v="1"/>
    <n v="28.3"/>
    <n v="1.5"/>
    <n v="3"/>
    <n v="2"/>
    <x v="2"/>
    <n v="18.79"/>
  </r>
  <r>
    <n v="51"/>
    <x v="2"/>
    <x v="0"/>
    <n v="80.400000000000006"/>
    <n v="1.64"/>
    <n v="181"/>
    <m/>
    <n v="74"/>
    <n v="1.07"/>
    <n v="913"/>
    <x v="1"/>
    <x v="1"/>
    <n v="26.4"/>
    <n v="1.5"/>
    <n v="5"/>
    <n v="3"/>
    <x v="0"/>
    <n v="12.32"/>
  </r>
  <r>
    <n v="42"/>
    <x v="3"/>
    <x v="0"/>
    <n v="57.1"/>
    <n v="1.84"/>
    <n v="199"/>
    <n v="163"/>
    <n v="74"/>
    <n v="1.2"/>
    <n v="303"/>
    <x v="0"/>
    <x v="3"/>
    <n v="21.3"/>
    <n v="2.7"/>
    <n v="3"/>
    <n v="1"/>
    <x v="0"/>
    <n v="14.84"/>
  </r>
  <r>
    <n v="23"/>
    <x v="1"/>
    <x v="0"/>
    <n v="60.5"/>
    <n v="1.88"/>
    <n v="166"/>
    <n v="149"/>
    <n v="63"/>
    <m/>
    <n v="907"/>
    <x v="3"/>
    <x v="3"/>
    <n v="23.5"/>
    <n v="3.1"/>
    <n v="4"/>
    <n v="1"/>
    <x v="0"/>
    <n v="15.38"/>
  </r>
  <r>
    <n v="18"/>
    <x v="1"/>
    <x v="0"/>
    <n v="98.5"/>
    <n v="1.99"/>
    <n v="187"/>
    <n v="153"/>
    <n v="57"/>
    <n v="1.95"/>
    <n v="859"/>
    <x v="3"/>
    <x v="3"/>
    <n v="22.7"/>
    <n v="1.9"/>
    <n v="3"/>
    <n v="2"/>
    <x v="0"/>
    <n v="15.7"/>
  </r>
  <r>
    <n v="23"/>
    <x v="1"/>
    <x v="0"/>
    <n v="68"/>
    <n v="1.74"/>
    <n v="175"/>
    <n v="120"/>
    <n v="68"/>
    <n v="1.01"/>
    <n v="694"/>
    <x v="2"/>
    <x v="1"/>
    <n v="24.5"/>
    <n v="3.5"/>
    <n v="5"/>
    <n v="2"/>
    <x v="0"/>
    <n v="17.47"/>
  </r>
  <r>
    <n v="18"/>
    <x v="1"/>
    <x v="1"/>
    <n v="40"/>
    <n v="1.82"/>
    <n v="177"/>
    <n v="127"/>
    <n v="74"/>
    <n v="0.73"/>
    <n v="352"/>
    <x v="3"/>
    <x v="2"/>
    <n v="26"/>
    <n v="3.4"/>
    <n v="3"/>
    <n v="2"/>
    <x v="4"/>
    <n v="28.42"/>
  </r>
  <r>
    <n v="50"/>
    <x v="2"/>
    <x v="1"/>
    <n v="41.9"/>
    <n v="2"/>
    <n v="199"/>
    <n v="161"/>
    <n v="74"/>
    <n v="1.24"/>
    <n v="953"/>
    <x v="1"/>
    <x v="4"/>
    <n v="24.6"/>
    <n v="3.2"/>
    <n v="3"/>
    <n v="2"/>
    <x v="0"/>
    <n v="16.02"/>
  </r>
  <r>
    <n v="18"/>
    <x v="1"/>
    <x v="1"/>
    <n v="60.5"/>
    <n v="1.57"/>
    <n v="177"/>
    <n v="131"/>
    <n v="59"/>
    <n v="1.3"/>
    <n v="1286"/>
    <x v="2"/>
    <x v="2"/>
    <n v="28.1"/>
    <n v="2.6"/>
    <n v="3"/>
    <n v="2"/>
    <x v="2"/>
    <n v="19.420000000000002"/>
  </r>
  <r>
    <n v="32"/>
    <x v="0"/>
    <x v="1"/>
    <n v="40"/>
    <n v="1.61"/>
    <n v="176"/>
    <n v="156"/>
    <n v="59"/>
    <m/>
    <n v="582"/>
    <x v="3"/>
    <x v="3"/>
    <n v="15.1"/>
    <n v="3.4"/>
    <n v="4"/>
    <n v="1"/>
    <x v="4"/>
    <n v="25.61"/>
  </r>
  <r>
    <n v="46"/>
    <x v="2"/>
    <x v="1"/>
    <n v="40.700000000000003"/>
    <n v="1.66"/>
    <n v="190"/>
    <n v="169"/>
    <n v="58"/>
    <n v="0.92"/>
    <n v="760"/>
    <x v="2"/>
    <x v="2"/>
    <n v="27.2"/>
    <n v="3.5"/>
    <n v="5"/>
    <n v="2"/>
    <x v="2"/>
    <n v="18.760000000000002"/>
  </r>
  <r>
    <n v="18"/>
    <x v="1"/>
    <x v="0"/>
    <n v="53.8"/>
    <n v="1.7"/>
    <n v="197"/>
    <n v="120"/>
    <n v="69"/>
    <n v="1.01"/>
    <n v="1274"/>
    <x v="0"/>
    <x v="2"/>
    <n v="31.4"/>
    <n v="2.4"/>
    <n v="3"/>
    <n v="3"/>
    <x v="0"/>
    <n v="15.72"/>
  </r>
  <r>
    <n v="18"/>
    <x v="1"/>
    <x v="2"/>
    <n v="115.4"/>
    <n v="1.79"/>
    <n v="188"/>
    <n v="168"/>
    <n v="72"/>
    <n v="2"/>
    <n v="859"/>
    <x v="3"/>
    <x v="2"/>
    <n v="31.2"/>
    <n v="1.8"/>
    <n v="3"/>
    <n v="2"/>
    <x v="2"/>
    <n v="19.059999999999999"/>
  </r>
  <r>
    <n v="46"/>
    <x v="2"/>
    <x v="1"/>
    <n v="54"/>
    <n v="1.82"/>
    <n v="177"/>
    <n v="163"/>
    <n v="63"/>
    <n v="1.4"/>
    <n v="979"/>
    <x v="3"/>
    <x v="2"/>
    <n v="33.700000000000003"/>
    <n v="3.7"/>
    <n v="2"/>
    <n v="2"/>
    <x v="0"/>
    <n v="14.05"/>
  </r>
  <r>
    <n v="24"/>
    <x v="1"/>
    <x v="1"/>
    <n v="105.7"/>
    <n v="2"/>
    <n v="187"/>
    <n v="145"/>
    <n v="58"/>
    <n v="1.48"/>
    <n v="1002"/>
    <x v="0"/>
    <x v="2"/>
    <n v="25.9"/>
    <n v="2.5"/>
    <n v="3"/>
    <n v="1"/>
    <x v="3"/>
    <n v="43.01"/>
  </r>
  <r>
    <n v="31"/>
    <x v="0"/>
    <x v="1"/>
    <n v="87.3"/>
    <n v="1.65"/>
    <n v="176"/>
    <n v="137"/>
    <n v="74"/>
    <n v="0.91"/>
    <n v="1262"/>
    <x v="3"/>
    <x v="2"/>
    <n v="31.5"/>
    <m/>
    <n v="4"/>
    <n v="2"/>
    <x v="4"/>
    <n v="26.33"/>
  </r>
  <r>
    <n v="30"/>
    <x v="0"/>
    <x v="0"/>
    <n v="57.7"/>
    <n v="1.76"/>
    <n v="160"/>
    <n v="152"/>
    <n v="59"/>
    <n v="1.82"/>
    <n v="314"/>
    <x v="1"/>
    <x v="3"/>
    <n v="23.2"/>
    <n v="1.8"/>
    <n v="4"/>
    <n v="3"/>
    <x v="0"/>
    <n v="12.32"/>
  </r>
  <r>
    <n v="24"/>
    <x v="1"/>
    <x v="1"/>
    <n v="72.7"/>
    <n v="2"/>
    <n v="190"/>
    <n v="131"/>
    <n v="56"/>
    <n v="1.33"/>
    <n v="1126"/>
    <x v="1"/>
    <x v="0"/>
    <n v="12.6"/>
    <n v="3.6"/>
    <n v="2"/>
    <n v="2"/>
    <x v="2"/>
    <n v="23.15"/>
  </r>
  <r>
    <n v="25"/>
    <x v="0"/>
    <x v="2"/>
    <n v="102.4"/>
    <n v="1.68"/>
    <n v="188"/>
    <n v="141"/>
    <n v="56"/>
    <n v="1.66"/>
    <n v="1553"/>
    <x v="3"/>
    <x v="0"/>
    <n v="18.600000000000001"/>
    <n v="1.7"/>
    <n v="2"/>
    <n v="2"/>
    <x v="0"/>
    <n v="16.38"/>
  </r>
  <r>
    <n v="29"/>
    <x v="0"/>
    <x v="0"/>
    <n v="81.400000000000006"/>
    <n v="1.89"/>
    <n v="177"/>
    <n v="137"/>
    <n v="70"/>
    <n v="1.01"/>
    <n v="503"/>
    <x v="3"/>
    <x v="0"/>
    <n v="14.5"/>
    <n v="1.5"/>
    <m/>
    <n v="1"/>
    <x v="2"/>
    <n v="21.8"/>
  </r>
  <r>
    <n v="39"/>
    <x v="3"/>
    <x v="1"/>
    <n v="81.900000000000006"/>
    <n v="1.72"/>
    <n v="187"/>
    <n v="156"/>
    <n v="53"/>
    <n v="1.19"/>
    <n v="1329"/>
    <x v="3"/>
    <x v="4"/>
    <n v="24.2"/>
    <n v="3.4"/>
    <n v="4"/>
    <n v="2"/>
    <x v="0"/>
    <n v="12.91"/>
  </r>
  <r>
    <n v="48"/>
    <x v="2"/>
    <x v="0"/>
    <n v="65.099999999999994"/>
    <n v="1.79"/>
    <n v="189"/>
    <n v="120"/>
    <n v="74"/>
    <n v="1.26"/>
    <n v="325"/>
    <x v="0"/>
    <x v="3"/>
    <n v="23.5"/>
    <n v="2.1"/>
    <n v="5"/>
    <n v="3"/>
    <x v="4"/>
    <n v="28.56"/>
  </r>
  <r>
    <n v="28"/>
    <x v="0"/>
    <x v="0"/>
    <n v="67.8"/>
    <n v="1.57"/>
    <n v="198"/>
    <n v="135"/>
    <n v="67"/>
    <n v="2"/>
    <n v="1062"/>
    <x v="0"/>
    <x v="1"/>
    <n v="30.5"/>
    <n v="1.5"/>
    <n v="3"/>
    <n v="1"/>
    <x v="0"/>
    <n v="14.86"/>
  </r>
  <r>
    <n v="25"/>
    <x v="0"/>
    <x v="1"/>
    <n v="56.9"/>
    <n v="1.61"/>
    <n v="183"/>
    <n v="130"/>
    <n v="18"/>
    <n v="1.33"/>
    <n v="804"/>
    <x v="2"/>
    <x v="4"/>
    <n v="20.100000000000001"/>
    <n v="1.5"/>
    <n v="4"/>
    <n v="2"/>
    <x v="2"/>
    <n v="23.68"/>
  </r>
  <r>
    <n v="53"/>
    <x v="2"/>
    <x v="0"/>
    <n v="55"/>
    <n v="1.6"/>
    <n v="181"/>
    <n v="133"/>
    <n v="74"/>
    <n v="1.25"/>
    <n v="645"/>
    <x v="0"/>
    <x v="1"/>
    <n v="28.2"/>
    <n v="2.4"/>
    <n v="4"/>
    <n v="1"/>
    <x v="2"/>
    <n v="21.6"/>
  </r>
  <r>
    <n v="38"/>
    <x v="3"/>
    <x v="2"/>
    <n v="42.6"/>
    <n v="1.61"/>
    <n v="172"/>
    <n v="122"/>
    <n v="69"/>
    <n v="1.1299999999999999"/>
    <n v="462"/>
    <x v="3"/>
    <x v="0"/>
    <n v="14.9"/>
    <n v="2.5"/>
    <n v="2"/>
    <m/>
    <x v="0"/>
    <n v="15.67"/>
  </r>
  <r>
    <n v="50"/>
    <x v="2"/>
    <x v="0"/>
    <n v="61.5"/>
    <n v="1.57"/>
    <n v="199"/>
    <n v="139"/>
    <n v="71"/>
    <n v="0.95"/>
    <n v="798"/>
    <x v="1"/>
    <x v="3"/>
    <n v="22.5"/>
    <n v="3.5"/>
    <n v="4"/>
    <n v="2"/>
    <x v="0"/>
    <n v="17.3"/>
  </r>
  <r>
    <n v="27"/>
    <x v="0"/>
    <x v="1"/>
    <n v="64.2"/>
    <n v="1.89"/>
    <n v="188"/>
    <n v="143"/>
    <n v="51"/>
    <n v="2"/>
    <n v="1662"/>
    <x v="0"/>
    <x v="4"/>
    <n v="23"/>
    <n v="3.1"/>
    <n v="4"/>
    <n v="2"/>
    <x v="0"/>
    <n v="17.41"/>
  </r>
  <r>
    <n v="38"/>
    <x v="3"/>
    <x v="1"/>
    <n v="76.7"/>
    <n v="1.99"/>
    <n v="192"/>
    <n v="131"/>
    <n v="74"/>
    <n v="1.1399999999999999"/>
    <n v="1263"/>
    <x v="0"/>
    <x v="2"/>
    <n v="28.3"/>
    <n v="1.6"/>
    <n v="5"/>
    <n v="1"/>
    <x v="0"/>
    <n v="14.98"/>
  </r>
  <r>
    <n v="51"/>
    <x v="2"/>
    <x v="1"/>
    <n v="100.2"/>
    <m/>
    <n v="164"/>
    <n v="153"/>
    <n v="72"/>
    <n v="1.1599999999999999"/>
    <n v="1499"/>
    <x v="3"/>
    <x v="0"/>
    <n v="10"/>
    <n v="1.7"/>
    <n v="4"/>
    <n v="1"/>
    <x v="0"/>
    <n v="16.37"/>
  </r>
  <r>
    <n v="54"/>
    <x v="2"/>
    <x v="0"/>
    <n v="58.1"/>
    <n v="1.57"/>
    <n v="182"/>
    <n v="169"/>
    <n v="74"/>
    <n v="1.59"/>
    <n v="649"/>
    <x v="1"/>
    <x v="0"/>
    <n v="19.7"/>
    <n v="3.4"/>
    <n v="3"/>
    <n v="2"/>
    <x v="2"/>
    <n v="23.19"/>
  </r>
  <r>
    <n v="33"/>
    <x v="0"/>
    <x v="0"/>
    <n v="58.2"/>
    <n v="1.62"/>
    <n v="170"/>
    <n v="163"/>
    <n v="60"/>
    <n v="1.21"/>
    <n v="1524"/>
    <x v="1"/>
    <x v="1"/>
    <n v="26.5"/>
    <n v="2.8"/>
    <n v="3"/>
    <n v="2"/>
    <x v="0"/>
    <n v="12.32"/>
  </r>
  <r>
    <n v="30"/>
    <x v="0"/>
    <x v="1"/>
    <n v="80.099999999999994"/>
    <m/>
    <n v="192"/>
    <n v="153"/>
    <n v="50"/>
    <n v="0.55000000000000004"/>
    <n v="1222"/>
    <x v="0"/>
    <x v="2"/>
    <n v="31.7"/>
    <n v="1.5"/>
    <n v="3"/>
    <n v="1"/>
    <x v="2"/>
    <n v="19.510000000000002"/>
  </r>
  <r>
    <n v="46"/>
    <x v="2"/>
    <x v="1"/>
    <n v="55.1"/>
    <n v="1.62"/>
    <n v="170"/>
    <n v="166"/>
    <n v="52"/>
    <n v="1.03"/>
    <n v="1370"/>
    <x v="1"/>
    <x v="2"/>
    <n v="34.4"/>
    <n v="1.8"/>
    <n v="2"/>
    <n v="1"/>
    <x v="4"/>
    <n v="26.04"/>
  </r>
  <r>
    <n v="32"/>
    <x v="0"/>
    <x v="0"/>
    <n v="51.2"/>
    <n v="1.9"/>
    <n v="162"/>
    <n v="160"/>
    <n v="60"/>
    <n v="1.25"/>
    <n v="988"/>
    <x v="1"/>
    <x v="3"/>
    <n v="21.6"/>
    <n v="2.5"/>
    <n v="3"/>
    <n v="2"/>
    <x v="2"/>
    <n v="22.51"/>
  </r>
  <r>
    <n v="43"/>
    <x v="3"/>
    <x v="1"/>
    <n v="40"/>
    <n v="1.95"/>
    <n v="162"/>
    <n v="138"/>
    <n v="58"/>
    <n v="2"/>
    <n v="918"/>
    <x v="3"/>
    <x v="2"/>
    <n v="26.4"/>
    <n v="1.8"/>
    <n v="4"/>
    <n v="2"/>
    <x v="2"/>
    <n v="18.66"/>
  </r>
  <r>
    <n v="42"/>
    <x v="3"/>
    <x v="1"/>
    <n v="45.3"/>
    <n v="1.53"/>
    <n v="193"/>
    <n v="128"/>
    <n v="74"/>
    <n v="1.05"/>
    <n v="810"/>
    <x v="4"/>
    <x v="4"/>
    <n v="21.1"/>
    <n v="2.4"/>
    <n v="2"/>
    <n v="2"/>
    <x v="0"/>
    <n v="17.18"/>
  </r>
  <r>
    <n v="22"/>
    <x v="1"/>
    <x v="0"/>
    <n v="54.1"/>
    <n v="1.76"/>
    <n v="178"/>
    <n v="127"/>
    <n v="65"/>
    <n v="1.42"/>
    <n v="501"/>
    <x v="0"/>
    <x v="1"/>
    <n v="29.2"/>
    <n v="3.7"/>
    <n v="4"/>
    <n v="1"/>
    <x v="2"/>
    <n v="22.15"/>
  </r>
  <r>
    <n v="24"/>
    <x v="1"/>
    <x v="1"/>
    <n v="58.8"/>
    <n v="1.89"/>
    <n v="163"/>
    <n v="150"/>
    <n v="73"/>
    <n v="1.28"/>
    <n v="800"/>
    <x v="0"/>
    <x v="2"/>
    <n v="27.1"/>
    <n v="2.5"/>
    <n v="2"/>
    <n v="2"/>
    <x v="0"/>
    <n v="15.86"/>
  </r>
  <r>
    <n v="36"/>
    <x v="3"/>
    <x v="2"/>
    <n v="55.5"/>
    <n v="1.69"/>
    <n v="198"/>
    <n v="132"/>
    <n v="71"/>
    <n v="1.85"/>
    <n v="1590"/>
    <x v="1"/>
    <x v="0"/>
    <n v="15.3"/>
    <n v="2.2000000000000002"/>
    <n v="3"/>
    <n v="2"/>
    <x v="4"/>
    <n v="27.8"/>
  </r>
  <r>
    <n v="27"/>
    <x v="0"/>
    <x v="0"/>
    <n v="40"/>
    <n v="1.8"/>
    <n v="162"/>
    <n v="140"/>
    <n v="74"/>
    <n v="1.42"/>
    <n v="901"/>
    <x v="2"/>
    <x v="3"/>
    <n v="22.2"/>
    <n v="2.5"/>
    <n v="5"/>
    <n v="1"/>
    <x v="4"/>
    <n v="29.73"/>
  </r>
  <r>
    <n v="41"/>
    <x v="3"/>
    <x v="1"/>
    <n v="53"/>
    <n v="1.62"/>
    <n v="161"/>
    <n v="142"/>
    <n v="61"/>
    <n v="1.42"/>
    <n v="761"/>
    <x v="0"/>
    <x v="4"/>
    <n v="21"/>
    <n v="3.3"/>
    <n v="3"/>
    <n v="1"/>
    <x v="2"/>
    <n v="20.51"/>
  </r>
  <r>
    <n v="18"/>
    <x v="1"/>
    <x v="0"/>
    <n v="83.5"/>
    <n v="1.67"/>
    <n v="162"/>
    <n v="169"/>
    <n v="70"/>
    <n v="1.54"/>
    <n v="1389"/>
    <x v="1"/>
    <x v="0"/>
    <n v="12.1"/>
    <n v="1.7"/>
    <n v="2"/>
    <n v="1"/>
    <x v="1"/>
    <n v="33.799999999999997"/>
  </r>
  <r>
    <n v="51"/>
    <x v="2"/>
    <x v="0"/>
    <n v="58.6"/>
    <n v="2"/>
    <n v="162"/>
    <n v="150"/>
    <n v="55"/>
    <n v="1.28"/>
    <n v="1030"/>
    <x v="0"/>
    <x v="0"/>
    <n v="16.7"/>
    <n v="3.4"/>
    <n v="3"/>
    <n v="2"/>
    <x v="1"/>
    <n v="37.28"/>
  </r>
  <r>
    <n v="18"/>
    <x v="1"/>
    <x v="0"/>
    <n v="40"/>
    <n v="1.9"/>
    <n v="166"/>
    <n v="169"/>
    <n v="57"/>
    <n v="1.28"/>
    <n v="1556"/>
    <x v="0"/>
    <x v="0"/>
    <n v="17.399999999999999"/>
    <n v="2.1"/>
    <n v="2"/>
    <n v="3"/>
    <x v="2"/>
    <n v="19.510000000000002"/>
  </r>
  <r>
    <n v="44"/>
    <x v="3"/>
    <x v="0"/>
    <n v="91.2"/>
    <n v="1.87"/>
    <n v="194"/>
    <n v="141"/>
    <n v="66"/>
    <n v="1.66"/>
    <n v="1345"/>
    <x v="3"/>
    <x v="3"/>
    <n v="22.7"/>
    <n v="2.5"/>
    <n v="2"/>
    <n v="1"/>
    <x v="0"/>
    <n v="15.5"/>
  </r>
  <r>
    <n v="31"/>
    <x v="0"/>
    <x v="1"/>
    <n v="60.7"/>
    <n v="1.62"/>
    <n v="198"/>
    <n v="120"/>
    <n v="71"/>
    <n v="1.35"/>
    <n v="967"/>
    <x v="3"/>
    <x v="2"/>
    <n v="31.2"/>
    <n v="3.2"/>
    <n v="4"/>
    <n v="2"/>
    <x v="2"/>
    <n v="23.83"/>
  </r>
  <r>
    <n v="36"/>
    <x v="3"/>
    <x v="1"/>
    <n v="62.2"/>
    <n v="1.5"/>
    <n v="192"/>
    <n v="132"/>
    <n v="61"/>
    <n v="2"/>
    <n v="913"/>
    <x v="2"/>
    <x v="0"/>
    <n v="11.4"/>
    <n v="1.5"/>
    <n v="3"/>
    <n v="2"/>
    <x v="2"/>
    <n v="22.96"/>
  </r>
  <r>
    <n v="23"/>
    <x v="1"/>
    <x v="0"/>
    <n v="62.1"/>
    <n v="1.83"/>
    <n v="168"/>
    <n v="149"/>
    <n v="51"/>
    <n v="1.39"/>
    <n v="1135"/>
    <x v="3"/>
    <x v="1"/>
    <n v="26.1"/>
    <n v="2"/>
    <n v="3"/>
    <n v="2"/>
    <x v="2"/>
    <n v="21.35"/>
  </r>
  <r>
    <n v="24"/>
    <x v="1"/>
    <x v="1"/>
    <n v="79"/>
    <n v="1.62"/>
    <n v="177"/>
    <n v="169"/>
    <n v="73"/>
    <n v="1"/>
    <n v="887"/>
    <x v="3"/>
    <x v="2"/>
    <n v="25"/>
    <n v="3.5"/>
    <n v="2"/>
    <n v="3"/>
    <x v="0"/>
    <n v="12.32"/>
  </r>
  <r>
    <n v="38"/>
    <x v="3"/>
    <x v="1"/>
    <n v="58.4"/>
    <n v="1.65"/>
    <n v="169"/>
    <n v="141"/>
    <n v="53"/>
    <n v="2"/>
    <n v="1109"/>
    <x v="3"/>
    <x v="4"/>
    <n v="24"/>
    <n v="2.2999999999999998"/>
    <n v="2"/>
    <n v="1"/>
    <x v="1"/>
    <n v="35.49"/>
  </r>
  <r>
    <n v="31"/>
    <x v="0"/>
    <x v="0"/>
    <n v="75.8"/>
    <n v="1.7"/>
    <n v="199"/>
    <n v="129"/>
    <n v="60"/>
    <n v="0.87"/>
    <n v="922"/>
    <x v="2"/>
    <x v="1"/>
    <n v="24.2"/>
    <n v="1.9"/>
    <n v="2"/>
    <n v="1"/>
    <x v="0"/>
    <n v="15.58"/>
  </r>
  <r>
    <n v="55"/>
    <x v="4"/>
    <x v="0"/>
    <n v="65.5"/>
    <n v="1.94"/>
    <n v="170"/>
    <n v="123"/>
    <n v="74"/>
    <n v="1.37"/>
    <n v="787"/>
    <x v="2"/>
    <x v="1"/>
    <n v="28.7"/>
    <n v="3.1"/>
    <n v="3"/>
    <n v="1"/>
    <x v="0"/>
    <n v="17"/>
  </r>
  <r>
    <n v="52"/>
    <x v="2"/>
    <x v="0"/>
    <n v="81"/>
    <n v="1.62"/>
    <n v="178"/>
    <n v="146"/>
    <n v="53"/>
    <n v="1.44"/>
    <n v="1628"/>
    <x v="0"/>
    <x v="1"/>
    <n v="25.4"/>
    <n v="2.5"/>
    <n v="4"/>
    <n v="1"/>
    <x v="0"/>
    <n v="17.41"/>
  </r>
  <r>
    <n v="24"/>
    <x v="1"/>
    <x v="0"/>
    <n v="84.5"/>
    <n v="1.84"/>
    <n v="171"/>
    <n v="128"/>
    <n v="63"/>
    <n v="0.7"/>
    <n v="1067"/>
    <x v="4"/>
    <x v="2"/>
    <n v="32"/>
    <n v="2.4"/>
    <n v="2"/>
    <n v="1"/>
    <x v="0"/>
    <n v="12.32"/>
  </r>
  <r>
    <n v="18"/>
    <x v="1"/>
    <x v="1"/>
    <n v="48.7"/>
    <n v="1.75"/>
    <n v="187"/>
    <n v="141"/>
    <n v="70"/>
    <n v="2"/>
    <n v="1266"/>
    <x v="1"/>
    <x v="2"/>
    <n v="34.4"/>
    <n v="2.6"/>
    <n v="3"/>
    <n v="1"/>
    <x v="1"/>
    <n v="38.479999999999997"/>
  </r>
  <r>
    <n v="30"/>
    <x v="0"/>
    <x v="1"/>
    <n v="88.3"/>
    <n v="1.72"/>
    <n v="195"/>
    <n v="158"/>
    <n v="70"/>
    <m/>
    <n v="1327"/>
    <x v="4"/>
    <x v="0"/>
    <n v="12.3"/>
    <n v="3.6"/>
    <n v="3"/>
    <n v="2"/>
    <x v="1"/>
    <n v="33.99"/>
  </r>
  <r>
    <n v="53"/>
    <x v="2"/>
    <x v="0"/>
    <m/>
    <n v="1.55"/>
    <n v="190"/>
    <n v="150"/>
    <n v="71"/>
    <m/>
    <n v="1006"/>
    <x v="0"/>
    <x v="3"/>
    <n v="22.8"/>
    <n v="3.5"/>
    <n v="4"/>
    <n v="2"/>
    <x v="4"/>
    <n v="29.07"/>
  </r>
  <r>
    <n v="56"/>
    <x v="4"/>
    <x v="0"/>
    <n v="85.2"/>
    <n v="1.6"/>
    <n v="163"/>
    <n v="151"/>
    <n v="51"/>
    <n v="1.25"/>
    <n v="672"/>
    <x v="3"/>
    <x v="1"/>
    <n v="26.5"/>
    <n v="1.7"/>
    <n v="3"/>
    <n v="1"/>
    <x v="2"/>
    <n v="21.05"/>
  </r>
  <r>
    <n v="18"/>
    <x v="1"/>
    <x v="1"/>
    <n v="68.7"/>
    <n v="1.81"/>
    <n v="192"/>
    <n v="169"/>
    <n v="62"/>
    <n v="1.08"/>
    <n v="1783"/>
    <x v="0"/>
    <x v="0"/>
    <n v="10"/>
    <n v="3.4"/>
    <m/>
    <n v="1"/>
    <x v="1"/>
    <n v="32.200000000000003"/>
  </r>
  <r>
    <n v="40"/>
    <x v="3"/>
    <x v="1"/>
    <n v="97.4"/>
    <n v="1.66"/>
    <n v="166"/>
    <n v="149"/>
    <n v="60"/>
    <n v="1.1599999999999999"/>
    <n v="700"/>
    <x v="2"/>
    <x v="4"/>
    <n v="20.8"/>
    <m/>
    <n v="2"/>
    <n v="2"/>
    <x v="4"/>
    <n v="25.05"/>
  </r>
  <r>
    <n v="33"/>
    <x v="0"/>
    <x v="1"/>
    <n v="73.3"/>
    <n v="1.86"/>
    <n v="187"/>
    <n v="123"/>
    <n v="60"/>
    <n v="1.22"/>
    <n v="1254"/>
    <x v="1"/>
    <x v="2"/>
    <n v="35"/>
    <n v="1.9"/>
    <n v="4"/>
    <n v="1"/>
    <x v="0"/>
    <n v="15.26"/>
  </r>
  <r>
    <n v="33"/>
    <x v="0"/>
    <x v="0"/>
    <n v="44.9"/>
    <n v="1.73"/>
    <n v="176"/>
    <n v="158"/>
    <n v="74"/>
    <n v="2"/>
    <n v="905"/>
    <x v="0"/>
    <x v="1"/>
    <n v="27"/>
    <n v="2.1"/>
    <n v="3"/>
    <n v="2"/>
    <x v="2"/>
    <n v="23.8"/>
  </r>
  <r>
    <n v="39"/>
    <x v="3"/>
    <x v="1"/>
    <n v="59.9"/>
    <n v="1.71"/>
    <n v="174"/>
    <n v="131"/>
    <n v="50"/>
    <n v="1.41"/>
    <n v="733"/>
    <x v="3"/>
    <x v="4"/>
    <n v="24.7"/>
    <n v="2.9"/>
    <n v="2"/>
    <n v="2"/>
    <x v="2"/>
    <n v="19.739999999999998"/>
  </r>
  <r>
    <n v="40"/>
    <x v="3"/>
    <x v="1"/>
    <n v="43.9"/>
    <n v="1.92"/>
    <n v="186"/>
    <n v="143"/>
    <n v="74"/>
    <n v="0.83"/>
    <n v="1018"/>
    <x v="3"/>
    <x v="0"/>
    <n v="12"/>
    <n v="3.1"/>
    <n v="3"/>
    <n v="1"/>
    <x v="4"/>
    <n v="29.23"/>
  </r>
  <r>
    <n v="20"/>
    <x v="1"/>
    <x v="1"/>
    <n v="40"/>
    <n v="1.52"/>
    <n v="164"/>
    <n v="144"/>
    <n v="65"/>
    <n v="1.53"/>
    <n v="629"/>
    <x v="0"/>
    <x v="4"/>
    <n v="22.6"/>
    <n v="3.1"/>
    <n v="4"/>
    <n v="1"/>
    <x v="2"/>
    <n v="22.23"/>
  </r>
  <r>
    <n v="26"/>
    <x v="0"/>
    <x v="1"/>
    <n v="65.900000000000006"/>
    <n v="1.99"/>
    <n v="166"/>
    <n v="127"/>
    <n v="71"/>
    <n v="1.08"/>
    <n v="1218"/>
    <x v="1"/>
    <x v="4"/>
    <n v="22"/>
    <n v="2.6"/>
    <n v="4"/>
    <n v="2"/>
    <x v="0"/>
    <n v="13.91"/>
  </r>
  <r>
    <n v="21"/>
    <x v="1"/>
    <x v="0"/>
    <n v="59.8"/>
    <n v="1.65"/>
    <n v="162"/>
    <n v="169"/>
    <n v="74"/>
    <n v="1.5"/>
    <n v="1130"/>
    <x v="1"/>
    <x v="1"/>
    <n v="30.4"/>
    <n v="3.2"/>
    <n v="5"/>
    <n v="3"/>
    <x v="0"/>
    <n v="12.32"/>
  </r>
  <r>
    <n v="36"/>
    <x v="3"/>
    <x v="0"/>
    <n v="77.7"/>
    <n v="1.66"/>
    <n v="193"/>
    <n v="120"/>
    <n v="72"/>
    <n v="1.21"/>
    <n v="1115"/>
    <x v="0"/>
    <x v="0"/>
    <n v="11.3"/>
    <n v="2.2000000000000002"/>
    <n v="2"/>
    <n v="3"/>
    <x v="2"/>
    <n v="22.23"/>
  </r>
  <r>
    <n v="30"/>
    <x v="0"/>
    <x v="1"/>
    <n v="61.6"/>
    <n v="1.77"/>
    <n v="170"/>
    <n v="130"/>
    <n v="74"/>
    <n v="2"/>
    <n v="1068"/>
    <x v="3"/>
    <x v="4"/>
    <n v="24.3"/>
    <n v="1.5"/>
    <n v="5"/>
    <n v="2"/>
    <x v="2"/>
    <n v="24.78"/>
  </r>
  <r>
    <n v="18"/>
    <x v="1"/>
    <x v="0"/>
    <n v="44.2"/>
    <n v="1.64"/>
    <n v="171"/>
    <n v="164"/>
    <n v="66"/>
    <n v="1.1399999999999999"/>
    <n v="1083"/>
    <x v="3"/>
    <x v="0"/>
    <n v="16.100000000000001"/>
    <n v="2.2000000000000002"/>
    <n v="5"/>
    <n v="2"/>
    <x v="0"/>
    <n v="18.36"/>
  </r>
  <r>
    <n v="22"/>
    <x v="1"/>
    <x v="1"/>
    <n v="63.7"/>
    <n v="1.85"/>
    <n v="192"/>
    <n v="122"/>
    <n v="53"/>
    <n v="1.06"/>
    <n v="1032"/>
    <x v="3"/>
    <x v="4"/>
    <n v="24.4"/>
    <n v="2.5"/>
    <n v="3"/>
    <n v="3"/>
    <x v="0"/>
    <n v="13.95"/>
  </r>
  <r>
    <n v="45"/>
    <x v="2"/>
    <x v="1"/>
    <n v="54.4"/>
    <n v="1.55"/>
    <n v="182"/>
    <n v="139"/>
    <n v="74"/>
    <n v="2"/>
    <n v="1179"/>
    <x v="2"/>
    <x v="4"/>
    <n v="24.3"/>
    <n v="3.1"/>
    <n v="5"/>
    <n v="3"/>
    <x v="0"/>
    <n v="12.32"/>
  </r>
  <r>
    <n v="43"/>
    <x v="3"/>
    <x v="0"/>
    <n v="93.8"/>
    <n v="1.65"/>
    <n v="170"/>
    <n v="162"/>
    <n v="61"/>
    <n v="1.37"/>
    <n v="848"/>
    <x v="0"/>
    <x v="0"/>
    <m/>
    <n v="2.8"/>
    <n v="3"/>
    <n v="1"/>
    <x v="0"/>
    <n v="15.58"/>
  </r>
  <r>
    <n v="18"/>
    <x v="1"/>
    <x v="0"/>
    <n v="77.7"/>
    <n v="1.55"/>
    <n v="178"/>
    <n v="131"/>
    <n v="67"/>
    <n v="1.4"/>
    <n v="1259"/>
    <x v="0"/>
    <x v="0"/>
    <n v="14.8"/>
    <n v="2.4"/>
    <n v="3"/>
    <n v="2"/>
    <x v="0"/>
    <n v="12.32"/>
  </r>
  <r>
    <n v="18"/>
    <x v="1"/>
    <x v="1"/>
    <n v="57.6"/>
    <n v="1.74"/>
    <n v="172"/>
    <n v="120"/>
    <n v="74"/>
    <n v="1.46"/>
    <n v="635"/>
    <x v="0"/>
    <x v="3"/>
    <n v="15"/>
    <n v="3.2"/>
    <n v="2"/>
    <n v="3"/>
    <x v="0"/>
    <n v="12.8"/>
  </r>
  <r>
    <n v="20"/>
    <x v="1"/>
    <x v="1"/>
    <n v="75.599999999999994"/>
    <n v="1.74"/>
    <n v="192"/>
    <n v="128"/>
    <n v="72"/>
    <n v="1.86"/>
    <n v="906"/>
    <x v="1"/>
    <x v="4"/>
    <n v="21.4"/>
    <n v="3.3"/>
    <n v="4"/>
    <n v="2"/>
    <x v="1"/>
    <n v="34.729999999999997"/>
  </r>
  <r>
    <n v="47"/>
    <x v="2"/>
    <x v="1"/>
    <n v="85.5"/>
    <n v="1.84"/>
    <n v="172"/>
    <n v="152"/>
    <n v="68"/>
    <n v="0.98"/>
    <n v="773"/>
    <x v="1"/>
    <x v="4"/>
    <n v="24.1"/>
    <n v="2.6"/>
    <n v="2"/>
    <n v="2"/>
    <x v="2"/>
    <n v="19.61"/>
  </r>
  <r>
    <n v="25"/>
    <x v="0"/>
    <x v="1"/>
    <n v="62.4"/>
    <n v="1.59"/>
    <n v="166"/>
    <n v="151"/>
    <n v="66"/>
    <n v="1.27"/>
    <n v="903"/>
    <x v="4"/>
    <x v="0"/>
    <n v="11"/>
    <n v="3"/>
    <n v="4"/>
    <n v="1"/>
    <x v="1"/>
    <n v="32.630000000000003"/>
  </r>
  <r>
    <n v="31"/>
    <x v="0"/>
    <x v="0"/>
    <n v="53.5"/>
    <n v="1.68"/>
    <n v="180"/>
    <n v="155"/>
    <n v="57"/>
    <n v="0.86"/>
    <n v="875"/>
    <x v="0"/>
    <x v="3"/>
    <n v="22.6"/>
    <n v="3.3"/>
    <n v="2"/>
    <n v="1"/>
    <x v="2"/>
    <n v="20.61"/>
  </r>
  <r>
    <n v="47"/>
    <x v="2"/>
    <x v="1"/>
    <n v="78.8"/>
    <n v="1.82"/>
    <n v="167"/>
    <n v="144"/>
    <n v="66"/>
    <n v="1.66"/>
    <n v="1163"/>
    <x v="1"/>
    <x v="2"/>
    <n v="31.7"/>
    <n v="2.8"/>
    <n v="4"/>
    <n v="2"/>
    <x v="0"/>
    <n v="15.78"/>
  </r>
  <r>
    <n v="20"/>
    <x v="1"/>
    <x v="1"/>
    <n v="40"/>
    <n v="1.97"/>
    <n v="173"/>
    <n v="133"/>
    <n v="74"/>
    <n v="2"/>
    <n v="916"/>
    <x v="1"/>
    <x v="4"/>
    <n v="18.8"/>
    <n v="2.2999999999999998"/>
    <n v="2"/>
    <n v="1"/>
    <x v="0"/>
    <n v="13.57"/>
  </r>
  <r>
    <n v="56"/>
    <x v="4"/>
    <x v="1"/>
    <n v="51.5"/>
    <n v="1.66"/>
    <n v="198"/>
    <n v="167"/>
    <n v="70"/>
    <n v="2"/>
    <n v="843"/>
    <x v="0"/>
    <x v="4"/>
    <n v="24.2"/>
    <n v="2.4"/>
    <n v="3"/>
    <n v="3"/>
    <x v="4"/>
    <n v="25.65"/>
  </r>
  <r>
    <n v="24"/>
    <x v="1"/>
    <x v="1"/>
    <n v="80.900000000000006"/>
    <n v="1.74"/>
    <n v="181"/>
    <n v="128"/>
    <n v="61"/>
    <n v="1.19"/>
    <n v="1705"/>
    <x v="2"/>
    <x v="0"/>
    <n v="10"/>
    <n v="2.7"/>
    <n v="4"/>
    <n v="1"/>
    <x v="0"/>
    <n v="12.32"/>
  </r>
  <r>
    <n v="29"/>
    <x v="0"/>
    <x v="0"/>
    <n v="85.3"/>
    <n v="1.68"/>
    <n v="161"/>
    <n v="133"/>
    <n v="74"/>
    <n v="1.45"/>
    <n v="1269"/>
    <x v="1"/>
    <x v="1"/>
    <n v="26.1"/>
    <n v="2.5"/>
    <n v="4"/>
    <n v="3"/>
    <x v="0"/>
    <n v="15.99"/>
  </r>
  <r>
    <n v="18"/>
    <x v="1"/>
    <x v="0"/>
    <n v="47.8"/>
    <n v="1.73"/>
    <n v="162"/>
    <n v="136"/>
    <n v="56"/>
    <n v="1.42"/>
    <n v="562"/>
    <x v="1"/>
    <x v="3"/>
    <n v="23.9"/>
    <n v="3.4"/>
    <n v="3"/>
    <n v="1"/>
    <x v="0"/>
    <n v="14.48"/>
  </r>
  <r>
    <n v="36"/>
    <x v="3"/>
    <x v="0"/>
    <n v="87.9"/>
    <n v="1.54"/>
    <n v="177"/>
    <n v="129"/>
    <n v="58"/>
    <n v="1.93"/>
    <n v="1010"/>
    <x v="1"/>
    <x v="3"/>
    <n v="21.1"/>
    <n v="3.3"/>
    <n v="3"/>
    <n v="1"/>
    <x v="4"/>
    <n v="29.54"/>
  </r>
  <r>
    <n v="49"/>
    <x v="2"/>
    <x v="0"/>
    <n v="43.6"/>
    <n v="1.68"/>
    <n v="170"/>
    <n v="124"/>
    <n v="73"/>
    <n v="0.94"/>
    <n v="739"/>
    <x v="3"/>
    <x v="1"/>
    <n v="27.6"/>
    <n v="3.5"/>
    <n v="4"/>
    <n v="2"/>
    <x v="1"/>
    <n v="30.46"/>
  </r>
  <r>
    <n v="40"/>
    <x v="3"/>
    <x v="0"/>
    <n v="55.7"/>
    <n v="1.6"/>
    <n v="184"/>
    <n v="133"/>
    <n v="72"/>
    <n v="1.4"/>
    <n v="749"/>
    <x v="3"/>
    <x v="3"/>
    <n v="23.7"/>
    <n v="2.6"/>
    <n v="4"/>
    <n v="2"/>
    <x v="2"/>
    <n v="24.88"/>
  </r>
  <r>
    <n v="20"/>
    <x v="1"/>
    <x v="0"/>
    <n v="73.5"/>
    <n v="1.87"/>
    <n v="167"/>
    <n v="145"/>
    <n v="68"/>
    <n v="2"/>
    <n v="1338"/>
    <x v="2"/>
    <x v="3"/>
    <n v="21.9"/>
    <n v="3.5"/>
    <n v="3"/>
    <m/>
    <x v="2"/>
    <n v="22.35"/>
  </r>
  <r>
    <n v="31"/>
    <x v="0"/>
    <x v="0"/>
    <n v="52.7"/>
    <n v="1.65"/>
    <n v="199"/>
    <n v="138"/>
    <n v="74"/>
    <n v="1.92"/>
    <n v="1102"/>
    <x v="2"/>
    <x v="1"/>
    <n v="24"/>
    <n v="3.3"/>
    <n v="2"/>
    <n v="3"/>
    <x v="0"/>
    <n v="18.38"/>
  </r>
  <r>
    <n v="47"/>
    <x v="2"/>
    <x v="0"/>
    <n v="87.1"/>
    <n v="1.7"/>
    <n v="174"/>
    <n v="160"/>
    <n v="63"/>
    <n v="1.4"/>
    <n v="562"/>
    <x v="2"/>
    <x v="1"/>
    <n v="26"/>
    <n v="3.7"/>
    <n v="5"/>
    <n v="1"/>
    <x v="4"/>
    <n v="26.61"/>
  </r>
  <r>
    <n v="47"/>
    <x v="2"/>
    <x v="2"/>
    <n v="71.5"/>
    <n v="1.79"/>
    <n v="162"/>
    <n v="169"/>
    <n v="65"/>
    <n v="1.84"/>
    <n v="822"/>
    <x v="2"/>
    <x v="4"/>
    <n v="29.1"/>
    <n v="2.2999999999999998"/>
    <n v="5"/>
    <n v="2"/>
    <x v="4"/>
    <n v="25.83"/>
  </r>
  <r>
    <n v="48"/>
    <x v="2"/>
    <x v="0"/>
    <n v="57.3"/>
    <n v="1.9"/>
    <n v="172"/>
    <m/>
    <n v="55"/>
    <n v="1.62"/>
    <n v="877"/>
    <x v="3"/>
    <x v="0"/>
    <n v="10"/>
    <n v="2.8"/>
    <n v="2"/>
    <n v="2"/>
    <x v="1"/>
    <n v="38.130000000000003"/>
  </r>
  <r>
    <n v="54"/>
    <x v="2"/>
    <x v="2"/>
    <n v="40"/>
    <n v="1.75"/>
    <n v="174"/>
    <n v="166"/>
    <n v="66"/>
    <n v="1.58"/>
    <n v="409"/>
    <x v="1"/>
    <x v="4"/>
    <n v="27.9"/>
    <n v="3.5"/>
    <n v="5"/>
    <n v="2"/>
    <x v="0"/>
    <n v="17.72"/>
  </r>
  <r>
    <n v="44"/>
    <x v="3"/>
    <x v="1"/>
    <n v="94.4"/>
    <n v="1.82"/>
    <n v="182"/>
    <n v="140"/>
    <n v="57"/>
    <n v="1.38"/>
    <n v="1369"/>
    <x v="2"/>
    <x v="4"/>
    <n v="20.7"/>
    <n v="3.2"/>
    <n v="3"/>
    <n v="1"/>
    <x v="2"/>
    <n v="22.79"/>
  </r>
  <r>
    <n v="46"/>
    <x v="2"/>
    <x v="1"/>
    <n v="44.9"/>
    <n v="1.93"/>
    <n v="177"/>
    <n v="154"/>
    <n v="58"/>
    <n v="2"/>
    <n v="1434"/>
    <x v="2"/>
    <x v="2"/>
    <n v="31.4"/>
    <n v="3.5"/>
    <n v="4"/>
    <n v="2"/>
    <x v="0"/>
    <n v="12.32"/>
  </r>
  <r>
    <n v="55"/>
    <x v="4"/>
    <x v="1"/>
    <n v="61.9"/>
    <n v="1.74"/>
    <n v="163"/>
    <n v="140"/>
    <n v="73"/>
    <n v="0.97"/>
    <n v="598"/>
    <x v="0"/>
    <x v="4"/>
    <n v="23.6"/>
    <n v="3.1"/>
    <n v="2"/>
    <n v="1"/>
    <x v="4"/>
    <n v="27.13"/>
  </r>
  <r>
    <n v="24"/>
    <x v="1"/>
    <x v="1"/>
    <n v="83.4"/>
    <n v="1.7"/>
    <n v="162"/>
    <n v="169"/>
    <n v="51"/>
    <n v="1.87"/>
    <n v="879"/>
    <x v="3"/>
    <x v="2"/>
    <n v="26.4"/>
    <n v="3.3"/>
    <n v="4"/>
    <n v="1"/>
    <x v="2"/>
    <n v="21.68"/>
  </r>
  <r>
    <n v="18"/>
    <x v="1"/>
    <x v="0"/>
    <n v="83.6"/>
    <n v="1.84"/>
    <n v="186"/>
    <n v="137"/>
    <n v="73"/>
    <n v="1.33"/>
    <n v="1338"/>
    <x v="0"/>
    <x v="2"/>
    <n v="35"/>
    <n v="2.6"/>
    <n v="2"/>
    <n v="2"/>
    <x v="1"/>
    <n v="30.41"/>
  </r>
  <r>
    <n v="18"/>
    <x v="1"/>
    <x v="1"/>
    <n v="87.3"/>
    <n v="1.71"/>
    <n v="199"/>
    <n v="145"/>
    <n v="65"/>
    <n v="1.1599999999999999"/>
    <n v="1783"/>
    <x v="1"/>
    <x v="2"/>
    <n v="30"/>
    <n v="3.3"/>
    <n v="3"/>
    <n v="3"/>
    <x v="0"/>
    <n v="12.32"/>
  </r>
  <r>
    <n v="18"/>
    <x v="1"/>
    <x v="0"/>
    <n v="48.6"/>
    <n v="1.72"/>
    <n v="180"/>
    <n v="136"/>
    <n v="72"/>
    <n v="1.38"/>
    <n v="1185"/>
    <x v="0"/>
    <x v="3"/>
    <n v="23.5"/>
    <n v="1.8"/>
    <m/>
    <n v="2"/>
    <x v="2"/>
    <n v="21.68"/>
  </r>
  <r>
    <n v="18"/>
    <x v="1"/>
    <x v="0"/>
    <n v="80.7"/>
    <n v="2"/>
    <n v="184"/>
    <n v="142"/>
    <n v="74"/>
    <n v="0.72"/>
    <n v="1221"/>
    <x v="3"/>
    <x v="1"/>
    <n v="25.6"/>
    <n v="1.9"/>
    <n v="2"/>
    <n v="2"/>
    <x v="0"/>
    <n v="18.28"/>
  </r>
  <r>
    <n v="33"/>
    <x v="0"/>
    <x v="0"/>
    <n v="62.6"/>
    <n v="1.71"/>
    <n v="192"/>
    <n v="158"/>
    <n v="57"/>
    <n v="1.99"/>
    <n v="1081"/>
    <x v="3"/>
    <x v="2"/>
    <n v="31.3"/>
    <n v="3.5"/>
    <n v="2"/>
    <n v="2"/>
    <x v="1"/>
    <n v="31.79"/>
  </r>
  <r>
    <n v="19"/>
    <x v="1"/>
    <x v="1"/>
    <n v="41.9"/>
    <n v="1.69"/>
    <n v="176"/>
    <n v="138"/>
    <n v="74"/>
    <n v="1.89"/>
    <n v="1010"/>
    <x v="3"/>
    <x v="2"/>
    <n v="27.9"/>
    <n v="2.6"/>
    <n v="2"/>
    <n v="2"/>
    <x v="0"/>
    <n v="17.97"/>
  </r>
  <r>
    <n v="58"/>
    <x v="4"/>
    <x v="1"/>
    <n v="47.6"/>
    <n v="1.84"/>
    <n v="182"/>
    <n v="155"/>
    <n v="66"/>
    <n v="1.59"/>
    <n v="635"/>
    <x v="3"/>
    <x v="0"/>
    <n v="11.2"/>
    <n v="2.6"/>
    <n v="4"/>
    <n v="3"/>
    <x v="0"/>
    <n v="13.65"/>
  </r>
  <r>
    <n v="18"/>
    <x v="1"/>
    <x v="0"/>
    <n v="129.9"/>
    <n v="1.76"/>
    <n v="168"/>
    <n v="135"/>
    <n v="50"/>
    <n v="1.3"/>
    <n v="1208"/>
    <x v="2"/>
    <x v="1"/>
    <n v="25.1"/>
    <n v="2"/>
    <n v="3"/>
    <n v="2"/>
    <x v="0"/>
    <n v="13.89"/>
  </r>
  <r>
    <n v="58"/>
    <x v="4"/>
    <x v="0"/>
    <n v="73.3"/>
    <n v="1.69"/>
    <n v="180"/>
    <n v="156"/>
    <n v="72"/>
    <n v="1.6"/>
    <n v="1350"/>
    <x v="3"/>
    <x v="1"/>
    <n v="25.4"/>
    <n v="3"/>
    <n v="4"/>
    <n v="1"/>
    <x v="1"/>
    <n v="38.450000000000003"/>
  </r>
  <r>
    <n v="47"/>
    <x v="2"/>
    <x v="1"/>
    <n v="45.4"/>
    <n v="1.81"/>
    <n v="189"/>
    <n v="128"/>
    <n v="55"/>
    <n v="1.01"/>
    <n v="662"/>
    <x v="0"/>
    <x v="2"/>
    <n v="28.6"/>
    <n v="3.6"/>
    <n v="4"/>
    <n v="1"/>
    <x v="4"/>
    <n v="29.15"/>
  </r>
  <r>
    <n v="47"/>
    <x v="2"/>
    <x v="1"/>
    <n v="50.6"/>
    <n v="1.65"/>
    <n v="192"/>
    <n v="169"/>
    <n v="63"/>
    <n v="1.36"/>
    <n v="594"/>
    <x v="0"/>
    <x v="2"/>
    <n v="25.5"/>
    <n v="2.2000000000000002"/>
    <n v="5"/>
    <n v="2"/>
    <x v="4"/>
    <n v="28.24"/>
  </r>
  <r>
    <n v="56"/>
    <x v="4"/>
    <x v="1"/>
    <n v="54"/>
    <n v="1.92"/>
    <n v="190"/>
    <n v="129"/>
    <n v="73"/>
    <n v="0.61"/>
    <n v="985"/>
    <x v="2"/>
    <x v="4"/>
    <n v="21.6"/>
    <n v="2.5"/>
    <n v="3"/>
    <n v="2"/>
    <x v="0"/>
    <n v="12.32"/>
  </r>
  <r>
    <n v="34"/>
    <x v="0"/>
    <x v="0"/>
    <n v="73.099999999999994"/>
    <n v="1.73"/>
    <n v="166"/>
    <n v="161"/>
    <n v="69"/>
    <n v="1.64"/>
    <n v="765"/>
    <x v="3"/>
    <x v="1"/>
    <n v="27"/>
    <n v="3.3"/>
    <n v="4"/>
    <n v="2"/>
    <x v="2"/>
    <n v="21.47"/>
  </r>
  <r>
    <n v="36"/>
    <x v="3"/>
    <x v="1"/>
    <n v="47.2"/>
    <n v="1.83"/>
    <m/>
    <n v="146"/>
    <n v="54"/>
    <n v="1.3"/>
    <n v="775"/>
    <x v="2"/>
    <x v="2"/>
    <n v="29.9"/>
    <n v="3.4"/>
    <n v="4"/>
    <n v="1"/>
    <x v="0"/>
    <n v="13.01"/>
  </r>
  <r>
    <n v="21"/>
    <x v="1"/>
    <x v="0"/>
    <n v="48.7"/>
    <m/>
    <n v="198"/>
    <n v="162"/>
    <n v="56"/>
    <n v="1.06"/>
    <n v="1503"/>
    <x v="2"/>
    <x v="0"/>
    <n v="10.1"/>
    <n v="3.4"/>
    <n v="2"/>
    <n v="2"/>
    <x v="2"/>
    <n v="23.7"/>
  </r>
  <r>
    <n v="29"/>
    <x v="0"/>
    <x v="0"/>
    <n v="66.099999999999994"/>
    <n v="1.63"/>
    <n v="181"/>
    <n v="169"/>
    <n v="71"/>
    <n v="1.48"/>
    <n v="666"/>
    <x v="2"/>
    <x v="1"/>
    <n v="30.6"/>
    <n v="1.6"/>
    <n v="5"/>
    <n v="1"/>
    <x v="0"/>
    <n v="17.149999999999999"/>
  </r>
  <r>
    <n v="18"/>
    <x v="1"/>
    <x v="1"/>
    <n v="59"/>
    <n v="1.78"/>
    <n v="173"/>
    <n v="169"/>
    <n v="51"/>
    <n v="1.07"/>
    <n v="904"/>
    <x v="0"/>
    <x v="4"/>
    <n v="18.899999999999999"/>
    <n v="3.2"/>
    <n v="2"/>
    <n v="3"/>
    <x v="0"/>
    <n v="12.32"/>
  </r>
  <r>
    <n v="33"/>
    <x v="0"/>
    <x v="0"/>
    <n v="94.2"/>
    <n v="1.86"/>
    <n v="172"/>
    <n v="148"/>
    <n v="61"/>
    <n v="1.34"/>
    <n v="685"/>
    <x v="1"/>
    <x v="1"/>
    <n v="28.9"/>
    <n v="1.8"/>
    <n v="3"/>
    <n v="1"/>
    <x v="2"/>
    <n v="22.89"/>
  </r>
  <r>
    <n v="38"/>
    <x v="3"/>
    <x v="1"/>
    <n v="40"/>
    <n v="1.86"/>
    <n v="187"/>
    <n v="126"/>
    <n v="71"/>
    <n v="1.6"/>
    <n v="1059"/>
    <x v="1"/>
    <x v="3"/>
    <n v="14.7"/>
    <n v="3"/>
    <n v="2"/>
    <n v="2"/>
    <x v="0"/>
    <n v="12.32"/>
  </r>
  <r>
    <n v="18"/>
    <x v="1"/>
    <x v="0"/>
    <n v="73.599999999999994"/>
    <n v="1.53"/>
    <n v="186"/>
    <n v="128"/>
    <n v="50"/>
    <n v="1.46"/>
    <n v="1222"/>
    <x v="1"/>
    <x v="1"/>
    <n v="25.2"/>
    <n v="2.2999999999999998"/>
    <n v="3"/>
    <n v="1"/>
    <x v="0"/>
    <n v="14.92"/>
  </r>
  <r>
    <n v="50"/>
    <x v="2"/>
    <x v="1"/>
    <n v="69.099999999999994"/>
    <n v="1.88"/>
    <m/>
    <n v="131"/>
    <n v="55"/>
    <n v="0.99"/>
    <n v="777"/>
    <x v="3"/>
    <x v="4"/>
    <n v="19.899999999999999"/>
    <n v="3.7"/>
    <n v="3"/>
    <n v="1"/>
    <x v="0"/>
    <n v="17.62"/>
  </r>
  <r>
    <n v="31"/>
    <x v="0"/>
    <x v="0"/>
    <n v="60.2"/>
    <n v="1.75"/>
    <n v="166"/>
    <n v="155"/>
    <n v="57"/>
    <n v="0.92"/>
    <n v="819"/>
    <x v="1"/>
    <x v="0"/>
    <n v="10"/>
    <n v="3.2"/>
    <n v="5"/>
    <n v="1"/>
    <x v="0"/>
    <n v="12.32"/>
  </r>
  <r>
    <n v="40"/>
    <x v="3"/>
    <x v="1"/>
    <n v="73.8"/>
    <n v="1.85"/>
    <n v="185"/>
    <n v="165"/>
    <n v="59"/>
    <n v="1.99"/>
    <n v="1485"/>
    <x v="4"/>
    <x v="2"/>
    <n v="27.9"/>
    <n v="2"/>
    <n v="4"/>
    <n v="1"/>
    <x v="2"/>
    <n v="22.4"/>
  </r>
  <r>
    <n v="18"/>
    <x v="1"/>
    <x v="1"/>
    <n v="72.8"/>
    <n v="1.84"/>
    <n v="174"/>
    <n v="152"/>
    <n v="62"/>
    <n v="1.32"/>
    <n v="730"/>
    <x v="1"/>
    <x v="4"/>
    <n v="23.5"/>
    <n v="2.1"/>
    <n v="2"/>
    <n v="3"/>
    <x v="0"/>
    <n v="12.32"/>
  </r>
  <r>
    <n v="33"/>
    <x v="0"/>
    <x v="0"/>
    <n v="40"/>
    <n v="1.63"/>
    <n v="165"/>
    <n v="159"/>
    <n v="74"/>
    <n v="2"/>
    <n v="935"/>
    <x v="3"/>
    <x v="1"/>
    <n v="28.2"/>
    <n v="1.6"/>
    <n v="2"/>
    <n v="3"/>
    <x v="0"/>
    <n v="12.98"/>
  </r>
  <r>
    <n v="33"/>
    <x v="0"/>
    <x v="0"/>
    <n v="99.6"/>
    <n v="1.72"/>
    <n v="164"/>
    <n v="169"/>
    <n v="70"/>
    <n v="1.41"/>
    <n v="962"/>
    <x v="2"/>
    <x v="3"/>
    <n v="23.6"/>
    <n v="3.7"/>
    <n v="5"/>
    <n v="2"/>
    <x v="4"/>
    <n v="28.7"/>
  </r>
  <r>
    <n v="48"/>
    <x v="2"/>
    <x v="1"/>
    <n v="71.5"/>
    <n v="1.71"/>
    <n v="183"/>
    <n v="151"/>
    <n v="62"/>
    <n v="1.05"/>
    <m/>
    <x v="0"/>
    <x v="4"/>
    <n v="22"/>
    <n v="2.7"/>
    <n v="4"/>
    <n v="3"/>
    <x v="2"/>
    <n v="20.39"/>
  </r>
  <r>
    <n v="55"/>
    <x v="4"/>
    <x v="1"/>
    <n v="64.400000000000006"/>
    <n v="1.76"/>
    <n v="163"/>
    <n v="144"/>
    <n v="74"/>
    <n v="1.48"/>
    <n v="717"/>
    <x v="1"/>
    <x v="2"/>
    <n v="26.7"/>
    <n v="1.7"/>
    <n v="2"/>
    <n v="3"/>
    <x v="2"/>
    <n v="21.26"/>
  </r>
  <r>
    <n v="50"/>
    <x v="2"/>
    <x v="0"/>
    <n v="56.4"/>
    <n v="1.67"/>
    <n v="193"/>
    <n v="128"/>
    <n v="59"/>
    <n v="1.9"/>
    <n v="1190"/>
    <x v="2"/>
    <x v="0"/>
    <n v="17.5"/>
    <n v="3.7"/>
    <n v="2"/>
    <n v="2"/>
    <x v="0"/>
    <n v="12.32"/>
  </r>
  <r>
    <n v="21"/>
    <x v="1"/>
    <x v="1"/>
    <n v="45.2"/>
    <n v="1.73"/>
    <n v="198"/>
    <n v="156"/>
    <n v="59"/>
    <n v="1.07"/>
    <n v="1562"/>
    <x v="1"/>
    <x v="4"/>
    <n v="24.2"/>
    <n v="2.8"/>
    <n v="4"/>
    <n v="2"/>
    <x v="2"/>
    <n v="22.25"/>
  </r>
  <r>
    <n v="49"/>
    <x v="2"/>
    <x v="0"/>
    <n v="86"/>
    <n v="1.5"/>
    <n v="192"/>
    <n v="127"/>
    <n v="65"/>
    <n v="1.79"/>
    <n v="636"/>
    <x v="2"/>
    <x v="3"/>
    <n v="22.1"/>
    <n v="1.8"/>
    <n v="4"/>
    <n v="3"/>
    <x v="0"/>
    <m/>
  </r>
  <r>
    <n v="49"/>
    <x v="2"/>
    <x v="2"/>
    <n v="70"/>
    <n v="1.64"/>
    <n v="182"/>
    <n v="134"/>
    <n v="71"/>
    <n v="1.5"/>
    <n v="1132"/>
    <x v="1"/>
    <x v="4"/>
    <n v="29.2"/>
    <m/>
    <n v="4"/>
    <n v="3"/>
    <x v="0"/>
    <n v="18.38"/>
  </r>
  <r>
    <n v="33"/>
    <x v="0"/>
    <x v="0"/>
    <n v="60.7"/>
    <n v="2"/>
    <n v="188"/>
    <n v="169"/>
    <n v="74"/>
    <n v="1.42"/>
    <n v="705"/>
    <x v="1"/>
    <x v="3"/>
    <n v="23.3"/>
    <n v="3.2"/>
    <n v="4"/>
    <n v="2"/>
    <x v="2"/>
    <n v="21.91"/>
  </r>
  <r>
    <n v="42"/>
    <x v="3"/>
    <x v="1"/>
    <n v="53.6"/>
    <n v="1.86"/>
    <n v="199"/>
    <n v="167"/>
    <n v="62"/>
    <n v="2"/>
    <n v="1096"/>
    <x v="0"/>
    <x v="4"/>
    <n v="21.9"/>
    <n v="3.4"/>
    <n v="3"/>
    <n v="1"/>
    <x v="2"/>
    <n v="20.71"/>
  </r>
  <r>
    <n v="35"/>
    <x v="3"/>
    <x v="0"/>
    <n v="64.3"/>
    <n v="1.79"/>
    <n v="188"/>
    <n v="148"/>
    <n v="62"/>
    <n v="1.63"/>
    <n v="1192"/>
    <x v="2"/>
    <x v="0"/>
    <n v="16.3"/>
    <n v="2.2000000000000002"/>
    <n v="5"/>
    <n v="2"/>
    <x v="0"/>
    <n v="13.91"/>
  </r>
  <r>
    <n v="18"/>
    <x v="1"/>
    <x v="1"/>
    <n v="78"/>
    <n v="1.51"/>
    <n v="182"/>
    <n v="169"/>
    <n v="64"/>
    <n v="1.06"/>
    <n v="990"/>
    <x v="0"/>
    <x v="2"/>
    <n v="31.4"/>
    <n v="3.1"/>
    <n v="3"/>
    <n v="2"/>
    <x v="0"/>
    <n v="12.32"/>
  </r>
  <r>
    <n v="46"/>
    <x v="2"/>
    <x v="1"/>
    <n v="50.2"/>
    <n v="1.8"/>
    <n v="193"/>
    <n v="132"/>
    <n v="74"/>
    <n v="1.21"/>
    <n v="893"/>
    <x v="2"/>
    <x v="2"/>
    <n v="28.4"/>
    <n v="3.4"/>
    <n v="3"/>
    <n v="3"/>
    <x v="0"/>
    <n v="15.85"/>
  </r>
  <r>
    <n v="29"/>
    <x v="0"/>
    <x v="0"/>
    <n v="57"/>
    <n v="1.62"/>
    <n v="188"/>
    <n v="126"/>
    <n v="70"/>
    <n v="2"/>
    <n v="998"/>
    <x v="3"/>
    <x v="0"/>
    <n v="17.899999999999999"/>
    <n v="3.4"/>
    <n v="4"/>
    <n v="1"/>
    <x v="0"/>
    <n v="13.32"/>
  </r>
  <r>
    <n v="50"/>
    <x v="2"/>
    <x v="1"/>
    <n v="87.6"/>
    <n v="1.67"/>
    <n v="172"/>
    <n v="156"/>
    <n v="74"/>
    <n v="0.97"/>
    <n v="1005"/>
    <x v="4"/>
    <x v="4"/>
    <n v="23"/>
    <n v="2"/>
    <n v="4"/>
    <n v="2"/>
    <x v="2"/>
    <n v="23.76"/>
  </r>
  <r>
    <n v="20"/>
    <x v="1"/>
    <x v="0"/>
    <n v="86"/>
    <n v="1.69"/>
    <n v="183"/>
    <n v="136"/>
    <n v="58"/>
    <n v="1.1599999999999999"/>
    <n v="861"/>
    <x v="0"/>
    <x v="3"/>
    <n v="23.3"/>
    <n v="3.6"/>
    <n v="5"/>
    <m/>
    <x v="4"/>
    <n v="28.85"/>
  </r>
  <r>
    <n v="28"/>
    <x v="0"/>
    <x v="0"/>
    <n v="43.3"/>
    <n v="1.78"/>
    <n v="193"/>
    <n v="128"/>
    <n v="72"/>
    <n v="1.27"/>
    <n v="1479"/>
    <x v="2"/>
    <x v="1"/>
    <n v="26.3"/>
    <n v="3.4"/>
    <n v="3"/>
    <n v="1"/>
    <x v="1"/>
    <n v="31.04"/>
  </r>
  <r>
    <n v="18"/>
    <x v="1"/>
    <x v="1"/>
    <n v="65.900000000000006"/>
    <n v="1.78"/>
    <n v="170"/>
    <n v="135"/>
    <n v="69"/>
    <n v="2"/>
    <n v="1734"/>
    <x v="3"/>
    <x v="4"/>
    <n v="23.9"/>
    <n v="3.1"/>
    <n v="3"/>
    <n v="1"/>
    <x v="2"/>
    <n v="24.81"/>
  </r>
  <r>
    <n v="18"/>
    <x v="1"/>
    <x v="0"/>
    <n v="61"/>
    <n v="1.51"/>
    <n v="173"/>
    <n v="146"/>
    <n v="58"/>
    <n v="2"/>
    <n v="1403"/>
    <x v="1"/>
    <x v="3"/>
    <n v="21.7"/>
    <n v="2.1"/>
    <n v="2"/>
    <n v="2"/>
    <x v="0"/>
    <n v="12.32"/>
  </r>
  <r>
    <n v="22"/>
    <x v="1"/>
    <x v="1"/>
    <n v="71"/>
    <n v="1.72"/>
    <n v="192"/>
    <n v="128"/>
    <n v="59"/>
    <n v="1.44"/>
    <n v="1436"/>
    <x v="1"/>
    <x v="2"/>
    <n v="28.5"/>
    <n v="3.2"/>
    <n v="3"/>
    <n v="2"/>
    <x v="0"/>
    <n v="17.82"/>
  </r>
  <r>
    <n v="44"/>
    <x v="3"/>
    <x v="1"/>
    <n v="56.7"/>
    <n v="1.77"/>
    <n v="194"/>
    <n v="161"/>
    <n v="68"/>
    <n v="1.47"/>
    <m/>
    <x v="0"/>
    <x v="2"/>
    <n v="28"/>
    <n v="3.5"/>
    <n v="2"/>
    <n v="3"/>
    <x v="2"/>
    <n v="19.97"/>
  </r>
  <r>
    <n v="42"/>
    <x v="3"/>
    <x v="0"/>
    <n v="57.3"/>
    <n v="1.76"/>
    <n v="174"/>
    <n v="131"/>
    <n v="74"/>
    <n v="1.1299999999999999"/>
    <n v="841"/>
    <x v="3"/>
    <x v="3"/>
    <n v="22.1"/>
    <n v="1.9"/>
    <n v="4"/>
    <n v="3"/>
    <x v="0"/>
    <n v="12.46"/>
  </r>
  <r>
    <n v="26"/>
    <x v="0"/>
    <x v="1"/>
    <n v="95.2"/>
    <n v="1.68"/>
    <n v="163"/>
    <n v="142"/>
    <n v="68"/>
    <n v="0.71"/>
    <n v="1196"/>
    <x v="0"/>
    <x v="4"/>
    <n v="24.2"/>
    <n v="3.7"/>
    <n v="4"/>
    <n v="2"/>
    <x v="2"/>
    <n v="19.46"/>
  </r>
  <r>
    <n v="38"/>
    <x v="3"/>
    <x v="1"/>
    <n v="71.7"/>
    <n v="1.71"/>
    <n v="187"/>
    <m/>
    <n v="74"/>
    <n v="1.39"/>
    <n v="542"/>
    <x v="3"/>
    <x v="2"/>
    <n v="26.5"/>
    <n v="3.1"/>
    <n v="3"/>
    <n v="1"/>
    <x v="0"/>
    <n v="12.32"/>
  </r>
  <r>
    <n v="49"/>
    <x v="2"/>
    <x v="0"/>
    <n v="68.8"/>
    <n v="1.66"/>
    <n v="190"/>
    <n v="137"/>
    <n v="63"/>
    <n v="2"/>
    <n v="1023"/>
    <x v="3"/>
    <x v="1"/>
    <n v="26.2"/>
    <n v="2.6"/>
    <n v="2"/>
    <n v="1"/>
    <x v="0"/>
    <n v="15.5"/>
  </r>
  <r>
    <n v="43"/>
    <x v="3"/>
    <x v="0"/>
    <n v="69.7"/>
    <n v="1.75"/>
    <n v="193"/>
    <n v="162"/>
    <n v="53"/>
    <n v="0.52"/>
    <n v="1262"/>
    <x v="1"/>
    <x v="1"/>
    <n v="26.1"/>
    <n v="1.5"/>
    <n v="3"/>
    <n v="2"/>
    <x v="2"/>
    <n v="22.68"/>
  </r>
  <r>
    <n v="34"/>
    <x v="0"/>
    <x v="0"/>
    <n v="102.9"/>
    <n v="1.64"/>
    <n v="188"/>
    <n v="124"/>
    <n v="74"/>
    <n v="1.24"/>
    <n v="700"/>
    <x v="0"/>
    <x v="1"/>
    <n v="24.2"/>
    <n v="3.3"/>
    <n v="4"/>
    <n v="1"/>
    <x v="0"/>
    <n v="14.76"/>
  </r>
  <r>
    <n v="23"/>
    <x v="1"/>
    <x v="0"/>
    <n v="90.5"/>
    <n v="1.5"/>
    <n v="182"/>
    <n v="148"/>
    <n v="67"/>
    <n v="1.1599999999999999"/>
    <n v="1204"/>
    <x v="0"/>
    <x v="3"/>
    <n v="23.3"/>
    <n v="2.8"/>
    <n v="2"/>
    <n v="2"/>
    <x v="0"/>
    <n v="15.69"/>
  </r>
  <r>
    <n v="29"/>
    <x v="0"/>
    <x v="0"/>
    <n v="40"/>
    <n v="1.72"/>
    <n v="194"/>
    <n v="127"/>
    <n v="68"/>
    <n v="1.51"/>
    <n v="1005"/>
    <x v="2"/>
    <x v="1"/>
    <n v="27.1"/>
    <n v="2.1"/>
    <n v="2"/>
    <n v="1"/>
    <x v="2"/>
    <n v="21.98"/>
  </r>
  <r>
    <n v="31"/>
    <x v="0"/>
    <x v="1"/>
    <n v="81.900000000000006"/>
    <n v="1.63"/>
    <n v="168"/>
    <n v="126"/>
    <n v="56"/>
    <n v="1.17"/>
    <n v="760"/>
    <x v="1"/>
    <x v="4"/>
    <n v="23.1"/>
    <n v="2.1"/>
    <n v="4"/>
    <n v="2"/>
    <x v="0"/>
    <n v="12.32"/>
  </r>
  <r>
    <n v="38"/>
    <x v="3"/>
    <x v="1"/>
    <n v="99.6"/>
    <n v="1.6"/>
    <n v="173"/>
    <n v="132"/>
    <n v="56"/>
    <n v="1.01"/>
    <n v="1128"/>
    <x v="0"/>
    <x v="2"/>
    <n v="30.6"/>
    <n v="3.4"/>
    <n v="2"/>
    <n v="2"/>
    <x v="0"/>
    <n v="16.920000000000002"/>
  </r>
  <r>
    <n v="18"/>
    <x v="1"/>
    <x v="0"/>
    <n v="65.7"/>
    <n v="1.72"/>
    <n v="180"/>
    <n v="169"/>
    <n v="56"/>
    <n v="2"/>
    <n v="1005"/>
    <x v="2"/>
    <x v="1"/>
    <n v="27"/>
    <n v="3"/>
    <n v="3"/>
    <n v="2"/>
    <x v="2"/>
    <n v="21.61"/>
  </r>
  <r>
    <n v="18"/>
    <x v="1"/>
    <x v="1"/>
    <m/>
    <n v="1.84"/>
    <n v="179"/>
    <n v="136"/>
    <n v="74"/>
    <n v="1.52"/>
    <n v="1256"/>
    <x v="0"/>
    <x v="4"/>
    <n v="22.5"/>
    <n v="3.4"/>
    <n v="2"/>
    <n v="2"/>
    <x v="2"/>
    <n v="18.899999999999999"/>
  </r>
  <r>
    <n v="41"/>
    <x v="3"/>
    <x v="0"/>
    <n v="85.7"/>
    <n v="1.66"/>
    <n v="170"/>
    <n v="134"/>
    <n v="74"/>
    <n v="1.69"/>
    <n v="475"/>
    <x v="3"/>
    <x v="0"/>
    <n v="11.1"/>
    <n v="1.5"/>
    <n v="4"/>
    <n v="1"/>
    <x v="0"/>
    <n v="17.329999999999998"/>
  </r>
  <r>
    <n v="29"/>
    <x v="0"/>
    <x v="1"/>
    <n v="62"/>
    <n v="1.74"/>
    <n v="181"/>
    <n v="158"/>
    <n v="53"/>
    <n v="1.1499999999999999"/>
    <n v="549"/>
    <x v="3"/>
    <x v="4"/>
    <n v="22.5"/>
    <n v="2.2000000000000002"/>
    <m/>
    <m/>
    <x v="0"/>
    <n v="16.32"/>
  </r>
  <r>
    <n v="45"/>
    <x v="2"/>
    <x v="1"/>
    <n v="70.900000000000006"/>
    <n v="2"/>
    <n v="198"/>
    <n v="128"/>
    <n v="73"/>
    <n v="1.19"/>
    <n v="1064"/>
    <x v="2"/>
    <x v="2"/>
    <n v="27.8"/>
    <n v="1.5"/>
    <n v="3"/>
    <n v="1"/>
    <x v="4"/>
    <n v="27.46"/>
  </r>
  <r>
    <n v="49"/>
    <x v="2"/>
    <x v="0"/>
    <n v="59.2"/>
    <n v="1.55"/>
    <n v="185"/>
    <n v="169"/>
    <n v="63"/>
    <n v="1.32"/>
    <n v="1169"/>
    <x v="3"/>
    <x v="1"/>
    <n v="25.1"/>
    <n v="1.7"/>
    <n v="4"/>
    <n v="1"/>
    <x v="4"/>
    <n v="27.18"/>
  </r>
  <r>
    <n v="29"/>
    <x v="0"/>
    <x v="1"/>
    <n v="83.7"/>
    <n v="1.8"/>
    <n v="190"/>
    <n v="149"/>
    <n v="74"/>
    <n v="1.43"/>
    <n v="1157"/>
    <x v="1"/>
    <x v="3"/>
    <n v="16"/>
    <n v="3.5"/>
    <m/>
    <n v="1"/>
    <x v="0"/>
    <n v="13.59"/>
  </r>
  <r>
    <n v="55"/>
    <x v="4"/>
    <x v="0"/>
    <n v="53.8"/>
    <n v="1.52"/>
    <n v="191"/>
    <n v="136"/>
    <n v="55"/>
    <n v="1.17"/>
    <n v="1102"/>
    <x v="2"/>
    <x v="3"/>
    <n v="20.399999999999999"/>
    <n v="3.6"/>
    <n v="3"/>
    <n v="2"/>
    <x v="2"/>
    <n v="23.84"/>
  </r>
  <r>
    <n v="18"/>
    <x v="1"/>
    <x v="0"/>
    <n v="68.099999999999994"/>
    <n v="1.66"/>
    <n v="160"/>
    <n v="120"/>
    <n v="65"/>
    <n v="1.43"/>
    <n v="1343"/>
    <x v="1"/>
    <x v="1"/>
    <n v="27.2"/>
    <n v="3.3"/>
    <n v="4"/>
    <n v="1"/>
    <x v="4"/>
    <n v="25.77"/>
  </r>
  <r>
    <n v="41"/>
    <x v="3"/>
    <x v="0"/>
    <n v="105.1"/>
    <n v="1.67"/>
    <n v="194"/>
    <n v="127"/>
    <n v="68"/>
    <n v="1.3"/>
    <n v="1068"/>
    <x v="0"/>
    <x v="1"/>
    <n v="30.6"/>
    <n v="3.5"/>
    <n v="3"/>
    <n v="3"/>
    <x v="0"/>
    <n v="17.649999999999999"/>
  </r>
  <r>
    <n v="24"/>
    <x v="1"/>
    <x v="2"/>
    <n v="45.5"/>
    <n v="2"/>
    <n v="169"/>
    <n v="164"/>
    <n v="60"/>
    <n v="1.82"/>
    <n v="1297"/>
    <x v="2"/>
    <x v="4"/>
    <n v="24.9"/>
    <n v="2.2000000000000002"/>
    <n v="3"/>
    <n v="1"/>
    <x v="0"/>
    <n v="17.600000000000001"/>
  </r>
  <r>
    <n v="51"/>
    <x v="2"/>
    <x v="1"/>
    <n v="58.8"/>
    <n v="1.63"/>
    <n v="188"/>
    <n v="155"/>
    <n v="59"/>
    <n v="1.1000000000000001"/>
    <n v="897"/>
    <x v="1"/>
    <x v="4"/>
    <n v="24.7"/>
    <n v="3.3"/>
    <n v="2"/>
    <n v="1"/>
    <x v="2"/>
    <n v="21.73"/>
  </r>
  <r>
    <n v="20"/>
    <x v="1"/>
    <x v="1"/>
    <n v="52.9"/>
    <n v="1.8"/>
    <n v="163"/>
    <n v="159"/>
    <n v="57"/>
    <n v="1.45"/>
    <n v="1117"/>
    <x v="0"/>
    <x v="2"/>
    <n v="27.1"/>
    <n v="3.3"/>
    <n v="3"/>
    <n v="1"/>
    <x v="4"/>
    <n v="27.72"/>
  </r>
  <r>
    <n v="43"/>
    <x v="3"/>
    <x v="0"/>
    <n v="57.1"/>
    <n v="1.96"/>
    <n v="196"/>
    <n v="149"/>
    <n v="51"/>
    <n v="1.88"/>
    <n v="858"/>
    <x v="1"/>
    <x v="1"/>
    <n v="29.9"/>
    <n v="3.2"/>
    <n v="5"/>
    <m/>
    <x v="0"/>
    <n v="13.07"/>
  </r>
  <r>
    <n v="23"/>
    <x v="1"/>
    <x v="1"/>
    <n v="68.599999999999994"/>
    <n v="1.8"/>
    <n v="196"/>
    <n v="138"/>
    <n v="65"/>
    <n v="1.08"/>
    <n v="578"/>
    <x v="0"/>
    <x v="3"/>
    <n v="16.8"/>
    <n v="2.6"/>
    <n v="2"/>
    <n v="1"/>
    <x v="2"/>
    <n v="21.41"/>
  </r>
  <r>
    <n v="39"/>
    <x v="3"/>
    <x v="1"/>
    <n v="76.2"/>
    <n v="1.77"/>
    <n v="164"/>
    <n v="169"/>
    <n v="74"/>
    <n v="2"/>
    <n v="1196"/>
    <x v="2"/>
    <x v="2"/>
    <n v="28.7"/>
    <n v="3.3"/>
    <n v="2"/>
    <n v="1"/>
    <x v="0"/>
    <n v="17.38"/>
  </r>
  <r>
    <n v="47"/>
    <x v="2"/>
    <x v="1"/>
    <n v="68.2"/>
    <n v="1.58"/>
    <n v="164"/>
    <n v="140"/>
    <n v="72"/>
    <n v="1"/>
    <n v="1316"/>
    <x v="2"/>
    <x v="2"/>
    <n v="28.1"/>
    <n v="2.6"/>
    <n v="2"/>
    <n v="3"/>
    <x v="0"/>
    <n v="16.350000000000001"/>
  </r>
  <r>
    <n v="18"/>
    <x v="1"/>
    <x v="1"/>
    <n v="40"/>
    <n v="1.64"/>
    <n v="160"/>
    <n v="152"/>
    <n v="56"/>
    <n v="1.2"/>
    <n v="1317"/>
    <x v="1"/>
    <x v="4"/>
    <n v="19.2"/>
    <n v="1.8"/>
    <n v="3"/>
    <n v="1"/>
    <x v="4"/>
    <n v="28.02"/>
  </r>
  <r>
    <n v="28"/>
    <x v="0"/>
    <x v="1"/>
    <n v="82.4"/>
    <n v="1.57"/>
    <n v="171"/>
    <n v="169"/>
    <n v="55"/>
    <n v="1.07"/>
    <n v="1218"/>
    <x v="2"/>
    <x v="2"/>
    <n v="31"/>
    <n v="2.5"/>
    <n v="4"/>
    <m/>
    <x v="0"/>
    <n v="12.47"/>
  </r>
  <r>
    <n v="29"/>
    <x v="0"/>
    <x v="1"/>
    <n v="46.8"/>
    <n v="1.7"/>
    <n v="195"/>
    <n v="153"/>
    <n v="59"/>
    <n v="1.33"/>
    <n v="1178"/>
    <x v="1"/>
    <x v="4"/>
    <n v="24.7"/>
    <n v="3.4"/>
    <n v="3"/>
    <n v="2"/>
    <x v="4"/>
    <n v="26.27"/>
  </r>
  <r>
    <n v="21"/>
    <x v="1"/>
    <x v="1"/>
    <n v="62.2"/>
    <n v="1.71"/>
    <n v="190"/>
    <n v="142"/>
    <n v="58"/>
    <n v="2"/>
    <n v="1757"/>
    <x v="3"/>
    <x v="4"/>
    <n v="18.5"/>
    <n v="3.1"/>
    <m/>
    <n v="2"/>
    <x v="0"/>
    <n v="16.059999999999999"/>
  </r>
  <r>
    <n v="33"/>
    <x v="0"/>
    <x v="1"/>
    <n v="58.1"/>
    <n v="1.65"/>
    <n v="168"/>
    <n v="130"/>
    <n v="60"/>
    <n v="1.18"/>
    <n v="850"/>
    <x v="0"/>
    <x v="4"/>
    <n v="22.4"/>
    <n v="3.1"/>
    <n v="3"/>
    <n v="2"/>
    <x v="0"/>
    <n v="12.32"/>
  </r>
  <r>
    <n v="18"/>
    <x v="1"/>
    <x v="0"/>
    <n v="82.7"/>
    <n v="1.79"/>
    <n v="191"/>
    <n v="124"/>
    <n v="18"/>
    <n v="1.1499999999999999"/>
    <n v="823"/>
    <x v="2"/>
    <x v="2"/>
    <n v="31.8"/>
    <n v="1.8"/>
    <n v="3"/>
    <n v="1"/>
    <x v="0"/>
    <n v="12.32"/>
  </r>
  <r>
    <n v="45"/>
    <x v="2"/>
    <x v="0"/>
    <n v="55.2"/>
    <n v="1.9"/>
    <n v="175"/>
    <n v="156"/>
    <n v="67"/>
    <n v="1.39"/>
    <n v="854"/>
    <x v="0"/>
    <x v="1"/>
    <n v="24.5"/>
    <n v="2.5"/>
    <n v="5"/>
    <n v="1"/>
    <x v="0"/>
    <n v="12.32"/>
  </r>
  <r>
    <n v="18"/>
    <x v="1"/>
    <x v="0"/>
    <n v="65.5"/>
    <n v="1.69"/>
    <n v="178"/>
    <n v="134"/>
    <n v="53"/>
    <n v="1.29"/>
    <n v="405"/>
    <x v="1"/>
    <x v="1"/>
    <n v="24.4"/>
    <m/>
    <n v="4"/>
    <n v="2"/>
    <x v="0"/>
    <n v="12.32"/>
  </r>
  <r>
    <n v="22"/>
    <x v="1"/>
    <x v="1"/>
    <n v="52.3"/>
    <n v="1.66"/>
    <n v="190"/>
    <n v="146"/>
    <n v="59"/>
    <n v="0.76"/>
    <n v="1186"/>
    <x v="3"/>
    <x v="4"/>
    <n v="21.4"/>
    <n v="3.3"/>
    <n v="2"/>
    <n v="2"/>
    <x v="0"/>
    <n v="15.38"/>
  </r>
  <r>
    <n v="37"/>
    <x v="3"/>
    <x v="0"/>
    <n v="40"/>
    <n v="1.66"/>
    <n v="176"/>
    <n v="134"/>
    <n v="57"/>
    <n v="2"/>
    <n v="931"/>
    <x v="0"/>
    <x v="1"/>
    <n v="27.2"/>
    <n v="2.7"/>
    <n v="3"/>
    <n v="2"/>
    <x v="2"/>
    <n v="23.21"/>
  </r>
  <r>
    <n v="28"/>
    <x v="0"/>
    <x v="0"/>
    <n v="93.2"/>
    <n v="1.71"/>
    <n v="176"/>
    <n v="149"/>
    <n v="60"/>
    <n v="1.4"/>
    <n v="1348"/>
    <x v="2"/>
    <x v="1"/>
    <n v="27.2"/>
    <n v="2.1"/>
    <m/>
    <n v="2"/>
    <x v="0"/>
    <n v="14.12"/>
  </r>
  <r>
    <n v="18"/>
    <x v="1"/>
    <x v="0"/>
    <n v="53.9"/>
    <n v="1.73"/>
    <n v="177"/>
    <n v="157"/>
    <n v="73"/>
    <n v="1.24"/>
    <n v="1483"/>
    <x v="1"/>
    <x v="0"/>
    <n v="10"/>
    <n v="3.5"/>
    <n v="3"/>
    <n v="1"/>
    <x v="0"/>
    <n v="15.92"/>
  </r>
  <r>
    <n v="52"/>
    <x v="2"/>
    <x v="1"/>
    <n v="54.9"/>
    <n v="1.67"/>
    <n v="167"/>
    <n v="144"/>
    <n v="69"/>
    <n v="2"/>
    <n v="997"/>
    <x v="0"/>
    <x v="3"/>
    <n v="16.399999999999999"/>
    <n v="2.5"/>
    <n v="4"/>
    <n v="2"/>
    <x v="0"/>
    <n v="18.27"/>
  </r>
  <r>
    <n v="18"/>
    <x v="1"/>
    <x v="1"/>
    <n v="62.7"/>
    <n v="1.87"/>
    <n v="184"/>
    <n v="141"/>
    <n v="59"/>
    <n v="1.59"/>
    <n v="708"/>
    <x v="1"/>
    <x v="0"/>
    <n v="10.3"/>
    <n v="1.5"/>
    <n v="2"/>
    <n v="2"/>
    <x v="0"/>
    <n v="13.14"/>
  </r>
  <r>
    <n v="57"/>
    <x v="4"/>
    <x v="0"/>
    <n v="98.3"/>
    <n v="1.71"/>
    <n v="162"/>
    <n v="126"/>
    <n v="61"/>
    <n v="0.95"/>
    <n v="366"/>
    <x v="2"/>
    <x v="3"/>
    <n v="22.7"/>
    <n v="3.3"/>
    <n v="3"/>
    <n v="2"/>
    <x v="2"/>
    <n v="20.61"/>
  </r>
  <r>
    <n v="40"/>
    <x v="3"/>
    <x v="0"/>
    <n v="71.400000000000006"/>
    <n v="1.92"/>
    <n v="171"/>
    <n v="167"/>
    <n v="57"/>
    <n v="0.62"/>
    <n v="1412"/>
    <x v="0"/>
    <x v="0"/>
    <n v="10"/>
    <n v="1.8"/>
    <n v="3"/>
    <n v="1"/>
    <x v="0"/>
    <n v="18.190000000000001"/>
  </r>
  <r>
    <n v="33"/>
    <x v="0"/>
    <x v="1"/>
    <n v="74.599999999999994"/>
    <n v="1.58"/>
    <n v="172"/>
    <n v="165"/>
    <n v="68"/>
    <n v="1.4"/>
    <n v="1271"/>
    <x v="3"/>
    <x v="3"/>
    <n v="15.6"/>
    <n v="2.7"/>
    <n v="2"/>
    <n v="2"/>
    <x v="0"/>
    <n v="13.23"/>
  </r>
  <r>
    <n v="51"/>
    <x v="2"/>
    <x v="1"/>
    <n v="47.1"/>
    <n v="2"/>
    <n v="177"/>
    <n v="163"/>
    <n v="65"/>
    <n v="1.29"/>
    <n v="1140"/>
    <x v="3"/>
    <x v="4"/>
    <n v="21.9"/>
    <n v="2.8"/>
    <n v="5"/>
    <n v="1"/>
    <x v="0"/>
    <n v="14.85"/>
  </r>
  <r>
    <n v="46"/>
    <x v="2"/>
    <x v="0"/>
    <n v="49.2"/>
    <n v="1.5"/>
    <n v="184"/>
    <n v="120"/>
    <n v="73"/>
    <n v="2"/>
    <n v="832"/>
    <x v="3"/>
    <x v="1"/>
    <n v="25.9"/>
    <n v="3.3"/>
    <n v="3"/>
    <n v="1"/>
    <x v="0"/>
    <n v="15.31"/>
  </r>
  <r>
    <n v="36"/>
    <x v="3"/>
    <x v="1"/>
    <n v="80.8"/>
    <n v="1.91"/>
    <n v="184"/>
    <m/>
    <n v="59"/>
    <n v="0.99"/>
    <n v="780"/>
    <x v="2"/>
    <x v="4"/>
    <n v="23.6"/>
    <n v="3.3"/>
    <n v="4"/>
    <n v="2"/>
    <x v="2"/>
    <n v="18.61"/>
  </r>
  <r>
    <n v="51"/>
    <x v="2"/>
    <x v="1"/>
    <n v="80.8"/>
    <n v="2"/>
    <n v="167"/>
    <n v="129"/>
    <n v="55"/>
    <n v="1.52"/>
    <n v="1454"/>
    <x v="1"/>
    <x v="2"/>
    <n v="33.9"/>
    <n v="1.6"/>
    <n v="3"/>
    <n v="1"/>
    <x v="0"/>
    <n v="12.58"/>
  </r>
  <r>
    <n v="59"/>
    <x v="4"/>
    <x v="0"/>
    <n v="85.7"/>
    <n v="1.6"/>
    <n v="182"/>
    <n v="140"/>
    <n v="72"/>
    <n v="2"/>
    <n v="1243"/>
    <x v="3"/>
    <x v="2"/>
    <n v="33.4"/>
    <n v="1.5"/>
    <n v="4"/>
    <n v="3"/>
    <x v="2"/>
    <n v="24.01"/>
  </r>
  <r>
    <n v="18"/>
    <x v="1"/>
    <x v="1"/>
    <n v="42.3"/>
    <n v="1.64"/>
    <n v="198"/>
    <n v="169"/>
    <n v="65"/>
    <n v="1.55"/>
    <n v="1199"/>
    <x v="1"/>
    <x v="2"/>
    <n v="26.4"/>
    <n v="3.2"/>
    <n v="4"/>
    <n v="1"/>
    <x v="0"/>
    <n v="15.26"/>
  </r>
  <r>
    <n v="23"/>
    <x v="1"/>
    <x v="0"/>
    <n v="41.5"/>
    <n v="1.89"/>
    <n v="188"/>
    <n v="129"/>
    <n v="59"/>
    <n v="1.35"/>
    <n v="532"/>
    <x v="2"/>
    <x v="1"/>
    <n v="27.6"/>
    <n v="3.4"/>
    <n v="3"/>
    <n v="2"/>
    <x v="2"/>
    <n v="20.79"/>
  </r>
  <r>
    <n v="22"/>
    <x v="1"/>
    <x v="1"/>
    <n v="84.3"/>
    <n v="1.6"/>
    <n v="173"/>
    <n v="127"/>
    <n v="72"/>
    <n v="0.8"/>
    <n v="911"/>
    <x v="2"/>
    <x v="4"/>
    <n v="24"/>
    <n v="3.3"/>
    <n v="5"/>
    <n v="1"/>
    <x v="0"/>
    <n v="13.86"/>
  </r>
  <r>
    <n v="34"/>
    <x v="0"/>
    <x v="1"/>
    <n v="82.4"/>
    <n v="1.66"/>
    <n v="192"/>
    <n v="148"/>
    <n v="72"/>
    <n v="1.1100000000000001"/>
    <n v="1090"/>
    <x v="0"/>
    <x v="2"/>
    <n v="26.3"/>
    <n v="3.4"/>
    <n v="2"/>
    <n v="2"/>
    <x v="0"/>
    <n v="18.079999999999998"/>
  </r>
  <r>
    <n v="24"/>
    <x v="1"/>
    <x v="2"/>
    <n v="79.7"/>
    <n v="1.92"/>
    <n v="192"/>
    <m/>
    <n v="53"/>
    <n v="1.29"/>
    <n v="1187"/>
    <x v="3"/>
    <x v="4"/>
    <n v="25.3"/>
    <n v="3.5"/>
    <n v="5"/>
    <n v="3"/>
    <x v="3"/>
    <n v="45.54"/>
  </r>
  <r>
    <n v="32"/>
    <x v="0"/>
    <x v="1"/>
    <n v="40.6"/>
    <n v="1.92"/>
    <n v="166"/>
    <n v="169"/>
    <n v="57"/>
    <n v="1.33"/>
    <n v="1783"/>
    <x v="0"/>
    <x v="4"/>
    <n v="17.100000000000001"/>
    <n v="3.6"/>
    <n v="5"/>
    <n v="3"/>
    <x v="0"/>
    <n v="12.32"/>
  </r>
  <r>
    <n v="46"/>
    <x v="2"/>
    <x v="0"/>
    <n v="58.6"/>
    <n v="2"/>
    <n v="194"/>
    <n v="135"/>
    <n v="55"/>
    <n v="2"/>
    <n v="1162"/>
    <x v="2"/>
    <x v="1"/>
    <n v="27.1"/>
    <n v="3.6"/>
    <n v="2"/>
    <n v="1"/>
    <x v="2"/>
    <n v="24.38"/>
  </r>
  <r>
    <n v="20"/>
    <x v="1"/>
    <x v="1"/>
    <n v="40"/>
    <n v="1.81"/>
    <n v="176"/>
    <n v="138"/>
    <n v="66"/>
    <n v="1.44"/>
    <n v="1210"/>
    <x v="1"/>
    <x v="4"/>
    <n v="23"/>
    <n v="3.6"/>
    <n v="4"/>
    <n v="2"/>
    <x v="0"/>
    <n v="12.32"/>
  </r>
  <r>
    <n v="36"/>
    <x v="3"/>
    <x v="0"/>
    <n v="80.8"/>
    <n v="1.71"/>
    <n v="162"/>
    <n v="163"/>
    <n v="74"/>
    <n v="1.86"/>
    <n v="900"/>
    <x v="3"/>
    <x v="0"/>
    <n v="19.399999999999999"/>
    <n v="2"/>
    <n v="2"/>
    <n v="2"/>
    <x v="0"/>
    <n v="12.54"/>
  </r>
  <r>
    <n v="54"/>
    <x v="2"/>
    <x v="1"/>
    <n v="88.5"/>
    <n v="2"/>
    <n v="173"/>
    <n v="134"/>
    <n v="58"/>
    <n v="1.1100000000000001"/>
    <n v="1388"/>
    <x v="2"/>
    <x v="2"/>
    <n v="27.7"/>
    <n v="3.7"/>
    <n v="3"/>
    <n v="2"/>
    <x v="1"/>
    <n v="36.729999999999997"/>
  </r>
  <r>
    <n v="52"/>
    <x v="2"/>
    <x v="1"/>
    <n v="84.3"/>
    <n v="1.69"/>
    <n v="164"/>
    <n v="169"/>
    <n v="54"/>
    <n v="0.77"/>
    <n v="1367"/>
    <x v="2"/>
    <x v="2"/>
    <n v="32.6"/>
    <n v="2.9"/>
    <n v="3"/>
    <n v="2"/>
    <x v="0"/>
    <n v="15.11"/>
  </r>
  <r>
    <n v="47"/>
    <x v="2"/>
    <x v="1"/>
    <n v="70.099999999999994"/>
    <n v="1.84"/>
    <n v="188"/>
    <n v="129"/>
    <n v="67"/>
    <n v="1.2"/>
    <n v="1261"/>
    <x v="0"/>
    <x v="2"/>
    <n v="28.4"/>
    <n v="2.5"/>
    <n v="3"/>
    <n v="2"/>
    <x v="0"/>
    <n v="17.989999999999998"/>
  </r>
  <r>
    <n v="111"/>
    <x v="4"/>
    <x v="1"/>
    <n v="49.3"/>
    <n v="1.71"/>
    <n v="180"/>
    <n v="152"/>
    <n v="73"/>
    <n v="1.04"/>
    <n v="956"/>
    <x v="1"/>
    <x v="2"/>
    <n v="32.9"/>
    <n v="1.7"/>
    <n v="4"/>
    <n v="3"/>
    <x v="0"/>
    <n v="12.65"/>
  </r>
  <r>
    <n v="40"/>
    <x v="3"/>
    <x v="1"/>
    <n v="79.5"/>
    <n v="1.92"/>
    <n v="184"/>
    <n v="156"/>
    <n v="52"/>
    <n v="1.29"/>
    <n v="1178"/>
    <x v="0"/>
    <x v="3"/>
    <n v="14.7"/>
    <n v="1.5"/>
    <n v="4"/>
    <n v="1"/>
    <x v="2"/>
    <n v="23.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99">
  <r>
    <n v="34"/>
    <x v="0"/>
    <x v="0"/>
    <n v="86.7"/>
    <n v="1.86"/>
    <n v="174"/>
    <n v="152"/>
    <n v="74"/>
    <n v="1.1200000000000001"/>
    <n v="712"/>
    <x v="0"/>
    <x v="0"/>
    <n v="12.8"/>
    <n v="2.4"/>
    <n v="5"/>
    <x v="0"/>
    <x v="0"/>
    <n v="14.31"/>
  </r>
  <r>
    <n v="26"/>
    <x v="0"/>
    <x v="0"/>
    <n v="84.7"/>
    <n v="1.83"/>
    <n v="166"/>
    <n v="156"/>
    <n v="73"/>
    <n v="1"/>
    <n v="833"/>
    <x v="0"/>
    <x v="1"/>
    <n v="27.9"/>
    <n v="2.8"/>
    <n v="5"/>
    <x v="0"/>
    <x v="1"/>
    <n v="33.49"/>
  </r>
  <r>
    <n v="22"/>
    <x v="1"/>
    <x v="1"/>
    <n v="64.8"/>
    <n v="1.85"/>
    <n v="187"/>
    <n v="166"/>
    <n v="64"/>
    <n v="1.24"/>
    <n v="1678"/>
    <x v="1"/>
    <x v="2"/>
    <n v="28.7"/>
    <n v="1.9"/>
    <n v="3"/>
    <x v="0"/>
    <x v="0"/>
    <n v="12.73"/>
  </r>
  <r>
    <n v="54"/>
    <x v="2"/>
    <x v="0"/>
    <n v="75.3"/>
    <n v="1.82"/>
    <n v="187"/>
    <n v="169"/>
    <n v="58"/>
    <n v="1.45"/>
    <n v="628"/>
    <x v="1"/>
    <x v="2"/>
    <n v="31.8"/>
    <n v="2.4"/>
    <n v="4"/>
    <x v="1"/>
    <x v="2"/>
    <n v="20.37"/>
  </r>
  <r>
    <n v="34"/>
    <x v="0"/>
    <x v="0"/>
    <n v="52.8"/>
    <n v="1.74"/>
    <n v="177"/>
    <n v="169"/>
    <n v="66"/>
    <n v="1.6"/>
    <n v="1286"/>
    <x v="0"/>
    <x v="1"/>
    <n v="26.4"/>
    <n v="3.2"/>
    <n v="4"/>
    <x v="0"/>
    <x v="2"/>
    <n v="20.83"/>
  </r>
  <r>
    <n v="38"/>
    <x v="3"/>
    <x v="0"/>
    <n v="53"/>
    <n v="1.58"/>
    <n v="161"/>
    <n v="128"/>
    <n v="74"/>
    <n v="1.62"/>
    <n v="953"/>
    <x v="2"/>
    <x v="3"/>
    <n v="23.4"/>
    <n v="2.5"/>
    <n v="2"/>
    <x v="0"/>
    <x v="0"/>
    <n v="13.02"/>
  </r>
  <r>
    <n v="44"/>
    <x v="3"/>
    <x v="0"/>
    <n v="46.5"/>
    <n v="1.81"/>
    <n v="191"/>
    <n v="142"/>
    <n v="74"/>
    <n v="1.46"/>
    <n v="1238"/>
    <x v="1"/>
    <x v="0"/>
    <n v="11.9"/>
    <n v="3.7"/>
    <n v="2"/>
    <x v="0"/>
    <x v="0"/>
    <n v="18.12"/>
  </r>
  <r>
    <n v="50"/>
    <x v="2"/>
    <x v="0"/>
    <n v="88.5"/>
    <n v="1.63"/>
    <n v="181"/>
    <n v="136"/>
    <n v="63"/>
    <n v="1.63"/>
    <n v="829"/>
    <x v="0"/>
    <x v="0"/>
    <n v="11.6"/>
    <n v="1.8"/>
    <n v="4"/>
    <x v="0"/>
    <x v="2"/>
    <n v="19.16"/>
  </r>
  <r>
    <n v="18"/>
    <x v="1"/>
    <x v="0"/>
    <n v="82.9"/>
    <n v="1.54"/>
    <n v="174"/>
    <n v="169"/>
    <n v="64"/>
    <n v="0.77"/>
    <n v="802"/>
    <x v="2"/>
    <x v="1"/>
    <n v="27.8"/>
    <n v="2.2000000000000002"/>
    <n v="3"/>
    <x v="1"/>
    <x v="3"/>
    <n v="49.84"/>
  </r>
  <r>
    <n v="34"/>
    <x v="0"/>
    <x v="0"/>
    <n v="65.900000000000006"/>
    <n v="1.74"/>
    <n v="195"/>
    <n v="169"/>
    <n v="73"/>
    <n v="2"/>
    <n v="1231"/>
    <x v="3"/>
    <x v="1"/>
    <n v="30.5"/>
    <n v="3.2"/>
    <n v="5"/>
    <x v="0"/>
    <x v="0"/>
    <n v="12.32"/>
  </r>
  <r>
    <n v="39"/>
    <x v="3"/>
    <x v="0"/>
    <n v="47"/>
    <n v="1.78"/>
    <n v="181"/>
    <n v="155"/>
    <n v="55"/>
    <n v="1.89"/>
    <n v="747"/>
    <x v="3"/>
    <x v="2"/>
    <n v="31.7"/>
    <n v="2.2999999999999998"/>
    <n v="3"/>
    <x v="2"/>
    <x v="4"/>
    <n v="28.39"/>
  </r>
  <r>
    <n v="46"/>
    <x v="2"/>
    <x v="1"/>
    <n v="40"/>
    <n v="1.88"/>
    <n v="168"/>
    <n v="131"/>
    <n v="69"/>
    <n v="2"/>
    <n v="672"/>
    <x v="4"/>
    <x v="2"/>
    <n v="25.4"/>
    <n v="2.4"/>
    <n v="2"/>
    <x v="0"/>
    <x v="0"/>
    <n v="12.32"/>
  </r>
  <r>
    <n v="19"/>
    <x v="1"/>
    <x v="1"/>
    <n v="87.7"/>
    <n v="1.98"/>
    <n v="186"/>
    <n v="145"/>
    <n v="50"/>
    <n v="1.61"/>
    <n v="1705"/>
    <x v="0"/>
    <x v="3"/>
    <n v="14.1"/>
    <n v="2.2999999999999998"/>
    <n v="3"/>
    <x v="0"/>
    <x v="0"/>
    <n v="15.99"/>
  </r>
  <r>
    <n v="56"/>
    <x v="4"/>
    <x v="0"/>
    <n v="107.4"/>
    <n v="1.73"/>
    <n v="176"/>
    <n v="141"/>
    <n v="71"/>
    <n v="0.65"/>
    <n v="1564"/>
    <x v="2"/>
    <x v="1"/>
    <n v="26"/>
    <n v="3"/>
    <n v="2"/>
    <x v="2"/>
    <x v="0"/>
    <n v="14.48"/>
  </r>
  <r>
    <n v="19"/>
    <x v="1"/>
    <x v="0"/>
    <n v="71.7"/>
    <n v="1.91"/>
    <n v="197"/>
    <n v="148"/>
    <n v="74"/>
    <n v="1.1499999999999999"/>
    <n v="464"/>
    <x v="1"/>
    <x v="2"/>
    <n v="32.5"/>
    <n v="2.7"/>
    <n v="4"/>
    <x v="0"/>
    <x v="2"/>
    <n v="19.09"/>
  </r>
  <r>
    <n v="30"/>
    <x v="0"/>
    <x v="0"/>
    <n v="90.6"/>
    <n v="1.6"/>
    <n v="161"/>
    <n v="125"/>
    <n v="52"/>
    <n v="1.03"/>
    <n v="1410"/>
    <x v="3"/>
    <x v="0"/>
    <n v="16"/>
    <n v="3.5"/>
    <n v="4"/>
    <x v="0"/>
    <x v="0"/>
    <n v="13.91"/>
  </r>
  <r>
    <n v="23"/>
    <x v="1"/>
    <x v="1"/>
    <n v="56.2"/>
    <n v="1.76"/>
    <n v="195"/>
    <n v="141"/>
    <n v="55"/>
    <n v="1.45"/>
    <n v="1195"/>
    <x v="2"/>
    <x v="1"/>
    <n v="23.9"/>
    <n v="3.2"/>
    <n v="4"/>
    <x v="1"/>
    <x v="2"/>
    <n v="22.61"/>
  </r>
  <r>
    <n v="39"/>
    <x v="3"/>
    <x v="0"/>
    <n v="71.3"/>
    <n v="1.77"/>
    <n v="171"/>
    <n v="124"/>
    <n v="74"/>
    <n v="0.69"/>
    <n v="871"/>
    <x v="1"/>
    <x v="3"/>
    <n v="21.9"/>
    <n v="2.1"/>
    <n v="5"/>
    <x v="1"/>
    <x v="0"/>
    <n v="14.31"/>
  </r>
  <r>
    <n v="54"/>
    <x v="2"/>
    <x v="0"/>
    <n v="47.7"/>
    <n v="1.56"/>
    <n v="181"/>
    <n v="128"/>
    <n v="74"/>
    <n v="1.5"/>
    <n v="853"/>
    <x v="3"/>
    <x v="1"/>
    <n v="26.5"/>
    <n v="1.5"/>
    <n v="3"/>
    <x v="1"/>
    <x v="2"/>
    <n v="23.64"/>
  </r>
  <r>
    <n v="18"/>
    <x v="1"/>
    <x v="1"/>
    <n v="63"/>
    <n v="1.51"/>
    <n v="184"/>
    <n v="169"/>
    <n v="71"/>
    <n v="1.3"/>
    <n v="1136"/>
    <x v="1"/>
    <x v="1"/>
    <n v="23.8"/>
    <n v="2.2999999999999998"/>
    <n v="3"/>
    <x v="0"/>
    <x v="2"/>
    <n v="22.69"/>
  </r>
  <r>
    <n v="26"/>
    <x v="0"/>
    <x v="1"/>
    <n v="129.9"/>
    <n v="1.71"/>
    <n v="196"/>
    <n v="136"/>
    <n v="74"/>
    <n v="1.27"/>
    <n v="931"/>
    <x v="3"/>
    <x v="2"/>
    <n v="26.6"/>
    <n v="1.8"/>
    <n v="5"/>
    <x v="1"/>
    <x v="2"/>
    <n v="21.04"/>
  </r>
  <r>
    <n v="22"/>
    <x v="1"/>
    <x v="0"/>
    <n v="102.4"/>
    <n v="1.5"/>
    <n v="173"/>
    <n v="156"/>
    <n v="55"/>
    <n v="1.44"/>
    <n v="453"/>
    <x v="2"/>
    <x v="0"/>
    <n v="17.5"/>
    <n v="1.6"/>
    <n v="4"/>
    <x v="2"/>
    <x v="0"/>
    <n v="18.23"/>
  </r>
  <r>
    <n v="36"/>
    <x v="3"/>
    <x v="0"/>
    <n v="64.2"/>
    <n v="1.78"/>
    <n v="192"/>
    <n v="130"/>
    <n v="74"/>
    <n v="1.38"/>
    <n v="1708"/>
    <x v="3"/>
    <x v="2"/>
    <n v="31.9"/>
    <n v="2.1"/>
    <m/>
    <x v="1"/>
    <x v="4"/>
    <n v="25.59"/>
  </r>
  <r>
    <n v="18"/>
    <x v="1"/>
    <x v="1"/>
    <n v="129.4"/>
    <n v="1.5"/>
    <n v="177"/>
    <n v="145"/>
    <n v="71"/>
    <m/>
    <n v="772"/>
    <x v="0"/>
    <x v="1"/>
    <n v="22"/>
    <n v="1.7"/>
    <n v="5"/>
    <x v="1"/>
    <x v="0"/>
    <n v="18.07"/>
  </r>
  <r>
    <n v="25"/>
    <x v="0"/>
    <x v="1"/>
    <n v="57.2"/>
    <n v="1.82"/>
    <n v="184"/>
    <n v="140"/>
    <n v="74"/>
    <n v="1.1499999999999999"/>
    <n v="888"/>
    <x v="0"/>
    <x v="2"/>
    <n v="26.9"/>
    <n v="2.6"/>
    <n v="4"/>
    <x v="0"/>
    <x v="0"/>
    <n v="15.23"/>
  </r>
  <r>
    <n v="59"/>
    <x v="4"/>
    <x v="1"/>
    <n v="71.8"/>
    <n v="1.5"/>
    <n v="165"/>
    <n v="152"/>
    <n v="74"/>
    <n v="1.94"/>
    <n v="758"/>
    <x v="3"/>
    <x v="2"/>
    <n v="28.9"/>
    <n v="3.3"/>
    <n v="3"/>
    <x v="1"/>
    <x v="0"/>
    <n v="16.87"/>
  </r>
  <r>
    <n v="18"/>
    <x v="1"/>
    <x v="1"/>
    <n v="112.4"/>
    <n v="1.71"/>
    <n v="177"/>
    <n v="165"/>
    <n v="55"/>
    <n v="1.56"/>
    <n v="1044"/>
    <x v="2"/>
    <x v="2"/>
    <n v="33.5"/>
    <n v="1.7"/>
    <n v="2"/>
    <x v="0"/>
    <x v="2"/>
    <n v="24.43"/>
  </r>
  <r>
    <n v="18"/>
    <x v="1"/>
    <x v="1"/>
    <n v="40"/>
    <n v="1.72"/>
    <n v="188"/>
    <n v="155"/>
    <n v="74"/>
    <n v="1.51"/>
    <n v="1266"/>
    <x v="1"/>
    <x v="2"/>
    <n v="26.4"/>
    <n v="2.5"/>
    <n v="2"/>
    <x v="3"/>
    <x v="0"/>
    <n v="17.79"/>
  </r>
  <r>
    <n v="25"/>
    <x v="0"/>
    <x v="0"/>
    <n v="64.3"/>
    <n v="1.65"/>
    <n v="183"/>
    <n v="169"/>
    <n v="67"/>
    <n v="1.28"/>
    <n v="1783"/>
    <x v="1"/>
    <x v="3"/>
    <n v="20"/>
    <n v="3.2"/>
    <n v="2"/>
    <x v="2"/>
    <x v="2"/>
    <n v="20.59"/>
  </r>
  <r>
    <n v="32"/>
    <x v="0"/>
    <x v="1"/>
    <n v="72.400000000000006"/>
    <n v="1.74"/>
    <n v="189"/>
    <n v="127"/>
    <n v="60"/>
    <n v="1.4"/>
    <n v="1090"/>
    <x v="3"/>
    <x v="3"/>
    <n v="16.899999999999999"/>
    <n v="1.6"/>
    <n v="2"/>
    <x v="1"/>
    <x v="0"/>
    <n v="17.68"/>
  </r>
  <r>
    <n v="28"/>
    <x v="0"/>
    <x v="1"/>
    <n v="62.4"/>
    <n v="1.56"/>
    <n v="193"/>
    <n v="141"/>
    <n v="55"/>
    <n v="2"/>
    <n v="861"/>
    <x v="1"/>
    <x v="2"/>
    <n v="32.200000000000003"/>
    <n v="3.6"/>
    <n v="3"/>
    <x v="1"/>
    <x v="2"/>
    <n v="18.61"/>
  </r>
  <r>
    <n v="27"/>
    <x v="0"/>
    <x v="0"/>
    <n v="78.599999999999994"/>
    <n v="1.65"/>
    <n v="198"/>
    <n v="127"/>
    <n v="66"/>
    <n v="1.61"/>
    <n v="938"/>
    <x v="3"/>
    <x v="1"/>
    <n v="26.8"/>
    <n v="3.1"/>
    <n v="3"/>
    <x v="1"/>
    <x v="0"/>
    <n v="17.920000000000002"/>
  </r>
  <r>
    <n v="44"/>
    <x v="3"/>
    <x v="0"/>
    <n v="45"/>
    <n v="1.53"/>
    <n v="199"/>
    <n v="158"/>
    <n v="50"/>
    <n v="0.7"/>
    <n v="930"/>
    <x v="0"/>
    <x v="3"/>
    <n v="21.9"/>
    <n v="3.6"/>
    <n v="4"/>
    <x v="1"/>
    <x v="4"/>
    <n v="27.74"/>
  </r>
  <r>
    <n v="20"/>
    <x v="1"/>
    <x v="0"/>
    <n v="103.4"/>
    <n v="1.53"/>
    <n v="180"/>
    <n v="166"/>
    <n v="56"/>
    <n v="1.28"/>
    <n v="631"/>
    <x v="2"/>
    <x v="3"/>
    <n v="23"/>
    <n v="3"/>
    <n v="4"/>
    <x v="1"/>
    <x v="2"/>
    <n v="19.18"/>
  </r>
  <r>
    <n v="51"/>
    <x v="2"/>
    <x v="1"/>
    <n v="79.2"/>
    <n v="1.85"/>
    <n v="178"/>
    <n v="147"/>
    <n v="51"/>
    <n v="1.52"/>
    <n v="1355"/>
    <x v="0"/>
    <x v="1"/>
    <n v="23.2"/>
    <n v="2"/>
    <n v="4"/>
    <x v="1"/>
    <x v="2"/>
    <n v="18.95"/>
  </r>
  <r>
    <n v="52"/>
    <x v="2"/>
    <x v="0"/>
    <n v="40"/>
    <n v="1.84"/>
    <s v="\t182"/>
    <n v="156"/>
    <n v="56"/>
    <n v="1.2"/>
    <n v="1258"/>
    <x v="1"/>
    <x v="1"/>
    <n v="25"/>
    <n v="2"/>
    <n v="4"/>
    <x v="0"/>
    <x v="0"/>
    <n v="12.32"/>
  </r>
  <r>
    <n v="35"/>
    <x v="3"/>
    <x v="1"/>
    <n v="75.7"/>
    <n v="1.61"/>
    <n v="192"/>
    <n v="147"/>
    <n v="52"/>
    <n v="0.92"/>
    <n v="1211"/>
    <x v="0"/>
    <x v="1"/>
    <n v="21.2"/>
    <n v="2.4"/>
    <n v="3"/>
    <x v="0"/>
    <x v="2"/>
    <n v="23.19"/>
  </r>
  <r>
    <n v="21"/>
    <x v="1"/>
    <x v="1"/>
    <n v="76.8"/>
    <n v="1.75"/>
    <n v="166"/>
    <n v="125"/>
    <n v="74"/>
    <n v="1.56"/>
    <n v="1152"/>
    <x v="0"/>
    <x v="2"/>
    <n v="25.1"/>
    <n v="2.7"/>
    <n v="3"/>
    <x v="1"/>
    <x v="0"/>
    <n v="16.66"/>
  </r>
  <r>
    <n v="48"/>
    <x v="2"/>
    <x v="0"/>
    <n v="112.6"/>
    <n v="1.69"/>
    <n v="160"/>
    <n v="162"/>
    <n v="63"/>
    <n v="0.89"/>
    <n v="1482"/>
    <x v="1"/>
    <x v="3"/>
    <n v="22.6"/>
    <n v="2.5"/>
    <n v="4"/>
    <x v="0"/>
    <x v="0"/>
    <n v="12.32"/>
  </r>
  <r>
    <n v="18"/>
    <x v="1"/>
    <x v="1"/>
    <n v="73.7"/>
    <n v="1.78"/>
    <n v="192"/>
    <n v="154"/>
    <n v="73"/>
    <n v="1.18"/>
    <n v="851"/>
    <x v="0"/>
    <x v="2"/>
    <n v="27.4"/>
    <n v="2.6"/>
    <n v="2"/>
    <x v="0"/>
    <x v="2"/>
    <n v="21.08"/>
  </r>
  <r>
    <n v="18"/>
    <x v="1"/>
    <x v="0"/>
    <n v="84"/>
    <n v="1.71"/>
    <n v="194"/>
    <n v="148"/>
    <n v="52"/>
    <n v="0.92"/>
    <n v="621"/>
    <x v="0"/>
    <x v="1"/>
    <n v="28.3"/>
    <n v="3.4"/>
    <n v="3"/>
    <x v="2"/>
    <x v="0"/>
    <n v="17.989999999999998"/>
  </r>
  <r>
    <n v="28"/>
    <x v="0"/>
    <x v="1"/>
    <n v="68"/>
    <n v="1.7"/>
    <n v="174"/>
    <n v="155"/>
    <n v="68"/>
    <n v="0.74"/>
    <n v="1464"/>
    <x v="3"/>
    <x v="1"/>
    <n v="17"/>
    <n v="2.2999999999999998"/>
    <n v="3"/>
    <x v="0"/>
    <x v="2"/>
    <n v="21.67"/>
  </r>
  <r>
    <n v="23"/>
    <x v="1"/>
    <x v="1"/>
    <n v="107.6"/>
    <n v="1.5"/>
    <m/>
    <n v="136"/>
    <n v="71"/>
    <n v="1.53"/>
    <n v="1062"/>
    <x v="1"/>
    <x v="0"/>
    <n v="10"/>
    <n v="2.2999999999999998"/>
    <n v="5"/>
    <x v="2"/>
    <x v="2"/>
    <n v="23.77"/>
  </r>
  <r>
    <n v="30"/>
    <x v="0"/>
    <x v="0"/>
    <n v="54.3"/>
    <n v="1.82"/>
    <n v="185"/>
    <n v="168"/>
    <n v="66"/>
    <n v="1.4"/>
    <n v="1415"/>
    <x v="4"/>
    <x v="1"/>
    <n v="25.4"/>
    <n v="3.6"/>
    <n v="3"/>
    <x v="1"/>
    <x v="4"/>
    <n v="26.4"/>
  </r>
  <r>
    <n v="18"/>
    <x v="1"/>
    <x v="0"/>
    <n v="42.8"/>
    <n v="1.89"/>
    <n v="194"/>
    <n v="162"/>
    <n v="73"/>
    <n v="2"/>
    <n v="736"/>
    <x v="4"/>
    <x v="3"/>
    <n v="22.5"/>
    <n v="1.5"/>
    <n v="3"/>
    <x v="0"/>
    <x v="2"/>
    <n v="18.54"/>
  </r>
  <r>
    <n v="37"/>
    <x v="3"/>
    <x v="2"/>
    <n v="55.4"/>
    <n v="1.68"/>
    <n v="197"/>
    <m/>
    <n v="52"/>
    <n v="1.04"/>
    <n v="338"/>
    <x v="1"/>
    <x v="1"/>
    <n v="27.4"/>
    <n v="3.2"/>
    <m/>
    <x v="2"/>
    <x v="0"/>
    <n v="17.71"/>
  </r>
  <r>
    <n v="49"/>
    <x v="2"/>
    <x v="0"/>
    <n v="102.4"/>
    <n v="1.65"/>
    <n v="185"/>
    <n v="148"/>
    <n v="68"/>
    <n v="1.27"/>
    <n v="980"/>
    <x v="1"/>
    <x v="2"/>
    <n v="34.799999999999997"/>
    <n v="2"/>
    <n v="5"/>
    <x v="3"/>
    <x v="0"/>
    <n v="15.52"/>
  </r>
  <r>
    <n v="42"/>
    <x v="3"/>
    <x v="0"/>
    <n v="95.5"/>
    <n v="1.95"/>
    <n v="168"/>
    <n v="125"/>
    <n v="72"/>
    <n v="1.91"/>
    <n v="632"/>
    <x v="2"/>
    <x v="1"/>
    <n v="26.1"/>
    <n v="2"/>
    <n v="4"/>
    <x v="1"/>
    <x v="0"/>
    <n v="12.32"/>
  </r>
  <r>
    <n v="27"/>
    <x v="0"/>
    <x v="0"/>
    <n v="58.7"/>
    <n v="1.98"/>
    <n v="199"/>
    <n v="145"/>
    <n v="52"/>
    <n v="2"/>
    <n v="1119"/>
    <x v="1"/>
    <x v="3"/>
    <n v="23"/>
    <n v="2.7"/>
    <n v="2"/>
    <x v="2"/>
    <x v="2"/>
    <n v="18.989999999999998"/>
  </r>
  <r>
    <n v="35"/>
    <x v="3"/>
    <x v="0"/>
    <n v="49.7"/>
    <n v="1.86"/>
    <n v="161"/>
    <m/>
    <n v="62"/>
    <n v="1.1200000000000001"/>
    <n v="867"/>
    <x v="0"/>
    <x v="0"/>
    <n v="15.2"/>
    <n v="1.8"/>
    <n v="4"/>
    <x v="2"/>
    <x v="0"/>
    <n v="12.32"/>
  </r>
  <r>
    <n v="24"/>
    <x v="1"/>
    <x v="0"/>
    <n v="86.5"/>
    <n v="1.65"/>
    <n v="196"/>
    <n v="169"/>
    <n v="59"/>
    <n v="1.08"/>
    <n v="771"/>
    <x v="1"/>
    <x v="1"/>
    <n v="27.3"/>
    <n v="2.1"/>
    <n v="3"/>
    <x v="1"/>
    <x v="0"/>
    <n v="12.9"/>
  </r>
  <r>
    <n v="44"/>
    <x v="3"/>
    <x v="0"/>
    <n v="63.6"/>
    <n v="1.78"/>
    <n v="167"/>
    <n v="129"/>
    <n v="74"/>
    <n v="1.34"/>
    <n v="1165"/>
    <x v="3"/>
    <x v="0"/>
    <n v="10.7"/>
    <n v="3.4"/>
    <n v="4"/>
    <x v="1"/>
    <x v="0"/>
    <n v="15.73"/>
  </r>
  <r>
    <n v="52"/>
    <x v="2"/>
    <x v="1"/>
    <n v="58.7"/>
    <n v="1.58"/>
    <n v="169"/>
    <n v="131"/>
    <n v="53"/>
    <n v="1.1399999999999999"/>
    <n v="900"/>
    <x v="2"/>
    <x v="2"/>
    <n v="28.5"/>
    <n v="3.3"/>
    <n v="3"/>
    <x v="3"/>
    <x v="2"/>
    <n v="19.62"/>
  </r>
  <r>
    <n v="49"/>
    <x v="2"/>
    <x v="0"/>
    <n v="56.6"/>
    <n v="1.75"/>
    <n v="198"/>
    <n v="120"/>
    <n v="72"/>
    <n v="1.1200000000000001"/>
    <n v="1767"/>
    <x v="3"/>
    <x v="3"/>
    <n v="23.6"/>
    <n v="2.6"/>
    <n v="2"/>
    <x v="0"/>
    <x v="1"/>
    <n v="34.369999999999997"/>
  </r>
  <r>
    <n v="36"/>
    <x v="3"/>
    <x v="0"/>
    <n v="40"/>
    <n v="1.71"/>
    <n v="178"/>
    <n v="169"/>
    <n v="69"/>
    <n v="1.3"/>
    <n v="1519"/>
    <x v="2"/>
    <x v="1"/>
    <n v="27.5"/>
    <n v="2.7"/>
    <n v="4"/>
    <x v="1"/>
    <x v="3"/>
    <n v="39.74"/>
  </r>
  <r>
    <n v="23"/>
    <x v="1"/>
    <x v="0"/>
    <n v="67.7"/>
    <n v="1.73"/>
    <n v="188"/>
    <n v="162"/>
    <n v="54"/>
    <n v="1.76"/>
    <n v="954"/>
    <x v="3"/>
    <x v="0"/>
    <n v="18"/>
    <n v="3.2"/>
    <n v="3"/>
    <x v="1"/>
    <x v="0"/>
    <n v="16.07"/>
  </r>
  <r>
    <n v="56"/>
    <x v="4"/>
    <x v="0"/>
    <n v="40"/>
    <n v="1.74"/>
    <n v="172"/>
    <n v="146"/>
    <n v="74"/>
    <n v="1.43"/>
    <n v="876"/>
    <x v="3"/>
    <x v="1"/>
    <n v="26"/>
    <n v="3.4"/>
    <n v="2"/>
    <x v="1"/>
    <x v="2"/>
    <n v="19.63"/>
  </r>
  <r>
    <n v="48"/>
    <x v="2"/>
    <x v="2"/>
    <n v="68"/>
    <n v="1.69"/>
    <n v="185"/>
    <n v="144"/>
    <n v="68"/>
    <n v="1.23"/>
    <n v="695"/>
    <x v="3"/>
    <x v="0"/>
    <n v="14.2"/>
    <n v="2.6"/>
    <n v="2"/>
    <x v="1"/>
    <x v="4"/>
    <n v="28.93"/>
  </r>
  <r>
    <n v="24"/>
    <x v="1"/>
    <x v="1"/>
    <n v="68.3"/>
    <n v="1.74"/>
    <n v="184"/>
    <n v="161"/>
    <n v="51"/>
    <n v="1.9"/>
    <n v="566"/>
    <x v="1"/>
    <x v="2"/>
    <n v="27.5"/>
    <n v="3.5"/>
    <n v="4"/>
    <x v="3"/>
    <x v="0"/>
    <n v="16.260000000000002"/>
  </r>
  <r>
    <n v="22"/>
    <x v="1"/>
    <x v="0"/>
    <n v="99.1"/>
    <n v="1.72"/>
    <n v="182"/>
    <n v="169"/>
    <n v="62"/>
    <n v="1.1399999999999999"/>
    <n v="1105"/>
    <x v="3"/>
    <x v="2"/>
    <n v="31.4"/>
    <n v="3.6"/>
    <n v="4"/>
    <x v="1"/>
    <x v="0"/>
    <n v="16.91"/>
  </r>
  <r>
    <n v="20"/>
    <x v="1"/>
    <x v="0"/>
    <n v="72.900000000000006"/>
    <n v="1.63"/>
    <n v="164"/>
    <n v="156"/>
    <n v="51"/>
    <n v="1.1100000000000001"/>
    <n v="582"/>
    <x v="0"/>
    <x v="1"/>
    <n v="27.1"/>
    <n v="3.2"/>
    <n v="3"/>
    <x v="0"/>
    <x v="2"/>
    <n v="19.829999999999998"/>
  </r>
  <r>
    <n v="44"/>
    <x v="3"/>
    <x v="0"/>
    <n v="40"/>
    <n v="1.68"/>
    <n v="175"/>
    <n v="156"/>
    <n v="74"/>
    <n v="1.04"/>
    <n v="1010"/>
    <x v="1"/>
    <x v="1"/>
    <n v="28.1"/>
    <n v="1.8"/>
    <n v="3"/>
    <x v="2"/>
    <x v="0"/>
    <n v="12.32"/>
  </r>
  <r>
    <n v="33"/>
    <x v="0"/>
    <x v="0"/>
    <n v="58.3"/>
    <n v="1.77"/>
    <n v="167"/>
    <n v="153"/>
    <n v="74"/>
    <n v="1.41"/>
    <n v="969"/>
    <x v="0"/>
    <x v="1"/>
    <n v="29.5"/>
    <n v="2.6"/>
    <n v="2"/>
    <x v="1"/>
    <x v="2"/>
    <n v="20.47"/>
  </r>
  <r>
    <n v="18"/>
    <x v="1"/>
    <x v="1"/>
    <n v="40"/>
    <n v="1.64"/>
    <n v="177"/>
    <n v="134"/>
    <n v="53"/>
    <n v="0.98"/>
    <n v="468"/>
    <x v="0"/>
    <x v="2"/>
    <n v="25.6"/>
    <n v="2.1"/>
    <n v="3"/>
    <x v="2"/>
    <x v="2"/>
    <n v="18.78"/>
  </r>
  <r>
    <n v="59"/>
    <x v="4"/>
    <x v="1"/>
    <n v="45.8"/>
    <n v="1.5"/>
    <n v="163"/>
    <n v="137"/>
    <n v="55"/>
    <n v="1.98"/>
    <n v="1306"/>
    <x v="1"/>
    <x v="1"/>
    <n v="24"/>
    <n v="2.9"/>
    <n v="4"/>
    <x v="0"/>
    <x v="4"/>
    <n v="26.25"/>
  </r>
  <r>
    <n v="27"/>
    <x v="0"/>
    <x v="1"/>
    <n v="52.3"/>
    <n v="1.75"/>
    <n v="180"/>
    <n v="128"/>
    <n v="61"/>
    <n v="1.92"/>
    <n v="931"/>
    <x v="0"/>
    <x v="3"/>
    <n v="15"/>
    <n v="2.5"/>
    <n v="4"/>
    <x v="0"/>
    <x v="2"/>
    <n v="23.23"/>
  </r>
  <r>
    <n v="33"/>
    <x v="0"/>
    <x v="0"/>
    <n v="76.3"/>
    <n v="1.95"/>
    <n v="188"/>
    <n v="125"/>
    <n v="72"/>
    <n v="0.95"/>
    <n v="899"/>
    <x v="0"/>
    <x v="3"/>
    <n v="21.7"/>
    <n v="2.2999999999999998"/>
    <n v="5"/>
    <x v="1"/>
    <x v="4"/>
    <n v="26.08"/>
  </r>
  <r>
    <n v="47"/>
    <x v="2"/>
    <x v="1"/>
    <n v="77.5"/>
    <n v="1.72"/>
    <n v="176"/>
    <n v="151"/>
    <n v="56"/>
    <n v="1.39"/>
    <n v="679"/>
    <x v="1"/>
    <x v="3"/>
    <n v="13.3"/>
    <n v="3.5"/>
    <n v="2"/>
    <x v="2"/>
    <x v="2"/>
    <n v="24.32"/>
  </r>
  <r>
    <n v="18"/>
    <x v="1"/>
    <x v="1"/>
    <m/>
    <n v="1.8"/>
    <n v="197"/>
    <n v="165"/>
    <n v="56"/>
    <n v="0.74"/>
    <n v="1208"/>
    <x v="2"/>
    <x v="2"/>
    <n v="26.1"/>
    <n v="3.3"/>
    <n v="3"/>
    <x v="2"/>
    <x v="0"/>
    <n v="12.32"/>
  </r>
  <r>
    <n v="46"/>
    <x v="2"/>
    <x v="0"/>
    <n v="40"/>
    <n v="1.58"/>
    <n v="177"/>
    <n v="132"/>
    <n v="58"/>
    <n v="1.29"/>
    <n v="1189"/>
    <x v="0"/>
    <x v="2"/>
    <n v="31.1"/>
    <n v="2.5"/>
    <m/>
    <x v="0"/>
    <x v="0"/>
    <n v="12.73"/>
  </r>
  <r>
    <n v="27"/>
    <x v="0"/>
    <x v="1"/>
    <n v="96.3"/>
    <n v="1.61"/>
    <n v="198"/>
    <n v="159"/>
    <n v="70"/>
    <n v="1.1599999999999999"/>
    <n v="1203"/>
    <x v="1"/>
    <x v="2"/>
    <n v="32.1"/>
    <n v="3.1"/>
    <n v="3"/>
    <x v="1"/>
    <x v="0"/>
    <n v="12.32"/>
  </r>
  <r>
    <n v="34"/>
    <x v="0"/>
    <x v="0"/>
    <n v="49.6"/>
    <n v="1.52"/>
    <n v="191"/>
    <m/>
    <n v="59"/>
    <n v="1.59"/>
    <n v="744"/>
    <x v="2"/>
    <x v="3"/>
    <n v="22.2"/>
    <n v="1.6"/>
    <n v="3"/>
    <x v="1"/>
    <x v="2"/>
    <n v="20.97"/>
  </r>
  <r>
    <n v="45"/>
    <x v="2"/>
    <x v="1"/>
    <n v="86.4"/>
    <n v="1.51"/>
    <m/>
    <n v="159"/>
    <n v="69"/>
    <n v="1.23"/>
    <n v="1313"/>
    <x v="1"/>
    <x v="2"/>
    <n v="35"/>
    <n v="3.3"/>
    <n v="3"/>
    <x v="2"/>
    <x v="0"/>
    <n v="16.059999999999999"/>
  </r>
  <r>
    <n v="55"/>
    <x v="4"/>
    <x v="0"/>
    <n v="68.400000000000006"/>
    <n v="1.85"/>
    <n v="175"/>
    <n v="150"/>
    <n v="58"/>
    <n v="1.1599999999999999"/>
    <n v="1020"/>
    <x v="1"/>
    <x v="1"/>
    <n v="29.2"/>
    <n v="2.5"/>
    <n v="4"/>
    <x v="0"/>
    <x v="2"/>
    <n v="22.87"/>
  </r>
  <r>
    <n v="18"/>
    <x v="1"/>
    <x v="0"/>
    <n v="56.9"/>
    <n v="1.77"/>
    <n v="183"/>
    <n v="131"/>
    <n v="57"/>
    <n v="1.28"/>
    <n v="1052"/>
    <x v="1"/>
    <x v="3"/>
    <n v="20.7"/>
    <n v="3.5"/>
    <n v="4"/>
    <x v="0"/>
    <x v="2"/>
    <n v="18.57"/>
  </r>
  <r>
    <n v="41"/>
    <x v="3"/>
    <x v="0"/>
    <n v="51.1"/>
    <n v="1.94"/>
    <m/>
    <n v="137"/>
    <n v="72"/>
    <n v="1.23"/>
    <n v="1084"/>
    <x v="4"/>
    <x v="0"/>
    <n v="16.399999999999999"/>
    <n v="2.2999999999999998"/>
    <n v="3"/>
    <x v="0"/>
    <x v="0"/>
    <n v="16.41"/>
  </r>
  <r>
    <n v="24"/>
    <x v="1"/>
    <x v="1"/>
    <n v="47.6"/>
    <n v="1.51"/>
    <n v="175"/>
    <n v="120"/>
    <n v="70"/>
    <n v="0.78"/>
    <n v="583"/>
    <x v="0"/>
    <x v="1"/>
    <n v="22.6"/>
    <n v="1.7"/>
    <n v="5"/>
    <x v="1"/>
    <x v="0"/>
    <n v="13.71"/>
  </r>
  <r>
    <n v="26"/>
    <x v="0"/>
    <x v="0"/>
    <n v="88.8"/>
    <n v="1.7"/>
    <n v="193"/>
    <n v="169"/>
    <n v="68"/>
    <n v="1.91"/>
    <n v="1145"/>
    <x v="0"/>
    <x v="0"/>
    <n v="18.100000000000001"/>
    <n v="3.7"/>
    <n v="2"/>
    <x v="0"/>
    <x v="1"/>
    <n v="30.34"/>
  </r>
  <r>
    <n v="18"/>
    <x v="1"/>
    <x v="2"/>
    <n v="67.5"/>
    <n v="1.69"/>
    <n v="177"/>
    <n v="169"/>
    <n v="72"/>
    <n v="1.07"/>
    <n v="975"/>
    <x v="4"/>
    <x v="1"/>
    <n v="26.2"/>
    <n v="1.6"/>
    <n v="4"/>
    <x v="2"/>
    <x v="0"/>
    <n v="14.08"/>
  </r>
  <r>
    <n v="29"/>
    <x v="0"/>
    <x v="1"/>
    <n v="96.7"/>
    <n v="1.7"/>
    <n v="175"/>
    <n v="141"/>
    <n v="54"/>
    <n v="2"/>
    <n v="880"/>
    <x v="3"/>
    <x v="2"/>
    <n v="32.9"/>
    <n v="2.2999999999999998"/>
    <n v="2"/>
    <x v="2"/>
    <x v="0"/>
    <n v="13.16"/>
  </r>
  <r>
    <n v="26"/>
    <x v="0"/>
    <x v="2"/>
    <n v="55.7"/>
    <n v="1.99"/>
    <n v="172"/>
    <n v="142"/>
    <n v="68"/>
    <n v="2"/>
    <n v="1583"/>
    <x v="0"/>
    <x v="0"/>
    <n v="18.899999999999999"/>
    <n v="3.2"/>
    <n v="4"/>
    <x v="1"/>
    <x v="0"/>
    <n v="12.32"/>
  </r>
  <r>
    <n v="43"/>
    <x v="3"/>
    <x v="1"/>
    <n v="112"/>
    <n v="1.71"/>
    <n v="166"/>
    <n v="146"/>
    <n v="58"/>
    <n v="1.62"/>
    <n v="815"/>
    <x v="2"/>
    <x v="2"/>
    <n v="31.2"/>
    <n v="2.6"/>
    <n v="3"/>
    <x v="1"/>
    <x v="2"/>
    <n v="21.1"/>
  </r>
  <r>
    <n v="48"/>
    <x v="2"/>
    <x v="1"/>
    <n v="75.2"/>
    <n v="1.72"/>
    <n v="193"/>
    <n v="169"/>
    <n v="59"/>
    <n v="1.54"/>
    <n v="1726"/>
    <x v="1"/>
    <x v="2"/>
    <n v="30.9"/>
    <n v="1.9"/>
    <n v="2"/>
    <x v="3"/>
    <x v="2"/>
    <n v="18.64"/>
  </r>
  <r>
    <n v="29"/>
    <x v="0"/>
    <x v="0"/>
    <n v="72"/>
    <n v="1.66"/>
    <n v="167"/>
    <n v="144"/>
    <n v="68"/>
    <n v="0.87"/>
    <n v="1248"/>
    <x v="2"/>
    <x v="0"/>
    <n v="10"/>
    <n v="3.6"/>
    <n v="4"/>
    <x v="2"/>
    <x v="0"/>
    <n v="17.55"/>
  </r>
  <r>
    <n v="57"/>
    <x v="4"/>
    <x v="0"/>
    <n v="63.6"/>
    <n v="1.87"/>
    <n v="170"/>
    <n v="158"/>
    <n v="18"/>
    <n v="1.56"/>
    <n v="840"/>
    <x v="0"/>
    <x v="3"/>
    <n v="23.7"/>
    <n v="3.6"/>
    <n v="4"/>
    <x v="1"/>
    <x v="0"/>
    <n v="12.32"/>
  </r>
  <r>
    <n v="22"/>
    <x v="1"/>
    <x v="0"/>
    <n v="75.7"/>
    <n v="1.56"/>
    <n v="194"/>
    <n v="142"/>
    <n v="61"/>
    <n v="1.23"/>
    <n v="643"/>
    <x v="0"/>
    <x v="1"/>
    <n v="28.8"/>
    <n v="2.2999999999999998"/>
    <n v="3"/>
    <x v="2"/>
    <x v="0"/>
    <n v="13.93"/>
  </r>
  <r>
    <n v="20"/>
    <x v="1"/>
    <x v="1"/>
    <n v="59.1"/>
    <n v="1.62"/>
    <n v="191"/>
    <n v="127"/>
    <n v="54"/>
    <n v="1.02"/>
    <n v="995"/>
    <x v="4"/>
    <x v="2"/>
    <n v="26.2"/>
    <n v="3.4"/>
    <n v="3"/>
    <x v="3"/>
    <x v="0"/>
    <n v="12.46"/>
  </r>
  <r>
    <n v="39"/>
    <x v="3"/>
    <x v="0"/>
    <n v="41.3"/>
    <n v="1.76"/>
    <n v="175"/>
    <n v="136"/>
    <n v="69"/>
    <n v="1.42"/>
    <n v="1096"/>
    <x v="3"/>
    <x v="1"/>
    <n v="24.3"/>
    <n v="3.2"/>
    <n v="3"/>
    <x v="0"/>
    <x v="0"/>
    <n v="15.36"/>
  </r>
  <r>
    <n v="41"/>
    <x v="3"/>
    <x v="1"/>
    <n v="40"/>
    <n v="1.77"/>
    <n v="176"/>
    <n v="148"/>
    <n v="65"/>
    <n v="1.03"/>
    <n v="1238"/>
    <x v="3"/>
    <x v="0"/>
    <n v="11.6"/>
    <n v="1.9"/>
    <n v="5"/>
    <x v="1"/>
    <x v="2"/>
    <n v="22.98"/>
  </r>
  <r>
    <n v="41"/>
    <x v="3"/>
    <x v="0"/>
    <n v="63.7"/>
    <n v="1.93"/>
    <n v="195"/>
    <n v="155"/>
    <n v="61"/>
    <n v="1.18"/>
    <n v="1064"/>
    <x v="2"/>
    <x v="3"/>
    <n v="21.2"/>
    <n v="3.4"/>
    <n v="4"/>
    <x v="1"/>
    <x v="0"/>
    <n v="15.76"/>
  </r>
  <r>
    <n v="31"/>
    <x v="0"/>
    <x v="0"/>
    <n v="100"/>
    <n v="1.75"/>
    <n v="190"/>
    <n v="169"/>
    <n v="67"/>
    <n v="1.46"/>
    <n v="1573"/>
    <x v="2"/>
    <x v="3"/>
    <n v="20.8"/>
    <n v="3.4"/>
    <n v="4"/>
    <x v="0"/>
    <x v="0"/>
    <m/>
  </r>
  <r>
    <n v="20"/>
    <x v="1"/>
    <x v="1"/>
    <n v="45"/>
    <n v="1.68"/>
    <n v="171"/>
    <n v="154"/>
    <n v="74"/>
    <n v="1.5"/>
    <n v="1692"/>
    <x v="3"/>
    <x v="0"/>
    <n v="10"/>
    <n v="2.4"/>
    <n v="4"/>
    <x v="1"/>
    <x v="0"/>
    <n v="12.32"/>
  </r>
  <r>
    <n v="26"/>
    <x v="0"/>
    <x v="1"/>
    <n v="47.1"/>
    <n v="1.61"/>
    <n v="189"/>
    <n v="138"/>
    <n v="52"/>
    <n v="1.26"/>
    <n v="1095"/>
    <x v="3"/>
    <x v="1"/>
    <n v="19.3"/>
    <n v="3.6"/>
    <n v="3"/>
    <x v="2"/>
    <x v="1"/>
    <n v="29.91"/>
  </r>
  <r>
    <n v="37"/>
    <x v="3"/>
    <x v="0"/>
    <n v="72.099999999999994"/>
    <n v="1.83"/>
    <n v="164"/>
    <n v="152"/>
    <n v="58"/>
    <n v="1.58"/>
    <n v="1091"/>
    <x v="1"/>
    <x v="2"/>
    <n v="34.4"/>
    <n v="3.3"/>
    <n v="4"/>
    <x v="0"/>
    <x v="0"/>
    <n v="16.920000000000002"/>
  </r>
  <r>
    <n v="59"/>
    <x v="4"/>
    <x v="1"/>
    <n v="57.5"/>
    <n v="1.81"/>
    <n v="175"/>
    <n v="169"/>
    <n v="58"/>
    <n v="1.47"/>
    <n v="1349"/>
    <x v="1"/>
    <x v="1"/>
    <n v="24.7"/>
    <n v="2.5"/>
    <n v="5"/>
    <x v="0"/>
    <x v="0"/>
    <n v="12.32"/>
  </r>
  <r>
    <n v="22"/>
    <x v="1"/>
    <x v="1"/>
    <n v="54.3"/>
    <n v="1.85"/>
    <n v="165"/>
    <n v="144"/>
    <n v="53"/>
    <n v="2"/>
    <n v="1740"/>
    <x v="1"/>
    <x v="2"/>
    <n v="26.6"/>
    <n v="3.7"/>
    <n v="4"/>
    <x v="0"/>
    <x v="2"/>
    <n v="20.04"/>
  </r>
  <r>
    <n v="25"/>
    <x v="0"/>
    <x v="1"/>
    <n v="63.9"/>
    <n v="1.67"/>
    <n v="178"/>
    <n v="144"/>
    <n v="61"/>
    <n v="1.56"/>
    <n v="868"/>
    <x v="0"/>
    <x v="1"/>
    <n v="24.8"/>
    <n v="2.4"/>
    <n v="3"/>
    <x v="0"/>
    <x v="2"/>
    <n v="24.51"/>
  </r>
  <r>
    <n v="32"/>
    <x v="0"/>
    <x v="1"/>
    <n v="56.6"/>
    <n v="2"/>
    <n v="190"/>
    <n v="123"/>
    <n v="65"/>
    <n v="1.25"/>
    <n v="1309"/>
    <x v="2"/>
    <x v="3"/>
    <n v="14.7"/>
    <n v="3.5"/>
    <n v="4"/>
    <x v="2"/>
    <x v="0"/>
    <n v="17.829999999999998"/>
  </r>
  <r>
    <n v="37"/>
    <x v="3"/>
    <x v="0"/>
    <n v="68.900000000000006"/>
    <n v="1.65"/>
    <n v="171"/>
    <n v="132"/>
    <n v="50"/>
    <n v="1.19"/>
    <n v="767"/>
    <x v="0"/>
    <x v="3"/>
    <n v="23"/>
    <m/>
    <n v="3"/>
    <x v="2"/>
    <x v="2"/>
    <n v="20.71"/>
  </r>
  <r>
    <n v="29"/>
    <x v="0"/>
    <x v="0"/>
    <n v="95.3"/>
    <n v="1.72"/>
    <n v="190"/>
    <n v="169"/>
    <n v="74"/>
    <n v="1.49"/>
    <n v="733"/>
    <x v="2"/>
    <x v="1"/>
    <n v="29.2"/>
    <n v="3.7"/>
    <n v="5"/>
    <x v="2"/>
    <x v="2"/>
    <n v="20.059999999999999"/>
  </r>
  <r>
    <n v="30"/>
    <x v="0"/>
    <x v="0"/>
    <n v="96.3"/>
    <n v="2"/>
    <n v="173"/>
    <n v="136"/>
    <n v="74"/>
    <n v="2"/>
    <n v="1095"/>
    <x v="2"/>
    <x v="3"/>
    <n v="20.399999999999999"/>
    <n v="1.5"/>
    <n v="5"/>
    <x v="0"/>
    <x v="4"/>
    <n v="25.83"/>
  </r>
  <r>
    <n v="28"/>
    <x v="0"/>
    <x v="1"/>
    <n v="84.4"/>
    <n v="1.74"/>
    <s v="\t182"/>
    <n v="142"/>
    <n v="52"/>
    <n v="1.45"/>
    <n v="1392"/>
    <x v="0"/>
    <x v="1"/>
    <n v="22"/>
    <n v="2.6"/>
    <n v="2"/>
    <x v="1"/>
    <x v="1"/>
    <n v="34.01"/>
  </r>
  <r>
    <n v="33"/>
    <x v="0"/>
    <x v="1"/>
    <n v="60.5"/>
    <n v="1.54"/>
    <n v="195"/>
    <n v="126"/>
    <n v="56"/>
    <n v="1.27"/>
    <n v="1237"/>
    <x v="1"/>
    <x v="2"/>
    <n v="29.1"/>
    <n v="3.7"/>
    <n v="4"/>
    <x v="0"/>
    <x v="2"/>
    <n v="21.23"/>
  </r>
  <r>
    <n v="48"/>
    <x v="2"/>
    <x v="0"/>
    <n v="49.8"/>
    <n v="1.69"/>
    <n v="184"/>
    <n v="143"/>
    <n v="56"/>
    <n v="1.37"/>
    <m/>
    <x v="0"/>
    <x v="0"/>
    <n v="17.7"/>
    <n v="2.7"/>
    <n v="3"/>
    <x v="2"/>
    <x v="4"/>
    <n v="25.57"/>
  </r>
  <r>
    <n v="32"/>
    <x v="0"/>
    <x v="1"/>
    <n v="47.2"/>
    <n v="1.81"/>
    <n v="187"/>
    <n v="129"/>
    <n v="18"/>
    <n v="1.19"/>
    <n v="919"/>
    <x v="2"/>
    <x v="2"/>
    <n v="30.5"/>
    <n v="1.9"/>
    <n v="4"/>
    <x v="0"/>
    <x v="1"/>
    <n v="31.5"/>
  </r>
  <r>
    <n v="54"/>
    <x v="2"/>
    <x v="2"/>
    <n v="56.3"/>
    <n v="1.59"/>
    <n v="172"/>
    <n v="169"/>
    <n v="68"/>
    <n v="1.47"/>
    <n v="936"/>
    <x v="1"/>
    <x v="0"/>
    <n v="19.600000000000001"/>
    <n v="3.1"/>
    <n v="4"/>
    <x v="0"/>
    <x v="2"/>
    <n v="18.7"/>
  </r>
  <r>
    <n v="49"/>
    <x v="2"/>
    <x v="1"/>
    <n v="45"/>
    <n v="1.84"/>
    <n v="190"/>
    <n v="159"/>
    <n v="53"/>
    <n v="1.3"/>
    <n v="864"/>
    <x v="2"/>
    <x v="2"/>
    <n v="26.5"/>
    <n v="1.5"/>
    <n v="4"/>
    <x v="0"/>
    <x v="0"/>
    <n v="17.11"/>
  </r>
  <r>
    <n v="53"/>
    <x v="2"/>
    <x v="1"/>
    <n v="87.7"/>
    <n v="1.84"/>
    <n v="164"/>
    <n v="152"/>
    <n v="53"/>
    <n v="1.37"/>
    <n v="1066"/>
    <x v="1"/>
    <x v="1"/>
    <n v="24.7"/>
    <n v="2.6"/>
    <n v="5"/>
    <x v="0"/>
    <x v="4"/>
    <n v="25.16"/>
  </r>
  <r>
    <n v="54"/>
    <x v="2"/>
    <x v="0"/>
    <n v="46.1"/>
    <n v="1.85"/>
    <n v="187"/>
    <n v="162"/>
    <n v="63"/>
    <n v="1.35"/>
    <n v="772"/>
    <x v="0"/>
    <x v="1"/>
    <n v="25.7"/>
    <n v="3.6"/>
    <n v="4"/>
    <x v="1"/>
    <x v="2"/>
    <n v="20.62"/>
  </r>
  <r>
    <n v="18"/>
    <x v="1"/>
    <x v="0"/>
    <n v="69.8"/>
    <n v="1.82"/>
    <n v="178"/>
    <n v="168"/>
    <n v="58"/>
    <n v="1.9"/>
    <n v="963"/>
    <x v="2"/>
    <x v="2"/>
    <n v="31.4"/>
    <n v="3.7"/>
    <n v="5"/>
    <x v="0"/>
    <x v="1"/>
    <n v="34.21"/>
  </r>
  <r>
    <n v="18"/>
    <x v="1"/>
    <x v="1"/>
    <n v="79.2"/>
    <n v="1.77"/>
    <n v="198"/>
    <n v="137"/>
    <n v="66"/>
    <n v="1.2"/>
    <n v="1429"/>
    <x v="3"/>
    <x v="0"/>
    <n v="12.9"/>
    <n v="3.7"/>
    <n v="3"/>
    <x v="0"/>
    <x v="2"/>
    <n v="19.07"/>
  </r>
  <r>
    <n v="29"/>
    <x v="0"/>
    <x v="1"/>
    <n v="60.6"/>
    <n v="1.76"/>
    <n v="188"/>
    <n v="148"/>
    <n v="50"/>
    <n v="1.38"/>
    <n v="676"/>
    <x v="0"/>
    <x v="2"/>
    <n v="30.2"/>
    <n v="2.5"/>
    <n v="3"/>
    <x v="3"/>
    <x v="2"/>
    <n v="23.73"/>
  </r>
  <r>
    <n v="22"/>
    <x v="1"/>
    <x v="0"/>
    <n v="53.3"/>
    <n v="1.73"/>
    <n v="172"/>
    <n v="144"/>
    <n v="71"/>
    <n v="1.1000000000000001"/>
    <n v="1235"/>
    <x v="0"/>
    <x v="3"/>
    <n v="22.8"/>
    <n v="2.6"/>
    <n v="3"/>
    <x v="1"/>
    <x v="0"/>
    <n v="13.13"/>
  </r>
  <r>
    <n v="20"/>
    <x v="1"/>
    <x v="1"/>
    <n v="95.7"/>
    <n v="1.85"/>
    <n v="196"/>
    <n v="136"/>
    <n v="58"/>
    <n v="1.44"/>
    <n v="987"/>
    <x v="2"/>
    <x v="1"/>
    <n v="23.8"/>
    <n v="1.5"/>
    <n v="3"/>
    <x v="0"/>
    <x v="0"/>
    <n v="15.47"/>
  </r>
  <r>
    <n v="29"/>
    <x v="0"/>
    <x v="0"/>
    <n v="57.4"/>
    <n v="1.74"/>
    <n v="198"/>
    <n v="165"/>
    <n v="67"/>
    <n v="1.58"/>
    <n v="880"/>
    <x v="0"/>
    <x v="3"/>
    <n v="20.9"/>
    <n v="3.3"/>
    <n v="4"/>
    <x v="1"/>
    <x v="0"/>
    <m/>
  </r>
  <r>
    <n v="47"/>
    <x v="2"/>
    <x v="1"/>
    <n v="87.3"/>
    <n v="1.9"/>
    <n v="194"/>
    <n v="164"/>
    <n v="74"/>
    <n v="1.87"/>
    <n v="1073"/>
    <x v="2"/>
    <x v="1"/>
    <n v="23.7"/>
    <n v="3.5"/>
    <n v="5"/>
    <x v="0"/>
    <x v="2"/>
    <n v="20.100000000000001"/>
  </r>
  <r>
    <n v="20"/>
    <x v="1"/>
    <x v="0"/>
    <m/>
    <n v="1.75"/>
    <n v="193"/>
    <n v="136"/>
    <n v="51"/>
    <n v="0.57999999999999996"/>
    <n v="1218"/>
    <x v="3"/>
    <x v="1"/>
    <n v="28.4"/>
    <n v="3"/>
    <n v="4"/>
    <x v="1"/>
    <x v="2"/>
    <n v="19.66"/>
  </r>
  <r>
    <n v="18"/>
    <x v="1"/>
    <x v="1"/>
    <n v="79.2"/>
    <n v="1.66"/>
    <n v="176"/>
    <n v="154"/>
    <n v="72"/>
    <n v="1.58"/>
    <n v="1493"/>
    <x v="0"/>
    <x v="1"/>
    <n v="18.100000000000001"/>
    <n v="2.2999999999999998"/>
    <n v="3"/>
    <x v="1"/>
    <x v="0"/>
    <n v="14.27"/>
  </r>
  <r>
    <n v="18"/>
    <x v="1"/>
    <x v="1"/>
    <n v="73.8"/>
    <n v="1.75"/>
    <n v="187"/>
    <n v="149"/>
    <n v="74"/>
    <n v="1.64"/>
    <n v="1065"/>
    <x v="2"/>
    <x v="1"/>
    <n v="17.7"/>
    <n v="2.4"/>
    <n v="3"/>
    <x v="1"/>
    <x v="0"/>
    <n v="17.79"/>
  </r>
  <r>
    <n v="33"/>
    <x v="0"/>
    <x v="0"/>
    <n v="66.3"/>
    <n v="1.76"/>
    <n v="164"/>
    <n v="120"/>
    <n v="74"/>
    <n v="1.44"/>
    <n v="419"/>
    <x v="4"/>
    <x v="1"/>
    <n v="25.4"/>
    <n v="2.6"/>
    <n v="3"/>
    <x v="2"/>
    <x v="2"/>
    <n v="20.67"/>
  </r>
  <r>
    <n v="27"/>
    <x v="0"/>
    <x v="1"/>
    <n v="72.8"/>
    <n v="1.82"/>
    <n v="162"/>
    <n v="136"/>
    <n v="57"/>
    <n v="1.23"/>
    <n v="780"/>
    <x v="2"/>
    <x v="0"/>
    <n v="11.4"/>
    <n v="3.5"/>
    <n v="4"/>
    <x v="2"/>
    <x v="2"/>
    <n v="22.59"/>
  </r>
  <r>
    <n v="38"/>
    <x v="3"/>
    <x v="1"/>
    <n v="50"/>
    <n v="1.75"/>
    <n v="186"/>
    <n v="135"/>
    <n v="59"/>
    <n v="2"/>
    <n v="695"/>
    <x v="0"/>
    <x v="1"/>
    <n v="23.4"/>
    <n v="1.6"/>
    <n v="4"/>
    <x v="1"/>
    <x v="3"/>
    <n v="49.84"/>
  </r>
  <r>
    <n v="29"/>
    <x v="0"/>
    <x v="0"/>
    <n v="93.5"/>
    <n v="1.85"/>
    <n v="166"/>
    <n v="167"/>
    <n v="74"/>
    <n v="1.01"/>
    <n v="670"/>
    <x v="1"/>
    <x v="3"/>
    <n v="23.2"/>
    <n v="2.6"/>
    <n v="3"/>
    <x v="1"/>
    <x v="2"/>
    <n v="19.829999999999998"/>
  </r>
  <r>
    <n v="54"/>
    <x v="2"/>
    <x v="1"/>
    <n v="84"/>
    <n v="1.94"/>
    <n v="178"/>
    <n v="133"/>
    <n v="53"/>
    <n v="1.47"/>
    <n v="942"/>
    <x v="3"/>
    <x v="2"/>
    <n v="30.7"/>
    <n v="1.5"/>
    <n v="4"/>
    <x v="1"/>
    <x v="0"/>
    <n v="16.61"/>
  </r>
  <r>
    <n v="37"/>
    <x v="3"/>
    <x v="0"/>
    <n v="55.3"/>
    <n v="1.73"/>
    <n v="183"/>
    <n v="134"/>
    <n v="51"/>
    <n v="1.1000000000000001"/>
    <n v="976"/>
    <x v="3"/>
    <x v="2"/>
    <n v="31.3"/>
    <n v="2.8"/>
    <n v="2"/>
    <x v="0"/>
    <x v="0"/>
    <n v="16.260000000000002"/>
  </r>
  <r>
    <n v="21"/>
    <x v="1"/>
    <x v="1"/>
    <n v="66.599999999999994"/>
    <n v="1.85"/>
    <n v="189"/>
    <n v="121"/>
    <n v="56"/>
    <n v="0.88"/>
    <n v="993"/>
    <x v="2"/>
    <x v="3"/>
    <n v="13.9"/>
    <n v="3.4"/>
    <n v="5"/>
    <x v="1"/>
    <x v="0"/>
    <n v="12.32"/>
  </r>
  <r>
    <n v="21"/>
    <x v="1"/>
    <x v="2"/>
    <n v="65.8"/>
    <n v="1.62"/>
    <n v="172"/>
    <n v="127"/>
    <n v="62"/>
    <n v="1.35"/>
    <n v="1307"/>
    <x v="1"/>
    <x v="1"/>
    <n v="26"/>
    <n v="3.4"/>
    <n v="3"/>
    <x v="1"/>
    <x v="0"/>
    <n v="15.3"/>
  </r>
  <r>
    <n v="26"/>
    <x v="0"/>
    <x v="0"/>
    <n v="59.8"/>
    <n v="1.6"/>
    <n v="180"/>
    <n v="151"/>
    <n v="58"/>
    <n v="1.2"/>
    <n v="611"/>
    <x v="2"/>
    <x v="0"/>
    <n v="16.399999999999999"/>
    <n v="2.5"/>
    <n v="3"/>
    <x v="2"/>
    <x v="0"/>
    <n v="12.63"/>
  </r>
  <r>
    <n v="42"/>
    <x v="3"/>
    <x v="0"/>
    <n v="80.3"/>
    <n v="1.94"/>
    <n v="192"/>
    <n v="169"/>
    <n v="52"/>
    <n v="1.72"/>
    <n v="753"/>
    <x v="3"/>
    <x v="1"/>
    <n v="24.6"/>
    <n v="3.5"/>
    <n v="5"/>
    <x v="0"/>
    <x v="1"/>
    <n v="33.99"/>
  </r>
  <r>
    <n v="31"/>
    <x v="0"/>
    <x v="0"/>
    <n v="129.9"/>
    <n v="1.7"/>
    <n v="190"/>
    <n v="169"/>
    <n v="69"/>
    <n v="1.38"/>
    <n v="735"/>
    <x v="0"/>
    <x v="0"/>
    <n v="10"/>
    <n v="2.1"/>
    <n v="3"/>
    <x v="2"/>
    <x v="0"/>
    <n v="16.07"/>
  </r>
  <r>
    <n v="50"/>
    <x v="2"/>
    <x v="0"/>
    <n v="40"/>
    <n v="1.75"/>
    <n v="162"/>
    <n v="169"/>
    <n v="55"/>
    <n v="2"/>
    <n v="1449"/>
    <x v="3"/>
    <x v="2"/>
    <n v="31.7"/>
    <n v="3.5"/>
    <n v="4"/>
    <x v="2"/>
    <x v="4"/>
    <n v="28.18"/>
  </r>
  <r>
    <n v="51"/>
    <x v="2"/>
    <x v="0"/>
    <n v="91.7"/>
    <n v="1.72"/>
    <n v="168"/>
    <n v="137"/>
    <n v="58"/>
    <n v="0.86"/>
    <n v="1529"/>
    <x v="1"/>
    <x v="0"/>
    <n v="10"/>
    <n v="1.7"/>
    <m/>
    <x v="1"/>
    <x v="0"/>
    <n v="14.15"/>
  </r>
  <r>
    <n v="18"/>
    <x v="1"/>
    <x v="1"/>
    <n v="64.8"/>
    <n v="1.82"/>
    <n v="169"/>
    <n v="156"/>
    <n v="69"/>
    <n v="1.93"/>
    <n v="1516"/>
    <x v="0"/>
    <x v="1"/>
    <n v="21.9"/>
    <n v="3.5"/>
    <n v="3"/>
    <x v="0"/>
    <x v="0"/>
    <n v="17.690000000000001"/>
  </r>
  <r>
    <n v="54"/>
    <x v="2"/>
    <x v="1"/>
    <n v="60.1"/>
    <n v="1.63"/>
    <n v="174"/>
    <n v="159"/>
    <n v="72"/>
    <n v="0.52"/>
    <n v="893"/>
    <x v="1"/>
    <x v="1"/>
    <n v="18.399999999999999"/>
    <n v="3.6"/>
    <n v="4"/>
    <x v="1"/>
    <x v="2"/>
    <n v="20.56"/>
  </r>
  <r>
    <n v="38"/>
    <x v="3"/>
    <x v="0"/>
    <n v="59"/>
    <m/>
    <n v="169"/>
    <n v="134"/>
    <n v="67"/>
    <n v="1.36"/>
    <n v="1783"/>
    <x v="3"/>
    <x v="1"/>
    <n v="24.5"/>
    <n v="2.4"/>
    <n v="3"/>
    <x v="1"/>
    <x v="0"/>
    <n v="12.32"/>
  </r>
  <r>
    <n v="37"/>
    <x v="3"/>
    <x v="1"/>
    <n v="46.3"/>
    <n v="1.69"/>
    <n v="181"/>
    <n v="141"/>
    <n v="67"/>
    <n v="1.64"/>
    <n v="1445"/>
    <x v="0"/>
    <x v="1"/>
    <n v="20.7"/>
    <n v="2.5"/>
    <n v="4"/>
    <x v="0"/>
    <x v="2"/>
    <n v="19.11"/>
  </r>
  <r>
    <n v="21"/>
    <x v="1"/>
    <x v="1"/>
    <n v="66.900000000000006"/>
    <n v="1.69"/>
    <n v="197"/>
    <n v="149"/>
    <n v="74"/>
    <n v="1.37"/>
    <n v="872"/>
    <x v="3"/>
    <x v="3"/>
    <n v="16.600000000000001"/>
    <n v="2.6"/>
    <n v="5"/>
    <x v="0"/>
    <x v="1"/>
    <n v="33.07"/>
  </r>
  <r>
    <n v="19"/>
    <x v="1"/>
    <x v="0"/>
    <n v="40"/>
    <n v="1.93"/>
    <n v="167"/>
    <n v="158"/>
    <n v="74"/>
    <n v="1.19"/>
    <n v="1265"/>
    <x v="3"/>
    <x v="1"/>
    <n v="24.7"/>
    <n v="2.6"/>
    <n v="4"/>
    <x v="2"/>
    <x v="0"/>
    <n v="12.32"/>
  </r>
  <r>
    <n v="32"/>
    <x v="0"/>
    <x v="0"/>
    <n v="79"/>
    <n v="1.6"/>
    <n v="165"/>
    <n v="149"/>
    <n v="18"/>
    <n v="1.59"/>
    <n v="1245"/>
    <x v="3"/>
    <x v="0"/>
    <m/>
    <n v="2.2000000000000002"/>
    <n v="3"/>
    <x v="0"/>
    <x v="2"/>
    <n v="18.690000000000001"/>
  </r>
  <r>
    <n v="36"/>
    <x v="3"/>
    <x v="0"/>
    <n v="50.1"/>
    <n v="1.85"/>
    <n v="199"/>
    <n v="140"/>
    <n v="68"/>
    <n v="0.91"/>
    <n v="1243"/>
    <x v="0"/>
    <x v="1"/>
    <n v="30.7"/>
    <n v="2.8"/>
    <n v="4"/>
    <x v="0"/>
    <x v="4"/>
    <n v="25.82"/>
  </r>
  <r>
    <n v="23"/>
    <x v="1"/>
    <x v="1"/>
    <n v="71.3"/>
    <n v="1.77"/>
    <n v="171"/>
    <n v="134"/>
    <n v="50"/>
    <n v="1.34"/>
    <n v="1239"/>
    <x v="1"/>
    <x v="2"/>
    <n v="35"/>
    <n v="2.5"/>
    <n v="3"/>
    <x v="2"/>
    <x v="0"/>
    <n v="18.170000000000002"/>
  </r>
  <r>
    <n v="45"/>
    <x v="2"/>
    <x v="2"/>
    <n v="68.3"/>
    <n v="1.75"/>
    <n v="185"/>
    <n v="133"/>
    <n v="65"/>
    <n v="1.31"/>
    <n v="1595"/>
    <x v="4"/>
    <x v="1"/>
    <n v="29.1"/>
    <n v="2.5"/>
    <n v="4"/>
    <x v="0"/>
    <x v="0"/>
    <n v="13.23"/>
  </r>
  <r>
    <n v="39"/>
    <x v="3"/>
    <x v="0"/>
    <n v="66.8"/>
    <n v="1.61"/>
    <n v="177"/>
    <n v="127"/>
    <n v="59"/>
    <n v="1.64"/>
    <n v="770"/>
    <x v="3"/>
    <x v="1"/>
    <n v="28"/>
    <n v="3.1"/>
    <n v="4"/>
    <x v="1"/>
    <x v="0"/>
    <n v="17.16"/>
  </r>
  <r>
    <n v="45"/>
    <x v="2"/>
    <x v="1"/>
    <n v="53.9"/>
    <n v="1.68"/>
    <n v="169"/>
    <n v="141"/>
    <n v="71"/>
    <n v="1.59"/>
    <n v="1031"/>
    <x v="3"/>
    <x v="1"/>
    <n v="19.2"/>
    <n v="2.1"/>
    <n v="3"/>
    <x v="2"/>
    <x v="2"/>
    <n v="20.62"/>
  </r>
  <r>
    <n v="33"/>
    <x v="0"/>
    <x v="0"/>
    <n v="97.1"/>
    <n v="1.86"/>
    <n v="166"/>
    <n v="127"/>
    <n v="72"/>
    <n v="1.39"/>
    <n v="1783"/>
    <x v="2"/>
    <x v="0"/>
    <n v="11"/>
    <n v="1.5"/>
    <n v="4"/>
    <x v="1"/>
    <x v="0"/>
    <n v="16.27"/>
  </r>
  <r>
    <n v="27"/>
    <x v="0"/>
    <x v="0"/>
    <n v="40"/>
    <n v="1.57"/>
    <n v="178"/>
    <n v="169"/>
    <n v="52"/>
    <n v="1.32"/>
    <n v="949"/>
    <x v="0"/>
    <x v="1"/>
    <n v="28.4"/>
    <n v="3.1"/>
    <n v="3"/>
    <x v="0"/>
    <x v="2"/>
    <n v="21.11"/>
  </r>
  <r>
    <n v="37"/>
    <x v="3"/>
    <x v="1"/>
    <n v="62.1"/>
    <n v="1.85"/>
    <n v="196"/>
    <n v="151"/>
    <n v="64"/>
    <n v="1.28"/>
    <n v="943"/>
    <x v="2"/>
    <x v="2"/>
    <n v="26.7"/>
    <n v="3.3"/>
    <n v="4"/>
    <x v="1"/>
    <x v="2"/>
    <n v="20.37"/>
  </r>
  <r>
    <n v="28"/>
    <x v="0"/>
    <x v="1"/>
    <n v="60.7"/>
    <n v="1.73"/>
    <n v="198"/>
    <n v="124"/>
    <n v="70"/>
    <n v="1.34"/>
    <n v="1212"/>
    <x v="1"/>
    <x v="1"/>
    <n v="24.8"/>
    <n v="2"/>
    <n v="2"/>
    <x v="1"/>
    <x v="2"/>
    <n v="20.21"/>
  </r>
  <r>
    <n v="18"/>
    <x v="1"/>
    <x v="1"/>
    <n v="46.9"/>
    <n v="1.84"/>
    <n v="185"/>
    <n v="147"/>
    <n v="65"/>
    <n v="1.29"/>
    <n v="1040"/>
    <x v="2"/>
    <x v="1"/>
    <n v="21.8"/>
    <n v="1.7"/>
    <n v="3"/>
    <x v="1"/>
    <x v="0"/>
    <n v="13"/>
  </r>
  <r>
    <n v="18"/>
    <x v="1"/>
    <x v="0"/>
    <n v="90.8"/>
    <n v="1.66"/>
    <n v="182"/>
    <n v="134"/>
    <n v="56"/>
    <n v="1.77"/>
    <n v="990"/>
    <x v="3"/>
    <x v="0"/>
    <n v="10"/>
    <n v="1.8"/>
    <n v="4"/>
    <x v="0"/>
    <x v="2"/>
    <n v="22.03"/>
  </r>
  <r>
    <n v="24"/>
    <x v="1"/>
    <x v="0"/>
    <n v="44"/>
    <n v="1.79"/>
    <n v="193"/>
    <n v="164"/>
    <n v="62"/>
    <n v="1.84"/>
    <n v="622"/>
    <x v="0"/>
    <x v="1"/>
    <n v="26.3"/>
    <n v="3.5"/>
    <n v="4"/>
    <x v="0"/>
    <x v="0"/>
    <n v="14.27"/>
  </r>
  <r>
    <n v="27"/>
    <x v="0"/>
    <x v="0"/>
    <n v="75.099999999999994"/>
    <n v="1.86"/>
    <n v="175"/>
    <n v="165"/>
    <n v="70"/>
    <n v="1.29"/>
    <n v="765"/>
    <x v="4"/>
    <x v="1"/>
    <n v="27"/>
    <n v="3.5"/>
    <n v="4"/>
    <x v="0"/>
    <x v="0"/>
    <n v="14.22"/>
  </r>
  <r>
    <n v="23"/>
    <x v="1"/>
    <x v="0"/>
    <n v="74.2"/>
    <n v="1.71"/>
    <n v="199"/>
    <n v="150"/>
    <n v="57"/>
    <n v="1.05"/>
    <n v="1166"/>
    <x v="1"/>
    <x v="2"/>
    <n v="34.5"/>
    <n v="3.3"/>
    <m/>
    <x v="1"/>
    <x v="0"/>
    <n v="12.32"/>
  </r>
  <r>
    <n v="23"/>
    <x v="1"/>
    <x v="0"/>
    <n v="58.2"/>
    <n v="1.85"/>
    <n v="196"/>
    <n v="130"/>
    <n v="57"/>
    <n v="1.36"/>
    <n v="582"/>
    <x v="2"/>
    <x v="1"/>
    <n v="25.7"/>
    <n v="1.5"/>
    <n v="4"/>
    <x v="1"/>
    <x v="1"/>
    <n v="35.08"/>
  </r>
  <r>
    <n v="25"/>
    <x v="0"/>
    <x v="0"/>
    <n v="65.900000000000006"/>
    <m/>
    <n v="180"/>
    <n v="151"/>
    <n v="56"/>
    <n v="1.66"/>
    <n v="825"/>
    <x v="1"/>
    <x v="0"/>
    <n v="10"/>
    <n v="2.5"/>
    <m/>
    <x v="1"/>
    <x v="0"/>
    <n v="15.58"/>
  </r>
  <r>
    <n v="23"/>
    <x v="1"/>
    <x v="0"/>
    <n v="78.7"/>
    <n v="1.68"/>
    <n v="191"/>
    <n v="132"/>
    <n v="70"/>
    <n v="1.28"/>
    <n v="1319"/>
    <x v="4"/>
    <x v="3"/>
    <n v="21.1"/>
    <n v="3.5"/>
    <n v="2"/>
    <x v="0"/>
    <x v="2"/>
    <n v="20.39"/>
  </r>
  <r>
    <n v="43"/>
    <x v="3"/>
    <x v="1"/>
    <n v="74.2"/>
    <n v="1.76"/>
    <n v="188"/>
    <n v="141"/>
    <n v="68"/>
    <n v="0.98"/>
    <n v="1426"/>
    <x v="1"/>
    <x v="1"/>
    <n v="21.2"/>
    <n v="3.1"/>
    <n v="2"/>
    <x v="2"/>
    <x v="2"/>
    <n v="20.52"/>
  </r>
  <r>
    <n v="18"/>
    <x v="1"/>
    <x v="1"/>
    <n v="56.1"/>
    <n v="2"/>
    <n v="180"/>
    <n v="120"/>
    <n v="57"/>
    <n v="1.04"/>
    <n v="1461"/>
    <x v="2"/>
    <x v="2"/>
    <n v="27.4"/>
    <n v="2"/>
    <n v="5"/>
    <x v="0"/>
    <x v="0"/>
    <n v="12.32"/>
  </r>
  <r>
    <n v="45"/>
    <x v="2"/>
    <x v="0"/>
    <n v="42.1"/>
    <n v="1.86"/>
    <n v="194"/>
    <n v="129"/>
    <n v="74"/>
    <n v="0.91"/>
    <n v="1176"/>
    <x v="0"/>
    <x v="3"/>
    <n v="22.1"/>
    <n v="3.6"/>
    <n v="5"/>
    <x v="1"/>
    <x v="1"/>
    <n v="33"/>
  </r>
  <r>
    <n v="18"/>
    <x v="1"/>
    <x v="1"/>
    <n v="40"/>
    <n v="1.73"/>
    <n v="168"/>
    <n v="121"/>
    <n v="73"/>
    <n v="0.64"/>
    <n v="1153"/>
    <x v="2"/>
    <x v="2"/>
    <n v="29.9"/>
    <n v="3.1"/>
    <n v="2"/>
    <x v="2"/>
    <x v="2"/>
    <n v="18.62"/>
  </r>
  <r>
    <n v="18"/>
    <x v="1"/>
    <x v="1"/>
    <n v="40"/>
    <n v="1.85"/>
    <n v="175"/>
    <n v="144"/>
    <n v="51"/>
    <n v="2"/>
    <n v="1318"/>
    <x v="4"/>
    <x v="2"/>
    <n v="32.700000000000003"/>
    <n v="2"/>
    <n v="4"/>
    <x v="0"/>
    <x v="2"/>
    <n v="21.16"/>
  </r>
  <r>
    <n v="20"/>
    <x v="1"/>
    <x v="1"/>
    <m/>
    <n v="1.81"/>
    <n v="171"/>
    <n v="168"/>
    <n v="74"/>
    <n v="0.75"/>
    <n v="793"/>
    <x v="0"/>
    <x v="1"/>
    <n v="24.4"/>
    <n v="2.1"/>
    <n v="3"/>
    <x v="0"/>
    <x v="2"/>
    <n v="22.57"/>
  </r>
  <r>
    <n v="22"/>
    <x v="1"/>
    <x v="0"/>
    <n v="40"/>
    <n v="1.75"/>
    <n v="181"/>
    <n v="155"/>
    <n v="50"/>
    <n v="2"/>
    <n v="998"/>
    <x v="0"/>
    <x v="1"/>
    <n v="27"/>
    <n v="1.8"/>
    <m/>
    <x v="1"/>
    <x v="0"/>
    <n v="12.82"/>
  </r>
  <r>
    <n v="28"/>
    <x v="0"/>
    <x v="0"/>
    <n v="107.7"/>
    <n v="1.99"/>
    <n v="188"/>
    <n v="129"/>
    <n v="55"/>
    <n v="2"/>
    <n v="1127"/>
    <x v="3"/>
    <x v="0"/>
    <n v="10"/>
    <n v="2"/>
    <n v="2"/>
    <x v="1"/>
    <x v="0"/>
    <n v="17.86"/>
  </r>
  <r>
    <n v="18"/>
    <x v="1"/>
    <x v="0"/>
    <n v="40"/>
    <n v="1.8"/>
    <n v="196"/>
    <n v="120"/>
    <n v="70"/>
    <n v="2"/>
    <n v="979"/>
    <x v="1"/>
    <x v="0"/>
    <n v="10"/>
    <n v="2.6"/>
    <n v="4"/>
    <x v="1"/>
    <x v="2"/>
    <n v="20.059999999999999"/>
  </r>
  <r>
    <n v="57"/>
    <x v="4"/>
    <x v="0"/>
    <n v="70"/>
    <n v="1.81"/>
    <n v="167"/>
    <n v="154"/>
    <n v="53"/>
    <n v="1.3"/>
    <n v="1149"/>
    <x v="3"/>
    <x v="1"/>
    <n v="26.6"/>
    <n v="1.5"/>
    <n v="3"/>
    <x v="2"/>
    <x v="0"/>
    <n v="12.32"/>
  </r>
  <r>
    <n v="55"/>
    <x v="4"/>
    <x v="0"/>
    <n v="63.2"/>
    <n v="1.59"/>
    <n v="161"/>
    <n v="168"/>
    <n v="69"/>
    <n v="1.49"/>
    <n v="1094"/>
    <x v="3"/>
    <x v="0"/>
    <n v="19"/>
    <n v="3.6"/>
    <n v="3"/>
    <x v="0"/>
    <x v="0"/>
    <n v="17.45"/>
  </r>
  <r>
    <n v="50"/>
    <x v="2"/>
    <x v="1"/>
    <n v="69.599999999999994"/>
    <n v="1.71"/>
    <n v="167"/>
    <n v="169"/>
    <n v="57"/>
    <n v="0.98"/>
    <n v="470"/>
    <x v="3"/>
    <x v="2"/>
    <n v="27.2"/>
    <n v="2.7"/>
    <n v="2"/>
    <x v="0"/>
    <x v="2"/>
    <n v="20.420000000000002"/>
  </r>
  <r>
    <n v="32"/>
    <x v="0"/>
    <x v="1"/>
    <n v="57"/>
    <n v="1.76"/>
    <n v="170"/>
    <n v="160"/>
    <n v="71"/>
    <n v="1.82"/>
    <n v="904"/>
    <x v="0"/>
    <x v="2"/>
    <n v="30.9"/>
    <n v="3.3"/>
    <n v="4"/>
    <x v="2"/>
    <x v="0"/>
    <n v="16.010000000000002"/>
  </r>
  <r>
    <n v="20"/>
    <x v="1"/>
    <x v="0"/>
    <n v="75.8"/>
    <n v="1.87"/>
    <n v="160"/>
    <n v="163"/>
    <n v="63"/>
    <n v="2"/>
    <n v="988"/>
    <x v="2"/>
    <x v="3"/>
    <n v="23.5"/>
    <n v="2.7"/>
    <n v="4"/>
    <x v="2"/>
    <x v="0"/>
    <n v="12.32"/>
  </r>
  <r>
    <n v="18"/>
    <x v="1"/>
    <x v="1"/>
    <n v="54.7"/>
    <n v="1.6"/>
    <n v="167"/>
    <n v="156"/>
    <n v="57"/>
    <n v="1.63"/>
    <n v="1134"/>
    <x v="3"/>
    <x v="1"/>
    <n v="22.7"/>
    <n v="3.4"/>
    <n v="4"/>
    <x v="0"/>
    <x v="0"/>
    <n v="15.86"/>
  </r>
  <r>
    <n v="30"/>
    <x v="0"/>
    <x v="1"/>
    <n v="62.2"/>
    <n v="1.69"/>
    <n v="164"/>
    <n v="134"/>
    <n v="67"/>
    <n v="1.24"/>
    <n v="1783"/>
    <x v="1"/>
    <x v="2"/>
    <n v="30.3"/>
    <n v="3.2"/>
    <n v="3"/>
    <x v="0"/>
    <x v="4"/>
    <n v="25.59"/>
  </r>
  <r>
    <n v="18"/>
    <x v="1"/>
    <x v="1"/>
    <n v="97.5"/>
    <n v="2"/>
    <n v="169"/>
    <n v="159"/>
    <n v="68"/>
    <n v="1.17"/>
    <n v="782"/>
    <x v="0"/>
    <x v="1"/>
    <n v="24.8"/>
    <n v="1.8"/>
    <n v="2"/>
    <x v="1"/>
    <x v="3"/>
    <n v="42.88"/>
  </r>
  <r>
    <n v="31"/>
    <x v="0"/>
    <x v="0"/>
    <n v="51"/>
    <n v="1.56"/>
    <n v="193"/>
    <n v="140"/>
    <n v="64"/>
    <n v="1.41"/>
    <n v="1347"/>
    <x v="1"/>
    <x v="1"/>
    <n v="28.6"/>
    <n v="3.5"/>
    <n v="2"/>
    <x v="0"/>
    <x v="4"/>
    <n v="25.42"/>
  </r>
  <r>
    <n v="18"/>
    <x v="1"/>
    <x v="1"/>
    <n v="50.6"/>
    <n v="1.89"/>
    <n v="189"/>
    <n v="130"/>
    <n v="66"/>
    <m/>
    <n v="1278"/>
    <x v="2"/>
    <x v="2"/>
    <n v="28.5"/>
    <n v="3.7"/>
    <n v="4"/>
    <x v="0"/>
    <x v="4"/>
    <n v="27.87"/>
  </r>
  <r>
    <n v="31"/>
    <x v="0"/>
    <x v="0"/>
    <n v="71"/>
    <n v="1.81"/>
    <n v="199"/>
    <n v="158"/>
    <n v="68"/>
    <n v="1.87"/>
    <n v="1228"/>
    <x v="0"/>
    <x v="1"/>
    <n v="29.6"/>
    <n v="2.7"/>
    <n v="2"/>
    <x v="0"/>
    <x v="0"/>
    <n v="14.52"/>
  </r>
  <r>
    <n v="28"/>
    <x v="0"/>
    <x v="0"/>
    <n v="70"/>
    <n v="1.74"/>
    <n v="198"/>
    <n v="169"/>
    <n v="69"/>
    <n v="2"/>
    <n v="1468"/>
    <x v="1"/>
    <x v="1"/>
    <n v="28.4"/>
    <n v="2.8"/>
    <n v="4"/>
    <x v="0"/>
    <x v="2"/>
    <n v="21.91"/>
  </r>
  <r>
    <n v="23"/>
    <x v="1"/>
    <x v="1"/>
    <n v="57.8"/>
    <n v="1.87"/>
    <n v="172"/>
    <n v="142"/>
    <n v="54"/>
    <n v="1.46"/>
    <n v="1741"/>
    <x v="4"/>
    <x v="2"/>
    <n v="28.7"/>
    <n v="3.5"/>
    <n v="3"/>
    <x v="0"/>
    <x v="0"/>
    <n v="13.33"/>
  </r>
  <r>
    <n v="48"/>
    <x v="2"/>
    <x v="1"/>
    <n v="67.3"/>
    <n v="1.61"/>
    <n v="173"/>
    <n v="139"/>
    <n v="59"/>
    <n v="0.86"/>
    <n v="659"/>
    <x v="1"/>
    <x v="1"/>
    <n v="20.5"/>
    <n v="2.7"/>
    <n v="3"/>
    <x v="3"/>
    <x v="0"/>
    <n v="18.23"/>
  </r>
  <r>
    <n v="52"/>
    <x v="2"/>
    <x v="0"/>
    <n v="73.5"/>
    <n v="1.78"/>
    <n v="181"/>
    <n v="162"/>
    <n v="67"/>
    <n v="2"/>
    <n v="1325"/>
    <x v="3"/>
    <x v="3"/>
    <n v="21.1"/>
    <n v="2.2999999999999998"/>
    <n v="3"/>
    <x v="2"/>
    <x v="0"/>
    <n v="18.079999999999998"/>
  </r>
  <r>
    <n v="18"/>
    <x v="1"/>
    <x v="1"/>
    <n v="94.7"/>
    <n v="1.52"/>
    <n v="161"/>
    <n v="141"/>
    <n v="66"/>
    <n v="1.4"/>
    <n v="1446"/>
    <x v="3"/>
    <x v="3"/>
    <n v="16.7"/>
    <n v="2.6"/>
    <n v="3"/>
    <x v="0"/>
    <x v="2"/>
    <n v="22.4"/>
  </r>
  <r>
    <n v="47"/>
    <x v="2"/>
    <x v="1"/>
    <n v="40"/>
    <n v="1.89"/>
    <n v="177"/>
    <n v="139"/>
    <n v="69"/>
    <n v="1.3"/>
    <n v="902"/>
    <x v="2"/>
    <x v="2"/>
    <n v="26.7"/>
    <n v="3.3"/>
    <n v="3"/>
    <x v="2"/>
    <x v="4"/>
    <n v="26.2"/>
  </r>
  <r>
    <n v="54"/>
    <x v="2"/>
    <x v="0"/>
    <n v="63.5"/>
    <n v="1.51"/>
    <n v="192"/>
    <n v="147"/>
    <n v="70"/>
    <n v="1.23"/>
    <n v="526"/>
    <x v="3"/>
    <x v="1"/>
    <n v="28.3"/>
    <n v="2.2000000000000002"/>
    <m/>
    <x v="2"/>
    <x v="0"/>
    <n v="17.05"/>
  </r>
  <r>
    <n v="22"/>
    <x v="1"/>
    <x v="0"/>
    <n v="60.1"/>
    <n v="1.71"/>
    <n v="198"/>
    <n v="161"/>
    <n v="70"/>
    <n v="1.04"/>
    <n v="533"/>
    <x v="2"/>
    <x v="0"/>
    <n v="10.3"/>
    <n v="3.4"/>
    <n v="5"/>
    <x v="1"/>
    <x v="4"/>
    <n v="26.74"/>
  </r>
  <r>
    <n v="43"/>
    <x v="3"/>
    <x v="1"/>
    <n v="70.400000000000006"/>
    <n v="1.62"/>
    <n v="178"/>
    <n v="140"/>
    <n v="66"/>
    <m/>
    <n v="763"/>
    <x v="2"/>
    <x v="2"/>
    <n v="29.1"/>
    <n v="3.4"/>
    <n v="3"/>
    <x v="1"/>
    <x v="0"/>
    <n v="17.91"/>
  </r>
  <r>
    <n v="31"/>
    <x v="0"/>
    <x v="1"/>
    <n v="40"/>
    <n v="1.77"/>
    <n v="181"/>
    <n v="127"/>
    <n v="51"/>
    <n v="0.76"/>
    <n v="1382"/>
    <x v="1"/>
    <x v="3"/>
    <n v="15.3"/>
    <n v="2.6"/>
    <n v="4"/>
    <x v="3"/>
    <x v="0"/>
    <n v="14.09"/>
  </r>
  <r>
    <n v="48"/>
    <x v="2"/>
    <x v="1"/>
    <n v="55.5"/>
    <n v="1.5"/>
    <n v="183"/>
    <n v="133"/>
    <n v="51"/>
    <n v="0.73"/>
    <n v="830"/>
    <x v="1"/>
    <x v="2"/>
    <n v="27.3"/>
    <n v="2.2000000000000002"/>
    <n v="3"/>
    <x v="2"/>
    <x v="1"/>
    <n v="32.42"/>
  </r>
  <r>
    <n v="51"/>
    <x v="2"/>
    <x v="1"/>
    <n v="75.7"/>
    <m/>
    <n v="163"/>
    <n v="147"/>
    <n v="57"/>
    <n v="1.02"/>
    <n v="406"/>
    <x v="0"/>
    <x v="1"/>
    <n v="21.8"/>
    <n v="1.5"/>
    <n v="3"/>
    <x v="2"/>
    <x v="2"/>
    <n v="22.86"/>
  </r>
  <r>
    <n v="23"/>
    <x v="1"/>
    <x v="0"/>
    <n v="95.6"/>
    <n v="1.5"/>
    <n v="196"/>
    <n v="152"/>
    <n v="56"/>
    <n v="0.5"/>
    <n v="639"/>
    <x v="3"/>
    <x v="1"/>
    <n v="25.2"/>
    <n v="3.2"/>
    <n v="2"/>
    <x v="1"/>
    <x v="0"/>
    <n v="13.38"/>
  </r>
  <r>
    <n v="43"/>
    <x v="3"/>
    <x v="1"/>
    <n v="102.5"/>
    <n v="1.79"/>
    <n v="190"/>
    <n v="138"/>
    <n v="69"/>
    <n v="1.54"/>
    <n v="844"/>
    <x v="1"/>
    <x v="1"/>
    <n v="19.7"/>
    <n v="3.7"/>
    <n v="4"/>
    <x v="0"/>
    <x v="0"/>
    <n v="17.07"/>
  </r>
  <r>
    <n v="50"/>
    <x v="2"/>
    <x v="1"/>
    <n v="56.6"/>
    <n v="1.96"/>
    <n v="196"/>
    <n v="169"/>
    <n v="74"/>
    <n v="2"/>
    <n v="1299"/>
    <x v="0"/>
    <x v="1"/>
    <n v="24.8"/>
    <n v="1.6"/>
    <n v="3"/>
    <x v="0"/>
    <x v="2"/>
    <n v="20.69"/>
  </r>
  <r>
    <n v="30"/>
    <x v="0"/>
    <x v="1"/>
    <n v="40"/>
    <n v="1.67"/>
    <n v="176"/>
    <n v="120"/>
    <n v="55"/>
    <n v="1.39"/>
    <n v="1710"/>
    <x v="1"/>
    <x v="1"/>
    <n v="18.2"/>
    <n v="2.7"/>
    <n v="3"/>
    <x v="1"/>
    <x v="0"/>
    <n v="12.32"/>
  </r>
  <r>
    <n v="25"/>
    <x v="0"/>
    <x v="0"/>
    <n v="74.900000000000006"/>
    <n v="1.66"/>
    <n v="192"/>
    <n v="138"/>
    <n v="58"/>
    <n v="1.73"/>
    <n v="1766"/>
    <x v="2"/>
    <x v="1"/>
    <n v="28.7"/>
    <n v="2.2999999999999998"/>
    <n v="5"/>
    <x v="1"/>
    <x v="0"/>
    <n v="15.98"/>
  </r>
  <r>
    <n v="19"/>
    <x v="1"/>
    <x v="0"/>
    <n v="82.8"/>
    <n v="1.79"/>
    <n v="192"/>
    <n v="127"/>
    <n v="74"/>
    <n v="1.18"/>
    <n v="1140"/>
    <x v="1"/>
    <x v="0"/>
    <n v="10"/>
    <n v="2.4"/>
    <n v="4"/>
    <x v="2"/>
    <x v="2"/>
    <n v="21.95"/>
  </r>
  <r>
    <n v="45"/>
    <x v="2"/>
    <x v="0"/>
    <n v="40"/>
    <n v="1.93"/>
    <n v="177"/>
    <n v="141"/>
    <n v="56"/>
    <n v="1.44"/>
    <m/>
    <x v="0"/>
    <x v="1"/>
    <n v="24"/>
    <n v="3.6"/>
    <n v="4"/>
    <x v="1"/>
    <x v="2"/>
    <n v="23.52"/>
  </r>
  <r>
    <n v="41"/>
    <x v="3"/>
    <x v="0"/>
    <n v="73.3"/>
    <n v="1.71"/>
    <n v="196"/>
    <n v="158"/>
    <n v="56"/>
    <n v="1.36"/>
    <n v="1234"/>
    <x v="0"/>
    <x v="1"/>
    <n v="30.1"/>
    <n v="3.2"/>
    <n v="4"/>
    <x v="2"/>
    <x v="4"/>
    <n v="25.83"/>
  </r>
  <r>
    <n v="53"/>
    <x v="2"/>
    <x v="1"/>
    <n v="55.3"/>
    <n v="1.98"/>
    <n v="177"/>
    <n v="169"/>
    <n v="51"/>
    <n v="0.83"/>
    <n v="1273"/>
    <x v="0"/>
    <x v="3"/>
    <n v="14.7"/>
    <n v="2.1"/>
    <n v="2"/>
    <x v="0"/>
    <x v="2"/>
    <n v="20.9"/>
  </r>
  <r>
    <n v="35"/>
    <x v="3"/>
    <x v="1"/>
    <n v="95.9"/>
    <n v="1.69"/>
    <n v="175"/>
    <n v="129"/>
    <n v="58"/>
    <n v="1.22"/>
    <n v="1674"/>
    <x v="1"/>
    <x v="2"/>
    <n v="27.5"/>
    <n v="2.1"/>
    <n v="3"/>
    <x v="2"/>
    <x v="2"/>
    <n v="24.01"/>
  </r>
  <r>
    <n v="33"/>
    <x v="0"/>
    <x v="1"/>
    <n v="89.6"/>
    <n v="1.62"/>
    <n v="175"/>
    <n v="137"/>
    <n v="56"/>
    <n v="1.0900000000000001"/>
    <n v="906"/>
    <x v="1"/>
    <x v="1"/>
    <n v="23.9"/>
    <n v="1.6"/>
    <n v="3"/>
    <x v="1"/>
    <x v="4"/>
    <n v="25.68"/>
  </r>
  <r>
    <n v="21"/>
    <x v="1"/>
    <x v="1"/>
    <n v="86.3"/>
    <n v="1.86"/>
    <n v="167"/>
    <n v="143"/>
    <n v="73"/>
    <n v="1.26"/>
    <n v="1783"/>
    <x v="1"/>
    <x v="2"/>
    <n v="27.1"/>
    <n v="3.1"/>
    <n v="3"/>
    <x v="0"/>
    <x v="0"/>
    <n v="12.93"/>
  </r>
  <r>
    <n v="27"/>
    <x v="0"/>
    <x v="0"/>
    <n v="71.3"/>
    <m/>
    <n v="168"/>
    <n v="162"/>
    <n v="71"/>
    <n v="1.93"/>
    <n v="1105"/>
    <x v="2"/>
    <x v="1"/>
    <n v="28.9"/>
    <n v="2.7"/>
    <n v="4"/>
    <x v="1"/>
    <x v="0"/>
    <n v="12.32"/>
  </r>
  <r>
    <n v="33"/>
    <x v="0"/>
    <x v="1"/>
    <n v="42.7"/>
    <n v="1.82"/>
    <n v="196"/>
    <n v="145"/>
    <n v="68"/>
    <n v="1.24"/>
    <n v="1436"/>
    <x v="3"/>
    <x v="2"/>
    <n v="26.3"/>
    <n v="3.7"/>
    <n v="4"/>
    <x v="1"/>
    <x v="3"/>
    <n v="42.84"/>
  </r>
  <r>
    <n v="33"/>
    <x v="0"/>
    <x v="0"/>
    <n v="103.3"/>
    <n v="1.72"/>
    <n v="180"/>
    <n v="162"/>
    <n v="58"/>
    <n v="0.66"/>
    <n v="1104"/>
    <x v="3"/>
    <x v="3"/>
    <n v="22.6"/>
    <n v="3.2"/>
    <n v="2"/>
    <x v="1"/>
    <x v="0"/>
    <n v="12.42"/>
  </r>
  <r>
    <n v="33"/>
    <x v="0"/>
    <x v="1"/>
    <n v="76.8"/>
    <n v="1.72"/>
    <n v="193"/>
    <n v="126"/>
    <n v="69"/>
    <n v="1.26"/>
    <n v="790"/>
    <x v="2"/>
    <x v="2"/>
    <n v="31.8"/>
    <n v="3.3"/>
    <n v="4"/>
    <x v="1"/>
    <x v="4"/>
    <n v="25.47"/>
  </r>
  <r>
    <n v="23"/>
    <x v="1"/>
    <x v="0"/>
    <n v="69.099999999999994"/>
    <n v="1.63"/>
    <n v="198"/>
    <n v="138"/>
    <n v="57"/>
    <n v="2"/>
    <n v="1549"/>
    <x v="3"/>
    <x v="3"/>
    <n v="21.4"/>
    <n v="3.3"/>
    <n v="2"/>
    <x v="1"/>
    <x v="1"/>
    <n v="31.27"/>
  </r>
  <r>
    <n v="30"/>
    <x v="0"/>
    <x v="1"/>
    <n v="75.599999999999994"/>
    <n v="1.82"/>
    <n v="196"/>
    <n v="138"/>
    <n v="74"/>
    <n v="1.31"/>
    <n v="925"/>
    <x v="1"/>
    <x v="2"/>
    <n v="32.4"/>
    <n v="3.3"/>
    <n v="3"/>
    <x v="2"/>
    <x v="0"/>
    <n v="15.35"/>
  </r>
  <r>
    <n v="18"/>
    <x v="1"/>
    <x v="0"/>
    <n v="42"/>
    <n v="1.74"/>
    <n v="197"/>
    <n v="120"/>
    <n v="57"/>
    <n v="2"/>
    <n v="1236"/>
    <x v="1"/>
    <x v="1"/>
    <n v="26.6"/>
    <n v="1.5"/>
    <n v="3"/>
    <x v="0"/>
    <x v="2"/>
    <n v="19.62"/>
  </r>
  <r>
    <n v="56"/>
    <x v="4"/>
    <x v="1"/>
    <n v="62.9"/>
    <n v="1.5"/>
    <n v="194"/>
    <n v="153"/>
    <n v="74"/>
    <n v="1.85"/>
    <n v="991"/>
    <x v="3"/>
    <x v="1"/>
    <n v="23.2"/>
    <n v="2.4"/>
    <n v="3"/>
    <x v="0"/>
    <x v="1"/>
    <n v="32.25"/>
  </r>
  <r>
    <n v="22"/>
    <x v="1"/>
    <x v="0"/>
    <n v="53.5"/>
    <n v="1.76"/>
    <n v="194"/>
    <n v="137"/>
    <n v="66"/>
    <n v="2"/>
    <n v="1395"/>
    <x v="0"/>
    <x v="0"/>
    <n v="13.1"/>
    <n v="2.2999999999999998"/>
    <n v="5"/>
    <x v="0"/>
    <x v="0"/>
    <n v="17.16"/>
  </r>
  <r>
    <n v="21"/>
    <x v="1"/>
    <x v="0"/>
    <n v="90.7"/>
    <n v="1.75"/>
    <n v="190"/>
    <n v="135"/>
    <n v="54"/>
    <n v="1.03"/>
    <n v="1155"/>
    <x v="1"/>
    <x v="1"/>
    <n v="28"/>
    <n v="2.2999999999999998"/>
    <n v="3"/>
    <x v="0"/>
    <x v="0"/>
    <n v="12.66"/>
  </r>
  <r>
    <n v="21"/>
    <x v="1"/>
    <x v="1"/>
    <n v="74.7"/>
    <n v="1.59"/>
    <n v="161"/>
    <n v="169"/>
    <n v="74"/>
    <n v="1.08"/>
    <n v="1379"/>
    <x v="3"/>
    <x v="3"/>
    <n v="15.2"/>
    <n v="2.5"/>
    <n v="3"/>
    <x v="0"/>
    <x v="2"/>
    <n v="21.53"/>
  </r>
  <r>
    <n v="50"/>
    <x v="2"/>
    <x v="1"/>
    <n v="82.6"/>
    <n v="1.71"/>
    <n v="164"/>
    <n v="160"/>
    <n v="63"/>
    <n v="1.33"/>
    <n v="1011"/>
    <x v="3"/>
    <x v="1"/>
    <n v="22.4"/>
    <n v="3.6"/>
    <n v="5"/>
    <x v="0"/>
    <x v="0"/>
    <n v="12.32"/>
  </r>
  <r>
    <n v="27"/>
    <x v="0"/>
    <x v="1"/>
    <n v="40"/>
    <n v="1.76"/>
    <n v="183"/>
    <n v="125"/>
    <n v="60"/>
    <n v="1.04"/>
    <n v="1783"/>
    <x v="3"/>
    <x v="1"/>
    <n v="21.9"/>
    <n v="3.3"/>
    <n v="4"/>
    <x v="0"/>
    <x v="0"/>
    <n v="12.32"/>
  </r>
  <r>
    <n v="27"/>
    <x v="0"/>
    <x v="0"/>
    <n v="70.099999999999994"/>
    <n v="1.58"/>
    <n v="169"/>
    <n v="156"/>
    <n v="63"/>
    <n v="0.82"/>
    <n v="797"/>
    <x v="1"/>
    <x v="1"/>
    <n v="28.1"/>
    <n v="3.4"/>
    <n v="3"/>
    <x v="1"/>
    <x v="2"/>
    <n v="24.04"/>
  </r>
  <r>
    <n v="29"/>
    <x v="0"/>
    <x v="0"/>
    <n v="40.200000000000003"/>
    <n v="1.7"/>
    <n v="184"/>
    <n v="152"/>
    <n v="70"/>
    <n v="1.82"/>
    <n v="744"/>
    <x v="0"/>
    <x v="0"/>
    <n v="13.2"/>
    <n v="2.6"/>
    <n v="3"/>
    <x v="0"/>
    <x v="2"/>
    <n v="18.63"/>
  </r>
  <r>
    <n v="19"/>
    <x v="1"/>
    <x v="0"/>
    <n v="76.400000000000006"/>
    <n v="1.79"/>
    <n v="189"/>
    <n v="132"/>
    <n v="57"/>
    <n v="1.41"/>
    <n v="1414"/>
    <x v="2"/>
    <x v="2"/>
    <n v="33.299999999999997"/>
    <n v="3.5"/>
    <n v="3"/>
    <x v="0"/>
    <x v="0"/>
    <n v="14.21"/>
  </r>
  <r>
    <n v="39"/>
    <x v="3"/>
    <x v="1"/>
    <n v="78.5"/>
    <n v="1.59"/>
    <n v="197"/>
    <n v="153"/>
    <n v="71"/>
    <n v="1.88"/>
    <n v="1009"/>
    <x v="3"/>
    <x v="2"/>
    <n v="26"/>
    <n v="3.7"/>
    <n v="5"/>
    <x v="1"/>
    <x v="0"/>
    <n v="16.239999999999998"/>
  </r>
  <r>
    <n v="18"/>
    <x v="1"/>
    <x v="2"/>
    <n v="72.099999999999994"/>
    <n v="1.79"/>
    <n v="194"/>
    <n v="169"/>
    <n v="71"/>
    <n v="1.89"/>
    <n v="716"/>
    <x v="0"/>
    <x v="0"/>
    <n v="16.7"/>
    <n v="3.2"/>
    <n v="2"/>
    <x v="0"/>
    <x v="0"/>
    <n v="12.32"/>
  </r>
  <r>
    <n v="26"/>
    <x v="0"/>
    <x v="1"/>
    <n v="61"/>
    <n v="1.97"/>
    <n v="172"/>
    <n v="140"/>
    <n v="74"/>
    <n v="1.99"/>
    <n v="1298"/>
    <x v="1"/>
    <x v="1"/>
    <n v="21.8"/>
    <n v="2.6"/>
    <m/>
    <x v="0"/>
    <x v="2"/>
    <n v="24.27"/>
  </r>
  <r>
    <n v="20"/>
    <x v="1"/>
    <x v="0"/>
    <n v="82.6"/>
    <n v="1.6"/>
    <n v="174"/>
    <n v="149"/>
    <n v="63"/>
    <n v="2"/>
    <n v="775"/>
    <x v="2"/>
    <x v="3"/>
    <n v="22.9"/>
    <n v="3.3"/>
    <n v="2"/>
    <x v="0"/>
    <x v="0"/>
    <n v="15.06"/>
  </r>
  <r>
    <n v="34"/>
    <x v="0"/>
    <x v="1"/>
    <n v="91.2"/>
    <n v="1.5"/>
    <n v="193"/>
    <n v="165"/>
    <n v="61"/>
    <n v="1.1299999999999999"/>
    <n v="905"/>
    <x v="0"/>
    <x v="1"/>
    <n v="24"/>
    <n v="3.4"/>
    <n v="4"/>
    <x v="1"/>
    <x v="2"/>
    <n v="24.8"/>
  </r>
  <r>
    <n v="18"/>
    <x v="1"/>
    <x v="1"/>
    <n v="64.2"/>
    <n v="1.61"/>
    <n v="167"/>
    <n v="147"/>
    <n v="18"/>
    <n v="1.17"/>
    <n v="1783"/>
    <x v="1"/>
    <x v="2"/>
    <n v="25.9"/>
    <n v="2.1"/>
    <n v="3"/>
    <x v="0"/>
    <x v="0"/>
    <n v="12.83"/>
  </r>
  <r>
    <n v="23"/>
    <x v="1"/>
    <x v="1"/>
    <n v="46.7"/>
    <n v="1.65"/>
    <n v="164"/>
    <n v="159"/>
    <n v="68"/>
    <n v="1.81"/>
    <n v="1563"/>
    <x v="3"/>
    <x v="3"/>
    <n v="15.8"/>
    <n v="2.5"/>
    <n v="4"/>
    <x v="0"/>
    <x v="2"/>
    <n v="19.8"/>
  </r>
  <r>
    <n v="28"/>
    <x v="0"/>
    <x v="0"/>
    <n v="74.2"/>
    <n v="1.5"/>
    <n v="191"/>
    <n v="129"/>
    <n v="72"/>
    <n v="1.77"/>
    <n v="848"/>
    <x v="0"/>
    <x v="0"/>
    <n v="17.3"/>
    <n v="1.5"/>
    <n v="3"/>
    <x v="0"/>
    <x v="2"/>
    <n v="24.11"/>
  </r>
  <r>
    <n v="18"/>
    <x v="1"/>
    <x v="0"/>
    <n v="64"/>
    <n v="1.51"/>
    <n v="176"/>
    <n v="129"/>
    <n v="74"/>
    <n v="1.18"/>
    <n v="992"/>
    <x v="0"/>
    <x v="1"/>
    <n v="26.7"/>
    <n v="3.4"/>
    <n v="5"/>
    <x v="2"/>
    <x v="0"/>
    <n v="14.98"/>
  </r>
  <r>
    <n v="32"/>
    <x v="0"/>
    <x v="1"/>
    <n v="52.8"/>
    <n v="1.61"/>
    <n v="169"/>
    <n v="169"/>
    <n v="70"/>
    <n v="0.88"/>
    <n v="1375"/>
    <x v="0"/>
    <x v="1"/>
    <n v="24.2"/>
    <n v="2.7"/>
    <n v="5"/>
    <x v="1"/>
    <x v="0"/>
    <n v="18.100000000000001"/>
  </r>
  <r>
    <n v="26"/>
    <x v="0"/>
    <x v="1"/>
    <m/>
    <n v="1.77"/>
    <n v="164"/>
    <n v="147"/>
    <n v="56"/>
    <n v="1.2"/>
    <n v="1091"/>
    <x v="3"/>
    <x v="2"/>
    <n v="30.8"/>
    <n v="1.6"/>
    <n v="3"/>
    <x v="2"/>
    <x v="2"/>
    <n v="21.49"/>
  </r>
  <r>
    <n v="47"/>
    <x v="2"/>
    <x v="1"/>
    <n v="40"/>
    <n v="1.73"/>
    <n v="170"/>
    <n v="160"/>
    <n v="66"/>
    <n v="1.27"/>
    <n v="1249"/>
    <x v="1"/>
    <x v="1"/>
    <n v="22.8"/>
    <n v="3.6"/>
    <n v="2"/>
    <x v="1"/>
    <x v="4"/>
    <n v="26.91"/>
  </r>
  <r>
    <n v="26"/>
    <x v="0"/>
    <x v="0"/>
    <n v="85.8"/>
    <n v="1.87"/>
    <n v="188"/>
    <n v="162"/>
    <n v="58"/>
    <n v="1.33"/>
    <n v="938"/>
    <x v="2"/>
    <x v="1"/>
    <n v="24.3"/>
    <m/>
    <n v="4"/>
    <x v="0"/>
    <x v="0"/>
    <n v="18.34"/>
  </r>
  <r>
    <n v="19"/>
    <x v="1"/>
    <x v="1"/>
    <n v="40"/>
    <n v="1.59"/>
    <n v="187"/>
    <n v="152"/>
    <n v="73"/>
    <n v="1.52"/>
    <n v="948"/>
    <x v="3"/>
    <x v="2"/>
    <n v="27.1"/>
    <n v="1.6"/>
    <n v="3"/>
    <x v="3"/>
    <x v="0"/>
    <n v="13.85"/>
  </r>
  <r>
    <n v="26"/>
    <x v="0"/>
    <x v="0"/>
    <n v="86.6"/>
    <m/>
    <n v="192"/>
    <n v="120"/>
    <n v="59"/>
    <n v="1.75"/>
    <n v="1102"/>
    <x v="2"/>
    <x v="0"/>
    <n v="19"/>
    <n v="1.8"/>
    <n v="3"/>
    <x v="1"/>
    <x v="0"/>
    <n v="17.940000000000001"/>
  </r>
  <r>
    <n v="39"/>
    <x v="3"/>
    <x v="1"/>
    <n v="70.7"/>
    <n v="1.58"/>
    <n v="189"/>
    <n v="163"/>
    <n v="66"/>
    <n v="1.69"/>
    <n v="1146"/>
    <x v="3"/>
    <x v="1"/>
    <n v="21.9"/>
    <n v="3.2"/>
    <n v="3"/>
    <x v="1"/>
    <x v="2"/>
    <n v="21.17"/>
  </r>
  <r>
    <n v="37"/>
    <x v="3"/>
    <x v="0"/>
    <n v="40"/>
    <n v="1.59"/>
    <n v="190"/>
    <n v="161"/>
    <n v="70"/>
    <n v="1.1599999999999999"/>
    <n v="670"/>
    <x v="4"/>
    <x v="1"/>
    <n v="24.5"/>
    <n v="3.3"/>
    <n v="4"/>
    <x v="0"/>
    <x v="0"/>
    <m/>
  </r>
  <r>
    <n v="19"/>
    <x v="1"/>
    <x v="0"/>
    <n v="66.7"/>
    <n v="1.73"/>
    <n v="172"/>
    <m/>
    <n v="71"/>
    <n v="1.18"/>
    <n v="589"/>
    <x v="2"/>
    <x v="1"/>
    <n v="24.9"/>
    <n v="1.8"/>
    <n v="3"/>
    <x v="1"/>
    <x v="2"/>
    <n v="19.239999999999998"/>
  </r>
  <r>
    <n v="39"/>
    <x v="3"/>
    <x v="0"/>
    <n v="72.099999999999994"/>
    <n v="1.52"/>
    <n v="172"/>
    <n v="151"/>
    <n v="18"/>
    <n v="1.0900000000000001"/>
    <n v="1093"/>
    <x v="2"/>
    <x v="1"/>
    <n v="28.2"/>
    <n v="2.7"/>
    <n v="2"/>
    <x v="1"/>
    <x v="2"/>
    <n v="20.85"/>
  </r>
  <r>
    <n v="53"/>
    <x v="2"/>
    <x v="1"/>
    <n v="80.5"/>
    <n v="1.64"/>
    <n v="173"/>
    <n v="120"/>
    <n v="60"/>
    <n v="1.26"/>
    <n v="735"/>
    <x v="3"/>
    <x v="2"/>
    <n v="26.3"/>
    <m/>
    <n v="4"/>
    <x v="0"/>
    <x v="0"/>
    <n v="12.32"/>
  </r>
  <r>
    <n v="41"/>
    <x v="3"/>
    <x v="1"/>
    <n v="77"/>
    <n v="1.5"/>
    <n v="190"/>
    <n v="146"/>
    <n v="56"/>
    <n v="1.3"/>
    <n v="1067"/>
    <x v="0"/>
    <x v="2"/>
    <n v="27.5"/>
    <n v="3.3"/>
    <n v="4"/>
    <x v="0"/>
    <x v="4"/>
    <n v="26.26"/>
  </r>
  <r>
    <n v="23"/>
    <x v="1"/>
    <x v="1"/>
    <n v="117.8"/>
    <n v="1.88"/>
    <n v="168"/>
    <n v="167"/>
    <n v="55"/>
    <n v="1.35"/>
    <n v="1259"/>
    <x v="0"/>
    <x v="2"/>
    <n v="32.299999999999997"/>
    <n v="1.6"/>
    <n v="3"/>
    <x v="0"/>
    <x v="0"/>
    <n v="14.24"/>
  </r>
  <r>
    <n v="31"/>
    <x v="0"/>
    <x v="0"/>
    <n v="76.2"/>
    <n v="1.64"/>
    <n v="169"/>
    <n v="137"/>
    <n v="72"/>
    <n v="0.74"/>
    <n v="1207"/>
    <x v="0"/>
    <x v="3"/>
    <n v="23.3"/>
    <n v="2.7"/>
    <m/>
    <x v="2"/>
    <x v="3"/>
    <n v="40.630000000000003"/>
  </r>
  <r>
    <n v="50"/>
    <x v="2"/>
    <x v="0"/>
    <n v="57.3"/>
    <n v="1.72"/>
    <n v="197"/>
    <n v="133"/>
    <n v="56"/>
    <n v="2"/>
    <n v="950"/>
    <x v="3"/>
    <x v="0"/>
    <n v="11.1"/>
    <n v="3.2"/>
    <n v="2"/>
    <x v="2"/>
    <x v="2"/>
    <n v="22.6"/>
  </r>
  <r>
    <n v="22"/>
    <x v="1"/>
    <x v="0"/>
    <n v="103.1"/>
    <n v="1.72"/>
    <n v="168"/>
    <n v="166"/>
    <n v="59"/>
    <n v="1.07"/>
    <n v="978"/>
    <x v="2"/>
    <x v="3"/>
    <n v="23.1"/>
    <n v="1.9"/>
    <n v="2"/>
    <x v="0"/>
    <x v="0"/>
    <n v="16.79"/>
  </r>
  <r>
    <n v="29"/>
    <x v="0"/>
    <x v="0"/>
    <n v="77.400000000000006"/>
    <n v="1.69"/>
    <n v="179"/>
    <n v="132"/>
    <n v="74"/>
    <n v="1.1100000000000001"/>
    <n v="712"/>
    <x v="3"/>
    <x v="1"/>
    <n v="27"/>
    <n v="3.5"/>
    <n v="2"/>
    <x v="2"/>
    <x v="0"/>
    <n v="16.23"/>
  </r>
  <r>
    <n v="18"/>
    <x v="1"/>
    <x v="1"/>
    <n v="84.1"/>
    <n v="1.78"/>
    <n v="194"/>
    <n v="145"/>
    <n v="64"/>
    <n v="2"/>
    <n v="686"/>
    <x v="1"/>
    <x v="2"/>
    <n v="30.3"/>
    <n v="3.3"/>
    <n v="3"/>
    <x v="2"/>
    <x v="0"/>
    <n v="14.46"/>
  </r>
  <r>
    <n v="29"/>
    <x v="0"/>
    <x v="1"/>
    <n v="40"/>
    <n v="1.86"/>
    <n v="180"/>
    <n v="169"/>
    <n v="63"/>
    <n v="1.26"/>
    <n v="986"/>
    <x v="3"/>
    <x v="2"/>
    <n v="25.3"/>
    <n v="1.5"/>
    <n v="3"/>
    <x v="1"/>
    <x v="2"/>
    <n v="19.920000000000002"/>
  </r>
  <r>
    <n v="42"/>
    <x v="3"/>
    <x v="1"/>
    <n v="66"/>
    <n v="1.6"/>
    <n v="196"/>
    <n v="159"/>
    <n v="52"/>
    <n v="1.93"/>
    <n v="1042"/>
    <x v="0"/>
    <x v="3"/>
    <n v="16.399999999999999"/>
    <n v="3.5"/>
    <n v="4"/>
    <x v="0"/>
    <x v="0"/>
    <n v="17.809999999999999"/>
  </r>
  <r>
    <n v="51"/>
    <x v="2"/>
    <x v="0"/>
    <n v="84.6"/>
    <n v="1.77"/>
    <n v="197"/>
    <n v="141"/>
    <n v="55"/>
    <n v="1.44"/>
    <n v="543"/>
    <x v="2"/>
    <x v="3"/>
    <n v="23.4"/>
    <n v="2.9"/>
    <n v="5"/>
    <x v="2"/>
    <x v="2"/>
    <n v="24.89"/>
  </r>
  <r>
    <n v="51"/>
    <x v="2"/>
    <x v="1"/>
    <n v="100.7"/>
    <n v="1.75"/>
    <n v="185"/>
    <n v="138"/>
    <n v="73"/>
    <n v="1.5"/>
    <n v="703"/>
    <x v="0"/>
    <x v="2"/>
    <n v="25.5"/>
    <n v="1.8"/>
    <n v="4"/>
    <x v="2"/>
    <x v="0"/>
    <n v="15.9"/>
  </r>
  <r>
    <n v="22"/>
    <x v="1"/>
    <x v="1"/>
    <n v="58.6"/>
    <n v="2"/>
    <n v="165"/>
    <n v="169"/>
    <n v="57"/>
    <n v="2"/>
    <n v="1402"/>
    <x v="0"/>
    <x v="2"/>
    <n v="30"/>
    <n v="3.5"/>
    <n v="4"/>
    <x v="0"/>
    <x v="2"/>
    <n v="20.99"/>
  </r>
  <r>
    <n v="21"/>
    <x v="1"/>
    <x v="0"/>
    <n v="57.4"/>
    <n v="1.74"/>
    <n v="179"/>
    <n v="161"/>
    <n v="73"/>
    <n v="2"/>
    <n v="457"/>
    <x v="2"/>
    <x v="1"/>
    <n v="27.7"/>
    <n v="2.5"/>
    <n v="3"/>
    <x v="1"/>
    <x v="2"/>
    <n v="24.67"/>
  </r>
  <r>
    <n v="21"/>
    <x v="1"/>
    <x v="1"/>
    <n v="69.5"/>
    <n v="1.54"/>
    <n v="167"/>
    <n v="158"/>
    <n v="72"/>
    <n v="1.28"/>
    <n v="1044"/>
    <x v="3"/>
    <x v="2"/>
    <n v="27.9"/>
    <n v="2.9"/>
    <n v="2"/>
    <x v="3"/>
    <x v="0"/>
    <n v="14.68"/>
  </r>
  <r>
    <n v="26"/>
    <x v="0"/>
    <x v="0"/>
    <n v="42.2"/>
    <n v="1.91"/>
    <n v="174"/>
    <n v="127"/>
    <n v="72"/>
    <n v="1.65"/>
    <n v="455"/>
    <x v="0"/>
    <x v="3"/>
    <n v="23.6"/>
    <n v="2.9"/>
    <n v="3"/>
    <x v="0"/>
    <x v="2"/>
    <n v="24.27"/>
  </r>
  <r>
    <n v="18"/>
    <x v="1"/>
    <x v="1"/>
    <n v="61.3"/>
    <n v="1.6"/>
    <n v="191"/>
    <n v="135"/>
    <n v="67"/>
    <n v="1.0900000000000001"/>
    <n v="609"/>
    <x v="4"/>
    <x v="3"/>
    <n v="13.7"/>
    <n v="1.6"/>
    <n v="2"/>
    <x v="2"/>
    <x v="0"/>
    <n v="14.7"/>
  </r>
  <r>
    <n v="18"/>
    <x v="1"/>
    <x v="1"/>
    <n v="66.599999999999994"/>
    <n v="1.62"/>
    <n v="192"/>
    <n v="156"/>
    <n v="58"/>
    <n v="1.3"/>
    <n v="1250"/>
    <x v="1"/>
    <x v="1"/>
    <n v="21.3"/>
    <n v="3.2"/>
    <n v="5"/>
    <x v="1"/>
    <x v="0"/>
    <n v="12.58"/>
  </r>
  <r>
    <n v="37"/>
    <x v="3"/>
    <x v="0"/>
    <n v="94.4"/>
    <n v="1.7"/>
    <n v="193"/>
    <n v="127"/>
    <n v="70"/>
    <n v="1.27"/>
    <n v="1183"/>
    <x v="2"/>
    <x v="0"/>
    <n v="16.399999999999999"/>
    <n v="3.4"/>
    <n v="4"/>
    <x v="1"/>
    <x v="2"/>
    <n v="19.3"/>
  </r>
  <r>
    <n v="45"/>
    <x v="2"/>
    <x v="1"/>
    <n v="111.9"/>
    <n v="1.73"/>
    <n v="177"/>
    <n v="129"/>
    <n v="54"/>
    <n v="0.92"/>
    <n v="1267"/>
    <x v="0"/>
    <x v="1"/>
    <n v="18.3"/>
    <n v="2.6"/>
    <n v="4"/>
    <x v="1"/>
    <x v="0"/>
    <n v="12.32"/>
  </r>
  <r>
    <n v="18"/>
    <x v="1"/>
    <x v="0"/>
    <n v="92"/>
    <n v="1.79"/>
    <n v="199"/>
    <n v="169"/>
    <n v="56"/>
    <n v="1.77"/>
    <n v="1105"/>
    <x v="0"/>
    <x v="0"/>
    <n v="14.4"/>
    <m/>
    <n v="2"/>
    <x v="1"/>
    <x v="2"/>
    <n v="20.25"/>
  </r>
  <r>
    <n v="18"/>
    <x v="1"/>
    <x v="0"/>
    <m/>
    <n v="1.76"/>
    <n v="176"/>
    <n v="167"/>
    <n v="58"/>
    <n v="1.21"/>
    <n v="912"/>
    <x v="0"/>
    <x v="1"/>
    <n v="28.4"/>
    <n v="3.6"/>
    <n v="2"/>
    <x v="0"/>
    <x v="4"/>
    <n v="25.72"/>
  </r>
  <r>
    <n v="51"/>
    <x v="2"/>
    <x v="1"/>
    <n v="61.1"/>
    <n v="1.82"/>
    <n v="165"/>
    <n v="163"/>
    <n v="57"/>
    <n v="1.19"/>
    <n v="1171"/>
    <x v="3"/>
    <x v="2"/>
    <n v="31.7"/>
    <n v="2.5"/>
    <n v="4"/>
    <x v="2"/>
    <x v="3"/>
    <n v="45.75"/>
  </r>
  <r>
    <n v="18"/>
    <x v="1"/>
    <x v="0"/>
    <n v="96"/>
    <n v="1.82"/>
    <n v="198"/>
    <n v="144"/>
    <n v="58"/>
    <n v="1.19"/>
    <n v="323"/>
    <x v="3"/>
    <x v="3"/>
    <n v="23.8"/>
    <n v="1.8"/>
    <n v="3"/>
    <x v="1"/>
    <x v="0"/>
    <n v="12.32"/>
  </r>
  <r>
    <n v="27"/>
    <x v="0"/>
    <x v="0"/>
    <n v="89.7"/>
    <n v="1.67"/>
    <n v="172"/>
    <n v="130"/>
    <n v="64"/>
    <n v="1.46"/>
    <n v="729"/>
    <x v="3"/>
    <x v="1"/>
    <n v="27.7"/>
    <n v="3.4"/>
    <n v="4"/>
    <x v="0"/>
    <x v="0"/>
    <n v="17.559999999999999"/>
  </r>
  <r>
    <n v="34"/>
    <x v="0"/>
    <x v="0"/>
    <n v="61"/>
    <n v="1.69"/>
    <n v="190"/>
    <n v="159"/>
    <n v="63"/>
    <n v="0.99"/>
    <n v="1040"/>
    <x v="1"/>
    <x v="3"/>
    <n v="23.6"/>
    <n v="3.6"/>
    <n v="5"/>
    <x v="2"/>
    <x v="0"/>
    <n v="18.07"/>
  </r>
  <r>
    <n v="31"/>
    <x v="0"/>
    <x v="0"/>
    <n v="75.599999999999994"/>
    <n v="1.57"/>
    <n v="163"/>
    <n v="152"/>
    <n v="71"/>
    <n v="0.96"/>
    <n v="668"/>
    <x v="3"/>
    <x v="1"/>
    <n v="25.8"/>
    <n v="2.2999999999999998"/>
    <n v="4"/>
    <x v="1"/>
    <x v="4"/>
    <n v="26.35"/>
  </r>
  <r>
    <n v="23"/>
    <x v="1"/>
    <x v="0"/>
    <n v="40"/>
    <n v="1.76"/>
    <m/>
    <n v="143"/>
    <n v="71"/>
    <n v="1.08"/>
    <n v="1442"/>
    <x v="3"/>
    <x v="1"/>
    <n v="25.7"/>
    <n v="3.3"/>
    <n v="5"/>
    <x v="2"/>
    <x v="0"/>
    <n v="12.32"/>
  </r>
  <r>
    <n v="54"/>
    <x v="2"/>
    <x v="2"/>
    <n v="46.8"/>
    <n v="1.67"/>
    <n v="181"/>
    <n v="169"/>
    <n v="74"/>
    <n v="1.48"/>
    <m/>
    <x v="0"/>
    <x v="1"/>
    <n v="25.5"/>
    <n v="1.5"/>
    <n v="4"/>
    <x v="1"/>
    <x v="2"/>
    <n v="22.04"/>
  </r>
  <r>
    <n v="19"/>
    <x v="1"/>
    <x v="0"/>
    <n v="90.6"/>
    <n v="1.85"/>
    <n v="187"/>
    <n v="131"/>
    <n v="68"/>
    <n v="1.67"/>
    <n v="607"/>
    <x v="2"/>
    <x v="1"/>
    <n v="27.5"/>
    <n v="3.3"/>
    <n v="2"/>
    <x v="0"/>
    <x v="2"/>
    <n v="19.149999999999999"/>
  </r>
  <r>
    <n v="47"/>
    <x v="2"/>
    <x v="0"/>
    <n v="90.8"/>
    <n v="1.67"/>
    <n v="186"/>
    <n v="120"/>
    <n v="74"/>
    <n v="1.43"/>
    <n v="506"/>
    <x v="0"/>
    <x v="2"/>
    <n v="32"/>
    <n v="2.7"/>
    <n v="3"/>
    <x v="2"/>
    <x v="0"/>
    <n v="18.39"/>
  </r>
  <r>
    <n v="33"/>
    <x v="0"/>
    <x v="0"/>
    <n v="129.9"/>
    <n v="1.69"/>
    <n v="168"/>
    <n v="152"/>
    <n v="74"/>
    <n v="1.61"/>
    <n v="810"/>
    <x v="0"/>
    <x v="1"/>
    <n v="27.5"/>
    <n v="3.5"/>
    <m/>
    <x v="0"/>
    <x v="2"/>
    <n v="23.37"/>
  </r>
  <r>
    <n v="50"/>
    <x v="2"/>
    <x v="0"/>
    <n v="69.3"/>
    <m/>
    <n v="162"/>
    <n v="126"/>
    <n v="62"/>
    <n v="1.33"/>
    <n v="1138"/>
    <x v="0"/>
    <x v="1"/>
    <n v="25.6"/>
    <n v="1.5"/>
    <n v="3"/>
    <x v="1"/>
    <x v="2"/>
    <n v="22.79"/>
  </r>
  <r>
    <n v="19"/>
    <x v="1"/>
    <x v="0"/>
    <n v="40"/>
    <n v="1.77"/>
    <n v="179"/>
    <n v="139"/>
    <n v="74"/>
    <n v="1.22"/>
    <n v="1173"/>
    <x v="3"/>
    <x v="1"/>
    <n v="27.7"/>
    <n v="1.6"/>
    <n v="3"/>
    <x v="2"/>
    <x v="2"/>
    <n v="19.2"/>
  </r>
  <r>
    <n v="27"/>
    <x v="0"/>
    <x v="1"/>
    <n v="112.6"/>
    <n v="1.79"/>
    <n v="174"/>
    <n v="167"/>
    <n v="60"/>
    <n v="0.69"/>
    <n v="1282"/>
    <x v="0"/>
    <x v="2"/>
    <n v="28.6"/>
    <n v="1.5"/>
    <n v="2"/>
    <x v="1"/>
    <x v="2"/>
    <n v="22.96"/>
  </r>
  <r>
    <n v="49"/>
    <x v="2"/>
    <x v="1"/>
    <n v="54.2"/>
    <n v="1.64"/>
    <n v="182"/>
    <n v="147"/>
    <n v="64"/>
    <n v="0.95"/>
    <n v="914"/>
    <x v="4"/>
    <x v="1"/>
    <n v="19"/>
    <n v="3.2"/>
    <n v="2"/>
    <x v="0"/>
    <x v="2"/>
    <n v="23.01"/>
  </r>
  <r>
    <n v="46"/>
    <x v="2"/>
    <x v="1"/>
    <n v="108.9"/>
    <n v="1.86"/>
    <n v="162"/>
    <n v="165"/>
    <n v="74"/>
    <n v="1.42"/>
    <n v="936"/>
    <x v="0"/>
    <x v="1"/>
    <n v="22.2"/>
    <n v="1.9"/>
    <n v="4"/>
    <x v="0"/>
    <x v="4"/>
    <n v="27.29"/>
  </r>
  <r>
    <n v="37"/>
    <x v="3"/>
    <x v="2"/>
    <n v="69.400000000000006"/>
    <n v="1.61"/>
    <n v="173"/>
    <n v="169"/>
    <n v="66"/>
    <n v="1.0900000000000001"/>
    <n v="948"/>
    <x v="0"/>
    <x v="1"/>
    <n v="28.3"/>
    <n v="1.5"/>
    <n v="2"/>
    <x v="1"/>
    <x v="0"/>
    <n v="12.32"/>
  </r>
  <r>
    <n v="52"/>
    <x v="2"/>
    <x v="1"/>
    <n v="40"/>
    <n v="1.6"/>
    <n v="194"/>
    <m/>
    <n v="73"/>
    <n v="1.48"/>
    <n v="1156"/>
    <x v="3"/>
    <x v="1"/>
    <n v="23.4"/>
    <n v="2.2999999999999998"/>
    <n v="4"/>
    <x v="0"/>
    <x v="4"/>
    <n v="27.66"/>
  </r>
  <r>
    <n v="26"/>
    <x v="0"/>
    <x v="1"/>
    <n v="43.2"/>
    <n v="1.8"/>
    <n v="185"/>
    <n v="149"/>
    <n v="52"/>
    <n v="1.87"/>
    <n v="1019"/>
    <x v="1"/>
    <x v="1"/>
    <n v="23.5"/>
    <n v="2.1"/>
    <n v="4"/>
    <x v="0"/>
    <x v="4"/>
    <n v="27.59"/>
  </r>
  <r>
    <n v="45"/>
    <x v="2"/>
    <x v="2"/>
    <n v="68.7"/>
    <n v="1.7"/>
    <n v="179"/>
    <n v="126"/>
    <n v="74"/>
    <n v="1.05"/>
    <n v="1161"/>
    <x v="1"/>
    <x v="3"/>
    <n v="22.9"/>
    <n v="3.1"/>
    <n v="4"/>
    <x v="2"/>
    <x v="2"/>
    <n v="24.13"/>
  </r>
  <r>
    <n v="18"/>
    <x v="1"/>
    <x v="0"/>
    <n v="61.1"/>
    <n v="1.74"/>
    <n v="191"/>
    <n v="159"/>
    <n v="69"/>
    <n v="1.36"/>
    <n v="1311"/>
    <x v="2"/>
    <x v="0"/>
    <n v="15.6"/>
    <n v="3.4"/>
    <n v="2"/>
    <x v="0"/>
    <x v="0"/>
    <n v="16.61"/>
  </r>
  <r>
    <n v="38"/>
    <x v="3"/>
    <x v="1"/>
    <n v="85.5"/>
    <n v="1.77"/>
    <n v="175"/>
    <n v="156"/>
    <n v="50"/>
    <n v="1.1299999999999999"/>
    <n v="766"/>
    <x v="2"/>
    <x v="3"/>
    <n v="14.6"/>
    <n v="3.4"/>
    <n v="2"/>
    <x v="1"/>
    <x v="0"/>
    <n v="16.38"/>
  </r>
  <r>
    <n v="18"/>
    <x v="1"/>
    <x v="0"/>
    <n v="50.1"/>
    <n v="1.8"/>
    <n v="174"/>
    <n v="125"/>
    <n v="50"/>
    <n v="1.38"/>
    <n v="1185"/>
    <x v="2"/>
    <x v="1"/>
    <n v="30.8"/>
    <n v="3.4"/>
    <n v="3"/>
    <x v="0"/>
    <x v="4"/>
    <n v="29.04"/>
  </r>
  <r>
    <n v="45"/>
    <x v="2"/>
    <x v="1"/>
    <n v="129.9"/>
    <n v="1.75"/>
    <n v="197"/>
    <n v="154"/>
    <n v="73"/>
    <n v="1.97"/>
    <n v="757"/>
    <x v="1"/>
    <x v="1"/>
    <n v="23.5"/>
    <n v="2.4"/>
    <n v="5"/>
    <x v="1"/>
    <x v="1"/>
    <n v="36.130000000000003"/>
  </r>
  <r>
    <n v="47"/>
    <x v="2"/>
    <x v="0"/>
    <n v="93.3"/>
    <n v="1.73"/>
    <n v="184"/>
    <n v="123"/>
    <n v="62"/>
    <n v="1.45"/>
    <n v="998"/>
    <x v="3"/>
    <x v="0"/>
    <n v="15.1"/>
    <n v="1.7"/>
    <n v="4"/>
    <x v="0"/>
    <x v="0"/>
    <n v="12.32"/>
  </r>
  <r>
    <n v="45"/>
    <x v="2"/>
    <x v="0"/>
    <n v="73.7"/>
    <n v="1.7"/>
    <n v="190"/>
    <n v="167"/>
    <n v="67"/>
    <n v="1.1100000000000001"/>
    <n v="1100"/>
    <x v="3"/>
    <x v="1"/>
    <n v="29.1"/>
    <n v="1.8"/>
    <n v="2"/>
    <x v="1"/>
    <x v="0"/>
    <n v="15.88"/>
  </r>
  <r>
    <n v="55"/>
    <x v="4"/>
    <x v="0"/>
    <n v="69.400000000000006"/>
    <n v="1.56"/>
    <n v="175"/>
    <n v="134"/>
    <n v="70"/>
    <n v="1.48"/>
    <n v="734"/>
    <x v="3"/>
    <x v="0"/>
    <n v="16.8"/>
    <m/>
    <n v="4"/>
    <x v="0"/>
    <x v="2"/>
    <n v="23.63"/>
  </r>
  <r>
    <n v="18"/>
    <x v="1"/>
    <x v="1"/>
    <n v="86.1"/>
    <n v="2"/>
    <n v="180"/>
    <n v="158"/>
    <n v="72"/>
    <n v="1.27"/>
    <n v="1173"/>
    <x v="2"/>
    <x v="1"/>
    <n v="19.7"/>
    <n v="3.5"/>
    <n v="2"/>
    <x v="2"/>
    <x v="0"/>
    <n v="13.06"/>
  </r>
  <r>
    <n v="20"/>
    <x v="1"/>
    <x v="0"/>
    <m/>
    <n v="1.5"/>
    <n v="198"/>
    <n v="128"/>
    <n v="50"/>
    <n v="0.97"/>
    <n v="906"/>
    <x v="1"/>
    <x v="2"/>
    <n v="31.2"/>
    <n v="3.4"/>
    <n v="2"/>
    <x v="1"/>
    <x v="2"/>
    <n v="21.03"/>
  </r>
  <r>
    <n v="18"/>
    <x v="1"/>
    <x v="0"/>
    <n v="40"/>
    <n v="1.77"/>
    <n v="189"/>
    <n v="137"/>
    <n v="74"/>
    <n v="0.6"/>
    <n v="829"/>
    <x v="1"/>
    <x v="1"/>
    <n v="24.7"/>
    <n v="2.6"/>
    <n v="4"/>
    <x v="1"/>
    <x v="0"/>
    <n v="16.350000000000001"/>
  </r>
  <r>
    <n v="46"/>
    <x v="2"/>
    <x v="0"/>
    <n v="40.799999999999997"/>
    <n v="1.71"/>
    <n v="191"/>
    <n v="162"/>
    <n v="52"/>
    <n v="0.93"/>
    <n v="903"/>
    <x v="3"/>
    <x v="0"/>
    <n v="14.2"/>
    <n v="1.9"/>
    <n v="2"/>
    <x v="3"/>
    <x v="3"/>
    <n v="39.04"/>
  </r>
  <r>
    <n v="43"/>
    <x v="3"/>
    <x v="1"/>
    <n v="56.4"/>
    <n v="1.8"/>
    <n v="174"/>
    <n v="161"/>
    <n v="74"/>
    <n v="1.03"/>
    <n v="327"/>
    <x v="0"/>
    <x v="0"/>
    <n v="10"/>
    <n v="3.2"/>
    <n v="3"/>
    <x v="1"/>
    <x v="2"/>
    <n v="21.21"/>
  </r>
  <r>
    <n v="45"/>
    <x v="2"/>
    <x v="0"/>
    <n v="60.7"/>
    <n v="1.63"/>
    <n v="170"/>
    <n v="139"/>
    <n v="74"/>
    <n v="1.18"/>
    <n v="1356"/>
    <x v="1"/>
    <x v="0"/>
    <n v="10"/>
    <n v="3.3"/>
    <n v="3"/>
    <x v="2"/>
    <x v="0"/>
    <n v="12.32"/>
  </r>
  <r>
    <n v="43"/>
    <x v="3"/>
    <x v="0"/>
    <n v="40"/>
    <n v="1.69"/>
    <n v="187"/>
    <n v="162"/>
    <n v="66"/>
    <n v="0.9"/>
    <n v="886"/>
    <x v="0"/>
    <x v="1"/>
    <n v="28"/>
    <n v="2.2000000000000002"/>
    <n v="2"/>
    <x v="1"/>
    <x v="4"/>
    <n v="26.48"/>
  </r>
  <r>
    <n v="29"/>
    <x v="0"/>
    <x v="0"/>
    <n v="84.4"/>
    <n v="1.67"/>
    <n v="184"/>
    <n v="160"/>
    <n v="74"/>
    <n v="1.28"/>
    <n v="1475"/>
    <x v="3"/>
    <x v="0"/>
    <n v="10"/>
    <n v="2.1"/>
    <n v="5"/>
    <x v="0"/>
    <x v="0"/>
    <n v="17.62"/>
  </r>
  <r>
    <n v="18"/>
    <x v="1"/>
    <x v="0"/>
    <n v="67.5"/>
    <n v="1.71"/>
    <n v="185"/>
    <n v="166"/>
    <n v="58"/>
    <n v="1.81"/>
    <n v="1162"/>
    <x v="1"/>
    <x v="0"/>
    <n v="10.6"/>
    <n v="3.5"/>
    <n v="3"/>
    <x v="0"/>
    <x v="1"/>
    <n v="37.909999999999997"/>
  </r>
  <r>
    <n v="21"/>
    <x v="1"/>
    <x v="0"/>
    <n v="62.1"/>
    <n v="1.68"/>
    <n v="173"/>
    <n v="158"/>
    <n v="71"/>
    <n v="1.23"/>
    <n v="1186"/>
    <x v="3"/>
    <x v="1"/>
    <n v="26.4"/>
    <n v="3.5"/>
    <n v="4"/>
    <x v="1"/>
    <x v="0"/>
    <n v="15.6"/>
  </r>
  <r>
    <n v="41"/>
    <x v="3"/>
    <x v="1"/>
    <n v="83.7"/>
    <n v="1.92"/>
    <n v="161"/>
    <n v="163"/>
    <n v="59"/>
    <n v="1.37"/>
    <n v="1308"/>
    <x v="1"/>
    <x v="1"/>
    <n v="21.4"/>
    <n v="1.5"/>
    <n v="2"/>
    <x v="0"/>
    <x v="0"/>
    <n v="17.48"/>
  </r>
  <r>
    <n v="26"/>
    <x v="0"/>
    <x v="0"/>
    <n v="80.599999999999994"/>
    <n v="1.86"/>
    <n v="195"/>
    <n v="127"/>
    <n v="53"/>
    <n v="2"/>
    <n v="564"/>
    <x v="0"/>
    <x v="3"/>
    <n v="23.1"/>
    <n v="1.5"/>
    <n v="3"/>
    <x v="0"/>
    <x v="4"/>
    <n v="29.21"/>
  </r>
  <r>
    <n v="33"/>
    <x v="0"/>
    <x v="1"/>
    <n v="60.8"/>
    <n v="1.78"/>
    <n v="189"/>
    <n v="147"/>
    <n v="73"/>
    <n v="1.04"/>
    <n v="951"/>
    <x v="1"/>
    <x v="2"/>
    <n v="27.3"/>
    <n v="3.3"/>
    <n v="4"/>
    <x v="0"/>
    <x v="0"/>
    <m/>
  </r>
  <r>
    <n v="18"/>
    <x v="1"/>
    <x v="1"/>
    <n v="44.8"/>
    <n v="1.81"/>
    <n v="164"/>
    <m/>
    <n v="57"/>
    <n v="1.2"/>
    <n v="742"/>
    <x v="2"/>
    <x v="1"/>
    <n v="23.5"/>
    <n v="3.3"/>
    <n v="4"/>
    <x v="2"/>
    <x v="2"/>
    <n v="19.04"/>
  </r>
  <r>
    <n v="21"/>
    <x v="1"/>
    <x v="1"/>
    <n v="62.3"/>
    <n v="1.91"/>
    <n v="198"/>
    <n v="141"/>
    <n v="51"/>
    <n v="1.47"/>
    <n v="1394"/>
    <x v="3"/>
    <x v="1"/>
    <n v="22.7"/>
    <n v="1.8"/>
    <n v="3"/>
    <x v="0"/>
    <x v="0"/>
    <n v="17.399999999999999"/>
  </r>
  <r>
    <n v="49"/>
    <x v="2"/>
    <x v="0"/>
    <n v="97.4"/>
    <n v="1.67"/>
    <n v="171"/>
    <n v="132"/>
    <n v="72"/>
    <n v="1.97"/>
    <n v="1091"/>
    <x v="1"/>
    <x v="1"/>
    <n v="30.4"/>
    <n v="3.6"/>
    <n v="3"/>
    <x v="1"/>
    <x v="0"/>
    <n v="12.32"/>
  </r>
  <r>
    <n v="19"/>
    <x v="1"/>
    <x v="1"/>
    <n v="51.4"/>
    <n v="1.78"/>
    <n v="167"/>
    <n v="154"/>
    <n v="70"/>
    <n v="2"/>
    <n v="1218"/>
    <x v="3"/>
    <x v="2"/>
    <n v="29.8"/>
    <n v="2.1"/>
    <n v="3"/>
    <x v="0"/>
    <x v="0"/>
    <n v="13.61"/>
  </r>
  <r>
    <n v="31"/>
    <x v="0"/>
    <x v="1"/>
    <n v="79.099999999999994"/>
    <n v="1.74"/>
    <n v="192"/>
    <n v="167"/>
    <n v="74"/>
    <n v="0.93"/>
    <n v="1157"/>
    <x v="1"/>
    <x v="1"/>
    <n v="18.7"/>
    <n v="1.9"/>
    <n v="2"/>
    <x v="2"/>
    <x v="0"/>
    <n v="13.83"/>
  </r>
  <r>
    <n v="43"/>
    <x v="3"/>
    <x v="1"/>
    <n v="57.5"/>
    <n v="2"/>
    <n v="172"/>
    <n v="126"/>
    <n v="64"/>
    <n v="1.4"/>
    <n v="735"/>
    <x v="1"/>
    <x v="3"/>
    <n v="16.899999999999999"/>
    <n v="2.1"/>
    <n v="3"/>
    <x v="1"/>
    <x v="2"/>
    <n v="20.98"/>
  </r>
  <r>
    <n v="43"/>
    <x v="3"/>
    <x v="0"/>
    <n v="70.599999999999994"/>
    <n v="1.71"/>
    <n v="193"/>
    <n v="148"/>
    <n v="54"/>
    <n v="1.28"/>
    <n v="725"/>
    <x v="1"/>
    <x v="1"/>
    <n v="27.1"/>
    <n v="3.6"/>
    <n v="3"/>
    <x v="1"/>
    <x v="2"/>
    <n v="22.55"/>
  </r>
  <r>
    <n v="18"/>
    <x v="1"/>
    <x v="0"/>
    <n v="72.5"/>
    <n v="1.79"/>
    <n v="173"/>
    <n v="140"/>
    <n v="67"/>
    <n v="1.34"/>
    <n v="1629"/>
    <x v="0"/>
    <x v="1"/>
    <n v="27.3"/>
    <n v="2.7"/>
    <n v="5"/>
    <x v="1"/>
    <x v="2"/>
    <n v="19.579999999999998"/>
  </r>
  <r>
    <n v="44"/>
    <x v="3"/>
    <x v="0"/>
    <n v="68"/>
    <n v="1.66"/>
    <n v="182"/>
    <n v="146"/>
    <n v="68"/>
    <n v="0.82"/>
    <n v="1278"/>
    <x v="2"/>
    <x v="3"/>
    <n v="20.7"/>
    <n v="3"/>
    <n v="5"/>
    <x v="1"/>
    <x v="0"/>
    <n v="16.02"/>
  </r>
  <r>
    <n v="21"/>
    <x v="1"/>
    <x v="0"/>
    <n v="121.6"/>
    <n v="1.78"/>
    <n v="182"/>
    <n v="151"/>
    <n v="50"/>
    <n v="1.81"/>
    <n v="1242"/>
    <x v="3"/>
    <x v="3"/>
    <n v="21"/>
    <n v="3.5"/>
    <n v="4"/>
    <x v="0"/>
    <x v="0"/>
    <n v="16.63"/>
  </r>
  <r>
    <n v="44"/>
    <x v="3"/>
    <x v="1"/>
    <n v="55.1"/>
    <n v="1.9"/>
    <n v="196"/>
    <n v="165"/>
    <n v="55"/>
    <n v="1.26"/>
    <n v="901"/>
    <x v="4"/>
    <x v="2"/>
    <n v="26.9"/>
    <n v="2.6"/>
    <n v="3"/>
    <x v="1"/>
    <x v="2"/>
    <n v="22.13"/>
  </r>
  <r>
    <n v="58"/>
    <x v="4"/>
    <x v="0"/>
    <n v="51.2"/>
    <n v="1.72"/>
    <n v="165"/>
    <n v="139"/>
    <n v="70"/>
    <n v="0.79"/>
    <n v="1612"/>
    <x v="3"/>
    <x v="3"/>
    <n v="20.6"/>
    <n v="2.1"/>
    <n v="3"/>
    <x v="2"/>
    <x v="1"/>
    <n v="36.29"/>
  </r>
  <r>
    <n v="35"/>
    <x v="3"/>
    <x v="0"/>
    <n v="60.8"/>
    <n v="1.64"/>
    <n v="161"/>
    <n v="127"/>
    <n v="74"/>
    <n v="1.57"/>
    <n v="1132"/>
    <x v="3"/>
    <x v="3"/>
    <n v="20.7"/>
    <n v="3.7"/>
    <n v="3"/>
    <x v="2"/>
    <x v="2"/>
    <n v="19.54"/>
  </r>
  <r>
    <n v="18"/>
    <x v="1"/>
    <x v="1"/>
    <n v="49.8"/>
    <n v="1.96"/>
    <n v="199"/>
    <n v="162"/>
    <n v="74"/>
    <n v="1.64"/>
    <n v="996"/>
    <x v="0"/>
    <x v="0"/>
    <m/>
    <n v="2.2999999999999998"/>
    <n v="4"/>
    <x v="0"/>
    <x v="0"/>
    <n v="14.35"/>
  </r>
  <r>
    <n v="26"/>
    <x v="0"/>
    <x v="0"/>
    <n v="64.7"/>
    <n v="1.75"/>
    <n v="172"/>
    <n v="157"/>
    <n v="52"/>
    <n v="1.35"/>
    <n v="1193"/>
    <x v="3"/>
    <x v="3"/>
    <n v="23.5"/>
    <n v="1.6"/>
    <n v="3"/>
    <x v="0"/>
    <x v="0"/>
    <n v="18.21"/>
  </r>
  <r>
    <n v="24"/>
    <x v="1"/>
    <x v="0"/>
    <n v="58.5"/>
    <n v="1.87"/>
    <n v="183"/>
    <n v="128"/>
    <n v="74"/>
    <n v="1.36"/>
    <n v="1034"/>
    <x v="2"/>
    <x v="1"/>
    <n v="24.8"/>
    <n v="3.3"/>
    <n v="4"/>
    <x v="1"/>
    <x v="2"/>
    <n v="24.49"/>
  </r>
  <r>
    <n v="31"/>
    <x v="0"/>
    <x v="0"/>
    <n v="49.1"/>
    <n v="1.7"/>
    <n v="162"/>
    <n v="167"/>
    <n v="63"/>
    <n v="1.1000000000000001"/>
    <n v="891"/>
    <x v="0"/>
    <x v="3"/>
    <n v="23.5"/>
    <n v="2.9"/>
    <n v="3"/>
    <x v="1"/>
    <x v="0"/>
    <n v="15.73"/>
  </r>
  <r>
    <n v="39"/>
    <x v="3"/>
    <x v="0"/>
    <n v="67.8"/>
    <n v="1.59"/>
    <n v="164"/>
    <n v="158"/>
    <n v="74"/>
    <n v="1.65"/>
    <n v="1374"/>
    <x v="0"/>
    <x v="1"/>
    <n v="25.9"/>
    <n v="2.6"/>
    <n v="5"/>
    <x v="0"/>
    <x v="4"/>
    <n v="25"/>
  </r>
  <r>
    <n v="22"/>
    <x v="1"/>
    <x v="1"/>
    <n v="43.3"/>
    <n v="1.69"/>
    <n v="176"/>
    <n v="158"/>
    <n v="53"/>
    <n v="1.31"/>
    <n v="500"/>
    <x v="4"/>
    <x v="1"/>
    <n v="23.7"/>
    <n v="1.5"/>
    <n v="2"/>
    <x v="0"/>
    <x v="0"/>
    <n v="13.83"/>
  </r>
  <r>
    <n v="44"/>
    <x v="3"/>
    <x v="0"/>
    <n v="40.799999999999997"/>
    <n v="1.74"/>
    <n v="177"/>
    <n v="165"/>
    <n v="72"/>
    <m/>
    <n v="384"/>
    <x v="2"/>
    <x v="0"/>
    <n v="10"/>
    <m/>
    <n v="3"/>
    <x v="1"/>
    <x v="0"/>
    <n v="13.11"/>
  </r>
  <r>
    <n v="18"/>
    <x v="1"/>
    <x v="1"/>
    <n v="71.5"/>
    <n v="1.69"/>
    <n v="186"/>
    <n v="124"/>
    <n v="60"/>
    <n v="1.53"/>
    <n v="763"/>
    <x v="3"/>
    <x v="3"/>
    <n v="16.899999999999999"/>
    <n v="2.5"/>
    <n v="2"/>
    <x v="1"/>
    <x v="0"/>
    <n v="15.8"/>
  </r>
  <r>
    <n v="50"/>
    <x v="2"/>
    <x v="1"/>
    <n v="41.1"/>
    <n v="1.51"/>
    <n v="169"/>
    <n v="152"/>
    <n v="63"/>
    <n v="2"/>
    <n v="1069"/>
    <x v="0"/>
    <x v="2"/>
    <n v="24.9"/>
    <n v="1.5"/>
    <n v="4"/>
    <x v="0"/>
    <x v="1"/>
    <n v="31.59"/>
  </r>
  <r>
    <n v="27"/>
    <x v="0"/>
    <x v="1"/>
    <n v="52.3"/>
    <n v="1.6"/>
    <n v="177"/>
    <n v="124"/>
    <n v="66"/>
    <n v="0.93"/>
    <n v="416"/>
    <x v="0"/>
    <x v="1"/>
    <n v="22.5"/>
    <m/>
    <n v="5"/>
    <x v="0"/>
    <x v="1"/>
    <n v="31.64"/>
  </r>
  <r>
    <n v="28"/>
    <x v="0"/>
    <x v="1"/>
    <n v="73.2"/>
    <n v="1.76"/>
    <n v="171"/>
    <n v="159"/>
    <n v="61"/>
    <n v="1.21"/>
    <n v="973"/>
    <x v="2"/>
    <x v="2"/>
    <n v="26.4"/>
    <n v="2"/>
    <n v="4"/>
    <x v="1"/>
    <x v="0"/>
    <n v="12.32"/>
  </r>
  <r>
    <n v="41"/>
    <x v="3"/>
    <x v="0"/>
    <n v="117.7"/>
    <n v="1.67"/>
    <n v="189"/>
    <n v="123"/>
    <n v="58"/>
    <n v="2"/>
    <n v="1243"/>
    <x v="3"/>
    <x v="1"/>
    <n v="26.2"/>
    <n v="3.2"/>
    <n v="2"/>
    <x v="1"/>
    <x v="0"/>
    <n v="17.260000000000002"/>
  </r>
  <r>
    <n v="31"/>
    <x v="0"/>
    <x v="1"/>
    <n v="63.8"/>
    <n v="1.74"/>
    <n v="199"/>
    <n v="140"/>
    <n v="55"/>
    <n v="1.5"/>
    <n v="741"/>
    <x v="2"/>
    <x v="2"/>
    <n v="28.1"/>
    <n v="1.6"/>
    <n v="3"/>
    <x v="0"/>
    <x v="4"/>
    <n v="25.22"/>
  </r>
  <r>
    <n v="31"/>
    <x v="0"/>
    <x v="1"/>
    <n v="62.1"/>
    <n v="1.71"/>
    <n v="172"/>
    <n v="169"/>
    <n v="55"/>
    <n v="1.52"/>
    <n v="854"/>
    <x v="2"/>
    <x v="2"/>
    <n v="27.4"/>
    <n v="3.7"/>
    <n v="3"/>
    <x v="2"/>
    <x v="0"/>
    <m/>
  </r>
  <r>
    <n v="18"/>
    <x v="1"/>
    <x v="1"/>
    <n v="52"/>
    <n v="1.66"/>
    <n v="199"/>
    <n v="137"/>
    <n v="74"/>
    <n v="2"/>
    <n v="1314"/>
    <x v="1"/>
    <x v="2"/>
    <n v="26.7"/>
    <n v="3.3"/>
    <n v="3"/>
    <x v="1"/>
    <x v="2"/>
    <n v="20.41"/>
  </r>
  <r>
    <n v="25"/>
    <x v="0"/>
    <x v="0"/>
    <n v="73.3"/>
    <n v="1.5"/>
    <n v="185"/>
    <n v="169"/>
    <n v="67"/>
    <n v="1.38"/>
    <n v="433"/>
    <x v="0"/>
    <x v="1"/>
    <n v="30.6"/>
    <n v="1.5"/>
    <n v="4"/>
    <x v="1"/>
    <x v="2"/>
    <n v="22.55"/>
  </r>
  <r>
    <n v="18"/>
    <x v="1"/>
    <x v="1"/>
    <n v="50"/>
    <n v="1.83"/>
    <n v="163"/>
    <n v="140"/>
    <n v="64"/>
    <n v="1.41"/>
    <n v="969"/>
    <x v="3"/>
    <x v="1"/>
    <n v="19"/>
    <n v="1.9"/>
    <n v="3"/>
    <x v="0"/>
    <x v="0"/>
    <n v="14.29"/>
  </r>
  <r>
    <n v="34"/>
    <x v="0"/>
    <x v="1"/>
    <n v="90"/>
    <n v="1.74"/>
    <n v="194"/>
    <n v="167"/>
    <n v="57"/>
    <n v="1.36"/>
    <n v="764"/>
    <x v="1"/>
    <x v="2"/>
    <n v="25"/>
    <n v="2.6"/>
    <n v="4"/>
    <x v="0"/>
    <x v="0"/>
    <n v="13.77"/>
  </r>
  <r>
    <n v="39"/>
    <x v="3"/>
    <x v="1"/>
    <n v="109.6"/>
    <n v="1.84"/>
    <n v="199"/>
    <n v="152"/>
    <n v="74"/>
    <n v="1.27"/>
    <n v="790"/>
    <x v="2"/>
    <x v="2"/>
    <n v="26.7"/>
    <n v="3.5"/>
    <n v="2"/>
    <x v="0"/>
    <x v="2"/>
    <n v="19.77"/>
  </r>
  <r>
    <n v="18"/>
    <x v="1"/>
    <x v="1"/>
    <n v="43.5"/>
    <n v="1.77"/>
    <n v="161"/>
    <n v="136"/>
    <n v="57"/>
    <n v="2"/>
    <n v="452"/>
    <x v="1"/>
    <x v="1"/>
    <n v="24.4"/>
    <n v="3.3"/>
    <n v="5"/>
    <x v="1"/>
    <x v="2"/>
    <n v="21.96"/>
  </r>
  <r>
    <n v="20"/>
    <x v="1"/>
    <x v="1"/>
    <n v="115.4"/>
    <n v="1.73"/>
    <n v="187"/>
    <n v="154"/>
    <n v="63"/>
    <n v="1.1200000000000001"/>
    <n v="878"/>
    <x v="3"/>
    <x v="2"/>
    <n v="30.7"/>
    <n v="3.5"/>
    <n v="3"/>
    <x v="1"/>
    <x v="4"/>
    <n v="27.02"/>
  </r>
  <r>
    <n v="22"/>
    <x v="1"/>
    <x v="1"/>
    <n v="47.4"/>
    <n v="1.91"/>
    <n v="161"/>
    <n v="164"/>
    <n v="73"/>
    <n v="2"/>
    <n v="1206"/>
    <x v="1"/>
    <x v="2"/>
    <n v="26.6"/>
    <n v="3.5"/>
    <n v="5"/>
    <x v="2"/>
    <x v="0"/>
    <n v="15.36"/>
  </r>
  <r>
    <n v="18"/>
    <x v="1"/>
    <x v="1"/>
    <n v="54.6"/>
    <n v="1.66"/>
    <n v="189"/>
    <n v="142"/>
    <n v="64"/>
    <n v="1.19"/>
    <n v="523"/>
    <x v="2"/>
    <x v="2"/>
    <n v="34.700000000000003"/>
    <n v="2.6"/>
    <n v="2"/>
    <x v="1"/>
    <x v="2"/>
    <n v="18.88"/>
  </r>
  <r>
    <n v="36"/>
    <x v="3"/>
    <x v="1"/>
    <n v="40"/>
    <n v="2"/>
    <n v="193"/>
    <n v="121"/>
    <n v="18"/>
    <n v="1.98"/>
    <n v="1282"/>
    <x v="3"/>
    <x v="2"/>
    <n v="25.7"/>
    <n v="2.6"/>
    <n v="4"/>
    <x v="1"/>
    <x v="4"/>
    <n v="27.96"/>
  </r>
  <r>
    <n v="26"/>
    <x v="0"/>
    <x v="0"/>
    <n v="71.2"/>
    <n v="2"/>
    <n v="169"/>
    <n v="159"/>
    <n v="52"/>
    <n v="1.42"/>
    <n v="749"/>
    <x v="0"/>
    <x v="1"/>
    <n v="29.8"/>
    <n v="3.5"/>
    <n v="4"/>
    <x v="0"/>
    <x v="4"/>
    <n v="27.16"/>
  </r>
  <r>
    <n v="53"/>
    <x v="2"/>
    <x v="0"/>
    <n v="46.4"/>
    <n v="1.7"/>
    <n v="169"/>
    <n v="120"/>
    <n v="72"/>
    <n v="1.49"/>
    <n v="1415"/>
    <x v="3"/>
    <x v="3"/>
    <n v="21.9"/>
    <n v="3.4"/>
    <n v="4"/>
    <x v="0"/>
    <x v="0"/>
    <n v="14.08"/>
  </r>
  <r>
    <n v="18"/>
    <x v="1"/>
    <x v="0"/>
    <n v="69.900000000000006"/>
    <n v="1.78"/>
    <n v="160"/>
    <n v="143"/>
    <n v="74"/>
    <n v="2"/>
    <n v="930"/>
    <x v="2"/>
    <x v="0"/>
    <n v="19.600000000000001"/>
    <n v="2"/>
    <n v="3"/>
    <x v="2"/>
    <x v="0"/>
    <n v="12.32"/>
  </r>
  <r>
    <n v="20"/>
    <x v="1"/>
    <x v="1"/>
    <n v="64.900000000000006"/>
    <n v="1.69"/>
    <n v="187"/>
    <n v="128"/>
    <n v="54"/>
    <n v="0.68"/>
    <n v="1303"/>
    <x v="1"/>
    <x v="0"/>
    <n v="10"/>
    <n v="3.3"/>
    <n v="4"/>
    <x v="2"/>
    <x v="0"/>
    <n v="14.87"/>
  </r>
  <r>
    <n v="43"/>
    <x v="3"/>
    <x v="0"/>
    <n v="47.6"/>
    <n v="1.65"/>
    <n v="198"/>
    <n v="140"/>
    <n v="61"/>
    <n v="2"/>
    <n v="692"/>
    <x v="1"/>
    <x v="3"/>
    <n v="22"/>
    <n v="3.5"/>
    <n v="3"/>
    <x v="0"/>
    <x v="2"/>
    <n v="22.14"/>
  </r>
  <r>
    <n v="23"/>
    <x v="1"/>
    <x v="1"/>
    <n v="48.9"/>
    <n v="1.7"/>
    <n v="168"/>
    <n v="156"/>
    <n v="65"/>
    <n v="1.4"/>
    <n v="1776"/>
    <x v="3"/>
    <x v="2"/>
    <n v="32.5"/>
    <n v="2.1"/>
    <m/>
    <x v="0"/>
    <x v="2"/>
    <n v="21.36"/>
  </r>
  <r>
    <n v="38"/>
    <x v="3"/>
    <x v="2"/>
    <n v="78.599999999999994"/>
    <n v="1.98"/>
    <n v="194"/>
    <n v="136"/>
    <n v="69"/>
    <n v="1.3"/>
    <n v="1590"/>
    <x v="0"/>
    <x v="1"/>
    <n v="27.2"/>
    <n v="2.2999999999999998"/>
    <n v="4"/>
    <x v="0"/>
    <x v="4"/>
    <n v="25.52"/>
  </r>
  <r>
    <n v="51"/>
    <x v="2"/>
    <x v="0"/>
    <n v="72.2"/>
    <n v="1.91"/>
    <n v="184"/>
    <n v="140"/>
    <n v="70"/>
    <n v="1.39"/>
    <n v="960"/>
    <x v="2"/>
    <x v="3"/>
    <n v="21"/>
    <n v="1.5"/>
    <n v="3"/>
    <x v="0"/>
    <x v="0"/>
    <n v="17.41"/>
  </r>
  <r>
    <n v="54"/>
    <x v="2"/>
    <x v="0"/>
    <n v="79.8"/>
    <n v="1.94"/>
    <n v="163"/>
    <n v="120"/>
    <n v="63"/>
    <n v="1.53"/>
    <n v="827"/>
    <x v="3"/>
    <x v="1"/>
    <n v="25.3"/>
    <n v="3.3"/>
    <n v="4"/>
    <x v="0"/>
    <x v="0"/>
    <n v="12.32"/>
  </r>
  <r>
    <n v="22"/>
    <x v="1"/>
    <x v="1"/>
    <n v="62.8"/>
    <n v="1.71"/>
    <n v="182"/>
    <n v="153"/>
    <n v="70"/>
    <n v="2"/>
    <n v="816"/>
    <x v="3"/>
    <x v="3"/>
    <n v="15.8"/>
    <m/>
    <n v="3"/>
    <x v="0"/>
    <x v="0"/>
    <n v="14.23"/>
  </r>
  <r>
    <n v="26"/>
    <x v="0"/>
    <x v="0"/>
    <n v="122.7"/>
    <m/>
    <n v="191"/>
    <n v="151"/>
    <n v="72"/>
    <n v="1.1399999999999999"/>
    <n v="524"/>
    <x v="0"/>
    <x v="1"/>
    <n v="24.3"/>
    <n v="1.5"/>
    <n v="2"/>
    <x v="2"/>
    <x v="0"/>
    <n v="17.440000000000001"/>
  </r>
  <r>
    <n v="23"/>
    <x v="1"/>
    <x v="0"/>
    <n v="52.4"/>
    <n v="1.86"/>
    <n v="166"/>
    <n v="130"/>
    <n v="59"/>
    <n v="1.53"/>
    <n v="880"/>
    <x v="3"/>
    <x v="3"/>
    <n v="21.6"/>
    <n v="1.5"/>
    <n v="4"/>
    <x v="0"/>
    <x v="0"/>
    <n v="12.32"/>
  </r>
  <r>
    <n v="42"/>
    <x v="3"/>
    <x v="2"/>
    <n v="67.7"/>
    <n v="1.82"/>
    <n v="199"/>
    <n v="125"/>
    <n v="55"/>
    <n v="0.76"/>
    <n v="1239"/>
    <x v="1"/>
    <x v="0"/>
    <n v="15"/>
    <n v="3.4"/>
    <n v="2"/>
    <x v="0"/>
    <x v="2"/>
    <n v="21.78"/>
  </r>
  <r>
    <n v="34"/>
    <x v="0"/>
    <x v="0"/>
    <n v="88.8"/>
    <n v="1.56"/>
    <n v="198"/>
    <n v="160"/>
    <n v="53"/>
    <n v="1.18"/>
    <n v="1086"/>
    <x v="1"/>
    <x v="2"/>
    <n v="32.6"/>
    <n v="3.4"/>
    <n v="4"/>
    <x v="0"/>
    <x v="1"/>
    <n v="30.43"/>
  </r>
  <r>
    <n v="29"/>
    <x v="0"/>
    <x v="0"/>
    <n v="101.5"/>
    <n v="1.9"/>
    <n v="175"/>
    <n v="165"/>
    <n v="74"/>
    <n v="1.46"/>
    <n v="1128"/>
    <x v="3"/>
    <x v="1"/>
    <n v="26.3"/>
    <n v="2.7"/>
    <n v="2"/>
    <x v="1"/>
    <x v="4"/>
    <n v="25.74"/>
  </r>
  <r>
    <n v="18"/>
    <x v="1"/>
    <x v="1"/>
    <n v="40"/>
    <n v="1.72"/>
    <n v="195"/>
    <n v="137"/>
    <n v="52"/>
    <n v="2"/>
    <n v="1783"/>
    <x v="1"/>
    <x v="1"/>
    <n v="18.600000000000001"/>
    <n v="1.5"/>
    <n v="4"/>
    <x v="1"/>
    <x v="0"/>
    <n v="12.77"/>
  </r>
  <r>
    <n v="24"/>
    <x v="1"/>
    <x v="1"/>
    <n v="40"/>
    <n v="2"/>
    <n v="173"/>
    <n v="126"/>
    <n v="50"/>
    <n v="1.1000000000000001"/>
    <n v="1783"/>
    <x v="1"/>
    <x v="2"/>
    <n v="31.9"/>
    <n v="1.6"/>
    <n v="3"/>
    <x v="1"/>
    <x v="1"/>
    <n v="34.619999999999997"/>
  </r>
  <r>
    <n v="18"/>
    <x v="1"/>
    <x v="1"/>
    <n v="50.5"/>
    <n v="1.76"/>
    <n v="192"/>
    <n v="156"/>
    <n v="72"/>
    <n v="1.25"/>
    <n v="768"/>
    <x v="1"/>
    <x v="0"/>
    <n v="12.8"/>
    <n v="1.7"/>
    <n v="4"/>
    <x v="0"/>
    <x v="0"/>
    <n v="16.059999999999999"/>
  </r>
  <r>
    <n v="41"/>
    <x v="3"/>
    <x v="0"/>
    <n v="66.2"/>
    <n v="1.83"/>
    <n v="196"/>
    <n v="126"/>
    <n v="74"/>
    <n v="1.6"/>
    <n v="993"/>
    <x v="3"/>
    <x v="3"/>
    <n v="20.2"/>
    <n v="2.5"/>
    <n v="5"/>
    <x v="1"/>
    <x v="2"/>
    <n v="24.37"/>
  </r>
  <r>
    <n v="37"/>
    <x v="3"/>
    <x v="0"/>
    <n v="77.5"/>
    <n v="1.5"/>
    <n v="175"/>
    <n v="142"/>
    <n v="70"/>
    <n v="1.58"/>
    <n v="1141"/>
    <x v="3"/>
    <x v="3"/>
    <n v="21.2"/>
    <n v="1.8"/>
    <n v="3"/>
    <x v="3"/>
    <x v="0"/>
    <n v="12.32"/>
  </r>
  <r>
    <n v="30"/>
    <x v="0"/>
    <x v="0"/>
    <n v="119.6"/>
    <n v="1.72"/>
    <n v="191"/>
    <n v="150"/>
    <n v="74"/>
    <n v="1.77"/>
    <n v="1006"/>
    <x v="3"/>
    <x v="0"/>
    <n v="13.1"/>
    <n v="2.2000000000000002"/>
    <n v="4"/>
    <x v="2"/>
    <x v="0"/>
    <n v="13.32"/>
  </r>
  <r>
    <n v="38"/>
    <x v="3"/>
    <x v="1"/>
    <n v="40"/>
    <n v="1.5"/>
    <n v="172"/>
    <n v="169"/>
    <n v="59"/>
    <n v="1.52"/>
    <n v="1107"/>
    <x v="2"/>
    <x v="2"/>
    <n v="24.9"/>
    <n v="2.8"/>
    <n v="3"/>
    <x v="1"/>
    <x v="1"/>
    <n v="36.71"/>
  </r>
  <r>
    <n v="18"/>
    <x v="1"/>
    <x v="1"/>
    <n v="82.3"/>
    <n v="1.74"/>
    <n v="198"/>
    <n v="155"/>
    <n v="55"/>
    <n v="1.38"/>
    <n v="1368"/>
    <x v="0"/>
    <x v="2"/>
    <n v="26"/>
    <n v="3.3"/>
    <n v="2"/>
    <x v="2"/>
    <x v="0"/>
    <n v="17.149999999999999"/>
  </r>
  <r>
    <n v="54"/>
    <x v="2"/>
    <x v="1"/>
    <n v="71.2"/>
    <n v="1.7"/>
    <n v="190"/>
    <n v="120"/>
    <n v="58"/>
    <n v="1.21"/>
    <n v="708"/>
    <x v="4"/>
    <x v="3"/>
    <n v="14.4"/>
    <n v="3.1"/>
    <n v="4"/>
    <x v="0"/>
    <x v="0"/>
    <n v="12.46"/>
  </r>
  <r>
    <n v="34"/>
    <x v="0"/>
    <x v="1"/>
    <n v="53"/>
    <n v="1.92"/>
    <n v="199"/>
    <n v="134"/>
    <n v="68"/>
    <n v="1.1200000000000001"/>
    <n v="790"/>
    <x v="0"/>
    <x v="1"/>
    <n v="19.8"/>
    <n v="3.5"/>
    <n v="4"/>
    <x v="2"/>
    <x v="0"/>
    <n v="16.18"/>
  </r>
  <r>
    <n v="56"/>
    <x v="4"/>
    <x v="0"/>
    <n v="45.7"/>
    <n v="1.96"/>
    <n v="192"/>
    <n v="153"/>
    <n v="71"/>
    <n v="2"/>
    <n v="868"/>
    <x v="3"/>
    <x v="0"/>
    <n v="11.4"/>
    <n v="2"/>
    <n v="4"/>
    <x v="0"/>
    <x v="2"/>
    <n v="21.34"/>
  </r>
  <r>
    <n v="18"/>
    <x v="1"/>
    <x v="0"/>
    <n v="79.599999999999994"/>
    <n v="1.75"/>
    <n v="168"/>
    <n v="125"/>
    <n v="54"/>
    <n v="1.26"/>
    <n v="682"/>
    <x v="2"/>
    <x v="1"/>
    <n v="25.1"/>
    <n v="2.4"/>
    <n v="3"/>
    <x v="0"/>
    <x v="0"/>
    <n v="12.32"/>
  </r>
  <r>
    <n v="42"/>
    <x v="3"/>
    <x v="0"/>
    <n v="105.3"/>
    <n v="1.67"/>
    <n v="175"/>
    <n v="143"/>
    <n v="74"/>
    <n v="1.1000000000000001"/>
    <n v="1115"/>
    <x v="0"/>
    <x v="1"/>
    <n v="25.4"/>
    <n v="3.3"/>
    <n v="3"/>
    <x v="1"/>
    <x v="0"/>
    <n v="12.32"/>
  </r>
  <r>
    <n v="31"/>
    <x v="0"/>
    <x v="1"/>
    <n v="84.5"/>
    <n v="1.56"/>
    <n v="194"/>
    <n v="124"/>
    <n v="70"/>
    <n v="1.31"/>
    <n v="734"/>
    <x v="0"/>
    <x v="1"/>
    <n v="23.6"/>
    <n v="3.3"/>
    <n v="2"/>
    <x v="0"/>
    <x v="2"/>
    <n v="21.57"/>
  </r>
  <r>
    <n v="50"/>
    <x v="2"/>
    <x v="1"/>
    <n v="98.6"/>
    <n v="1.54"/>
    <n v="187"/>
    <n v="126"/>
    <n v="57"/>
    <n v="0.72"/>
    <n v="940"/>
    <x v="0"/>
    <x v="1"/>
    <n v="23.5"/>
    <n v="1.6"/>
    <n v="3"/>
    <x v="1"/>
    <x v="0"/>
    <n v="12.32"/>
  </r>
  <r>
    <n v="27"/>
    <x v="0"/>
    <x v="1"/>
    <n v="55.4"/>
    <n v="1.72"/>
    <n v="186"/>
    <n v="153"/>
    <n v="74"/>
    <n v="2"/>
    <n v="1281"/>
    <x v="0"/>
    <x v="0"/>
    <n v="10.9"/>
    <n v="2.4"/>
    <n v="4"/>
    <x v="0"/>
    <x v="0"/>
    <n v="14.56"/>
  </r>
  <r>
    <n v="41"/>
    <x v="3"/>
    <x v="0"/>
    <n v="40"/>
    <n v="1.77"/>
    <n v="168"/>
    <n v="154"/>
    <n v="74"/>
    <n v="1.1399999999999999"/>
    <n v="628"/>
    <x v="2"/>
    <x v="0"/>
    <n v="19.899999999999999"/>
    <n v="3.4"/>
    <n v="5"/>
    <x v="1"/>
    <x v="2"/>
    <n v="24.52"/>
  </r>
  <r>
    <n v="26"/>
    <x v="0"/>
    <x v="0"/>
    <n v="63.9"/>
    <n v="1.75"/>
    <n v="199"/>
    <n v="121"/>
    <n v="72"/>
    <n v="2"/>
    <n v="638"/>
    <x v="2"/>
    <x v="3"/>
    <n v="23.6"/>
    <n v="3.4"/>
    <n v="4"/>
    <x v="0"/>
    <x v="2"/>
    <n v="23.96"/>
  </r>
  <r>
    <n v="47"/>
    <x v="2"/>
    <x v="1"/>
    <n v="40"/>
    <n v="1.91"/>
    <n v="185"/>
    <m/>
    <n v="74"/>
    <n v="1.41"/>
    <n v="608"/>
    <x v="1"/>
    <x v="1"/>
    <n v="24.3"/>
    <n v="2.9"/>
    <n v="3"/>
    <x v="1"/>
    <x v="4"/>
    <n v="27.2"/>
  </r>
  <r>
    <n v="31"/>
    <x v="0"/>
    <x v="0"/>
    <n v="40"/>
    <n v="2"/>
    <n v="192"/>
    <n v="134"/>
    <n v="55"/>
    <n v="1.44"/>
    <n v="1116"/>
    <x v="0"/>
    <x v="0"/>
    <n v="12"/>
    <n v="2.6"/>
    <n v="2"/>
    <x v="0"/>
    <x v="2"/>
    <n v="21.2"/>
  </r>
  <r>
    <n v="27"/>
    <x v="0"/>
    <x v="1"/>
    <n v="91.9"/>
    <n v="1.5"/>
    <n v="185"/>
    <n v="154"/>
    <n v="60"/>
    <n v="1.08"/>
    <n v="825"/>
    <x v="2"/>
    <x v="2"/>
    <n v="28.8"/>
    <n v="3.2"/>
    <n v="5"/>
    <x v="0"/>
    <x v="2"/>
    <n v="21.07"/>
  </r>
  <r>
    <n v="20"/>
    <x v="1"/>
    <x v="0"/>
    <n v="42.4"/>
    <n v="1.69"/>
    <n v="198"/>
    <n v="129"/>
    <n v="58"/>
    <n v="0.77"/>
    <n v="1030"/>
    <x v="2"/>
    <x v="1"/>
    <n v="28.1"/>
    <n v="1.5"/>
    <m/>
    <x v="1"/>
    <x v="2"/>
    <n v="20.39"/>
  </r>
  <r>
    <n v="21"/>
    <x v="1"/>
    <x v="1"/>
    <n v="76.8"/>
    <n v="1.52"/>
    <n v="191"/>
    <n v="140"/>
    <n v="66"/>
    <n v="1.08"/>
    <n v="702"/>
    <x v="1"/>
    <x v="1"/>
    <n v="21"/>
    <n v="3.6"/>
    <n v="3"/>
    <x v="0"/>
    <x v="4"/>
    <n v="25.59"/>
  </r>
  <r>
    <n v="47"/>
    <x v="2"/>
    <x v="0"/>
    <n v="70.7"/>
    <n v="1.66"/>
    <n v="195"/>
    <n v="169"/>
    <n v="60"/>
    <n v="1.25"/>
    <n v="1033"/>
    <x v="3"/>
    <x v="0"/>
    <n v="16.7"/>
    <n v="3.5"/>
    <n v="4"/>
    <x v="0"/>
    <x v="0"/>
    <n v="14.61"/>
  </r>
  <r>
    <n v="33"/>
    <x v="0"/>
    <x v="1"/>
    <n v="40"/>
    <n v="1.88"/>
    <n v="196"/>
    <n v="162"/>
    <n v="58"/>
    <n v="1.59"/>
    <n v="1131"/>
    <x v="3"/>
    <x v="2"/>
    <n v="30.4"/>
    <n v="2.6"/>
    <n v="3"/>
    <x v="1"/>
    <x v="2"/>
    <n v="21.91"/>
  </r>
  <r>
    <n v="59"/>
    <x v="4"/>
    <x v="1"/>
    <n v="40"/>
    <n v="1.56"/>
    <n v="163"/>
    <n v="167"/>
    <n v="74"/>
    <n v="1.59"/>
    <n v="722"/>
    <x v="1"/>
    <x v="1"/>
    <n v="23.7"/>
    <n v="3.2"/>
    <n v="4"/>
    <x v="2"/>
    <x v="0"/>
    <n v="12.32"/>
  </r>
  <r>
    <n v="43"/>
    <x v="3"/>
    <x v="1"/>
    <n v="46.8"/>
    <n v="1.67"/>
    <n v="178"/>
    <n v="141"/>
    <n v="64"/>
    <n v="1.03"/>
    <n v="1403"/>
    <x v="1"/>
    <x v="2"/>
    <n v="26.1"/>
    <n v="3.2"/>
    <n v="3"/>
    <x v="1"/>
    <x v="0"/>
    <n v="14.13"/>
  </r>
  <r>
    <n v="27"/>
    <x v="0"/>
    <x v="1"/>
    <n v="100.7"/>
    <n v="1.75"/>
    <n v="163"/>
    <n v="166"/>
    <n v="61"/>
    <n v="1.28"/>
    <n v="1159"/>
    <x v="1"/>
    <x v="2"/>
    <n v="28.1"/>
    <n v="3.7"/>
    <n v="3"/>
    <x v="1"/>
    <x v="0"/>
    <n v="12.32"/>
  </r>
  <r>
    <n v="44"/>
    <x v="3"/>
    <x v="0"/>
    <n v="73.400000000000006"/>
    <n v="1.59"/>
    <n v="199"/>
    <n v="152"/>
    <n v="72"/>
    <n v="0.94"/>
    <n v="721"/>
    <x v="1"/>
    <x v="3"/>
    <n v="23"/>
    <n v="2.2000000000000002"/>
    <n v="4"/>
    <x v="1"/>
    <x v="1"/>
    <n v="33.25"/>
  </r>
  <r>
    <n v="22"/>
    <x v="1"/>
    <x v="1"/>
    <n v="63.4"/>
    <n v="1.83"/>
    <n v="196"/>
    <n v="169"/>
    <n v="71"/>
    <n v="1.66"/>
    <n v="466"/>
    <x v="1"/>
    <x v="2"/>
    <n v="28"/>
    <n v="3.4"/>
    <n v="2"/>
    <x v="2"/>
    <x v="2"/>
    <n v="24.61"/>
  </r>
  <r>
    <n v="19"/>
    <x v="1"/>
    <x v="0"/>
    <n v="129.9"/>
    <n v="1.71"/>
    <n v="161"/>
    <n v="169"/>
    <n v="56"/>
    <n v="2"/>
    <n v="443"/>
    <x v="3"/>
    <x v="1"/>
    <n v="29.6"/>
    <n v="2.4"/>
    <n v="4"/>
    <x v="0"/>
    <x v="0"/>
    <n v="12.32"/>
  </r>
  <r>
    <n v="24"/>
    <x v="1"/>
    <x v="0"/>
    <n v="48.3"/>
    <n v="1.73"/>
    <n v="193"/>
    <n v="136"/>
    <n v="62"/>
    <n v="1.98"/>
    <n v="1404"/>
    <x v="0"/>
    <x v="3"/>
    <n v="22"/>
    <n v="3.5"/>
    <n v="3"/>
    <x v="1"/>
    <x v="0"/>
    <n v="13.22"/>
  </r>
  <r>
    <n v="45"/>
    <x v="2"/>
    <x v="0"/>
    <n v="80.5"/>
    <n v="1.89"/>
    <n v="183"/>
    <n v="134"/>
    <n v="74"/>
    <n v="1.02"/>
    <n v="1311"/>
    <x v="2"/>
    <x v="1"/>
    <n v="24.6"/>
    <n v="1.9"/>
    <n v="4"/>
    <x v="1"/>
    <x v="0"/>
    <n v="12.32"/>
  </r>
  <r>
    <n v="35"/>
    <x v="3"/>
    <x v="0"/>
    <n v="42.9"/>
    <n v="1.51"/>
    <n v="163"/>
    <n v="131"/>
    <n v="74"/>
    <n v="2"/>
    <n v="526"/>
    <x v="1"/>
    <x v="0"/>
    <n v="15.3"/>
    <n v="3.3"/>
    <n v="5"/>
    <x v="3"/>
    <x v="0"/>
    <n v="13.74"/>
  </r>
  <r>
    <n v="18"/>
    <x v="1"/>
    <x v="1"/>
    <n v="74.599999999999994"/>
    <n v="1.88"/>
    <n v="177"/>
    <n v="166"/>
    <n v="53"/>
    <n v="2"/>
    <n v="1010"/>
    <x v="1"/>
    <x v="1"/>
    <n v="18"/>
    <n v="2.2000000000000002"/>
    <n v="5"/>
    <x v="1"/>
    <x v="1"/>
    <n v="30.5"/>
  </r>
  <r>
    <n v="21"/>
    <x v="1"/>
    <x v="1"/>
    <n v="66.7"/>
    <n v="1.93"/>
    <n v="175"/>
    <n v="166"/>
    <n v="63"/>
    <n v="1.26"/>
    <n v="949"/>
    <x v="3"/>
    <x v="2"/>
    <n v="27.8"/>
    <n v="3.4"/>
    <n v="2"/>
    <x v="0"/>
    <x v="0"/>
    <n v="13.53"/>
  </r>
  <r>
    <n v="31"/>
    <x v="0"/>
    <x v="0"/>
    <n v="55"/>
    <n v="1.6"/>
    <n v="172"/>
    <n v="164"/>
    <n v="53"/>
    <n v="1.85"/>
    <n v="1361"/>
    <x v="0"/>
    <x v="3"/>
    <n v="20.6"/>
    <n v="3.4"/>
    <n v="4"/>
    <x v="1"/>
    <x v="0"/>
    <n v="16.04"/>
  </r>
  <r>
    <n v="27"/>
    <x v="0"/>
    <x v="0"/>
    <n v="52.3"/>
    <n v="1.77"/>
    <n v="193"/>
    <n v="130"/>
    <n v="57"/>
    <n v="2"/>
    <n v="993"/>
    <x v="3"/>
    <x v="1"/>
    <n v="25.6"/>
    <m/>
    <n v="4"/>
    <x v="1"/>
    <x v="0"/>
    <n v="15.08"/>
  </r>
  <r>
    <n v="46"/>
    <x v="2"/>
    <x v="1"/>
    <n v="65.7"/>
    <n v="1.75"/>
    <n v="192"/>
    <n v="135"/>
    <n v="59"/>
    <n v="1.31"/>
    <n v="881"/>
    <x v="0"/>
    <x v="0"/>
    <n v="10"/>
    <n v="2.7"/>
    <n v="2"/>
    <x v="1"/>
    <x v="1"/>
    <n v="31.78"/>
  </r>
  <r>
    <n v="53"/>
    <x v="2"/>
    <x v="0"/>
    <n v="84.7"/>
    <n v="1.61"/>
    <n v="193"/>
    <n v="158"/>
    <n v="72"/>
    <n v="2"/>
    <n v="478"/>
    <x v="3"/>
    <x v="1"/>
    <n v="25.6"/>
    <n v="2.4"/>
    <n v="3"/>
    <x v="1"/>
    <x v="2"/>
    <n v="18.57"/>
  </r>
  <r>
    <n v="18"/>
    <x v="1"/>
    <x v="2"/>
    <n v="80.400000000000006"/>
    <n v="1.97"/>
    <n v="172"/>
    <n v="137"/>
    <n v="74"/>
    <n v="1.62"/>
    <n v="617"/>
    <x v="0"/>
    <x v="3"/>
    <n v="22.4"/>
    <n v="3.4"/>
    <n v="3"/>
    <x v="1"/>
    <x v="0"/>
    <n v="16.91"/>
  </r>
  <r>
    <n v="18"/>
    <x v="1"/>
    <x v="0"/>
    <n v="63.4"/>
    <n v="1.85"/>
    <n v="191"/>
    <n v="148"/>
    <n v="69"/>
    <n v="0.89"/>
    <n v="1106"/>
    <x v="0"/>
    <x v="3"/>
    <n v="21.4"/>
    <n v="2.2999999999999998"/>
    <n v="5"/>
    <x v="2"/>
    <x v="0"/>
    <n v="15.64"/>
  </r>
  <r>
    <n v="48"/>
    <x v="2"/>
    <x v="0"/>
    <n v="61.8"/>
    <n v="1.71"/>
    <n v="172"/>
    <n v="140"/>
    <n v="62"/>
    <n v="1.37"/>
    <n v="1266"/>
    <x v="1"/>
    <x v="1"/>
    <n v="28.6"/>
    <n v="3.6"/>
    <n v="4"/>
    <x v="1"/>
    <x v="2"/>
    <n v="23.64"/>
  </r>
  <r>
    <n v="53"/>
    <x v="2"/>
    <x v="2"/>
    <n v="64.400000000000006"/>
    <n v="1.58"/>
    <n v="198"/>
    <n v="158"/>
    <n v="74"/>
    <n v="1.82"/>
    <n v="1144"/>
    <x v="3"/>
    <x v="1"/>
    <n v="27.2"/>
    <n v="3"/>
    <n v="2"/>
    <x v="1"/>
    <x v="0"/>
    <n v="18.329999999999998"/>
  </r>
  <r>
    <n v="25"/>
    <x v="0"/>
    <x v="1"/>
    <n v="44.2"/>
    <n v="1.9"/>
    <n v="174"/>
    <n v="159"/>
    <n v="50"/>
    <n v="1.1000000000000001"/>
    <n v="1293"/>
    <x v="3"/>
    <x v="2"/>
    <n v="25.7"/>
    <n v="2.5"/>
    <n v="4"/>
    <x v="0"/>
    <x v="2"/>
    <n v="19.260000000000002"/>
  </r>
  <r>
    <n v="18"/>
    <x v="1"/>
    <x v="0"/>
    <n v="43.1"/>
    <n v="1.75"/>
    <n v="183"/>
    <n v="138"/>
    <n v="53"/>
    <n v="1.95"/>
    <n v="437"/>
    <x v="1"/>
    <x v="0"/>
    <n v="19.100000000000001"/>
    <n v="3.6"/>
    <n v="2"/>
    <x v="0"/>
    <x v="0"/>
    <n v="18.14"/>
  </r>
  <r>
    <n v="18"/>
    <x v="1"/>
    <x v="1"/>
    <n v="92.1"/>
    <n v="1.59"/>
    <n v="171"/>
    <n v="150"/>
    <n v="54"/>
    <n v="1.17"/>
    <n v="968"/>
    <x v="3"/>
    <x v="1"/>
    <n v="21.8"/>
    <n v="2.4"/>
    <n v="5"/>
    <x v="0"/>
    <x v="4"/>
    <n v="25.66"/>
  </r>
  <r>
    <n v="31"/>
    <x v="0"/>
    <x v="1"/>
    <n v="58.7"/>
    <n v="1.66"/>
    <n v="183"/>
    <n v="149"/>
    <n v="74"/>
    <n v="1.1499999999999999"/>
    <n v="1368"/>
    <x v="1"/>
    <x v="1"/>
    <n v="23.1"/>
    <n v="2.2999999999999998"/>
    <n v="4"/>
    <x v="1"/>
    <x v="0"/>
    <n v="12.32"/>
  </r>
  <r>
    <n v="44"/>
    <x v="3"/>
    <x v="0"/>
    <n v="59.4"/>
    <n v="1.67"/>
    <n v="197"/>
    <n v="164"/>
    <n v="53"/>
    <n v="1.31"/>
    <n v="676"/>
    <x v="1"/>
    <x v="1"/>
    <n v="24.8"/>
    <m/>
    <n v="3"/>
    <x v="0"/>
    <x v="2"/>
    <n v="19.28"/>
  </r>
  <r>
    <n v="59"/>
    <x v="4"/>
    <x v="0"/>
    <n v="44.5"/>
    <n v="1.84"/>
    <n v="183"/>
    <n v="154"/>
    <n v="71"/>
    <n v="1.28"/>
    <n v="787"/>
    <x v="1"/>
    <x v="1"/>
    <n v="26.5"/>
    <n v="1.7"/>
    <n v="2"/>
    <x v="0"/>
    <x v="2"/>
    <n v="20.22"/>
  </r>
  <r>
    <n v="44"/>
    <x v="3"/>
    <x v="0"/>
    <n v="84.8"/>
    <n v="2"/>
    <n v="196"/>
    <n v="155"/>
    <n v="70"/>
    <n v="1.66"/>
    <n v="1439"/>
    <x v="2"/>
    <x v="0"/>
    <n v="12.1"/>
    <n v="1.7"/>
    <n v="2"/>
    <x v="1"/>
    <x v="0"/>
    <n v="14.34"/>
  </r>
  <r>
    <n v="57"/>
    <x v="4"/>
    <x v="0"/>
    <n v="80"/>
    <n v="1.79"/>
    <n v="167"/>
    <n v="127"/>
    <n v="54"/>
    <n v="1.01"/>
    <n v="312"/>
    <x v="3"/>
    <x v="1"/>
    <n v="24.3"/>
    <n v="2.6"/>
    <n v="4"/>
    <x v="0"/>
    <x v="0"/>
    <n v="13.16"/>
  </r>
  <r>
    <n v="20"/>
    <x v="1"/>
    <x v="1"/>
    <n v="87.1"/>
    <n v="1.91"/>
    <n v="186"/>
    <n v="150"/>
    <n v="51"/>
    <n v="1.39"/>
    <n v="1431"/>
    <x v="3"/>
    <x v="2"/>
    <n v="27"/>
    <n v="2.8"/>
    <n v="3"/>
    <x v="2"/>
    <x v="2"/>
    <n v="21.51"/>
  </r>
  <r>
    <n v="27"/>
    <x v="0"/>
    <x v="1"/>
    <n v="56.4"/>
    <n v="1.76"/>
    <n v="198"/>
    <n v="129"/>
    <n v="71"/>
    <n v="1.79"/>
    <n v="488"/>
    <x v="2"/>
    <x v="1"/>
    <n v="22.9"/>
    <n v="3.3"/>
    <n v="4"/>
    <x v="1"/>
    <x v="0"/>
    <n v="17.489999999999998"/>
  </r>
  <r>
    <n v="32"/>
    <x v="0"/>
    <x v="1"/>
    <n v="58.4"/>
    <n v="2"/>
    <n v="179"/>
    <n v="139"/>
    <n v="60"/>
    <n v="1.21"/>
    <n v="1379"/>
    <x v="0"/>
    <x v="1"/>
    <n v="23.3"/>
    <n v="3.2"/>
    <n v="4"/>
    <x v="0"/>
    <x v="2"/>
    <n v="22.61"/>
  </r>
  <r>
    <n v="42"/>
    <x v="3"/>
    <x v="0"/>
    <n v="68.5"/>
    <n v="1.75"/>
    <n v="187"/>
    <n v="167"/>
    <n v="54"/>
    <n v="1.3"/>
    <n v="708"/>
    <x v="1"/>
    <x v="0"/>
    <n v="15.4"/>
    <n v="1.6"/>
    <n v="4"/>
    <x v="1"/>
    <x v="1"/>
    <n v="33.909999999999997"/>
  </r>
  <r>
    <n v="48"/>
    <x v="2"/>
    <x v="0"/>
    <n v="77.7"/>
    <n v="1.76"/>
    <m/>
    <n v="156"/>
    <n v="53"/>
    <n v="2"/>
    <n v="1153"/>
    <x v="1"/>
    <x v="1"/>
    <n v="28.4"/>
    <n v="2.4"/>
    <n v="3"/>
    <x v="1"/>
    <x v="4"/>
    <n v="25.3"/>
  </r>
  <r>
    <n v="55"/>
    <x v="4"/>
    <x v="0"/>
    <n v="67.099999999999994"/>
    <n v="1.58"/>
    <n v="199"/>
    <n v="122"/>
    <n v="71"/>
    <n v="1.86"/>
    <n v="960"/>
    <x v="0"/>
    <x v="3"/>
    <n v="21.7"/>
    <n v="1.5"/>
    <n v="4"/>
    <x v="0"/>
    <x v="4"/>
    <n v="28.07"/>
  </r>
  <r>
    <n v="31"/>
    <x v="0"/>
    <x v="0"/>
    <n v="55.7"/>
    <n v="1.8"/>
    <n v="168"/>
    <n v="167"/>
    <n v="64"/>
    <n v="1.53"/>
    <n v="600"/>
    <x v="2"/>
    <x v="2"/>
    <n v="34.4"/>
    <n v="2.8"/>
    <n v="4"/>
    <x v="2"/>
    <x v="4"/>
    <n v="25.27"/>
  </r>
  <r>
    <n v="39"/>
    <x v="3"/>
    <x v="0"/>
    <n v="63.2"/>
    <n v="1.74"/>
    <n v="181"/>
    <n v="157"/>
    <n v="54"/>
    <n v="1.62"/>
    <n v="900"/>
    <x v="0"/>
    <x v="0"/>
    <n v="13.9"/>
    <n v="2.1"/>
    <n v="5"/>
    <x v="1"/>
    <x v="0"/>
    <n v="15.32"/>
  </r>
  <r>
    <n v="40"/>
    <x v="3"/>
    <x v="0"/>
    <n v="64.599999999999994"/>
    <n v="1.55"/>
    <n v="198"/>
    <n v="133"/>
    <n v="74"/>
    <n v="1.39"/>
    <n v="303"/>
    <x v="0"/>
    <x v="3"/>
    <n v="21.4"/>
    <n v="1.5"/>
    <n v="2"/>
    <x v="0"/>
    <x v="0"/>
    <n v="16.91"/>
  </r>
  <r>
    <n v="35"/>
    <x v="3"/>
    <x v="1"/>
    <n v="55"/>
    <m/>
    <n v="172"/>
    <n v="149"/>
    <n v="62"/>
    <n v="1.43"/>
    <n v="1423"/>
    <x v="0"/>
    <x v="2"/>
    <n v="30"/>
    <n v="3.5"/>
    <n v="3"/>
    <x v="0"/>
    <x v="2"/>
    <n v="23.55"/>
  </r>
  <r>
    <n v="36"/>
    <x v="3"/>
    <x v="0"/>
    <n v="71.900000000000006"/>
    <n v="1.66"/>
    <n v="177"/>
    <m/>
    <n v="73"/>
    <n v="0.96"/>
    <n v="556"/>
    <x v="3"/>
    <x v="3"/>
    <n v="23.3"/>
    <n v="3.2"/>
    <n v="2"/>
    <x v="0"/>
    <x v="0"/>
    <n v="14.97"/>
  </r>
  <r>
    <n v="26"/>
    <x v="0"/>
    <x v="0"/>
    <n v="56.7"/>
    <n v="1.73"/>
    <n v="168"/>
    <n v="144"/>
    <n v="71"/>
    <n v="0.68"/>
    <n v="1129"/>
    <x v="0"/>
    <x v="1"/>
    <n v="25.5"/>
    <n v="3.4"/>
    <n v="3"/>
    <x v="1"/>
    <x v="2"/>
    <n v="19.649999999999999"/>
  </r>
  <r>
    <n v="48"/>
    <x v="2"/>
    <x v="1"/>
    <n v="56"/>
    <n v="1.7"/>
    <n v="164"/>
    <n v="132"/>
    <n v="50"/>
    <n v="2"/>
    <n v="1148"/>
    <x v="2"/>
    <x v="2"/>
    <n v="26.6"/>
    <n v="3.1"/>
    <n v="2"/>
    <x v="0"/>
    <x v="2"/>
    <n v="19.440000000000001"/>
  </r>
  <r>
    <n v="54"/>
    <x v="2"/>
    <x v="0"/>
    <n v="74.900000000000006"/>
    <n v="1.69"/>
    <n v="195"/>
    <n v="153"/>
    <n v="62"/>
    <n v="1.1000000000000001"/>
    <n v="1389"/>
    <x v="3"/>
    <x v="0"/>
    <n v="14.4"/>
    <n v="3.1"/>
    <n v="3"/>
    <x v="1"/>
    <x v="2"/>
    <n v="18.71"/>
  </r>
  <r>
    <n v="55"/>
    <x v="4"/>
    <x v="0"/>
    <m/>
    <n v="1.68"/>
    <n v="164"/>
    <n v="156"/>
    <n v="67"/>
    <n v="1.59"/>
    <n v="851"/>
    <x v="1"/>
    <x v="2"/>
    <n v="33.1"/>
    <n v="2.8"/>
    <n v="3"/>
    <x v="0"/>
    <x v="4"/>
    <n v="28.23"/>
  </r>
  <r>
    <n v="18"/>
    <x v="1"/>
    <x v="0"/>
    <n v="43"/>
    <n v="1.95"/>
    <n v="163"/>
    <n v="164"/>
    <n v="68"/>
    <n v="2"/>
    <n v="1349"/>
    <x v="0"/>
    <x v="0"/>
    <n v="18.5"/>
    <n v="3.2"/>
    <n v="2"/>
    <x v="0"/>
    <x v="0"/>
    <n v="12.32"/>
  </r>
  <r>
    <n v="59"/>
    <x v="4"/>
    <x v="1"/>
    <n v="70.2"/>
    <n v="1.77"/>
    <n v="172"/>
    <n v="124"/>
    <n v="68"/>
    <n v="1.47"/>
    <n v="1069"/>
    <x v="1"/>
    <x v="1"/>
    <n v="21.4"/>
    <n v="3.5"/>
    <n v="4"/>
    <x v="1"/>
    <x v="3"/>
    <n v="40.19"/>
  </r>
  <r>
    <n v="23"/>
    <x v="1"/>
    <x v="1"/>
    <n v="96.5"/>
    <n v="1.8"/>
    <n v="187"/>
    <n v="155"/>
    <n v="68"/>
    <n v="0.92"/>
    <n v="1465"/>
    <x v="3"/>
    <x v="2"/>
    <n v="29.3"/>
    <n v="3.2"/>
    <n v="3"/>
    <x v="1"/>
    <x v="0"/>
    <n v="12.32"/>
  </r>
  <r>
    <n v="30"/>
    <x v="0"/>
    <x v="1"/>
    <n v="56.6"/>
    <n v="2"/>
    <n v="184"/>
    <n v="125"/>
    <n v="52"/>
    <n v="1.29"/>
    <n v="918"/>
    <x v="1"/>
    <x v="2"/>
    <n v="28.9"/>
    <n v="3.3"/>
    <n v="2"/>
    <x v="1"/>
    <x v="2"/>
    <n v="23.89"/>
  </r>
  <r>
    <n v="38"/>
    <x v="3"/>
    <x v="0"/>
    <n v="40"/>
    <n v="1.88"/>
    <n v="164"/>
    <n v="154"/>
    <n v="70"/>
    <n v="1.63"/>
    <n v="1109"/>
    <x v="3"/>
    <x v="3"/>
    <n v="20.7"/>
    <n v="1.7"/>
    <n v="2"/>
    <x v="0"/>
    <x v="0"/>
    <n v="12.64"/>
  </r>
  <r>
    <n v="18"/>
    <x v="1"/>
    <x v="1"/>
    <n v="101.2"/>
    <n v="1.59"/>
    <n v="198"/>
    <n v="122"/>
    <n v="58"/>
    <n v="1.08"/>
    <m/>
    <x v="0"/>
    <x v="2"/>
    <n v="28.6"/>
    <n v="3.1"/>
    <n v="4"/>
    <x v="0"/>
    <x v="2"/>
    <n v="19.39"/>
  </r>
  <r>
    <n v="48"/>
    <x v="2"/>
    <x v="0"/>
    <n v="81.900000000000006"/>
    <n v="1.8"/>
    <n v="180"/>
    <n v="165"/>
    <n v="67"/>
    <n v="1.25"/>
    <n v="1410"/>
    <x v="1"/>
    <x v="1"/>
    <n v="24"/>
    <n v="3.5"/>
    <n v="4"/>
    <x v="0"/>
    <x v="0"/>
    <n v="18.28"/>
  </r>
  <r>
    <n v="47"/>
    <x v="2"/>
    <x v="1"/>
    <n v="121.4"/>
    <n v="1.61"/>
    <n v="164"/>
    <n v="155"/>
    <n v="74"/>
    <n v="0.94"/>
    <n v="934"/>
    <x v="0"/>
    <x v="1"/>
    <n v="24.7"/>
    <n v="2.5"/>
    <n v="2"/>
    <x v="1"/>
    <x v="1"/>
    <n v="30.03"/>
  </r>
  <r>
    <n v="21"/>
    <x v="1"/>
    <x v="0"/>
    <n v="70.5"/>
    <n v="1.84"/>
    <n v="173"/>
    <n v="127"/>
    <n v="66"/>
    <n v="0.97"/>
    <n v="1013"/>
    <x v="1"/>
    <x v="1"/>
    <n v="26.7"/>
    <n v="1.6"/>
    <n v="5"/>
    <x v="2"/>
    <x v="4"/>
    <n v="25.59"/>
  </r>
  <r>
    <n v="23"/>
    <x v="1"/>
    <x v="0"/>
    <n v="70.5"/>
    <n v="1.65"/>
    <n v="192"/>
    <n v="162"/>
    <n v="50"/>
    <n v="0.63"/>
    <n v="1186"/>
    <x v="1"/>
    <x v="1"/>
    <n v="27.1"/>
    <n v="2.6"/>
    <n v="2"/>
    <x v="0"/>
    <x v="2"/>
    <n v="20.02"/>
  </r>
  <r>
    <n v="46"/>
    <x v="2"/>
    <x v="1"/>
    <n v="54.8"/>
    <n v="1.69"/>
    <n v="194"/>
    <n v="148"/>
    <n v="74"/>
    <n v="0.52"/>
    <n v="846"/>
    <x v="3"/>
    <x v="3"/>
    <n v="16.5"/>
    <n v="3.5"/>
    <n v="3"/>
    <x v="2"/>
    <x v="2"/>
    <n v="22.85"/>
  </r>
  <r>
    <n v="42"/>
    <x v="3"/>
    <x v="1"/>
    <n v="72"/>
    <n v="1.9"/>
    <n v="184"/>
    <n v="147"/>
    <n v="67"/>
    <n v="1.48"/>
    <n v="1047"/>
    <x v="3"/>
    <x v="3"/>
    <n v="15.6"/>
    <n v="3.4"/>
    <n v="3"/>
    <x v="1"/>
    <x v="2"/>
    <n v="24.6"/>
  </r>
  <r>
    <n v="29"/>
    <x v="0"/>
    <x v="1"/>
    <n v="56.3"/>
    <n v="1.81"/>
    <n v="189"/>
    <n v="166"/>
    <n v="65"/>
    <n v="1.39"/>
    <n v="1066"/>
    <x v="0"/>
    <x v="3"/>
    <n v="14.3"/>
    <n v="2.9"/>
    <n v="3"/>
    <x v="1"/>
    <x v="2"/>
    <n v="22.34"/>
  </r>
  <r>
    <n v="18"/>
    <x v="1"/>
    <x v="1"/>
    <n v="46.5"/>
    <n v="1.54"/>
    <n v="198"/>
    <n v="169"/>
    <n v="55"/>
    <m/>
    <n v="1060"/>
    <x v="1"/>
    <x v="2"/>
    <n v="28.9"/>
    <n v="3.1"/>
    <n v="5"/>
    <x v="1"/>
    <x v="0"/>
    <n v="14.01"/>
  </r>
  <r>
    <n v="47"/>
    <x v="2"/>
    <x v="0"/>
    <n v="51.4"/>
    <n v="1.88"/>
    <n v="176"/>
    <n v="125"/>
    <n v="58"/>
    <n v="0.88"/>
    <n v="1133"/>
    <x v="3"/>
    <x v="1"/>
    <n v="24"/>
    <n v="3.3"/>
    <n v="3"/>
    <x v="2"/>
    <x v="0"/>
    <n v="14.3"/>
  </r>
  <r>
    <n v="43"/>
    <x v="3"/>
    <x v="1"/>
    <n v="42.6"/>
    <n v="1.62"/>
    <n v="189"/>
    <n v="169"/>
    <n v="74"/>
    <n v="1"/>
    <n v="1213"/>
    <x v="0"/>
    <x v="3"/>
    <n v="13.6"/>
    <n v="3.5"/>
    <n v="2"/>
    <x v="3"/>
    <x v="2"/>
    <n v="21.81"/>
  </r>
  <r>
    <n v="18"/>
    <x v="1"/>
    <x v="1"/>
    <n v="73"/>
    <n v="1.78"/>
    <n v="161"/>
    <n v="131"/>
    <n v="50"/>
    <n v="2"/>
    <n v="1319"/>
    <x v="0"/>
    <x v="2"/>
    <n v="26.1"/>
    <n v="1.5"/>
    <n v="5"/>
    <x v="1"/>
    <x v="0"/>
    <n v="12.32"/>
  </r>
  <r>
    <n v="50"/>
    <x v="2"/>
    <x v="1"/>
    <n v="87.9"/>
    <n v="1.68"/>
    <n v="192"/>
    <n v="151"/>
    <n v="71"/>
    <n v="2"/>
    <n v="494"/>
    <x v="0"/>
    <x v="3"/>
    <n v="15.5"/>
    <n v="3.1"/>
    <n v="3"/>
    <x v="2"/>
    <x v="1"/>
    <n v="31.28"/>
  </r>
  <r>
    <n v="35"/>
    <x v="3"/>
    <x v="1"/>
    <n v="53"/>
    <n v="1.67"/>
    <n v="183"/>
    <n v="128"/>
    <n v="72"/>
    <n v="1.29"/>
    <n v="682"/>
    <x v="3"/>
    <x v="1"/>
    <n v="21.9"/>
    <n v="2.2000000000000002"/>
    <n v="3"/>
    <x v="0"/>
    <x v="0"/>
    <n v="16.71"/>
  </r>
  <r>
    <n v="43"/>
    <x v="3"/>
    <x v="0"/>
    <n v="46.3"/>
    <n v="1.61"/>
    <n v="190"/>
    <n v="136"/>
    <n v="69"/>
    <n v="2"/>
    <n v="1185"/>
    <x v="3"/>
    <x v="3"/>
    <n v="21.4"/>
    <n v="3.5"/>
    <n v="4"/>
    <x v="1"/>
    <x v="0"/>
    <n v="14.14"/>
  </r>
  <r>
    <n v="50"/>
    <x v="2"/>
    <x v="1"/>
    <n v="82.8"/>
    <n v="1.9"/>
    <n v="161"/>
    <n v="130"/>
    <n v="74"/>
    <n v="1.51"/>
    <n v="1151"/>
    <x v="4"/>
    <x v="3"/>
    <n v="16.8"/>
    <n v="3.3"/>
    <n v="4"/>
    <x v="2"/>
    <x v="4"/>
    <n v="28.59"/>
  </r>
  <r>
    <n v="53"/>
    <x v="2"/>
    <x v="0"/>
    <n v="82.9"/>
    <n v="1.6"/>
    <n v="170"/>
    <n v="148"/>
    <n v="55"/>
    <n v="1.93"/>
    <n v="541"/>
    <x v="2"/>
    <x v="0"/>
    <n v="17.8"/>
    <n v="2.5"/>
    <n v="3"/>
    <x v="0"/>
    <x v="0"/>
    <n v="12.33"/>
  </r>
  <r>
    <n v="18"/>
    <x v="1"/>
    <x v="0"/>
    <n v="71.900000000000006"/>
    <n v="1.54"/>
    <n v="177"/>
    <n v="120"/>
    <n v="73"/>
    <n v="1.17"/>
    <n v="817"/>
    <x v="0"/>
    <x v="0"/>
    <n v="16.8"/>
    <n v="2.6"/>
    <n v="3"/>
    <x v="1"/>
    <x v="4"/>
    <n v="29.64"/>
  </r>
  <r>
    <n v="27"/>
    <x v="0"/>
    <x v="1"/>
    <n v="41"/>
    <n v="1.82"/>
    <n v="171"/>
    <n v="138"/>
    <n v="53"/>
    <n v="1.47"/>
    <n v="1273"/>
    <x v="1"/>
    <x v="2"/>
    <n v="29.1"/>
    <n v="2.4"/>
    <n v="4"/>
    <x v="1"/>
    <x v="0"/>
    <n v="12.35"/>
  </r>
  <r>
    <n v="18"/>
    <x v="1"/>
    <x v="0"/>
    <n v="81.900000000000006"/>
    <n v="1.79"/>
    <n v="178"/>
    <n v="160"/>
    <n v="60"/>
    <n v="1.24"/>
    <n v="1172"/>
    <x v="4"/>
    <x v="1"/>
    <n v="28.5"/>
    <n v="1.7"/>
    <n v="3"/>
    <x v="2"/>
    <x v="0"/>
    <n v="12.32"/>
  </r>
  <r>
    <n v="18"/>
    <x v="1"/>
    <x v="1"/>
    <n v="67.7"/>
    <n v="1.69"/>
    <n v="192"/>
    <n v="123"/>
    <n v="57"/>
    <n v="1.44"/>
    <n v="1445"/>
    <x v="1"/>
    <x v="2"/>
    <n v="26.8"/>
    <n v="3.1"/>
    <n v="3"/>
    <x v="0"/>
    <x v="2"/>
    <n v="21.16"/>
  </r>
  <r>
    <n v="22"/>
    <x v="1"/>
    <x v="0"/>
    <n v="99.5"/>
    <n v="1.79"/>
    <n v="186"/>
    <n v="122"/>
    <n v="56"/>
    <n v="1.45"/>
    <n v="1783"/>
    <x v="1"/>
    <x v="1"/>
    <n v="27.6"/>
    <n v="3.5"/>
    <n v="2"/>
    <x v="0"/>
    <x v="2"/>
    <n v="23.56"/>
  </r>
  <r>
    <n v="31"/>
    <x v="0"/>
    <x v="0"/>
    <n v="47.4"/>
    <n v="1.73"/>
    <n v="178"/>
    <n v="150"/>
    <n v="57"/>
    <n v="1.64"/>
    <n v="962"/>
    <x v="1"/>
    <x v="1"/>
    <n v="28.8"/>
    <n v="2"/>
    <n v="4"/>
    <x v="2"/>
    <x v="2"/>
    <n v="20.91"/>
  </r>
  <r>
    <n v="18"/>
    <x v="1"/>
    <x v="1"/>
    <n v="71.099999999999994"/>
    <n v="1.84"/>
    <n v="189"/>
    <n v="127"/>
    <n v="74"/>
    <n v="0.85"/>
    <n v="1303"/>
    <x v="0"/>
    <x v="3"/>
    <n v="15.2"/>
    <n v="2.8"/>
    <n v="2"/>
    <x v="2"/>
    <x v="1"/>
    <n v="30.36"/>
  </r>
  <r>
    <n v="22"/>
    <x v="1"/>
    <x v="1"/>
    <n v="89.8"/>
    <n v="1.79"/>
    <n v="179"/>
    <n v="163"/>
    <n v="59"/>
    <n v="2"/>
    <n v="1098"/>
    <x v="0"/>
    <x v="2"/>
    <n v="28.2"/>
    <n v="1.7"/>
    <n v="3"/>
    <x v="1"/>
    <x v="0"/>
    <n v="12.32"/>
  </r>
  <r>
    <n v="28"/>
    <x v="0"/>
    <x v="0"/>
    <n v="81.7"/>
    <n v="1.81"/>
    <n v="177"/>
    <n v="130"/>
    <n v="50"/>
    <n v="1.45"/>
    <n v="507"/>
    <x v="1"/>
    <x v="3"/>
    <n v="23.2"/>
    <n v="1.7"/>
    <n v="3"/>
    <x v="1"/>
    <x v="1"/>
    <n v="34.26"/>
  </r>
  <r>
    <n v="40"/>
    <x v="3"/>
    <x v="1"/>
    <n v="40.4"/>
    <n v="1.68"/>
    <n v="171"/>
    <n v="130"/>
    <n v="54"/>
    <n v="2"/>
    <n v="527"/>
    <x v="0"/>
    <x v="2"/>
    <n v="27.3"/>
    <n v="3.3"/>
    <n v="4"/>
    <x v="2"/>
    <x v="2"/>
    <n v="20.47"/>
  </r>
  <r>
    <n v="56"/>
    <x v="4"/>
    <x v="1"/>
    <n v="40"/>
    <n v="1.63"/>
    <n v="181"/>
    <n v="133"/>
    <n v="50"/>
    <n v="0.89"/>
    <n v="1674"/>
    <x v="3"/>
    <x v="1"/>
    <n v="23.4"/>
    <n v="1.5"/>
    <n v="3"/>
    <x v="0"/>
    <x v="2"/>
    <n v="20.75"/>
  </r>
  <r>
    <n v="41"/>
    <x v="3"/>
    <x v="1"/>
    <n v="40.200000000000003"/>
    <n v="1.76"/>
    <n v="198"/>
    <n v="135"/>
    <n v="56"/>
    <n v="1.93"/>
    <n v="964"/>
    <x v="0"/>
    <x v="1"/>
    <n v="18.8"/>
    <n v="3.4"/>
    <n v="4"/>
    <x v="1"/>
    <x v="2"/>
    <n v="19.02"/>
  </r>
  <r>
    <n v="47"/>
    <x v="2"/>
    <x v="1"/>
    <n v="49.9"/>
    <n v="1.74"/>
    <n v="190"/>
    <n v="120"/>
    <n v="65"/>
    <n v="1.97"/>
    <n v="406"/>
    <x v="2"/>
    <x v="2"/>
    <n v="29.4"/>
    <n v="1.5"/>
    <n v="5"/>
    <x v="0"/>
    <x v="0"/>
    <n v="16.010000000000002"/>
  </r>
  <r>
    <n v="42"/>
    <x v="3"/>
    <x v="1"/>
    <n v="41.9"/>
    <n v="1.84"/>
    <n v="168"/>
    <n v="154"/>
    <n v="71"/>
    <n v="1.49"/>
    <n v="1029"/>
    <x v="4"/>
    <x v="2"/>
    <n v="30.6"/>
    <n v="2.6"/>
    <n v="4"/>
    <x v="0"/>
    <x v="2"/>
    <n v="22.97"/>
  </r>
  <r>
    <n v="26"/>
    <x v="0"/>
    <x v="1"/>
    <n v="40"/>
    <n v="1.72"/>
    <n v="164"/>
    <n v="169"/>
    <n v="58"/>
    <n v="0.89"/>
    <n v="1198"/>
    <x v="2"/>
    <x v="1"/>
    <n v="17"/>
    <n v="1.6"/>
    <n v="5"/>
    <x v="0"/>
    <x v="2"/>
    <n v="20.71"/>
  </r>
  <r>
    <n v="18"/>
    <x v="1"/>
    <x v="1"/>
    <n v="47.3"/>
    <n v="1.75"/>
    <n v="196"/>
    <n v="169"/>
    <n v="56"/>
    <n v="1.32"/>
    <n v="706"/>
    <x v="1"/>
    <x v="2"/>
    <n v="29"/>
    <n v="1.9"/>
    <n v="2"/>
    <x v="0"/>
    <x v="1"/>
    <n v="30.5"/>
  </r>
  <r>
    <n v="54"/>
    <x v="2"/>
    <x v="1"/>
    <n v="79.599999999999994"/>
    <n v="1.87"/>
    <n v="190"/>
    <n v="155"/>
    <n v="53"/>
    <m/>
    <n v="884"/>
    <x v="0"/>
    <x v="2"/>
    <n v="27.7"/>
    <n v="3.5"/>
    <n v="2"/>
    <x v="0"/>
    <x v="0"/>
    <n v="12.32"/>
  </r>
  <r>
    <n v="19"/>
    <x v="1"/>
    <x v="0"/>
    <n v="76.599999999999994"/>
    <n v="1.84"/>
    <n v="188"/>
    <n v="138"/>
    <n v="71"/>
    <n v="1.72"/>
    <n v="699"/>
    <x v="2"/>
    <x v="1"/>
    <n v="28.3"/>
    <n v="3.5"/>
    <n v="4"/>
    <x v="1"/>
    <x v="2"/>
    <n v="19.760000000000002"/>
  </r>
  <r>
    <n v="32"/>
    <x v="0"/>
    <x v="0"/>
    <n v="69.5"/>
    <n v="1.65"/>
    <n v="192"/>
    <n v="140"/>
    <n v="52"/>
    <n v="1.71"/>
    <n v="1163"/>
    <x v="1"/>
    <x v="1"/>
    <n v="29.8"/>
    <n v="3.5"/>
    <n v="4"/>
    <x v="1"/>
    <x v="0"/>
    <n v="15.8"/>
  </r>
  <r>
    <n v="46"/>
    <x v="2"/>
    <x v="0"/>
    <n v="68.599999999999994"/>
    <n v="1.63"/>
    <n v="177"/>
    <n v="150"/>
    <n v="58"/>
    <n v="2"/>
    <n v="1074"/>
    <x v="0"/>
    <x v="1"/>
    <n v="25.8"/>
    <n v="3.6"/>
    <n v="3"/>
    <x v="2"/>
    <x v="2"/>
    <n v="19.420000000000002"/>
  </r>
  <r>
    <n v="46"/>
    <x v="2"/>
    <x v="1"/>
    <n v="73"/>
    <n v="2"/>
    <n v="184"/>
    <n v="123"/>
    <n v="64"/>
    <n v="0.9"/>
    <n v="1159"/>
    <x v="1"/>
    <x v="0"/>
    <n v="10"/>
    <n v="3.4"/>
    <n v="5"/>
    <x v="2"/>
    <x v="0"/>
    <n v="14.91"/>
  </r>
  <r>
    <n v="52"/>
    <x v="2"/>
    <x v="0"/>
    <n v="40.799999999999997"/>
    <n v="1.71"/>
    <n v="181"/>
    <n v="169"/>
    <n v="73"/>
    <n v="1.44"/>
    <n v="303"/>
    <x v="3"/>
    <x v="1"/>
    <n v="28.3"/>
    <n v="1.6"/>
    <n v="3"/>
    <x v="1"/>
    <x v="0"/>
    <n v="18.309999999999999"/>
  </r>
  <r>
    <n v="19"/>
    <x v="1"/>
    <x v="1"/>
    <n v="42.1"/>
    <n v="1.6"/>
    <n v="194"/>
    <n v="148"/>
    <n v="73"/>
    <n v="1.27"/>
    <n v="1305"/>
    <x v="1"/>
    <x v="0"/>
    <n v="12.7"/>
    <n v="3.3"/>
    <n v="2"/>
    <x v="0"/>
    <x v="0"/>
    <n v="16.649999999999999"/>
  </r>
  <r>
    <n v="34"/>
    <x v="0"/>
    <x v="1"/>
    <n v="40"/>
    <n v="1.82"/>
    <n v="176"/>
    <n v="141"/>
    <n v="66"/>
    <n v="1.34"/>
    <n v="1709"/>
    <x v="1"/>
    <x v="1"/>
    <n v="24.1"/>
    <n v="3"/>
    <n v="4"/>
    <x v="1"/>
    <x v="0"/>
    <n v="15.3"/>
  </r>
  <r>
    <n v="18"/>
    <x v="1"/>
    <x v="0"/>
    <n v="67.099999999999994"/>
    <n v="1.71"/>
    <n v="174"/>
    <n v="165"/>
    <n v="74"/>
    <n v="1.84"/>
    <n v="577"/>
    <x v="0"/>
    <x v="1"/>
    <n v="27.1"/>
    <n v="2.7"/>
    <n v="4"/>
    <x v="2"/>
    <x v="2"/>
    <n v="24.9"/>
  </r>
  <r>
    <n v="53"/>
    <x v="2"/>
    <x v="1"/>
    <n v="67.2"/>
    <n v="1.68"/>
    <n v="190"/>
    <n v="138"/>
    <n v="55"/>
    <n v="1.67"/>
    <n v="924"/>
    <x v="4"/>
    <x v="1"/>
    <n v="22.6"/>
    <n v="1.5"/>
    <n v="3"/>
    <x v="1"/>
    <x v="0"/>
    <n v="13.91"/>
  </r>
  <r>
    <n v="29"/>
    <x v="0"/>
    <x v="1"/>
    <n v="72.099999999999994"/>
    <n v="2"/>
    <n v="166"/>
    <n v="124"/>
    <n v="67"/>
    <n v="2"/>
    <n v="1582"/>
    <x v="0"/>
    <x v="2"/>
    <n v="32.700000000000003"/>
    <n v="3.4"/>
    <n v="3"/>
    <x v="0"/>
    <x v="2"/>
    <n v="21.75"/>
  </r>
  <r>
    <n v="49"/>
    <x v="2"/>
    <x v="0"/>
    <n v="62"/>
    <n v="1.87"/>
    <n v="195"/>
    <n v="125"/>
    <n v="74"/>
    <n v="1.04"/>
    <n v="842"/>
    <x v="2"/>
    <x v="3"/>
    <n v="20"/>
    <n v="3.5"/>
    <n v="3"/>
    <x v="1"/>
    <x v="2"/>
    <n v="22.02"/>
  </r>
  <r>
    <n v="52"/>
    <x v="2"/>
    <x v="1"/>
    <n v="71.3"/>
    <n v="1.84"/>
    <n v="197"/>
    <n v="126"/>
    <n v="73"/>
    <n v="1.22"/>
    <n v="765"/>
    <x v="1"/>
    <x v="2"/>
    <n v="29.2"/>
    <n v="1.8"/>
    <n v="2"/>
    <x v="3"/>
    <x v="0"/>
    <n v="12.32"/>
  </r>
  <r>
    <n v="28"/>
    <x v="0"/>
    <x v="2"/>
    <n v="85.6"/>
    <n v="1.54"/>
    <n v="168"/>
    <n v="128"/>
    <n v="59"/>
    <n v="1.45"/>
    <n v="860"/>
    <x v="3"/>
    <x v="0"/>
    <n v="14.9"/>
    <n v="2.4"/>
    <n v="4"/>
    <x v="1"/>
    <x v="0"/>
    <n v="12.32"/>
  </r>
  <r>
    <n v="21"/>
    <x v="1"/>
    <x v="1"/>
    <n v="51.9"/>
    <n v="1.57"/>
    <n v="170"/>
    <n v="167"/>
    <n v="73"/>
    <n v="1.25"/>
    <n v="1082"/>
    <x v="0"/>
    <x v="2"/>
    <n v="27.5"/>
    <n v="1.6"/>
    <n v="3"/>
    <x v="0"/>
    <x v="2"/>
    <n v="18.89"/>
  </r>
  <r>
    <n v="33"/>
    <x v="0"/>
    <x v="1"/>
    <n v="92.8"/>
    <n v="1.59"/>
    <n v="161"/>
    <n v="150"/>
    <n v="52"/>
    <n v="1.19"/>
    <n v="1640"/>
    <x v="1"/>
    <x v="1"/>
    <n v="23.8"/>
    <n v="2.6"/>
    <n v="3"/>
    <x v="2"/>
    <x v="0"/>
    <n v="15.84"/>
  </r>
  <r>
    <n v="58"/>
    <x v="4"/>
    <x v="0"/>
    <n v="40"/>
    <n v="1.7"/>
    <n v="193"/>
    <n v="120"/>
    <n v="52"/>
    <n v="0.99"/>
    <n v="1178"/>
    <x v="3"/>
    <x v="3"/>
    <n v="21.2"/>
    <n v="2.5"/>
    <n v="5"/>
    <x v="1"/>
    <x v="0"/>
    <n v="12.32"/>
  </r>
  <r>
    <n v="36"/>
    <x v="3"/>
    <x v="0"/>
    <n v="44.9"/>
    <n v="1.79"/>
    <n v="166"/>
    <n v="120"/>
    <n v="74"/>
    <n v="1.66"/>
    <n v="811"/>
    <x v="2"/>
    <x v="0"/>
    <n v="16.2"/>
    <n v="3.3"/>
    <n v="3"/>
    <x v="1"/>
    <x v="4"/>
    <n v="29.4"/>
  </r>
  <r>
    <n v="33"/>
    <x v="0"/>
    <x v="1"/>
    <n v="78.599999999999994"/>
    <n v="1.7"/>
    <n v="161"/>
    <n v="168"/>
    <n v="65"/>
    <n v="2"/>
    <n v="855"/>
    <x v="1"/>
    <x v="0"/>
    <n v="10"/>
    <n v="3.2"/>
    <n v="2"/>
    <x v="1"/>
    <x v="0"/>
    <n v="16.53"/>
  </r>
  <r>
    <n v="42"/>
    <x v="3"/>
    <x v="0"/>
    <n v="54"/>
    <n v="1.69"/>
    <n v="179"/>
    <n v="169"/>
    <n v="53"/>
    <n v="1.19"/>
    <n v="458"/>
    <x v="4"/>
    <x v="1"/>
    <n v="25.7"/>
    <n v="3.3"/>
    <n v="3"/>
    <x v="2"/>
    <x v="0"/>
    <n v="14.91"/>
  </r>
  <r>
    <n v="29"/>
    <x v="0"/>
    <x v="1"/>
    <n v="53.8"/>
    <n v="1.66"/>
    <n v="163"/>
    <n v="133"/>
    <n v="64"/>
    <n v="2"/>
    <n v="1187"/>
    <x v="0"/>
    <x v="2"/>
    <n v="34.5"/>
    <n v="1.5"/>
    <n v="4"/>
    <x v="1"/>
    <x v="2"/>
    <n v="23.95"/>
  </r>
  <r>
    <n v="26"/>
    <x v="0"/>
    <x v="0"/>
    <n v="91.7"/>
    <n v="1.58"/>
    <n v="167"/>
    <n v="120"/>
    <n v="52"/>
    <n v="1.65"/>
    <n v="1334"/>
    <x v="1"/>
    <x v="1"/>
    <n v="29.2"/>
    <n v="2.6"/>
    <n v="2"/>
    <x v="0"/>
    <x v="0"/>
    <m/>
  </r>
  <r>
    <n v="44"/>
    <x v="3"/>
    <x v="1"/>
    <n v="63.3"/>
    <n v="1.88"/>
    <n v="189"/>
    <n v="150"/>
    <n v="74"/>
    <n v="1.02"/>
    <n v="1184"/>
    <x v="0"/>
    <x v="3"/>
    <n v="16.5"/>
    <n v="3.5"/>
    <n v="4"/>
    <x v="1"/>
    <x v="0"/>
    <n v="13.03"/>
  </r>
  <r>
    <n v="42"/>
    <x v="3"/>
    <x v="0"/>
    <n v="98.1"/>
    <n v="1.73"/>
    <n v="165"/>
    <n v="120"/>
    <n v="69"/>
    <n v="1.52"/>
    <n v="477"/>
    <x v="3"/>
    <x v="3"/>
    <n v="21.7"/>
    <n v="1.9"/>
    <n v="2"/>
    <x v="0"/>
    <x v="0"/>
    <n v="15.29"/>
  </r>
  <r>
    <n v="39"/>
    <x v="3"/>
    <x v="1"/>
    <n v="129.9"/>
    <n v="1.81"/>
    <n v="190"/>
    <n v="140"/>
    <n v="74"/>
    <n v="1.89"/>
    <m/>
    <x v="2"/>
    <x v="3"/>
    <n v="14.9"/>
    <n v="2.5"/>
    <n v="2"/>
    <x v="2"/>
    <x v="4"/>
    <n v="26.54"/>
  </r>
  <r>
    <n v="56"/>
    <x v="4"/>
    <x v="2"/>
    <n v="40"/>
    <n v="1.85"/>
    <n v="194"/>
    <n v="158"/>
    <n v="67"/>
    <n v="1.43"/>
    <n v="1633"/>
    <x v="3"/>
    <x v="1"/>
    <n v="30.6"/>
    <n v="1.9"/>
    <n v="4"/>
    <x v="1"/>
    <x v="2"/>
    <n v="21.57"/>
  </r>
  <r>
    <n v="32"/>
    <x v="0"/>
    <x v="1"/>
    <n v="87.2"/>
    <n v="1.5"/>
    <n v="193"/>
    <n v="152"/>
    <n v="58"/>
    <n v="1.28"/>
    <n v="1538"/>
    <x v="1"/>
    <x v="1"/>
    <n v="23.2"/>
    <n v="2.1"/>
    <n v="3"/>
    <x v="2"/>
    <x v="0"/>
    <n v="16.29"/>
  </r>
  <r>
    <n v="31"/>
    <x v="0"/>
    <x v="1"/>
    <n v="64.8"/>
    <n v="1.71"/>
    <n v="174"/>
    <n v="164"/>
    <n v="57"/>
    <n v="1.64"/>
    <n v="857"/>
    <x v="2"/>
    <x v="2"/>
    <n v="26.2"/>
    <n v="2.7"/>
    <n v="4"/>
    <x v="3"/>
    <x v="2"/>
    <n v="23.64"/>
  </r>
  <r>
    <n v="48"/>
    <x v="2"/>
    <x v="1"/>
    <n v="51.6"/>
    <n v="1.8"/>
    <n v="181"/>
    <n v="161"/>
    <n v="68"/>
    <n v="0.82"/>
    <n v="1487"/>
    <x v="1"/>
    <x v="1"/>
    <n v="22.5"/>
    <n v="1.9"/>
    <n v="4"/>
    <x v="0"/>
    <x v="0"/>
    <n v="13.29"/>
  </r>
  <r>
    <n v="21"/>
    <x v="1"/>
    <x v="1"/>
    <n v="69.400000000000006"/>
    <n v="1.85"/>
    <n v="177"/>
    <n v="153"/>
    <n v="74"/>
    <n v="1.55"/>
    <n v="879"/>
    <x v="0"/>
    <x v="0"/>
    <n v="10"/>
    <n v="2.4"/>
    <n v="3"/>
    <x v="0"/>
    <x v="0"/>
    <n v="17.579999999999998"/>
  </r>
  <r>
    <n v="38"/>
    <x v="3"/>
    <x v="0"/>
    <n v="77.400000000000006"/>
    <n v="1.54"/>
    <n v="169"/>
    <n v="149"/>
    <n v="50"/>
    <n v="2"/>
    <n v="867"/>
    <x v="0"/>
    <x v="1"/>
    <n v="29"/>
    <n v="3.6"/>
    <n v="5"/>
    <x v="0"/>
    <x v="0"/>
    <n v="13.58"/>
  </r>
  <r>
    <n v="58"/>
    <x v="4"/>
    <x v="0"/>
    <n v="76.3"/>
    <n v="1.56"/>
    <n v="190"/>
    <n v="145"/>
    <n v="72"/>
    <n v="2"/>
    <n v="913"/>
    <x v="0"/>
    <x v="0"/>
    <m/>
    <n v="3.3"/>
    <n v="3"/>
    <x v="2"/>
    <x v="0"/>
    <n v="16.670000000000002"/>
  </r>
  <r>
    <n v="42"/>
    <x v="3"/>
    <x v="0"/>
    <n v="82.3"/>
    <n v="1.94"/>
    <n v="198"/>
    <n v="132"/>
    <n v="57"/>
    <n v="1.46"/>
    <n v="1050"/>
    <x v="3"/>
    <x v="0"/>
    <n v="10"/>
    <n v="3.2"/>
    <n v="3"/>
    <x v="0"/>
    <x v="2"/>
    <n v="20.23"/>
  </r>
  <r>
    <n v="40"/>
    <x v="3"/>
    <x v="0"/>
    <n v="95.5"/>
    <n v="1.84"/>
    <n v="196"/>
    <n v="144"/>
    <n v="68"/>
    <n v="1.94"/>
    <n v="1568"/>
    <x v="3"/>
    <x v="1"/>
    <n v="26.7"/>
    <n v="3.7"/>
    <n v="3"/>
    <x v="1"/>
    <x v="0"/>
    <n v="17.55"/>
  </r>
  <r>
    <n v="19"/>
    <x v="1"/>
    <x v="1"/>
    <n v="60.7"/>
    <n v="1.7"/>
    <n v="183"/>
    <n v="128"/>
    <n v="74"/>
    <n v="1.22"/>
    <n v="817"/>
    <x v="0"/>
    <x v="1"/>
    <n v="20.9"/>
    <n v="2.8"/>
    <n v="4"/>
    <x v="1"/>
    <x v="1"/>
    <n v="35.869999999999997"/>
  </r>
  <r>
    <n v="34"/>
    <x v="0"/>
    <x v="1"/>
    <n v="40"/>
    <n v="1.88"/>
    <n v="188"/>
    <n v="131"/>
    <n v="54"/>
    <n v="1.29"/>
    <n v="840"/>
    <x v="1"/>
    <x v="0"/>
    <n v="11.9"/>
    <n v="1.9"/>
    <n v="3"/>
    <x v="2"/>
    <x v="2"/>
    <n v="18.809999999999999"/>
  </r>
  <r>
    <n v="37"/>
    <x v="3"/>
    <x v="0"/>
    <n v="63.1"/>
    <n v="1.84"/>
    <n v="185"/>
    <n v="158"/>
    <n v="56"/>
    <n v="1.3"/>
    <n v="1248"/>
    <x v="2"/>
    <x v="2"/>
    <n v="31.9"/>
    <n v="3.5"/>
    <n v="3"/>
    <x v="1"/>
    <x v="4"/>
    <n v="26.39"/>
  </r>
  <r>
    <n v="51"/>
    <x v="2"/>
    <x v="0"/>
    <n v="55.7"/>
    <n v="1.5"/>
    <n v="188"/>
    <n v="143"/>
    <n v="58"/>
    <n v="1.19"/>
    <n v="1302"/>
    <x v="2"/>
    <x v="1"/>
    <n v="27.7"/>
    <n v="2"/>
    <n v="3"/>
    <x v="1"/>
    <x v="4"/>
    <n v="28.28"/>
  </r>
  <r>
    <n v="52"/>
    <x v="2"/>
    <x v="1"/>
    <n v="53.1"/>
    <n v="1.55"/>
    <n v="184"/>
    <n v="167"/>
    <n v="50"/>
    <n v="1.95"/>
    <n v="1205"/>
    <x v="0"/>
    <x v="3"/>
    <n v="14.6"/>
    <n v="3.5"/>
    <n v="5"/>
    <x v="1"/>
    <x v="0"/>
    <n v="12.32"/>
  </r>
  <r>
    <n v="52"/>
    <x v="2"/>
    <x v="0"/>
    <n v="65.8"/>
    <n v="1.82"/>
    <n v="168"/>
    <n v="167"/>
    <n v="71"/>
    <n v="1.1499999999999999"/>
    <n v="751"/>
    <x v="0"/>
    <x v="0"/>
    <n v="17.100000000000001"/>
    <n v="1.5"/>
    <n v="3"/>
    <x v="1"/>
    <x v="1"/>
    <n v="32.86"/>
  </r>
  <r>
    <n v="18"/>
    <x v="1"/>
    <x v="0"/>
    <m/>
    <n v="1.72"/>
    <n v="169"/>
    <n v="136"/>
    <n v="66"/>
    <n v="2"/>
    <n v="945"/>
    <x v="0"/>
    <x v="3"/>
    <n v="22.8"/>
    <n v="3.3"/>
    <n v="4"/>
    <x v="0"/>
    <x v="4"/>
    <n v="26.19"/>
  </r>
  <r>
    <n v="35"/>
    <x v="3"/>
    <x v="0"/>
    <n v="40.4"/>
    <n v="1.71"/>
    <n v="176"/>
    <n v="130"/>
    <n v="70"/>
    <n v="1.97"/>
    <n v="1110"/>
    <x v="2"/>
    <x v="0"/>
    <n v="17"/>
    <n v="3.6"/>
    <n v="4"/>
    <x v="2"/>
    <x v="4"/>
    <n v="29.32"/>
  </r>
  <r>
    <n v="45"/>
    <x v="2"/>
    <x v="1"/>
    <n v="40"/>
    <n v="1.75"/>
    <n v="194"/>
    <n v="120"/>
    <n v="50"/>
    <n v="1.67"/>
    <n v="1296"/>
    <x v="3"/>
    <x v="2"/>
    <n v="28.8"/>
    <n v="1.9"/>
    <n v="3"/>
    <x v="2"/>
    <x v="4"/>
    <n v="26.88"/>
  </r>
  <r>
    <n v="31"/>
    <x v="0"/>
    <x v="1"/>
    <n v="40"/>
    <n v="2"/>
    <n v="176"/>
    <n v="162"/>
    <n v="69"/>
    <n v="1.45"/>
    <n v="949"/>
    <x v="1"/>
    <x v="2"/>
    <n v="26.9"/>
    <n v="3.2"/>
    <n v="3"/>
    <x v="0"/>
    <x v="1"/>
    <n v="30.36"/>
  </r>
  <r>
    <n v="27"/>
    <x v="0"/>
    <x v="1"/>
    <n v="40"/>
    <n v="1.68"/>
    <n v="166"/>
    <n v="128"/>
    <n v="59"/>
    <n v="1.6"/>
    <n v="1112"/>
    <x v="3"/>
    <x v="0"/>
    <n v="10"/>
    <n v="2.6"/>
    <n v="4"/>
    <x v="0"/>
    <x v="2"/>
    <n v="19.670000000000002"/>
  </r>
  <r>
    <n v="27"/>
    <x v="0"/>
    <x v="0"/>
    <n v="60.1"/>
    <n v="1.94"/>
    <n v="184"/>
    <n v="162"/>
    <n v="74"/>
    <n v="2"/>
    <m/>
    <x v="0"/>
    <x v="1"/>
    <n v="27.2"/>
    <n v="3.4"/>
    <n v="3"/>
    <x v="1"/>
    <x v="0"/>
    <n v="14.02"/>
  </r>
  <r>
    <n v="18"/>
    <x v="1"/>
    <x v="1"/>
    <n v="73"/>
    <n v="1.89"/>
    <n v="172"/>
    <n v="153"/>
    <n v="56"/>
    <n v="1.19"/>
    <n v="596"/>
    <x v="1"/>
    <x v="3"/>
    <n v="15.6"/>
    <n v="3.4"/>
    <n v="5"/>
    <x v="1"/>
    <x v="0"/>
    <n v="17.22"/>
  </r>
  <r>
    <n v="35"/>
    <x v="3"/>
    <x v="0"/>
    <n v="127.6"/>
    <n v="1.65"/>
    <n v="174"/>
    <n v="156"/>
    <n v="56"/>
    <n v="1.9"/>
    <n v="1084"/>
    <x v="2"/>
    <x v="3"/>
    <n v="20.399999999999999"/>
    <n v="3.4"/>
    <n v="5"/>
    <x v="1"/>
    <x v="0"/>
    <n v="15.36"/>
  </r>
  <r>
    <n v="49"/>
    <x v="2"/>
    <x v="0"/>
    <m/>
    <n v="1.72"/>
    <n v="171"/>
    <n v="122"/>
    <n v="73"/>
    <n v="1.02"/>
    <n v="614"/>
    <x v="2"/>
    <x v="3"/>
    <n v="21.6"/>
    <n v="1.8"/>
    <n v="4"/>
    <x v="1"/>
    <x v="2"/>
    <n v="18.86"/>
  </r>
  <r>
    <n v="18"/>
    <x v="1"/>
    <x v="2"/>
    <n v="40"/>
    <n v="1.68"/>
    <n v="178"/>
    <n v="147"/>
    <n v="71"/>
    <n v="2"/>
    <n v="831"/>
    <x v="2"/>
    <x v="0"/>
    <n v="17.3"/>
    <n v="3.5"/>
    <n v="4"/>
    <x v="1"/>
    <x v="2"/>
    <n v="24.89"/>
  </r>
  <r>
    <n v="19"/>
    <x v="1"/>
    <x v="0"/>
    <n v="43.6"/>
    <n v="1.7"/>
    <n v="168"/>
    <n v="126"/>
    <n v="55"/>
    <n v="1.42"/>
    <n v="685"/>
    <x v="2"/>
    <x v="3"/>
    <n v="23.9"/>
    <n v="1.5"/>
    <n v="4"/>
    <x v="2"/>
    <x v="2"/>
    <n v="19.350000000000001"/>
  </r>
  <r>
    <n v="24"/>
    <x v="1"/>
    <x v="1"/>
    <n v="54"/>
    <n v="1.71"/>
    <n v="191"/>
    <n v="169"/>
    <n v="71"/>
    <n v="1.23"/>
    <n v="730"/>
    <x v="1"/>
    <x v="2"/>
    <n v="29"/>
    <n v="2.7"/>
    <n v="2"/>
    <x v="0"/>
    <x v="0"/>
    <n v="15.39"/>
  </r>
  <r>
    <n v="44"/>
    <x v="3"/>
    <x v="1"/>
    <n v="53.1"/>
    <n v="1.64"/>
    <n v="160"/>
    <n v="160"/>
    <n v="74"/>
    <n v="1.65"/>
    <n v="749"/>
    <x v="1"/>
    <x v="2"/>
    <n v="27"/>
    <n v="3.2"/>
    <m/>
    <x v="0"/>
    <x v="4"/>
    <n v="27.79"/>
  </r>
  <r>
    <n v="21"/>
    <x v="1"/>
    <x v="0"/>
    <n v="87.8"/>
    <n v="1.88"/>
    <n v="195"/>
    <n v="133"/>
    <n v="74"/>
    <n v="1.95"/>
    <n v="621"/>
    <x v="2"/>
    <x v="0"/>
    <n v="19.899999999999999"/>
    <n v="3.4"/>
    <n v="3"/>
    <x v="2"/>
    <x v="2"/>
    <n v="20.22"/>
  </r>
  <r>
    <n v="42"/>
    <x v="3"/>
    <x v="1"/>
    <n v="67.400000000000006"/>
    <n v="1.91"/>
    <n v="191"/>
    <n v="146"/>
    <n v="52"/>
    <n v="1.26"/>
    <m/>
    <x v="2"/>
    <x v="2"/>
    <n v="26.9"/>
    <n v="3.7"/>
    <n v="3"/>
    <x v="2"/>
    <x v="2"/>
    <n v="23.62"/>
  </r>
  <r>
    <n v="38"/>
    <x v="3"/>
    <x v="1"/>
    <n v="82.7"/>
    <n v="2"/>
    <n v="178"/>
    <n v="138"/>
    <n v="72"/>
    <n v="1.46"/>
    <n v="1219"/>
    <x v="3"/>
    <x v="2"/>
    <n v="25.8"/>
    <n v="3.6"/>
    <n v="4"/>
    <x v="1"/>
    <x v="2"/>
    <n v="24.74"/>
  </r>
  <r>
    <n v="33"/>
    <x v="0"/>
    <x v="1"/>
    <n v="84"/>
    <n v="1.7"/>
    <n v="194"/>
    <n v="156"/>
    <n v="73"/>
    <n v="0.5"/>
    <n v="580"/>
    <x v="1"/>
    <x v="1"/>
    <n v="20.5"/>
    <n v="2.5"/>
    <n v="3"/>
    <x v="2"/>
    <x v="0"/>
    <n v="13.38"/>
  </r>
  <r>
    <n v="18"/>
    <x v="1"/>
    <x v="0"/>
    <n v="58.4"/>
    <n v="1.87"/>
    <n v="167"/>
    <n v="168"/>
    <n v="74"/>
    <n v="1.42"/>
    <n v="1306"/>
    <x v="1"/>
    <x v="1"/>
    <n v="26.9"/>
    <n v="3.2"/>
    <n v="2"/>
    <x v="1"/>
    <x v="0"/>
    <n v="17.66"/>
  </r>
  <r>
    <n v="48"/>
    <x v="2"/>
    <x v="1"/>
    <n v="63.8"/>
    <n v="1.79"/>
    <n v="185"/>
    <n v="135"/>
    <n v="71"/>
    <n v="1.69"/>
    <n v="1242"/>
    <x v="2"/>
    <x v="2"/>
    <n v="29.7"/>
    <n v="1.5"/>
    <n v="4"/>
    <x v="1"/>
    <x v="4"/>
    <n v="25.54"/>
  </r>
  <r>
    <n v="45"/>
    <x v="2"/>
    <x v="1"/>
    <n v="94.6"/>
    <n v="1.69"/>
    <n v="178"/>
    <n v="147"/>
    <n v="56"/>
    <n v="1.95"/>
    <n v="1105"/>
    <x v="3"/>
    <x v="2"/>
    <n v="29.9"/>
    <n v="1.8"/>
    <n v="2"/>
    <x v="0"/>
    <x v="0"/>
    <n v="15.15"/>
  </r>
  <r>
    <n v="21"/>
    <x v="1"/>
    <x v="0"/>
    <n v="40"/>
    <n v="1.58"/>
    <n v="165"/>
    <n v="134"/>
    <n v="69"/>
    <n v="1.05"/>
    <n v="624"/>
    <x v="0"/>
    <x v="1"/>
    <n v="29.2"/>
    <n v="1.7"/>
    <n v="3"/>
    <x v="1"/>
    <x v="0"/>
    <n v="12.47"/>
  </r>
  <r>
    <n v="59"/>
    <x v="4"/>
    <x v="0"/>
    <n v="71.099999999999994"/>
    <n v="1.73"/>
    <n v="184"/>
    <n v="125"/>
    <n v="66"/>
    <n v="1.07"/>
    <n v="691"/>
    <x v="1"/>
    <x v="1"/>
    <n v="25.2"/>
    <n v="2.6"/>
    <n v="2"/>
    <x v="2"/>
    <x v="1"/>
    <n v="34.409999999999997"/>
  </r>
  <r>
    <n v="19"/>
    <x v="1"/>
    <x v="2"/>
    <n v="116.6"/>
    <n v="1.72"/>
    <n v="187"/>
    <n v="126"/>
    <n v="70"/>
    <n v="1.1000000000000001"/>
    <n v="779"/>
    <x v="0"/>
    <x v="3"/>
    <n v="23.8"/>
    <n v="2.6"/>
    <n v="3"/>
    <x v="0"/>
    <x v="0"/>
    <n v="16.61"/>
  </r>
  <r>
    <n v="36"/>
    <x v="3"/>
    <x v="0"/>
    <n v="55"/>
    <n v="1.77"/>
    <n v="161"/>
    <n v="142"/>
    <n v="74"/>
    <n v="1.04"/>
    <n v="1564"/>
    <x v="4"/>
    <x v="0"/>
    <n v="19.8"/>
    <n v="3.2"/>
    <n v="2"/>
    <x v="0"/>
    <x v="2"/>
    <n v="21.97"/>
  </r>
  <r>
    <n v="33"/>
    <x v="0"/>
    <x v="0"/>
    <n v="76.3"/>
    <n v="1.88"/>
    <n v="169"/>
    <n v="161"/>
    <n v="69"/>
    <m/>
    <n v="1265"/>
    <x v="1"/>
    <x v="1"/>
    <n v="24.2"/>
    <n v="1.5"/>
    <n v="4"/>
    <x v="0"/>
    <x v="0"/>
    <n v="14.97"/>
  </r>
  <r>
    <n v="22"/>
    <x v="1"/>
    <x v="0"/>
    <n v="48.6"/>
    <n v="1.72"/>
    <n v="177"/>
    <n v="156"/>
    <n v="70"/>
    <n v="1.39"/>
    <n v="708"/>
    <x v="3"/>
    <x v="1"/>
    <n v="25.4"/>
    <n v="3.4"/>
    <n v="3"/>
    <x v="1"/>
    <x v="2"/>
    <n v="20.420000000000002"/>
  </r>
  <r>
    <n v="42"/>
    <x v="3"/>
    <x v="1"/>
    <n v="57.3"/>
    <n v="1.73"/>
    <n v="194"/>
    <n v="153"/>
    <n v="65"/>
    <n v="1.97"/>
    <n v="1132"/>
    <x v="0"/>
    <x v="1"/>
    <n v="22.2"/>
    <n v="3.2"/>
    <n v="4"/>
    <x v="1"/>
    <x v="2"/>
    <n v="19.54"/>
  </r>
  <r>
    <n v="36"/>
    <x v="3"/>
    <x v="0"/>
    <n v="55.9"/>
    <n v="1.76"/>
    <n v="181"/>
    <n v="169"/>
    <n v="74"/>
    <n v="1.91"/>
    <n v="474"/>
    <x v="0"/>
    <x v="0"/>
    <n v="18.2"/>
    <n v="1.5"/>
    <n v="5"/>
    <x v="1"/>
    <x v="0"/>
    <n v="12.32"/>
  </r>
  <r>
    <n v="41"/>
    <x v="3"/>
    <x v="1"/>
    <n v="73.2"/>
    <n v="2"/>
    <n v="179"/>
    <n v="161"/>
    <n v="58"/>
    <n v="1.06"/>
    <n v="758"/>
    <x v="2"/>
    <x v="1"/>
    <n v="17.600000000000001"/>
    <n v="1.8"/>
    <n v="2"/>
    <x v="1"/>
    <x v="2"/>
    <n v="18.61"/>
  </r>
  <r>
    <n v="23"/>
    <x v="1"/>
    <x v="1"/>
    <n v="58.7"/>
    <n v="1.69"/>
    <n v="189"/>
    <n v="135"/>
    <n v="18"/>
    <n v="1.37"/>
    <n v="1231"/>
    <x v="3"/>
    <x v="2"/>
    <n v="26.6"/>
    <n v="3.3"/>
    <n v="2"/>
    <x v="1"/>
    <x v="2"/>
    <n v="23.64"/>
  </r>
  <r>
    <n v="24"/>
    <x v="1"/>
    <x v="0"/>
    <n v="91.8"/>
    <n v="1.82"/>
    <n v="171"/>
    <n v="140"/>
    <n v="52"/>
    <n v="2"/>
    <n v="1065"/>
    <x v="0"/>
    <x v="0"/>
    <n v="16.100000000000001"/>
    <n v="2.7"/>
    <n v="4"/>
    <x v="0"/>
    <x v="2"/>
    <n v="24.37"/>
  </r>
  <r>
    <n v="42"/>
    <x v="3"/>
    <x v="0"/>
    <n v="47.7"/>
    <n v="1.72"/>
    <n v="183"/>
    <n v="150"/>
    <n v="57"/>
    <n v="1.95"/>
    <n v="782"/>
    <x v="3"/>
    <x v="2"/>
    <n v="31.4"/>
    <n v="3.1"/>
    <n v="3"/>
    <x v="3"/>
    <x v="0"/>
    <n v="14.27"/>
  </r>
  <r>
    <n v="55"/>
    <x v="4"/>
    <x v="0"/>
    <n v="51.9"/>
    <n v="1.64"/>
    <n v="171"/>
    <n v="150"/>
    <n v="68"/>
    <n v="1.05"/>
    <n v="1619"/>
    <x v="0"/>
    <x v="3"/>
    <n v="22.8"/>
    <n v="2.2000000000000002"/>
    <n v="5"/>
    <x v="2"/>
    <x v="4"/>
    <n v="25.06"/>
  </r>
  <r>
    <n v="36"/>
    <x v="3"/>
    <x v="1"/>
    <n v="60.1"/>
    <n v="1.78"/>
    <n v="186"/>
    <n v="169"/>
    <n v="51"/>
    <n v="1.46"/>
    <n v="1108"/>
    <x v="1"/>
    <x v="2"/>
    <n v="35"/>
    <n v="2"/>
    <n v="3"/>
    <x v="1"/>
    <x v="0"/>
    <n v="16.059999999999999"/>
  </r>
  <r>
    <n v="18"/>
    <x v="1"/>
    <x v="0"/>
    <n v="40"/>
    <n v="1.56"/>
    <n v="196"/>
    <n v="149"/>
    <n v="56"/>
    <n v="0.79"/>
    <n v="1027"/>
    <x v="0"/>
    <x v="1"/>
    <n v="27.6"/>
    <n v="1.9"/>
    <n v="2"/>
    <x v="1"/>
    <x v="0"/>
    <n v="12.98"/>
  </r>
  <r>
    <n v="23"/>
    <x v="1"/>
    <x v="0"/>
    <n v="64.7"/>
    <n v="2"/>
    <n v="184"/>
    <n v="169"/>
    <n v="55"/>
    <n v="1.46"/>
    <n v="860"/>
    <x v="0"/>
    <x v="2"/>
    <n v="32.4"/>
    <n v="2.5"/>
    <n v="5"/>
    <x v="0"/>
    <x v="2"/>
    <n v="20.45"/>
  </r>
  <r>
    <n v="24"/>
    <x v="1"/>
    <x v="1"/>
    <n v="73"/>
    <n v="1.61"/>
    <n v="188"/>
    <n v="131"/>
    <n v="60"/>
    <n v="0.56000000000000005"/>
    <n v="864"/>
    <x v="3"/>
    <x v="2"/>
    <n v="27.4"/>
    <n v="3.6"/>
    <n v="2"/>
    <x v="0"/>
    <x v="0"/>
    <n v="12.36"/>
  </r>
  <r>
    <n v="41"/>
    <x v="3"/>
    <x v="1"/>
    <n v="90.3"/>
    <n v="1.76"/>
    <n v="180"/>
    <m/>
    <n v="70"/>
    <n v="1.96"/>
    <n v="1596"/>
    <x v="1"/>
    <x v="1"/>
    <n v="22.6"/>
    <n v="2.2999999999999998"/>
    <n v="4"/>
    <x v="1"/>
    <x v="0"/>
    <n v="12.32"/>
  </r>
  <r>
    <n v="48"/>
    <x v="2"/>
    <x v="0"/>
    <n v="79.099999999999994"/>
    <n v="1.63"/>
    <n v="168"/>
    <n v="135"/>
    <n v="53"/>
    <n v="1.1499999999999999"/>
    <n v="1302"/>
    <x v="3"/>
    <x v="2"/>
    <n v="35"/>
    <n v="3.3"/>
    <n v="4"/>
    <x v="1"/>
    <x v="4"/>
    <n v="27.86"/>
  </r>
  <r>
    <n v="47"/>
    <x v="2"/>
    <x v="0"/>
    <n v="82.2"/>
    <n v="1.72"/>
    <n v="174"/>
    <n v="126"/>
    <n v="70"/>
    <n v="1.1499999999999999"/>
    <n v="1211"/>
    <x v="3"/>
    <x v="1"/>
    <n v="25"/>
    <n v="3.7"/>
    <n v="2"/>
    <x v="2"/>
    <x v="0"/>
    <n v="12.4"/>
  </r>
  <r>
    <n v="54"/>
    <x v="2"/>
    <x v="1"/>
    <n v="40"/>
    <n v="1.79"/>
    <n v="162"/>
    <n v="162"/>
    <n v="54"/>
    <n v="2"/>
    <n v="444"/>
    <x v="3"/>
    <x v="3"/>
    <n v="16.899999999999999"/>
    <n v="2.2999999999999998"/>
    <n v="5"/>
    <x v="2"/>
    <x v="2"/>
    <n v="22.6"/>
  </r>
  <r>
    <n v="33"/>
    <x v="0"/>
    <x v="0"/>
    <n v="60.7"/>
    <n v="1.57"/>
    <n v="179"/>
    <n v="135"/>
    <n v="69"/>
    <n v="1.24"/>
    <n v="964"/>
    <x v="2"/>
    <x v="1"/>
    <n v="26"/>
    <n v="2.9"/>
    <n v="3"/>
    <x v="1"/>
    <x v="0"/>
    <n v="15.19"/>
  </r>
  <r>
    <n v="29"/>
    <x v="0"/>
    <x v="2"/>
    <n v="48.9"/>
    <n v="1.7"/>
    <n v="194"/>
    <n v="145"/>
    <n v="55"/>
    <n v="1.1200000000000001"/>
    <n v="487"/>
    <x v="1"/>
    <x v="2"/>
    <n v="33.9"/>
    <n v="2.2000000000000002"/>
    <n v="5"/>
    <x v="0"/>
    <x v="4"/>
    <n v="28.96"/>
  </r>
  <r>
    <n v="50"/>
    <x v="2"/>
    <x v="0"/>
    <n v="76.400000000000006"/>
    <n v="1.54"/>
    <n v="172"/>
    <n v="133"/>
    <n v="71"/>
    <n v="1.3"/>
    <n v="1311"/>
    <x v="0"/>
    <x v="1"/>
    <n v="25.2"/>
    <n v="2.1"/>
    <n v="3"/>
    <x v="1"/>
    <x v="1"/>
    <n v="33.64"/>
  </r>
  <r>
    <n v="49"/>
    <x v="2"/>
    <x v="0"/>
    <n v="95.6"/>
    <n v="1.67"/>
    <n v="164"/>
    <n v="134"/>
    <n v="74"/>
    <n v="1.71"/>
    <n v="466"/>
    <x v="1"/>
    <x v="1"/>
    <n v="26"/>
    <n v="1.8"/>
    <n v="3"/>
    <x v="0"/>
    <x v="0"/>
    <n v="14.67"/>
  </r>
  <r>
    <n v="25"/>
    <x v="0"/>
    <x v="0"/>
    <n v="85.1"/>
    <n v="1.98"/>
    <n v="185"/>
    <n v="148"/>
    <n v="58"/>
    <n v="1.29"/>
    <n v="785"/>
    <x v="3"/>
    <x v="3"/>
    <n v="22.5"/>
    <n v="3.5"/>
    <n v="4"/>
    <x v="1"/>
    <x v="0"/>
    <n v="14.37"/>
  </r>
  <r>
    <n v="34"/>
    <x v="0"/>
    <x v="0"/>
    <n v="72.900000000000006"/>
    <n v="1.71"/>
    <n v="164"/>
    <n v="122"/>
    <n v="73"/>
    <n v="1.78"/>
    <n v="432"/>
    <x v="2"/>
    <x v="1"/>
    <n v="27.8"/>
    <n v="1.5"/>
    <n v="2"/>
    <x v="0"/>
    <x v="2"/>
    <n v="20.67"/>
  </r>
  <r>
    <n v="30"/>
    <x v="0"/>
    <x v="0"/>
    <n v="42.2"/>
    <n v="1.63"/>
    <n v="177"/>
    <n v="134"/>
    <n v="74"/>
    <n v="2"/>
    <n v="685"/>
    <x v="3"/>
    <x v="1"/>
    <n v="26.4"/>
    <n v="3.7"/>
    <n v="3"/>
    <x v="0"/>
    <x v="4"/>
    <n v="28.27"/>
  </r>
  <r>
    <n v="49"/>
    <x v="2"/>
    <x v="1"/>
    <n v="40"/>
    <n v="1.76"/>
    <n v="193"/>
    <n v="124"/>
    <n v="72"/>
    <n v="1.3"/>
    <n v="1196"/>
    <x v="1"/>
    <x v="0"/>
    <n v="11.2"/>
    <n v="2.2000000000000002"/>
    <n v="4"/>
    <x v="0"/>
    <x v="0"/>
    <n v="16.86"/>
  </r>
  <r>
    <n v="18"/>
    <x v="1"/>
    <x v="1"/>
    <n v="51.8"/>
    <n v="1.58"/>
    <n v="164"/>
    <n v="164"/>
    <n v="51"/>
    <n v="0.84"/>
    <n v="1110"/>
    <x v="1"/>
    <x v="2"/>
    <n v="25.8"/>
    <n v="3.5"/>
    <n v="3"/>
    <x v="2"/>
    <x v="0"/>
    <n v="16.04"/>
  </r>
  <r>
    <n v="31"/>
    <x v="0"/>
    <x v="1"/>
    <n v="91.5"/>
    <m/>
    <n v="189"/>
    <n v="169"/>
    <n v="58"/>
    <n v="1.51"/>
    <n v="786"/>
    <x v="3"/>
    <x v="1"/>
    <n v="24.6"/>
    <n v="3.6"/>
    <n v="3"/>
    <x v="1"/>
    <x v="2"/>
    <n v="19.09"/>
  </r>
  <r>
    <n v="22"/>
    <x v="1"/>
    <x v="1"/>
    <n v="64.599999999999994"/>
    <n v="2"/>
    <n v="196"/>
    <n v="137"/>
    <n v="73"/>
    <n v="0.85"/>
    <n v="704"/>
    <x v="2"/>
    <x v="1"/>
    <n v="21.4"/>
    <n v="2.5"/>
    <n v="3"/>
    <x v="2"/>
    <x v="2"/>
    <n v="22.43"/>
  </r>
  <r>
    <n v="47"/>
    <x v="2"/>
    <x v="1"/>
    <n v="66.5"/>
    <n v="1.79"/>
    <n v="193"/>
    <n v="155"/>
    <n v="51"/>
    <n v="0.69"/>
    <n v="1656"/>
    <x v="4"/>
    <x v="1"/>
    <n v="24"/>
    <n v="2.8"/>
    <n v="5"/>
    <x v="1"/>
    <x v="0"/>
    <n v="16.95"/>
  </r>
  <r>
    <n v="54"/>
    <x v="2"/>
    <x v="1"/>
    <n v="55.2"/>
    <n v="1.8"/>
    <n v="168"/>
    <n v="137"/>
    <n v="55"/>
    <n v="2"/>
    <n v="1472"/>
    <x v="2"/>
    <x v="2"/>
    <n v="27"/>
    <n v="3.1"/>
    <n v="4"/>
    <x v="0"/>
    <x v="2"/>
    <n v="23.47"/>
  </r>
  <r>
    <n v="49"/>
    <x v="2"/>
    <x v="0"/>
    <n v="105.3"/>
    <n v="1.83"/>
    <n v="165"/>
    <n v="150"/>
    <n v="70"/>
    <n v="1.53"/>
    <n v="699"/>
    <x v="0"/>
    <x v="2"/>
    <n v="31.4"/>
    <n v="3.7"/>
    <n v="3"/>
    <x v="1"/>
    <x v="3"/>
    <n v="39.35"/>
  </r>
  <r>
    <n v="18"/>
    <x v="1"/>
    <x v="1"/>
    <n v="74.099999999999994"/>
    <n v="1.76"/>
    <n v="170"/>
    <n v="135"/>
    <n v="62"/>
    <n v="1.24"/>
    <n v="1214"/>
    <x v="1"/>
    <x v="3"/>
    <n v="13.7"/>
    <n v="2.5"/>
    <n v="3"/>
    <x v="0"/>
    <x v="0"/>
    <n v="13.25"/>
  </r>
  <r>
    <n v="46"/>
    <x v="2"/>
    <x v="0"/>
    <n v="40"/>
    <n v="1.75"/>
    <n v="170"/>
    <n v="142"/>
    <n v="63"/>
    <n v="0.96"/>
    <n v="919"/>
    <x v="1"/>
    <x v="3"/>
    <n v="22.3"/>
    <n v="2.4"/>
    <n v="4"/>
    <x v="0"/>
    <x v="0"/>
    <n v="12.41"/>
  </r>
  <r>
    <n v="18"/>
    <x v="1"/>
    <x v="1"/>
    <n v="91.1"/>
    <n v="1.76"/>
    <n v="197"/>
    <n v="162"/>
    <n v="59"/>
    <n v="1.52"/>
    <n v="1362"/>
    <x v="1"/>
    <x v="2"/>
    <n v="28.8"/>
    <n v="3.4"/>
    <n v="3"/>
    <x v="1"/>
    <x v="0"/>
    <n v="14.34"/>
  </r>
  <r>
    <n v="21"/>
    <x v="1"/>
    <x v="0"/>
    <n v="49.2"/>
    <n v="1.64"/>
    <n v="177"/>
    <n v="164"/>
    <n v="53"/>
    <n v="0.57999999999999996"/>
    <n v="1114"/>
    <x v="2"/>
    <x v="3"/>
    <n v="23.3"/>
    <n v="2.9"/>
    <n v="3"/>
    <x v="1"/>
    <x v="2"/>
    <n v="23.08"/>
  </r>
  <r>
    <n v="44"/>
    <x v="3"/>
    <x v="0"/>
    <n v="87.8"/>
    <n v="1.77"/>
    <n v="163"/>
    <n v="157"/>
    <n v="67"/>
    <n v="1.18"/>
    <m/>
    <x v="3"/>
    <x v="3"/>
    <n v="23.7"/>
    <n v="2"/>
    <n v="4"/>
    <x v="0"/>
    <x v="0"/>
    <n v="12.32"/>
  </r>
  <r>
    <n v="48"/>
    <x v="2"/>
    <x v="0"/>
    <n v="40"/>
    <n v="1.77"/>
    <n v="180"/>
    <n v="127"/>
    <n v="54"/>
    <n v="1.48"/>
    <n v="1460"/>
    <x v="2"/>
    <x v="1"/>
    <n v="27.2"/>
    <n v="2.4"/>
    <n v="5"/>
    <x v="2"/>
    <x v="2"/>
    <n v="18.510000000000002"/>
  </r>
  <r>
    <n v="48"/>
    <x v="2"/>
    <x v="0"/>
    <n v="60"/>
    <n v="1.92"/>
    <n v="165"/>
    <n v="140"/>
    <n v="72"/>
    <n v="2"/>
    <n v="1751"/>
    <x v="2"/>
    <x v="0"/>
    <n v="11.1"/>
    <n v="1.5"/>
    <n v="2"/>
    <x v="0"/>
    <x v="1"/>
    <n v="32.68"/>
  </r>
  <r>
    <n v="21"/>
    <x v="1"/>
    <x v="1"/>
    <n v="56.1"/>
    <n v="1.54"/>
    <s v="\t182"/>
    <n v="168"/>
    <n v="52"/>
    <n v="1.34"/>
    <n v="1083"/>
    <x v="0"/>
    <x v="2"/>
    <n v="33.1"/>
    <n v="2.5"/>
    <n v="4"/>
    <x v="0"/>
    <x v="2"/>
    <n v="18.760000000000002"/>
  </r>
  <r>
    <n v="51"/>
    <x v="2"/>
    <x v="0"/>
    <n v="46.2"/>
    <n v="1.73"/>
    <n v="192"/>
    <n v="169"/>
    <n v="62"/>
    <n v="1.55"/>
    <n v="1389"/>
    <x v="1"/>
    <x v="2"/>
    <n v="32.799999999999997"/>
    <n v="1.7"/>
    <m/>
    <x v="2"/>
    <x v="0"/>
    <n v="14.87"/>
  </r>
  <r>
    <n v="36"/>
    <x v="3"/>
    <x v="1"/>
    <n v="68.2"/>
    <n v="1.91"/>
    <n v="188"/>
    <n v="131"/>
    <n v="69"/>
    <n v="2"/>
    <n v="1162"/>
    <x v="0"/>
    <x v="2"/>
    <n v="33.1"/>
    <n v="1.5"/>
    <n v="3"/>
    <x v="2"/>
    <x v="0"/>
    <m/>
  </r>
  <r>
    <n v="44"/>
    <x v="3"/>
    <x v="1"/>
    <n v="56.1"/>
    <n v="1.68"/>
    <n v="191"/>
    <n v="152"/>
    <n v="69"/>
    <n v="1.8"/>
    <n v="1223"/>
    <x v="0"/>
    <x v="3"/>
    <n v="15.4"/>
    <n v="2.6"/>
    <n v="4"/>
    <x v="0"/>
    <x v="0"/>
    <n v="17.28"/>
  </r>
  <r>
    <n v="24"/>
    <x v="1"/>
    <x v="1"/>
    <n v="51.7"/>
    <n v="1.93"/>
    <n v="182"/>
    <n v="158"/>
    <n v="70"/>
    <m/>
    <n v="1783"/>
    <x v="3"/>
    <x v="1"/>
    <n v="24.4"/>
    <n v="2.7"/>
    <n v="2"/>
    <x v="1"/>
    <x v="0"/>
    <n v="16.29"/>
  </r>
  <r>
    <n v="51"/>
    <x v="2"/>
    <x v="1"/>
    <n v="65.8"/>
    <n v="1.62"/>
    <n v="191"/>
    <n v="169"/>
    <n v="74"/>
    <n v="1.36"/>
    <n v="1073"/>
    <x v="2"/>
    <x v="2"/>
    <n v="28.2"/>
    <n v="3.5"/>
    <n v="2"/>
    <x v="3"/>
    <x v="2"/>
    <n v="21.21"/>
  </r>
  <r>
    <n v="32"/>
    <x v="0"/>
    <x v="0"/>
    <n v="40"/>
    <n v="1.88"/>
    <n v="174"/>
    <n v="148"/>
    <n v="50"/>
    <n v="1.94"/>
    <n v="1436"/>
    <x v="0"/>
    <x v="1"/>
    <n v="27.4"/>
    <m/>
    <n v="2"/>
    <x v="2"/>
    <x v="0"/>
    <n v="12.32"/>
  </r>
  <r>
    <n v="45"/>
    <x v="2"/>
    <x v="1"/>
    <n v="59.5"/>
    <n v="1.61"/>
    <n v="194"/>
    <n v="121"/>
    <n v="55"/>
    <n v="1.3"/>
    <n v="741"/>
    <x v="1"/>
    <x v="1"/>
    <n v="24.5"/>
    <n v="2"/>
    <n v="4"/>
    <x v="2"/>
    <x v="2"/>
    <n v="21.71"/>
  </r>
  <r>
    <n v="58"/>
    <x v="4"/>
    <x v="1"/>
    <n v="73.5"/>
    <n v="1.93"/>
    <n v="175"/>
    <n v="169"/>
    <n v="61"/>
    <n v="1.45"/>
    <n v="1019"/>
    <x v="2"/>
    <x v="3"/>
    <n v="14"/>
    <n v="2.7"/>
    <n v="2"/>
    <x v="0"/>
    <x v="0"/>
    <n v="14.74"/>
  </r>
  <r>
    <n v="21"/>
    <x v="1"/>
    <x v="1"/>
    <n v="54.7"/>
    <n v="1.56"/>
    <n v="191"/>
    <n v="157"/>
    <n v="55"/>
    <n v="1.1299999999999999"/>
    <n v="682"/>
    <x v="1"/>
    <x v="2"/>
    <n v="25.2"/>
    <n v="1.5"/>
    <n v="4"/>
    <x v="0"/>
    <x v="0"/>
    <m/>
  </r>
  <r>
    <n v="18"/>
    <x v="1"/>
    <x v="0"/>
    <n v="52.1"/>
    <n v="1.73"/>
    <n v="183"/>
    <n v="135"/>
    <n v="74"/>
    <n v="1.4"/>
    <n v="1141"/>
    <x v="1"/>
    <x v="3"/>
    <n v="23.9"/>
    <n v="3.1"/>
    <n v="3"/>
    <x v="1"/>
    <x v="0"/>
    <n v="12.32"/>
  </r>
  <r>
    <n v="59"/>
    <x v="4"/>
    <x v="0"/>
    <n v="60.6"/>
    <n v="1.92"/>
    <n v="180"/>
    <n v="168"/>
    <n v="55"/>
    <n v="1.46"/>
    <n v="1046"/>
    <x v="4"/>
    <x v="1"/>
    <n v="24.6"/>
    <n v="2"/>
    <n v="3"/>
    <x v="2"/>
    <x v="1"/>
    <n v="30.51"/>
  </r>
  <r>
    <n v="20"/>
    <x v="1"/>
    <x v="0"/>
    <n v="104.3"/>
    <n v="1.79"/>
    <n v="197"/>
    <n v="158"/>
    <n v="72"/>
    <n v="1.3"/>
    <n v="933"/>
    <x v="0"/>
    <x v="3"/>
    <n v="23.4"/>
    <n v="3.2"/>
    <n v="2"/>
    <x v="2"/>
    <x v="0"/>
    <n v="16.399999999999999"/>
  </r>
  <r>
    <n v="39"/>
    <x v="3"/>
    <x v="0"/>
    <n v="65.3"/>
    <n v="1.61"/>
    <n v="187"/>
    <n v="141"/>
    <n v="74"/>
    <n v="1.69"/>
    <n v="1783"/>
    <x v="2"/>
    <x v="1"/>
    <n v="30.3"/>
    <n v="3.4"/>
    <n v="3"/>
    <x v="2"/>
    <x v="2"/>
    <n v="21.86"/>
  </r>
  <r>
    <n v="52"/>
    <x v="2"/>
    <x v="1"/>
    <n v="47.8"/>
    <n v="1.79"/>
    <n v="168"/>
    <n v="144"/>
    <n v="68"/>
    <n v="0.95"/>
    <n v="715"/>
    <x v="1"/>
    <x v="2"/>
    <n v="27.3"/>
    <n v="2.4"/>
    <n v="5"/>
    <x v="2"/>
    <x v="0"/>
    <n v="17.21"/>
  </r>
  <r>
    <n v="18"/>
    <x v="1"/>
    <x v="0"/>
    <n v="51.1"/>
    <n v="1.83"/>
    <n v="180"/>
    <n v="130"/>
    <n v="57"/>
    <n v="1.05"/>
    <n v="939"/>
    <x v="0"/>
    <x v="0"/>
    <n v="17"/>
    <n v="3"/>
    <n v="3"/>
    <x v="0"/>
    <x v="0"/>
    <n v="16.850000000000001"/>
  </r>
  <r>
    <n v="34"/>
    <x v="0"/>
    <x v="1"/>
    <n v="62.5"/>
    <n v="1.87"/>
    <n v="185"/>
    <n v="167"/>
    <n v="73"/>
    <n v="0.96"/>
    <n v="1353"/>
    <x v="1"/>
    <x v="2"/>
    <n v="29.6"/>
    <n v="2.2999999999999998"/>
    <n v="4"/>
    <x v="1"/>
    <x v="1"/>
    <n v="31.91"/>
  </r>
  <r>
    <n v="59"/>
    <x v="4"/>
    <x v="0"/>
    <n v="57.4"/>
    <n v="1.56"/>
    <n v="190"/>
    <n v="156"/>
    <n v="72"/>
    <n v="1.1499999999999999"/>
    <n v="813"/>
    <x v="1"/>
    <x v="0"/>
    <n v="18.5"/>
    <n v="2.7"/>
    <n v="3"/>
    <x v="0"/>
    <x v="4"/>
    <n v="25.59"/>
  </r>
  <r>
    <n v="37"/>
    <x v="3"/>
    <x v="1"/>
    <n v="108.7"/>
    <n v="1.55"/>
    <n v="163"/>
    <n v="122"/>
    <n v="68"/>
    <n v="1.19"/>
    <n v="1104"/>
    <x v="0"/>
    <x v="2"/>
    <n v="26.9"/>
    <n v="1.6"/>
    <n v="4"/>
    <x v="0"/>
    <x v="4"/>
    <n v="26.23"/>
  </r>
  <r>
    <n v="41"/>
    <x v="3"/>
    <x v="0"/>
    <n v="40"/>
    <n v="1.6"/>
    <n v="164"/>
    <n v="143"/>
    <n v="73"/>
    <n v="1.52"/>
    <n v="727"/>
    <x v="3"/>
    <x v="3"/>
    <n v="23.5"/>
    <n v="3.4"/>
    <n v="5"/>
    <x v="0"/>
    <x v="0"/>
    <n v="15.53"/>
  </r>
  <r>
    <n v="53"/>
    <x v="2"/>
    <x v="0"/>
    <n v="65.2"/>
    <n v="1.72"/>
    <n v="196"/>
    <n v="152"/>
    <n v="50"/>
    <n v="1.87"/>
    <n v="1073"/>
    <x v="1"/>
    <x v="1"/>
    <n v="24.8"/>
    <n v="3.7"/>
    <m/>
    <x v="1"/>
    <x v="2"/>
    <n v="22.39"/>
  </r>
  <r>
    <n v="23"/>
    <x v="1"/>
    <x v="1"/>
    <n v="90"/>
    <n v="1.58"/>
    <n v="172"/>
    <n v="164"/>
    <n v="60"/>
    <n v="0.78"/>
    <n v="682"/>
    <x v="0"/>
    <x v="2"/>
    <n v="25"/>
    <n v="3.2"/>
    <n v="4"/>
    <x v="1"/>
    <x v="0"/>
    <n v="12.32"/>
  </r>
  <r>
    <n v="28"/>
    <x v="0"/>
    <x v="0"/>
    <n v="91.6"/>
    <n v="1.68"/>
    <n v="191"/>
    <n v="128"/>
    <n v="59"/>
    <n v="0.68"/>
    <n v="1783"/>
    <x v="3"/>
    <x v="0"/>
    <n v="19.100000000000001"/>
    <n v="2.6"/>
    <n v="2"/>
    <x v="0"/>
    <x v="0"/>
    <n v="12.48"/>
  </r>
  <r>
    <n v="48"/>
    <x v="2"/>
    <x v="0"/>
    <n v="84.1"/>
    <n v="1.69"/>
    <n v="187"/>
    <n v="136"/>
    <n v="56"/>
    <n v="1.68"/>
    <n v="758"/>
    <x v="0"/>
    <x v="3"/>
    <n v="22.2"/>
    <n v="2.2999999999999998"/>
    <n v="3"/>
    <x v="2"/>
    <x v="0"/>
    <n v="16.11"/>
  </r>
  <r>
    <n v="43"/>
    <x v="3"/>
    <x v="0"/>
    <n v="57.8"/>
    <n v="1.57"/>
    <n v="190"/>
    <n v="142"/>
    <n v="56"/>
    <n v="1.39"/>
    <n v="698"/>
    <x v="0"/>
    <x v="3"/>
    <n v="21.3"/>
    <n v="1.6"/>
    <n v="4"/>
    <x v="1"/>
    <x v="2"/>
    <n v="20.73"/>
  </r>
  <r>
    <n v="55"/>
    <x v="4"/>
    <x v="0"/>
    <n v="100"/>
    <n v="1.63"/>
    <n v="183"/>
    <n v="155"/>
    <n v="74"/>
    <n v="2"/>
    <n v="1256"/>
    <x v="1"/>
    <x v="0"/>
    <n v="10.5"/>
    <n v="2.4"/>
    <n v="3"/>
    <x v="0"/>
    <x v="0"/>
    <n v="12.32"/>
  </r>
  <r>
    <n v="30"/>
    <x v="0"/>
    <x v="0"/>
    <n v="61.9"/>
    <n v="1.55"/>
    <n v="181"/>
    <n v="150"/>
    <n v="72"/>
    <n v="1.93"/>
    <n v="1117"/>
    <x v="2"/>
    <x v="1"/>
    <n v="27.1"/>
    <n v="3.6"/>
    <n v="3"/>
    <x v="0"/>
    <x v="0"/>
    <n v="12.32"/>
  </r>
  <r>
    <n v="19"/>
    <x v="1"/>
    <x v="1"/>
    <n v="58.6"/>
    <n v="1.64"/>
    <n v="187"/>
    <n v="135"/>
    <n v="66"/>
    <n v="1.18"/>
    <n v="1564"/>
    <x v="3"/>
    <x v="0"/>
    <n v="10"/>
    <n v="3.4"/>
    <n v="3"/>
    <x v="0"/>
    <x v="2"/>
    <n v="21.91"/>
  </r>
  <r>
    <n v="21"/>
    <x v="1"/>
    <x v="1"/>
    <n v="80.8"/>
    <n v="1.8"/>
    <n v="195"/>
    <n v="137"/>
    <n v="64"/>
    <n v="1.1000000000000001"/>
    <n v="1285"/>
    <x v="1"/>
    <x v="2"/>
    <n v="29.8"/>
    <n v="2.7"/>
    <n v="3"/>
    <x v="2"/>
    <x v="2"/>
    <n v="21.28"/>
  </r>
  <r>
    <n v="21"/>
    <x v="1"/>
    <x v="0"/>
    <n v="42.7"/>
    <n v="1.81"/>
    <n v="166"/>
    <n v="139"/>
    <n v="71"/>
    <n v="1.42"/>
    <n v="1044"/>
    <x v="1"/>
    <x v="1"/>
    <n v="26"/>
    <n v="3.2"/>
    <n v="3"/>
    <x v="2"/>
    <x v="0"/>
    <n v="12.32"/>
  </r>
  <r>
    <n v="29"/>
    <x v="0"/>
    <x v="1"/>
    <n v="60.9"/>
    <n v="1.86"/>
    <n v="191"/>
    <n v="152"/>
    <n v="60"/>
    <n v="1.79"/>
    <n v="1108"/>
    <x v="0"/>
    <x v="2"/>
    <n v="31.5"/>
    <n v="1.5"/>
    <n v="4"/>
    <x v="2"/>
    <x v="3"/>
    <n v="42.08"/>
  </r>
  <r>
    <n v="40"/>
    <x v="3"/>
    <x v="1"/>
    <n v="78.8"/>
    <n v="1.7"/>
    <n v="176"/>
    <n v="169"/>
    <n v="63"/>
    <n v="1.78"/>
    <n v="1179"/>
    <x v="0"/>
    <x v="1"/>
    <n v="21.1"/>
    <n v="1.9"/>
    <n v="2"/>
    <x v="1"/>
    <x v="0"/>
    <n v="17.55"/>
  </r>
  <r>
    <n v="37"/>
    <x v="3"/>
    <x v="0"/>
    <n v="85.3"/>
    <n v="1.69"/>
    <n v="162"/>
    <n v="136"/>
    <n v="71"/>
    <n v="1.49"/>
    <n v="859"/>
    <x v="2"/>
    <x v="3"/>
    <n v="22.8"/>
    <n v="3.4"/>
    <n v="4"/>
    <x v="0"/>
    <x v="2"/>
    <n v="19.95"/>
  </r>
  <r>
    <n v="47"/>
    <x v="2"/>
    <x v="0"/>
    <n v="84.8"/>
    <n v="1.58"/>
    <n v="180"/>
    <n v="157"/>
    <n v="54"/>
    <n v="0.83"/>
    <n v="940"/>
    <x v="1"/>
    <x v="1"/>
    <n v="26.3"/>
    <n v="1.9"/>
    <n v="5"/>
    <x v="0"/>
    <x v="0"/>
    <n v="17.989999999999998"/>
  </r>
  <r>
    <n v="50"/>
    <x v="2"/>
    <x v="0"/>
    <n v="72.7"/>
    <n v="1.74"/>
    <n v="191"/>
    <m/>
    <n v="67"/>
    <n v="0.77"/>
    <n v="1047"/>
    <x v="1"/>
    <x v="0"/>
    <n v="15.5"/>
    <n v="3.5"/>
    <n v="3"/>
    <x v="2"/>
    <x v="0"/>
    <n v="12.32"/>
  </r>
  <r>
    <n v="43"/>
    <x v="3"/>
    <x v="1"/>
    <n v="57.4"/>
    <n v="1.69"/>
    <n v="166"/>
    <n v="143"/>
    <n v="66"/>
    <n v="1.1399999999999999"/>
    <n v="775"/>
    <x v="0"/>
    <x v="1"/>
    <n v="23.7"/>
    <n v="3.3"/>
    <n v="3"/>
    <x v="1"/>
    <x v="0"/>
    <n v="13.31"/>
  </r>
  <r>
    <n v="33"/>
    <x v="0"/>
    <x v="1"/>
    <n v="40"/>
    <n v="1.81"/>
    <n v="189"/>
    <n v="157"/>
    <n v="71"/>
    <n v="1.32"/>
    <n v="1298"/>
    <x v="2"/>
    <x v="1"/>
    <n v="20.100000000000001"/>
    <n v="3.4"/>
    <n v="2"/>
    <x v="2"/>
    <x v="0"/>
    <n v="16.68"/>
  </r>
  <r>
    <n v="33"/>
    <x v="0"/>
    <x v="0"/>
    <n v="129.9"/>
    <n v="1.56"/>
    <n v="189"/>
    <n v="138"/>
    <n v="73"/>
    <n v="2"/>
    <n v="993"/>
    <x v="0"/>
    <x v="2"/>
    <n v="34"/>
    <n v="2.2999999999999998"/>
    <n v="3"/>
    <x v="0"/>
    <x v="2"/>
    <n v="24.54"/>
  </r>
  <r>
    <n v="50"/>
    <x v="2"/>
    <x v="1"/>
    <n v="55"/>
    <n v="1.5"/>
    <n v="177"/>
    <n v="120"/>
    <n v="69"/>
    <n v="1.07"/>
    <n v="715"/>
    <x v="3"/>
    <x v="2"/>
    <n v="27.2"/>
    <n v="1.7"/>
    <n v="4"/>
    <x v="0"/>
    <x v="4"/>
    <n v="26.53"/>
  </r>
  <r>
    <n v="45"/>
    <x v="2"/>
    <x v="1"/>
    <m/>
    <n v="1.7"/>
    <n v="162"/>
    <n v="120"/>
    <n v="63"/>
    <n v="1.79"/>
    <n v="731"/>
    <x v="3"/>
    <x v="2"/>
    <n v="31.7"/>
    <m/>
    <n v="4"/>
    <x v="2"/>
    <x v="0"/>
    <n v="13.71"/>
  </r>
  <r>
    <n v="18"/>
    <x v="1"/>
    <x v="1"/>
    <n v="41.6"/>
    <n v="1.94"/>
    <n v="168"/>
    <n v="153"/>
    <n v="57"/>
    <n v="0.86"/>
    <n v="1068"/>
    <x v="0"/>
    <x v="2"/>
    <n v="25"/>
    <n v="3.1"/>
    <n v="4"/>
    <x v="1"/>
    <x v="2"/>
    <n v="19.739999999999998"/>
  </r>
  <r>
    <n v="43"/>
    <x v="3"/>
    <x v="1"/>
    <n v="56.9"/>
    <n v="1.68"/>
    <n v="161"/>
    <n v="154"/>
    <n v="61"/>
    <n v="2"/>
    <n v="742"/>
    <x v="0"/>
    <x v="2"/>
    <n v="26.5"/>
    <n v="2"/>
    <n v="3"/>
    <x v="1"/>
    <x v="2"/>
    <n v="21.48"/>
  </r>
  <r>
    <n v="20"/>
    <x v="1"/>
    <x v="0"/>
    <n v="84.8"/>
    <n v="1.74"/>
    <n v="165"/>
    <n v="151"/>
    <n v="59"/>
    <n v="1.49"/>
    <n v="717"/>
    <x v="2"/>
    <x v="1"/>
    <n v="24.9"/>
    <n v="3.4"/>
    <n v="4"/>
    <x v="2"/>
    <x v="0"/>
    <n v="14.13"/>
  </r>
  <r>
    <n v="24"/>
    <x v="1"/>
    <x v="0"/>
    <n v="96.9"/>
    <n v="1.88"/>
    <n v="181"/>
    <n v="166"/>
    <n v="72"/>
    <n v="1.36"/>
    <n v="1220"/>
    <x v="1"/>
    <x v="0"/>
    <n v="15.8"/>
    <n v="3.7"/>
    <n v="3"/>
    <x v="0"/>
    <x v="1"/>
    <n v="30.18"/>
  </r>
  <r>
    <n v="24"/>
    <x v="1"/>
    <x v="1"/>
    <n v="81.2"/>
    <n v="1.56"/>
    <n v="182"/>
    <n v="166"/>
    <n v="66"/>
    <n v="1.62"/>
    <n v="1148"/>
    <x v="3"/>
    <x v="2"/>
    <n v="25.5"/>
    <n v="2.7"/>
    <n v="4"/>
    <x v="2"/>
    <x v="1"/>
    <n v="31.34"/>
  </r>
  <r>
    <n v="53"/>
    <x v="2"/>
    <x v="0"/>
    <n v="70.5"/>
    <n v="1.9"/>
    <n v="198"/>
    <n v="146"/>
    <n v="69"/>
    <n v="0.84"/>
    <n v="766"/>
    <x v="1"/>
    <x v="2"/>
    <n v="31.9"/>
    <n v="2.9"/>
    <n v="5"/>
    <x v="1"/>
    <x v="0"/>
    <n v="16.399999999999999"/>
  </r>
  <r>
    <n v="38"/>
    <x v="3"/>
    <x v="1"/>
    <n v="58.7"/>
    <n v="1.72"/>
    <n v="189"/>
    <n v="152"/>
    <n v="58"/>
    <n v="1.21"/>
    <n v="1063"/>
    <x v="2"/>
    <x v="1"/>
    <n v="21.2"/>
    <n v="1.6"/>
    <n v="3"/>
    <x v="1"/>
    <x v="2"/>
    <n v="23.03"/>
  </r>
  <r>
    <n v="26"/>
    <x v="0"/>
    <x v="1"/>
    <n v="62"/>
    <n v="1.65"/>
    <n v="199"/>
    <n v="142"/>
    <n v="56"/>
    <n v="1.61"/>
    <n v="1361"/>
    <x v="2"/>
    <x v="2"/>
    <n v="35"/>
    <n v="3.5"/>
    <n v="2"/>
    <x v="2"/>
    <x v="0"/>
    <n v="13.96"/>
  </r>
  <r>
    <n v="18"/>
    <x v="1"/>
    <x v="1"/>
    <n v="100.6"/>
    <n v="1.74"/>
    <n v="179"/>
    <n v="138"/>
    <n v="68"/>
    <n v="1.2"/>
    <n v="1261"/>
    <x v="1"/>
    <x v="1"/>
    <n v="23.2"/>
    <n v="3.5"/>
    <n v="2"/>
    <x v="0"/>
    <x v="2"/>
    <n v="20.9"/>
  </r>
  <r>
    <n v="33"/>
    <x v="0"/>
    <x v="0"/>
    <n v="63"/>
    <n v="1.71"/>
    <n v="189"/>
    <n v="126"/>
    <n v="57"/>
    <n v="1.24"/>
    <n v="1175"/>
    <x v="0"/>
    <x v="1"/>
    <n v="25.6"/>
    <n v="3.2"/>
    <n v="3"/>
    <x v="1"/>
    <x v="0"/>
    <n v="15.02"/>
  </r>
  <r>
    <n v="45"/>
    <x v="2"/>
    <x v="1"/>
    <n v="52.7"/>
    <n v="1.82"/>
    <n v="172"/>
    <n v="129"/>
    <n v="69"/>
    <n v="0.62"/>
    <n v="1783"/>
    <x v="3"/>
    <x v="1"/>
    <n v="22.9"/>
    <n v="3.2"/>
    <n v="3"/>
    <x v="1"/>
    <x v="4"/>
    <n v="24.95"/>
  </r>
  <r>
    <n v="29"/>
    <x v="0"/>
    <x v="1"/>
    <n v="79.400000000000006"/>
    <n v="1.71"/>
    <n v="186"/>
    <n v="124"/>
    <n v="74"/>
    <n v="2"/>
    <n v="877"/>
    <x v="3"/>
    <x v="2"/>
    <n v="29.6"/>
    <n v="1.5"/>
    <n v="3"/>
    <x v="0"/>
    <x v="4"/>
    <n v="27.97"/>
  </r>
  <r>
    <n v="18"/>
    <x v="1"/>
    <x v="2"/>
    <n v="87.4"/>
    <n v="1.87"/>
    <n v="182"/>
    <n v="162"/>
    <n v="65"/>
    <m/>
    <n v="1303"/>
    <x v="0"/>
    <x v="1"/>
    <n v="27.6"/>
    <n v="3.6"/>
    <n v="2"/>
    <x v="2"/>
    <x v="0"/>
    <n v="12.32"/>
  </r>
  <r>
    <n v="57"/>
    <x v="4"/>
    <x v="0"/>
    <n v="57.6"/>
    <n v="1.86"/>
    <n v="169"/>
    <n v="120"/>
    <n v="73"/>
    <n v="1.99"/>
    <n v="929"/>
    <x v="2"/>
    <x v="3"/>
    <n v="22.9"/>
    <n v="2.4"/>
    <m/>
    <x v="0"/>
    <x v="0"/>
    <n v="14.02"/>
  </r>
  <r>
    <n v="37"/>
    <x v="3"/>
    <x v="1"/>
    <n v="108.5"/>
    <n v="1.97"/>
    <n v="192"/>
    <n v="120"/>
    <n v="74"/>
    <n v="2"/>
    <n v="1091"/>
    <x v="1"/>
    <x v="2"/>
    <n v="27.2"/>
    <n v="1.5"/>
    <n v="2"/>
    <x v="1"/>
    <x v="2"/>
    <n v="23.59"/>
  </r>
  <r>
    <n v="52"/>
    <x v="2"/>
    <x v="0"/>
    <n v="75.7"/>
    <n v="1.61"/>
    <m/>
    <n v="139"/>
    <n v="64"/>
    <n v="2"/>
    <n v="1783"/>
    <x v="3"/>
    <x v="1"/>
    <n v="24.6"/>
    <n v="2.8"/>
    <n v="2"/>
    <x v="0"/>
    <x v="0"/>
    <n v="17.489999999999998"/>
  </r>
  <r>
    <n v="34"/>
    <x v="0"/>
    <x v="0"/>
    <n v="73.900000000000006"/>
    <n v="1.75"/>
    <n v="192"/>
    <n v="165"/>
    <n v="74"/>
    <n v="1.64"/>
    <n v="816"/>
    <x v="1"/>
    <x v="2"/>
    <n v="35"/>
    <n v="1.5"/>
    <n v="3"/>
    <x v="0"/>
    <x v="2"/>
    <n v="22.1"/>
  </r>
  <r>
    <n v="57"/>
    <x v="4"/>
    <x v="1"/>
    <n v="67.900000000000006"/>
    <n v="1.78"/>
    <n v="187"/>
    <n v="163"/>
    <n v="59"/>
    <n v="2"/>
    <n v="1168"/>
    <x v="3"/>
    <x v="1"/>
    <n v="23.9"/>
    <n v="3.7"/>
    <n v="3"/>
    <x v="0"/>
    <x v="0"/>
    <m/>
  </r>
  <r>
    <n v="36"/>
    <x v="3"/>
    <x v="1"/>
    <n v="72.8"/>
    <n v="1.63"/>
    <n v="184"/>
    <n v="130"/>
    <n v="68"/>
    <n v="1.44"/>
    <n v="669"/>
    <x v="2"/>
    <x v="2"/>
    <n v="25.1"/>
    <n v="1.7"/>
    <n v="3"/>
    <x v="2"/>
    <x v="0"/>
    <n v="12.32"/>
  </r>
  <r>
    <n v="34"/>
    <x v="0"/>
    <x v="0"/>
    <n v="57.6"/>
    <n v="1.7"/>
    <n v="167"/>
    <n v="141"/>
    <n v="68"/>
    <n v="0.88"/>
    <n v="710"/>
    <x v="1"/>
    <x v="0"/>
    <n v="14.7"/>
    <n v="1.5"/>
    <n v="3"/>
    <x v="0"/>
    <x v="0"/>
    <n v="15.66"/>
  </r>
  <r>
    <n v="48"/>
    <x v="2"/>
    <x v="0"/>
    <n v="49.3"/>
    <n v="1.74"/>
    <n v="179"/>
    <n v="142"/>
    <n v="74"/>
    <n v="1.31"/>
    <n v="723"/>
    <x v="2"/>
    <x v="0"/>
    <n v="19.2"/>
    <n v="3.5"/>
    <n v="4"/>
    <x v="2"/>
    <x v="2"/>
    <n v="19.2"/>
  </r>
  <r>
    <n v="18"/>
    <x v="1"/>
    <x v="1"/>
    <n v="41.6"/>
    <n v="1.85"/>
    <n v="181"/>
    <n v="169"/>
    <n v="52"/>
    <n v="2"/>
    <n v="1130"/>
    <x v="3"/>
    <x v="3"/>
    <n v="14.5"/>
    <n v="3.4"/>
    <n v="5"/>
    <x v="2"/>
    <x v="0"/>
    <n v="12.32"/>
  </r>
  <r>
    <n v="33"/>
    <x v="0"/>
    <x v="1"/>
    <n v="65.599999999999994"/>
    <n v="1.87"/>
    <n v="189"/>
    <n v="168"/>
    <n v="56"/>
    <n v="1.1599999999999999"/>
    <n v="1437"/>
    <x v="3"/>
    <x v="3"/>
    <n v="16.3"/>
    <n v="3.5"/>
    <n v="2"/>
    <x v="1"/>
    <x v="0"/>
    <n v="17.53"/>
  </r>
  <r>
    <n v="35"/>
    <x v="3"/>
    <x v="0"/>
    <n v="47.5"/>
    <n v="1.81"/>
    <m/>
    <n v="124"/>
    <n v="69"/>
    <n v="1.78"/>
    <n v="533"/>
    <x v="3"/>
    <x v="1"/>
    <n v="26.4"/>
    <n v="3.2"/>
    <n v="3"/>
    <x v="0"/>
    <x v="4"/>
    <n v="26.59"/>
  </r>
  <r>
    <n v="19"/>
    <x v="1"/>
    <x v="2"/>
    <n v="86.3"/>
    <n v="1.89"/>
    <n v="164"/>
    <n v="131"/>
    <n v="74"/>
    <n v="0.97"/>
    <n v="1175"/>
    <x v="2"/>
    <x v="0"/>
    <n v="19.5"/>
    <n v="2.4"/>
    <m/>
    <x v="0"/>
    <x v="4"/>
    <n v="28.62"/>
  </r>
  <r>
    <n v="43"/>
    <x v="3"/>
    <x v="0"/>
    <n v="73.599999999999994"/>
    <n v="1.79"/>
    <n v="170"/>
    <n v="169"/>
    <n v="72"/>
    <n v="1.1599999999999999"/>
    <n v="1408"/>
    <x v="0"/>
    <x v="0"/>
    <n v="17.399999999999999"/>
    <n v="1.5"/>
    <n v="4"/>
    <x v="1"/>
    <x v="0"/>
    <n v="14.69"/>
  </r>
  <r>
    <n v="48"/>
    <x v="2"/>
    <x v="2"/>
    <n v="40"/>
    <n v="2"/>
    <n v="194"/>
    <n v="159"/>
    <n v="70"/>
    <n v="1.48"/>
    <n v="419"/>
    <x v="1"/>
    <x v="0"/>
    <n v="13.5"/>
    <n v="2.5"/>
    <n v="4"/>
    <x v="0"/>
    <x v="2"/>
    <n v="21.29"/>
  </r>
  <r>
    <n v="49"/>
    <x v="2"/>
    <x v="0"/>
    <n v="56"/>
    <n v="1.6"/>
    <n v="183"/>
    <n v="169"/>
    <n v="66"/>
    <n v="0.98"/>
    <n v="1263"/>
    <x v="0"/>
    <x v="1"/>
    <n v="27.9"/>
    <n v="1.7"/>
    <n v="5"/>
    <x v="1"/>
    <x v="2"/>
    <n v="20.47"/>
  </r>
  <r>
    <n v="48"/>
    <x v="2"/>
    <x v="0"/>
    <n v="40"/>
    <n v="1.66"/>
    <n v="189"/>
    <n v="120"/>
    <n v="74"/>
    <n v="1.36"/>
    <n v="614"/>
    <x v="1"/>
    <x v="0"/>
    <n v="14.8"/>
    <n v="2.1"/>
    <n v="3"/>
    <x v="1"/>
    <x v="0"/>
    <n v="12.32"/>
  </r>
  <r>
    <n v="44"/>
    <x v="3"/>
    <x v="0"/>
    <n v="88.2"/>
    <n v="1.88"/>
    <n v="192"/>
    <n v="169"/>
    <n v="51"/>
    <n v="2"/>
    <n v="1783"/>
    <x v="2"/>
    <x v="1"/>
    <n v="28.5"/>
    <n v="1.9"/>
    <n v="4"/>
    <x v="0"/>
    <x v="0"/>
    <n v="12.32"/>
  </r>
  <r>
    <n v="27"/>
    <x v="0"/>
    <x v="0"/>
    <n v="55.8"/>
    <n v="1.67"/>
    <n v="192"/>
    <n v="167"/>
    <n v="74"/>
    <n v="2"/>
    <n v="642"/>
    <x v="3"/>
    <x v="1"/>
    <n v="28.8"/>
    <n v="3.4"/>
    <n v="3"/>
    <x v="0"/>
    <x v="4"/>
    <n v="28.68"/>
  </r>
  <r>
    <n v="41"/>
    <x v="3"/>
    <x v="1"/>
    <n v="73.2"/>
    <n v="1.75"/>
    <n v="190"/>
    <n v="137"/>
    <n v="58"/>
    <n v="1.24"/>
    <n v="1048"/>
    <x v="0"/>
    <x v="2"/>
    <n v="30.4"/>
    <n v="3.4"/>
    <n v="2"/>
    <x v="2"/>
    <x v="2"/>
    <n v="23.65"/>
  </r>
  <r>
    <n v="44"/>
    <x v="3"/>
    <x v="1"/>
    <n v="40"/>
    <n v="1.72"/>
    <n v="179"/>
    <n v="124"/>
    <n v="74"/>
    <n v="0.85"/>
    <n v="1043"/>
    <x v="1"/>
    <x v="1"/>
    <n v="22.8"/>
    <n v="2.1"/>
    <n v="5"/>
    <x v="2"/>
    <x v="2"/>
    <n v="20.78"/>
  </r>
  <r>
    <n v="54"/>
    <x v="2"/>
    <x v="1"/>
    <n v="58.5"/>
    <n v="1.96"/>
    <n v="185"/>
    <n v="133"/>
    <n v="60"/>
    <n v="2"/>
    <n v="1131"/>
    <x v="3"/>
    <x v="3"/>
    <n v="13.1"/>
    <n v="2.5"/>
    <n v="3"/>
    <x v="1"/>
    <x v="0"/>
    <n v="18.11"/>
  </r>
  <r>
    <n v="45"/>
    <x v="2"/>
    <x v="0"/>
    <n v="57.5"/>
    <n v="1.55"/>
    <n v="190"/>
    <n v="123"/>
    <n v="54"/>
    <n v="1.33"/>
    <n v="893"/>
    <x v="2"/>
    <x v="1"/>
    <n v="28.8"/>
    <n v="3.3"/>
    <n v="3"/>
    <x v="1"/>
    <x v="0"/>
    <n v="17.649999999999999"/>
  </r>
  <r>
    <n v="24"/>
    <x v="1"/>
    <x v="0"/>
    <n v="55.6"/>
    <n v="1.73"/>
    <n v="175"/>
    <n v="120"/>
    <n v="71"/>
    <n v="1.0900000000000001"/>
    <n v="775"/>
    <x v="3"/>
    <x v="0"/>
    <n v="17.2"/>
    <n v="3"/>
    <n v="4"/>
    <x v="0"/>
    <x v="2"/>
    <n v="22.74"/>
  </r>
  <r>
    <n v="55"/>
    <x v="4"/>
    <x v="0"/>
    <m/>
    <n v="1.83"/>
    <n v="194"/>
    <n v="162"/>
    <n v="72"/>
    <n v="1.99"/>
    <n v="1374"/>
    <x v="2"/>
    <x v="1"/>
    <n v="27.6"/>
    <n v="2"/>
    <n v="3"/>
    <x v="1"/>
    <x v="0"/>
    <n v="17.739999999999998"/>
  </r>
  <r>
    <n v="32"/>
    <x v="0"/>
    <x v="0"/>
    <n v="42.4"/>
    <n v="1.79"/>
    <n v="176"/>
    <n v="135"/>
    <n v="56"/>
    <n v="1.63"/>
    <n v="843"/>
    <x v="3"/>
    <x v="1"/>
    <n v="27.1"/>
    <n v="1.5"/>
    <n v="2"/>
    <x v="0"/>
    <x v="0"/>
    <n v="18.170000000000002"/>
  </r>
  <r>
    <n v="18"/>
    <x v="1"/>
    <x v="2"/>
    <n v="40"/>
    <n v="1.68"/>
    <n v="163"/>
    <n v="137"/>
    <n v="61"/>
    <n v="1.1000000000000001"/>
    <n v="1470"/>
    <x v="1"/>
    <x v="2"/>
    <n v="31.7"/>
    <n v="1.7"/>
    <n v="4"/>
    <x v="2"/>
    <x v="2"/>
    <n v="19.34"/>
  </r>
  <r>
    <n v="33"/>
    <x v="0"/>
    <x v="0"/>
    <n v="77"/>
    <n v="1.69"/>
    <n v="191"/>
    <n v="154"/>
    <n v="58"/>
    <n v="1.1599999999999999"/>
    <n v="1187"/>
    <x v="1"/>
    <x v="1"/>
    <n v="29.1"/>
    <n v="3.2"/>
    <n v="4"/>
    <x v="0"/>
    <x v="0"/>
    <n v="12.32"/>
  </r>
  <r>
    <n v="28"/>
    <x v="0"/>
    <x v="0"/>
    <n v="74.7"/>
    <n v="1.69"/>
    <n v="163"/>
    <n v="158"/>
    <n v="58"/>
    <n v="1.37"/>
    <n v="854"/>
    <x v="2"/>
    <x v="0"/>
    <n v="14"/>
    <n v="3.4"/>
    <n v="4"/>
    <x v="0"/>
    <x v="0"/>
    <n v="13.79"/>
  </r>
  <r>
    <n v="59"/>
    <x v="4"/>
    <x v="1"/>
    <n v="65.099999999999994"/>
    <n v="1.68"/>
    <n v="161"/>
    <n v="144"/>
    <n v="62"/>
    <n v="2"/>
    <n v="1050"/>
    <x v="0"/>
    <x v="2"/>
    <n v="26.1"/>
    <n v="2"/>
    <n v="5"/>
    <x v="2"/>
    <x v="2"/>
    <n v="23.59"/>
  </r>
  <r>
    <n v="21"/>
    <x v="1"/>
    <x v="0"/>
    <n v="40"/>
    <n v="1.8"/>
    <n v="176"/>
    <n v="122"/>
    <n v="73"/>
    <n v="1.37"/>
    <n v="1171"/>
    <x v="2"/>
    <x v="0"/>
    <n v="10"/>
    <n v="3.7"/>
    <n v="3"/>
    <x v="1"/>
    <x v="2"/>
    <n v="19.84"/>
  </r>
  <r>
    <n v="23"/>
    <x v="1"/>
    <x v="1"/>
    <n v="64.3"/>
    <n v="1.58"/>
    <n v="160"/>
    <n v="123"/>
    <n v="62"/>
    <n v="1.02"/>
    <n v="1360"/>
    <x v="0"/>
    <x v="1"/>
    <n v="22"/>
    <n v="3.4"/>
    <n v="4"/>
    <x v="1"/>
    <x v="2"/>
    <n v="19.45"/>
  </r>
  <r>
    <n v="20"/>
    <x v="1"/>
    <x v="0"/>
    <n v="43.6"/>
    <n v="1.6"/>
    <n v="165"/>
    <n v="141"/>
    <n v="60"/>
    <n v="1.37"/>
    <n v="1783"/>
    <x v="0"/>
    <x v="0"/>
    <n v="16.899999999999999"/>
    <n v="1.5"/>
    <n v="4"/>
    <x v="1"/>
    <x v="0"/>
    <n v="15.52"/>
  </r>
  <r>
    <n v="21"/>
    <x v="1"/>
    <x v="1"/>
    <n v="100.4"/>
    <n v="1.62"/>
    <n v="188"/>
    <n v="128"/>
    <n v="73"/>
    <n v="1.4"/>
    <n v="614"/>
    <x v="0"/>
    <x v="2"/>
    <n v="29.3"/>
    <n v="3.3"/>
    <n v="2"/>
    <x v="1"/>
    <x v="1"/>
    <n v="33.21"/>
  </r>
  <r>
    <n v="48"/>
    <x v="2"/>
    <x v="0"/>
    <n v="73.8"/>
    <n v="1.88"/>
    <n v="191"/>
    <n v="151"/>
    <n v="59"/>
    <n v="1.88"/>
    <n v="1783"/>
    <x v="1"/>
    <x v="0"/>
    <n v="19.2"/>
    <n v="2"/>
    <n v="4"/>
    <x v="1"/>
    <x v="0"/>
    <n v="12.32"/>
  </r>
  <r>
    <n v="23"/>
    <x v="1"/>
    <x v="1"/>
    <n v="52.3"/>
    <n v="1.74"/>
    <n v="184"/>
    <n v="122"/>
    <n v="65"/>
    <n v="1.38"/>
    <n v="915"/>
    <x v="3"/>
    <x v="0"/>
    <n v="10"/>
    <n v="3.5"/>
    <n v="4"/>
    <x v="1"/>
    <x v="0"/>
    <n v="18.170000000000002"/>
  </r>
  <r>
    <n v="51"/>
    <x v="2"/>
    <x v="1"/>
    <n v="57.3"/>
    <n v="1.71"/>
    <n v="188"/>
    <n v="169"/>
    <n v="50"/>
    <n v="1.0900000000000001"/>
    <n v="1375"/>
    <x v="0"/>
    <x v="2"/>
    <n v="28.1"/>
    <n v="3.6"/>
    <n v="2"/>
    <x v="2"/>
    <x v="2"/>
    <n v="19.690000000000001"/>
  </r>
  <r>
    <n v="30"/>
    <x v="0"/>
    <x v="1"/>
    <n v="70.7"/>
    <n v="1.64"/>
    <n v="196"/>
    <n v="136"/>
    <n v="18"/>
    <n v="1.38"/>
    <n v="1608"/>
    <x v="1"/>
    <x v="3"/>
    <n v="13"/>
    <n v="1.6"/>
    <n v="5"/>
    <x v="0"/>
    <x v="2"/>
    <n v="20.83"/>
  </r>
  <r>
    <n v="20"/>
    <x v="1"/>
    <x v="1"/>
    <n v="92.8"/>
    <n v="2"/>
    <n v="195"/>
    <n v="154"/>
    <n v="58"/>
    <n v="1.44"/>
    <n v="676"/>
    <x v="3"/>
    <x v="1"/>
    <n v="24.3"/>
    <n v="1.5"/>
    <n v="4"/>
    <x v="0"/>
    <x v="0"/>
    <n v="16.600000000000001"/>
  </r>
  <r>
    <n v="18"/>
    <x v="1"/>
    <x v="1"/>
    <n v="56.2"/>
    <n v="1.75"/>
    <n v="164"/>
    <n v="127"/>
    <n v="57"/>
    <n v="1.45"/>
    <n v="952"/>
    <x v="0"/>
    <x v="2"/>
    <n v="29.6"/>
    <n v="3.5"/>
    <n v="4"/>
    <x v="2"/>
    <x v="0"/>
    <n v="17.29"/>
  </r>
  <r>
    <n v="24"/>
    <x v="1"/>
    <x v="0"/>
    <n v="65.3"/>
    <n v="1.74"/>
    <n v="178"/>
    <n v="168"/>
    <n v="63"/>
    <n v="1.1200000000000001"/>
    <n v="984"/>
    <x v="2"/>
    <x v="1"/>
    <n v="25.6"/>
    <n v="3.3"/>
    <n v="4"/>
    <x v="0"/>
    <x v="2"/>
    <n v="19.87"/>
  </r>
  <r>
    <n v="37"/>
    <x v="3"/>
    <x v="1"/>
    <n v="60.2"/>
    <n v="1.76"/>
    <n v="194"/>
    <n v="169"/>
    <n v="72"/>
    <n v="1.7"/>
    <n v="1114"/>
    <x v="3"/>
    <x v="2"/>
    <n v="31.4"/>
    <n v="1.8"/>
    <n v="4"/>
    <x v="0"/>
    <x v="1"/>
    <n v="32.81"/>
  </r>
  <r>
    <n v="54"/>
    <x v="2"/>
    <x v="0"/>
    <n v="56.6"/>
    <n v="1.67"/>
    <n v="199"/>
    <n v="123"/>
    <n v="60"/>
    <n v="1.0900000000000001"/>
    <n v="962"/>
    <x v="0"/>
    <x v="1"/>
    <n v="25"/>
    <n v="3.1"/>
    <n v="5"/>
    <x v="0"/>
    <x v="0"/>
    <n v="12.32"/>
  </r>
  <r>
    <n v="30"/>
    <x v="0"/>
    <x v="0"/>
    <n v="40"/>
    <n v="1.83"/>
    <n v="188"/>
    <n v="137"/>
    <n v="71"/>
    <n v="1.47"/>
    <n v="1783"/>
    <x v="4"/>
    <x v="1"/>
    <n v="26.9"/>
    <n v="3.6"/>
    <n v="5"/>
    <x v="2"/>
    <x v="2"/>
    <n v="20.309999999999999"/>
  </r>
  <r>
    <n v="21"/>
    <x v="1"/>
    <x v="2"/>
    <n v="105.4"/>
    <n v="1.77"/>
    <n v="188"/>
    <n v="169"/>
    <n v="72"/>
    <n v="1.45"/>
    <n v="999"/>
    <x v="0"/>
    <x v="3"/>
    <n v="22.5"/>
    <n v="3.7"/>
    <n v="3"/>
    <x v="2"/>
    <x v="4"/>
    <n v="25.09"/>
  </r>
  <r>
    <n v="34"/>
    <x v="0"/>
    <x v="1"/>
    <n v="63.8"/>
    <n v="1.8"/>
    <n v="192"/>
    <n v="129"/>
    <n v="54"/>
    <n v="1.92"/>
    <n v="1229"/>
    <x v="1"/>
    <x v="3"/>
    <n v="13.8"/>
    <n v="3.1"/>
    <n v="4"/>
    <x v="0"/>
    <x v="0"/>
    <n v="14.24"/>
  </r>
  <r>
    <n v="42"/>
    <x v="3"/>
    <x v="0"/>
    <n v="58.4"/>
    <n v="1.7"/>
    <n v="164"/>
    <n v="156"/>
    <n v="50"/>
    <n v="1.43"/>
    <n v="1427"/>
    <x v="0"/>
    <x v="3"/>
    <n v="23.6"/>
    <n v="2.5"/>
    <m/>
    <x v="1"/>
    <x v="0"/>
    <n v="16.68"/>
  </r>
  <r>
    <n v="43"/>
    <x v="3"/>
    <x v="0"/>
    <n v="43.9"/>
    <n v="1.82"/>
    <n v="173"/>
    <n v="164"/>
    <n v="72"/>
    <n v="1.61"/>
    <n v="567"/>
    <x v="2"/>
    <x v="0"/>
    <n v="16.3"/>
    <n v="3.2"/>
    <n v="3"/>
    <x v="1"/>
    <x v="2"/>
    <n v="19.29"/>
  </r>
  <r>
    <n v="24"/>
    <x v="1"/>
    <x v="1"/>
    <n v="46"/>
    <n v="1.71"/>
    <s v="\n175"/>
    <n v="126"/>
    <n v="59"/>
    <n v="1.18"/>
    <n v="1725"/>
    <x v="0"/>
    <x v="2"/>
    <n v="26.1"/>
    <n v="1.5"/>
    <n v="2"/>
    <x v="1"/>
    <x v="0"/>
    <n v="15.44"/>
  </r>
  <r>
    <n v="37"/>
    <x v="3"/>
    <x v="0"/>
    <n v="58"/>
    <n v="1.89"/>
    <s v="\t182"/>
    <n v="163"/>
    <n v="72"/>
    <n v="1.39"/>
    <n v="1156"/>
    <x v="3"/>
    <x v="1"/>
    <n v="26"/>
    <n v="3.4"/>
    <n v="5"/>
    <x v="0"/>
    <x v="2"/>
    <n v="23.79"/>
  </r>
  <r>
    <n v="55"/>
    <x v="4"/>
    <x v="0"/>
    <n v="91.1"/>
    <n v="1.85"/>
    <n v="190"/>
    <n v="149"/>
    <n v="74"/>
    <n v="1.49"/>
    <n v="649"/>
    <x v="0"/>
    <x v="2"/>
    <n v="31.8"/>
    <n v="3"/>
    <n v="3"/>
    <x v="1"/>
    <x v="4"/>
    <n v="29.5"/>
  </r>
  <r>
    <n v="43"/>
    <x v="3"/>
    <x v="0"/>
    <n v="40"/>
    <n v="1.55"/>
    <n v="172"/>
    <n v="159"/>
    <n v="59"/>
    <n v="1.28"/>
    <n v="1480"/>
    <x v="3"/>
    <x v="0"/>
    <n v="19.899999999999999"/>
    <n v="3"/>
    <n v="3"/>
    <x v="2"/>
    <x v="2"/>
    <n v="21.42"/>
  </r>
  <r>
    <n v="59"/>
    <x v="4"/>
    <x v="1"/>
    <n v="40"/>
    <m/>
    <n v="185"/>
    <n v="132"/>
    <n v="50"/>
    <n v="1.32"/>
    <n v="1266"/>
    <x v="2"/>
    <x v="1"/>
    <n v="22.7"/>
    <n v="2.2999999999999998"/>
    <n v="4"/>
    <x v="2"/>
    <x v="0"/>
    <n v="12.32"/>
  </r>
  <r>
    <n v="49"/>
    <x v="2"/>
    <x v="0"/>
    <n v="40"/>
    <n v="1.89"/>
    <n v="192"/>
    <n v="168"/>
    <n v="50"/>
    <n v="1.51"/>
    <n v="837"/>
    <x v="0"/>
    <x v="1"/>
    <n v="29.4"/>
    <n v="3.5"/>
    <n v="3"/>
    <x v="1"/>
    <x v="0"/>
    <n v="16.63"/>
  </r>
  <r>
    <n v="27"/>
    <x v="0"/>
    <x v="0"/>
    <n v="96.8"/>
    <n v="1.73"/>
    <n v="174"/>
    <n v="136"/>
    <n v="71"/>
    <n v="1.91"/>
    <n v="887"/>
    <x v="0"/>
    <x v="2"/>
    <n v="31.7"/>
    <n v="2.6"/>
    <n v="3"/>
    <x v="0"/>
    <x v="2"/>
    <n v="19.05"/>
  </r>
  <r>
    <n v="18"/>
    <x v="1"/>
    <x v="1"/>
    <n v="80.5"/>
    <m/>
    <n v="196"/>
    <n v="159"/>
    <n v="55"/>
    <n v="2"/>
    <n v="816"/>
    <x v="3"/>
    <x v="2"/>
    <n v="25.2"/>
    <n v="2.2999999999999998"/>
    <n v="2"/>
    <x v="1"/>
    <x v="2"/>
    <n v="22.13"/>
  </r>
  <r>
    <n v="36"/>
    <x v="3"/>
    <x v="1"/>
    <n v="69"/>
    <n v="1.76"/>
    <n v="191"/>
    <n v="153"/>
    <n v="73"/>
    <n v="1.01"/>
    <n v="1276"/>
    <x v="4"/>
    <x v="3"/>
    <n v="16.7"/>
    <n v="2.9"/>
    <n v="4"/>
    <x v="1"/>
    <x v="0"/>
    <n v="13.89"/>
  </r>
  <r>
    <n v="20"/>
    <x v="1"/>
    <x v="1"/>
    <n v="43.5"/>
    <n v="1.52"/>
    <n v="189"/>
    <n v="146"/>
    <n v="63"/>
    <n v="2"/>
    <n v="1213"/>
    <x v="0"/>
    <x v="1"/>
    <n v="24.3"/>
    <n v="2.5"/>
    <n v="4"/>
    <x v="0"/>
    <x v="4"/>
    <n v="25.35"/>
  </r>
  <r>
    <n v="55"/>
    <x v="4"/>
    <x v="1"/>
    <n v="54.2"/>
    <n v="1.62"/>
    <n v="197"/>
    <n v="127"/>
    <n v="56"/>
    <n v="1.18"/>
    <n v="335"/>
    <x v="0"/>
    <x v="2"/>
    <n v="28.3"/>
    <n v="2.4"/>
    <n v="2"/>
    <x v="1"/>
    <x v="2"/>
    <n v="20.94"/>
  </r>
  <r>
    <n v="34"/>
    <x v="0"/>
    <x v="1"/>
    <n v="59.8"/>
    <n v="1.77"/>
    <n v="186"/>
    <n v="151"/>
    <n v="55"/>
    <n v="0.97"/>
    <n v="792"/>
    <x v="3"/>
    <x v="1"/>
    <n v="23"/>
    <n v="2.1"/>
    <n v="3"/>
    <x v="0"/>
    <x v="2"/>
    <n v="24.41"/>
  </r>
  <r>
    <n v="18"/>
    <x v="1"/>
    <x v="0"/>
    <n v="52.2"/>
    <n v="1.75"/>
    <n v="171"/>
    <n v="165"/>
    <n v="72"/>
    <n v="1.45"/>
    <n v="570"/>
    <x v="0"/>
    <x v="1"/>
    <n v="26.1"/>
    <n v="3.4"/>
    <n v="4"/>
    <x v="1"/>
    <x v="0"/>
    <n v="12.48"/>
  </r>
  <r>
    <n v="40"/>
    <x v="3"/>
    <x v="1"/>
    <n v="45.4"/>
    <n v="1.84"/>
    <n v="167"/>
    <n v="156"/>
    <n v="50"/>
    <n v="1.1299999999999999"/>
    <n v="771"/>
    <x v="1"/>
    <x v="0"/>
    <n v="11.5"/>
    <n v="3.5"/>
    <n v="4"/>
    <x v="0"/>
    <x v="0"/>
    <n v="12.32"/>
  </r>
  <r>
    <n v="28"/>
    <x v="0"/>
    <x v="0"/>
    <n v="62.1"/>
    <n v="1.68"/>
    <n v="191"/>
    <n v="130"/>
    <n v="74"/>
    <n v="0.85"/>
    <n v="1098"/>
    <x v="0"/>
    <x v="0"/>
    <n v="13.9"/>
    <n v="2.8"/>
    <n v="4"/>
    <x v="0"/>
    <x v="4"/>
    <n v="28.14"/>
  </r>
  <r>
    <n v="26"/>
    <x v="0"/>
    <x v="1"/>
    <n v="72.8"/>
    <n v="1.57"/>
    <n v="196"/>
    <n v="138"/>
    <n v="61"/>
    <n v="1.04"/>
    <n v="1382"/>
    <x v="0"/>
    <x v="2"/>
    <n v="29.8"/>
    <n v="3.4"/>
    <n v="2"/>
    <x v="2"/>
    <x v="0"/>
    <n v="16.61"/>
  </r>
  <r>
    <n v="27"/>
    <x v="0"/>
    <x v="0"/>
    <n v="73.5"/>
    <n v="1.92"/>
    <n v="168"/>
    <n v="155"/>
    <n v="50"/>
    <n v="1.18"/>
    <n v="1048"/>
    <x v="0"/>
    <x v="0"/>
    <n v="14.2"/>
    <n v="3.4"/>
    <n v="5"/>
    <x v="0"/>
    <x v="0"/>
    <n v="18.37"/>
  </r>
  <r>
    <n v="22"/>
    <x v="1"/>
    <x v="1"/>
    <n v="78.400000000000006"/>
    <n v="1.66"/>
    <n v="182"/>
    <n v="168"/>
    <n v="70"/>
    <n v="1.67"/>
    <n v="495"/>
    <x v="0"/>
    <x v="0"/>
    <n v="10"/>
    <n v="2.5"/>
    <n v="3"/>
    <x v="3"/>
    <x v="2"/>
    <n v="19.29"/>
  </r>
  <r>
    <n v="51"/>
    <x v="2"/>
    <x v="0"/>
    <n v="87.1"/>
    <n v="1.77"/>
    <n v="185"/>
    <n v="126"/>
    <n v="60"/>
    <n v="1.46"/>
    <n v="990"/>
    <x v="1"/>
    <x v="3"/>
    <n v="21.1"/>
    <n v="3.4"/>
    <n v="2"/>
    <x v="1"/>
    <x v="0"/>
    <n v="12.9"/>
  </r>
  <r>
    <n v="45"/>
    <x v="2"/>
    <x v="1"/>
    <n v="76.3"/>
    <n v="1.67"/>
    <n v="177"/>
    <n v="168"/>
    <n v="50"/>
    <n v="1.41"/>
    <n v="1013"/>
    <x v="1"/>
    <x v="0"/>
    <n v="11.6"/>
    <n v="3.1"/>
    <n v="3"/>
    <x v="2"/>
    <x v="0"/>
    <n v="14.42"/>
  </r>
  <r>
    <n v="33"/>
    <x v="0"/>
    <x v="0"/>
    <n v="75.5"/>
    <n v="1.85"/>
    <n v="181"/>
    <n v="147"/>
    <n v="59"/>
    <n v="1.22"/>
    <n v="1267"/>
    <x v="2"/>
    <x v="3"/>
    <n v="21.8"/>
    <n v="2.8"/>
    <n v="3"/>
    <x v="0"/>
    <x v="0"/>
    <n v="18.190000000000001"/>
  </r>
  <r>
    <n v="44"/>
    <x v="3"/>
    <x v="0"/>
    <n v="49.3"/>
    <n v="1.55"/>
    <n v="193"/>
    <n v="168"/>
    <n v="72"/>
    <n v="1.48"/>
    <n v="918"/>
    <x v="1"/>
    <x v="3"/>
    <n v="21.5"/>
    <n v="3.6"/>
    <n v="5"/>
    <x v="1"/>
    <x v="2"/>
    <n v="21.77"/>
  </r>
  <r>
    <n v="56"/>
    <x v="4"/>
    <x v="0"/>
    <n v="92"/>
    <n v="1.86"/>
    <n v="184"/>
    <n v="167"/>
    <n v="71"/>
    <n v="1.56"/>
    <n v="999"/>
    <x v="1"/>
    <x v="1"/>
    <n v="24.2"/>
    <n v="2.1"/>
    <n v="5"/>
    <x v="2"/>
    <x v="1"/>
    <n v="31.52"/>
  </r>
  <r>
    <n v="35"/>
    <x v="3"/>
    <x v="1"/>
    <n v="44"/>
    <n v="1.59"/>
    <n v="168"/>
    <n v="144"/>
    <n v="54"/>
    <n v="1.39"/>
    <n v="1040"/>
    <x v="4"/>
    <x v="2"/>
    <n v="29"/>
    <n v="3.4"/>
    <n v="2"/>
    <x v="0"/>
    <x v="4"/>
    <n v="27.49"/>
  </r>
  <r>
    <n v="46"/>
    <x v="2"/>
    <x v="1"/>
    <n v="92.6"/>
    <n v="1.76"/>
    <n v="197"/>
    <n v="144"/>
    <n v="74"/>
    <n v="0.96"/>
    <n v="1291"/>
    <x v="2"/>
    <x v="3"/>
    <n v="13.8"/>
    <n v="3.3"/>
    <n v="2"/>
    <x v="0"/>
    <x v="0"/>
    <n v="12.37"/>
  </r>
  <r>
    <n v="59"/>
    <x v="4"/>
    <x v="2"/>
    <n v="50.2"/>
    <n v="1.6"/>
    <n v="174"/>
    <n v="169"/>
    <n v="55"/>
    <n v="1.33"/>
    <m/>
    <x v="0"/>
    <x v="0"/>
    <m/>
    <n v="1.5"/>
    <n v="4"/>
    <x v="0"/>
    <x v="0"/>
    <n v="13.4"/>
  </r>
  <r>
    <n v="23"/>
    <x v="1"/>
    <x v="1"/>
    <n v="83"/>
    <n v="1.74"/>
    <n v="160"/>
    <n v="120"/>
    <n v="72"/>
    <n v="1.35"/>
    <n v="1628"/>
    <x v="3"/>
    <x v="1"/>
    <n v="21"/>
    <n v="3.3"/>
    <n v="5"/>
    <x v="0"/>
    <x v="0"/>
    <n v="15.13"/>
  </r>
  <r>
    <n v="21"/>
    <x v="1"/>
    <x v="0"/>
    <n v="78.5"/>
    <n v="1.8"/>
    <n v="179"/>
    <n v="169"/>
    <n v="59"/>
    <n v="1.64"/>
    <n v="683"/>
    <x v="3"/>
    <x v="3"/>
    <n v="23.9"/>
    <n v="2.7"/>
    <n v="4"/>
    <x v="1"/>
    <x v="2"/>
    <n v="22.33"/>
  </r>
  <r>
    <n v="56"/>
    <x v="4"/>
    <x v="0"/>
    <n v="56.2"/>
    <n v="1.69"/>
    <n v="198"/>
    <n v="155"/>
    <n v="74"/>
    <n v="1.64"/>
    <n v="1486"/>
    <x v="1"/>
    <x v="1"/>
    <n v="24.4"/>
    <n v="1.8"/>
    <n v="2"/>
    <x v="1"/>
    <x v="2"/>
    <n v="21.59"/>
  </r>
  <r>
    <n v="58"/>
    <x v="4"/>
    <x v="1"/>
    <n v="87.4"/>
    <n v="1.64"/>
    <n v="188"/>
    <n v="148"/>
    <n v="57"/>
    <n v="0.56000000000000005"/>
    <n v="1249"/>
    <x v="0"/>
    <x v="0"/>
    <n v="10"/>
    <n v="3.5"/>
    <n v="3"/>
    <x v="2"/>
    <x v="0"/>
    <n v="16.940000000000001"/>
  </r>
  <r>
    <n v="26"/>
    <x v="0"/>
    <x v="1"/>
    <n v="92.2"/>
    <n v="1.59"/>
    <n v="176"/>
    <n v="143"/>
    <n v="55"/>
    <n v="1.57"/>
    <n v="1050"/>
    <x v="0"/>
    <x v="1"/>
    <n v="24.5"/>
    <n v="2.4"/>
    <n v="4"/>
    <x v="0"/>
    <x v="2"/>
    <n v="23"/>
  </r>
  <r>
    <n v="18"/>
    <x v="1"/>
    <x v="1"/>
    <n v="83.1"/>
    <n v="1.94"/>
    <n v="188"/>
    <n v="153"/>
    <n v="56"/>
    <n v="1.41"/>
    <n v="1180"/>
    <x v="3"/>
    <x v="1"/>
    <n v="24.4"/>
    <n v="3.3"/>
    <n v="3"/>
    <x v="0"/>
    <x v="0"/>
    <n v="17.84"/>
  </r>
  <r>
    <n v="36"/>
    <x v="3"/>
    <x v="0"/>
    <n v="47.1"/>
    <n v="1.72"/>
    <n v="194"/>
    <n v="145"/>
    <n v="50"/>
    <m/>
    <n v="843"/>
    <x v="0"/>
    <x v="3"/>
    <n v="21.8"/>
    <n v="1.9"/>
    <n v="3"/>
    <x v="1"/>
    <x v="0"/>
    <n v="17.46"/>
  </r>
  <r>
    <n v="18"/>
    <x v="1"/>
    <x v="1"/>
    <n v="53.1"/>
    <n v="1.7"/>
    <n v="181"/>
    <n v="169"/>
    <n v="73"/>
    <n v="1.01"/>
    <n v="1740"/>
    <x v="0"/>
    <x v="1"/>
    <n v="23.8"/>
    <n v="2.2999999999999998"/>
    <n v="4"/>
    <x v="1"/>
    <x v="0"/>
    <m/>
  </r>
  <r>
    <n v="53"/>
    <x v="2"/>
    <x v="0"/>
    <n v="76.2"/>
    <n v="1.67"/>
    <n v="185"/>
    <n v="142"/>
    <n v="68"/>
    <n v="1.55"/>
    <n v="804"/>
    <x v="2"/>
    <x v="1"/>
    <n v="25.5"/>
    <n v="3.4"/>
    <n v="3"/>
    <x v="1"/>
    <x v="0"/>
    <n v="18.46"/>
  </r>
  <r>
    <n v="46"/>
    <x v="2"/>
    <x v="0"/>
    <n v="48.4"/>
    <n v="1.82"/>
    <n v="163"/>
    <n v="163"/>
    <n v="68"/>
    <n v="1.51"/>
    <n v="1221"/>
    <x v="2"/>
    <x v="0"/>
    <n v="19.2"/>
    <n v="3.7"/>
    <n v="5"/>
    <x v="0"/>
    <x v="0"/>
    <n v="12.32"/>
  </r>
  <r>
    <n v="24"/>
    <x v="1"/>
    <x v="0"/>
    <n v="47.3"/>
    <n v="1.92"/>
    <n v="189"/>
    <n v="155"/>
    <n v="74"/>
    <n v="1.4"/>
    <n v="505"/>
    <x v="2"/>
    <x v="1"/>
    <n v="29.5"/>
    <n v="3.4"/>
    <n v="5"/>
    <x v="0"/>
    <x v="0"/>
    <n v="12.34"/>
  </r>
  <r>
    <n v="46"/>
    <x v="2"/>
    <x v="1"/>
    <n v="91.8"/>
    <m/>
    <n v="191"/>
    <n v="152"/>
    <n v="71"/>
    <n v="1.32"/>
    <n v="927"/>
    <x v="1"/>
    <x v="2"/>
    <n v="26.8"/>
    <n v="1.8"/>
    <n v="3"/>
    <x v="1"/>
    <x v="2"/>
    <n v="23.11"/>
  </r>
  <r>
    <n v="31"/>
    <x v="0"/>
    <x v="0"/>
    <n v="71.400000000000006"/>
    <n v="1.68"/>
    <n v="180"/>
    <n v="143"/>
    <n v="68"/>
    <n v="1.37"/>
    <n v="606"/>
    <x v="3"/>
    <x v="3"/>
    <n v="23.8"/>
    <n v="3.2"/>
    <n v="2"/>
    <x v="0"/>
    <x v="2"/>
    <n v="21.59"/>
  </r>
  <r>
    <n v="24"/>
    <x v="1"/>
    <x v="1"/>
    <n v="103.6"/>
    <n v="1.88"/>
    <n v="175"/>
    <n v="154"/>
    <n v="60"/>
    <n v="1.55"/>
    <n v="436"/>
    <x v="3"/>
    <x v="1"/>
    <n v="20.9"/>
    <n v="3.2"/>
    <n v="3"/>
    <x v="1"/>
    <x v="0"/>
    <n v="13.85"/>
  </r>
  <r>
    <n v="35"/>
    <x v="3"/>
    <x v="0"/>
    <n v="81"/>
    <n v="1.78"/>
    <n v="196"/>
    <n v="151"/>
    <n v="67"/>
    <n v="2"/>
    <n v="1246"/>
    <x v="2"/>
    <x v="0"/>
    <n v="10"/>
    <n v="3.3"/>
    <n v="3"/>
    <x v="1"/>
    <x v="2"/>
    <n v="19.739999999999998"/>
  </r>
  <r>
    <n v="55"/>
    <x v="4"/>
    <x v="0"/>
    <n v="94.9"/>
    <n v="1.52"/>
    <n v="196"/>
    <n v="120"/>
    <n v="73"/>
    <n v="2"/>
    <n v="1309"/>
    <x v="2"/>
    <x v="1"/>
    <n v="27.9"/>
    <n v="1.5"/>
    <n v="2"/>
    <x v="3"/>
    <x v="0"/>
    <n v="12.32"/>
  </r>
  <r>
    <n v="21"/>
    <x v="1"/>
    <x v="0"/>
    <n v="80"/>
    <n v="1.67"/>
    <n v="167"/>
    <n v="169"/>
    <n v="57"/>
    <n v="0.94"/>
    <n v="899"/>
    <x v="0"/>
    <x v="1"/>
    <n v="29.8"/>
    <n v="3.1"/>
    <n v="3"/>
    <x v="0"/>
    <x v="0"/>
    <n v="17.149999999999999"/>
  </r>
  <r>
    <n v="29"/>
    <x v="0"/>
    <x v="0"/>
    <n v="40"/>
    <n v="1.77"/>
    <n v="191"/>
    <n v="169"/>
    <n v="58"/>
    <n v="1.2"/>
    <n v="613"/>
    <x v="0"/>
    <x v="3"/>
    <n v="22.2"/>
    <n v="2.2000000000000002"/>
    <n v="4"/>
    <x v="0"/>
    <x v="4"/>
    <n v="29.56"/>
  </r>
  <r>
    <n v="35"/>
    <x v="3"/>
    <x v="1"/>
    <n v="69.5"/>
    <n v="1.68"/>
    <n v="172"/>
    <n v="155"/>
    <n v="59"/>
    <n v="1.78"/>
    <n v="1350"/>
    <x v="2"/>
    <x v="1"/>
    <n v="23.6"/>
    <n v="1.6"/>
    <n v="3"/>
    <x v="3"/>
    <x v="0"/>
    <n v="16.62"/>
  </r>
  <r>
    <n v="37"/>
    <x v="3"/>
    <x v="1"/>
    <n v="48.3"/>
    <n v="1.81"/>
    <n v="167"/>
    <n v="134"/>
    <n v="69"/>
    <n v="1.97"/>
    <n v="1276"/>
    <x v="3"/>
    <x v="2"/>
    <n v="26.1"/>
    <n v="1.8"/>
    <n v="3"/>
    <x v="0"/>
    <x v="2"/>
    <n v="20.81"/>
  </r>
  <r>
    <n v="18"/>
    <x v="1"/>
    <x v="1"/>
    <n v="44.8"/>
    <n v="1.67"/>
    <n v="193"/>
    <n v="137"/>
    <n v="61"/>
    <n v="1.3"/>
    <n v="719"/>
    <x v="3"/>
    <x v="1"/>
    <n v="21.6"/>
    <n v="2.2999999999999998"/>
    <n v="4"/>
    <x v="1"/>
    <x v="0"/>
    <n v="12.32"/>
  </r>
  <r>
    <n v="54"/>
    <x v="2"/>
    <x v="1"/>
    <n v="68.900000000000006"/>
    <n v="1.78"/>
    <n v="187"/>
    <n v="155"/>
    <n v="60"/>
    <n v="1.42"/>
    <n v="913"/>
    <x v="4"/>
    <x v="2"/>
    <n v="30.7"/>
    <n v="3.4"/>
    <n v="3"/>
    <x v="1"/>
    <x v="0"/>
    <n v="17.82"/>
  </r>
  <r>
    <n v="44"/>
    <x v="3"/>
    <x v="0"/>
    <n v="63.6"/>
    <n v="1.77"/>
    <n v="161"/>
    <n v="169"/>
    <n v="50"/>
    <n v="1.57"/>
    <n v="1283"/>
    <x v="1"/>
    <x v="0"/>
    <n v="17.8"/>
    <n v="2.1"/>
    <n v="3"/>
    <x v="3"/>
    <x v="0"/>
    <n v="17.920000000000002"/>
  </r>
  <r>
    <n v="27"/>
    <x v="0"/>
    <x v="0"/>
    <n v="40"/>
    <n v="1.72"/>
    <n v="178"/>
    <n v="132"/>
    <n v="72"/>
    <n v="0.83"/>
    <n v="857"/>
    <x v="1"/>
    <x v="1"/>
    <n v="27.3"/>
    <n v="3.2"/>
    <n v="4"/>
    <x v="0"/>
    <x v="0"/>
    <n v="17.8"/>
  </r>
  <r>
    <n v="35"/>
    <x v="3"/>
    <x v="0"/>
    <n v="66.7"/>
    <n v="1.72"/>
    <n v="171"/>
    <n v="153"/>
    <n v="65"/>
    <n v="1.1499999999999999"/>
    <n v="776"/>
    <x v="2"/>
    <x v="0"/>
    <n v="18.7"/>
    <n v="2.5"/>
    <n v="4"/>
    <x v="1"/>
    <x v="2"/>
    <n v="22.98"/>
  </r>
  <r>
    <n v="44"/>
    <x v="3"/>
    <x v="1"/>
    <n v="47.3"/>
    <n v="1.72"/>
    <n v="198"/>
    <n v="164"/>
    <n v="70"/>
    <n v="1.46"/>
    <n v="1103"/>
    <x v="0"/>
    <x v="2"/>
    <n v="26.7"/>
    <n v="1.5"/>
    <n v="4"/>
    <x v="3"/>
    <x v="2"/>
    <n v="23.85"/>
  </r>
  <r>
    <n v="39"/>
    <x v="3"/>
    <x v="0"/>
    <n v="70.3"/>
    <n v="1.74"/>
    <n v="170"/>
    <n v="152"/>
    <n v="59"/>
    <n v="2"/>
    <n v="864"/>
    <x v="1"/>
    <x v="3"/>
    <n v="20.399999999999999"/>
    <n v="1.5"/>
    <n v="3"/>
    <x v="0"/>
    <x v="0"/>
    <n v="17.03"/>
  </r>
  <r>
    <n v="49"/>
    <x v="2"/>
    <x v="0"/>
    <n v="74.7"/>
    <n v="1.81"/>
    <n v="176"/>
    <n v="132"/>
    <n v="18"/>
    <n v="1.81"/>
    <n v="758"/>
    <x v="3"/>
    <x v="3"/>
    <n v="23.9"/>
    <n v="1.7"/>
    <n v="3"/>
    <x v="0"/>
    <x v="0"/>
    <n v="14.58"/>
  </r>
  <r>
    <n v="26"/>
    <x v="0"/>
    <x v="1"/>
    <n v="57.8"/>
    <n v="1.61"/>
    <n v="162"/>
    <n v="135"/>
    <n v="65"/>
    <n v="1.91"/>
    <n v="684"/>
    <x v="3"/>
    <x v="1"/>
    <n v="18.2"/>
    <n v="3.7"/>
    <n v="3"/>
    <x v="1"/>
    <x v="0"/>
    <n v="12.32"/>
  </r>
  <r>
    <n v="18"/>
    <x v="1"/>
    <x v="1"/>
    <n v="40"/>
    <n v="1.72"/>
    <n v="193"/>
    <n v="138"/>
    <n v="74"/>
    <n v="1.41"/>
    <n v="726"/>
    <x v="3"/>
    <x v="2"/>
    <n v="28"/>
    <n v="3.7"/>
    <n v="2"/>
    <x v="2"/>
    <x v="1"/>
    <n v="32.619999999999997"/>
  </r>
  <r>
    <n v="33"/>
    <x v="0"/>
    <x v="1"/>
    <n v="79.8"/>
    <n v="1.53"/>
    <n v="172"/>
    <n v="148"/>
    <n v="72"/>
    <n v="1.98"/>
    <n v="1132"/>
    <x v="3"/>
    <x v="3"/>
    <n v="14.7"/>
    <n v="1.7"/>
    <n v="3"/>
    <x v="0"/>
    <x v="0"/>
    <n v="16.600000000000001"/>
  </r>
  <r>
    <n v="18"/>
    <x v="1"/>
    <x v="2"/>
    <n v="75.8"/>
    <n v="1.99"/>
    <n v="191"/>
    <n v="167"/>
    <n v="71"/>
    <n v="1.53"/>
    <n v="850"/>
    <x v="2"/>
    <x v="0"/>
    <n v="10"/>
    <n v="3.5"/>
    <n v="4"/>
    <x v="1"/>
    <x v="0"/>
    <n v="15.4"/>
  </r>
  <r>
    <n v="47"/>
    <x v="2"/>
    <x v="0"/>
    <n v="74.7"/>
    <n v="1.77"/>
    <n v="195"/>
    <n v="130"/>
    <n v="68"/>
    <n v="1.93"/>
    <n v="1056"/>
    <x v="2"/>
    <x v="3"/>
    <n v="22.1"/>
    <n v="3.4"/>
    <n v="4"/>
    <x v="0"/>
    <x v="2"/>
    <n v="24.44"/>
  </r>
  <r>
    <n v="40"/>
    <x v="3"/>
    <x v="0"/>
    <n v="83.6"/>
    <n v="1.84"/>
    <n v="175"/>
    <n v="137"/>
    <n v="18"/>
    <n v="1.46"/>
    <n v="1481"/>
    <x v="1"/>
    <x v="3"/>
    <n v="23"/>
    <n v="2.5"/>
    <n v="5"/>
    <x v="1"/>
    <x v="2"/>
    <n v="20.2"/>
  </r>
  <r>
    <n v="38"/>
    <x v="3"/>
    <x v="1"/>
    <n v="101.8"/>
    <n v="1.51"/>
    <n v="163"/>
    <n v="169"/>
    <n v="72"/>
    <n v="1.42"/>
    <n v="1384"/>
    <x v="0"/>
    <x v="2"/>
    <n v="25.6"/>
    <n v="3.3"/>
    <n v="4"/>
    <x v="1"/>
    <x v="2"/>
    <n v="20.89"/>
  </r>
  <r>
    <n v="25"/>
    <x v="0"/>
    <x v="0"/>
    <n v="56.8"/>
    <m/>
    <n v="191"/>
    <n v="150"/>
    <n v="61"/>
    <n v="2"/>
    <n v="1183"/>
    <x v="0"/>
    <x v="1"/>
    <n v="24.3"/>
    <n v="1.7"/>
    <n v="3"/>
    <x v="1"/>
    <x v="2"/>
    <n v="19.28"/>
  </r>
  <r>
    <n v="42"/>
    <x v="3"/>
    <x v="0"/>
    <n v="86.7"/>
    <n v="1.7"/>
    <n v="196"/>
    <n v="135"/>
    <n v="68"/>
    <n v="1.22"/>
    <n v="923"/>
    <x v="0"/>
    <x v="1"/>
    <n v="27.2"/>
    <n v="3.2"/>
    <n v="3"/>
    <x v="0"/>
    <x v="0"/>
    <n v="17.489999999999998"/>
  </r>
  <r>
    <n v="18"/>
    <x v="1"/>
    <x v="1"/>
    <n v="40.9"/>
    <n v="1.87"/>
    <n v="160"/>
    <n v="140"/>
    <n v="50"/>
    <n v="1.28"/>
    <n v="1261"/>
    <x v="2"/>
    <x v="1"/>
    <n v="17.100000000000001"/>
    <n v="2.1"/>
    <n v="4"/>
    <x v="0"/>
    <x v="3"/>
    <n v="39.61"/>
  </r>
  <r>
    <n v="28"/>
    <x v="0"/>
    <x v="1"/>
    <n v="87.3"/>
    <n v="1.51"/>
    <n v="190"/>
    <n v="168"/>
    <n v="56"/>
    <n v="2"/>
    <n v="1306"/>
    <x v="3"/>
    <x v="2"/>
    <n v="32"/>
    <n v="2.2999999999999998"/>
    <n v="4"/>
    <x v="0"/>
    <x v="0"/>
    <n v="14.46"/>
  </r>
  <r>
    <n v="26"/>
    <x v="0"/>
    <x v="1"/>
    <n v="89.2"/>
    <n v="1.81"/>
    <n v="161"/>
    <n v="169"/>
    <n v="61"/>
    <n v="1.34"/>
    <n v="820"/>
    <x v="0"/>
    <x v="1"/>
    <n v="23.5"/>
    <n v="2.6"/>
    <n v="4"/>
    <x v="1"/>
    <x v="4"/>
    <n v="27.63"/>
  </r>
  <r>
    <n v="23"/>
    <x v="1"/>
    <x v="1"/>
    <n v="75.900000000000006"/>
    <n v="1.81"/>
    <n v="196"/>
    <n v="125"/>
    <n v="55"/>
    <n v="1.4"/>
    <n v="1177"/>
    <x v="2"/>
    <x v="2"/>
    <n v="30"/>
    <m/>
    <n v="3"/>
    <x v="0"/>
    <x v="0"/>
    <n v="12.32"/>
  </r>
  <r>
    <n v="30"/>
    <x v="0"/>
    <x v="1"/>
    <n v="100.1"/>
    <n v="1.76"/>
    <n v="170"/>
    <n v="160"/>
    <n v="55"/>
    <n v="1.43"/>
    <n v="1694"/>
    <x v="2"/>
    <x v="2"/>
    <n v="25.9"/>
    <n v="1.8"/>
    <n v="3"/>
    <x v="0"/>
    <x v="0"/>
    <n v="15.73"/>
  </r>
  <r>
    <n v="18"/>
    <x v="1"/>
    <x v="0"/>
    <n v="80.8"/>
    <n v="1.85"/>
    <n v="188"/>
    <n v="141"/>
    <n v="74"/>
    <n v="1.19"/>
    <n v="838"/>
    <x v="3"/>
    <x v="0"/>
    <n v="12.1"/>
    <n v="3.5"/>
    <n v="2"/>
    <x v="1"/>
    <x v="0"/>
    <n v="14.81"/>
  </r>
  <r>
    <n v="58"/>
    <x v="4"/>
    <x v="0"/>
    <n v="68.599999999999994"/>
    <n v="1.72"/>
    <n v="164"/>
    <n v="155"/>
    <n v="72"/>
    <n v="1.23"/>
    <n v="797"/>
    <x v="3"/>
    <x v="1"/>
    <n v="27.2"/>
    <n v="2.5"/>
    <n v="2"/>
    <x v="1"/>
    <x v="0"/>
    <n v="12.32"/>
  </r>
  <r>
    <n v="46"/>
    <x v="2"/>
    <x v="0"/>
    <n v="45.7"/>
    <n v="1.96"/>
    <n v="168"/>
    <n v="137"/>
    <n v="64"/>
    <n v="1.38"/>
    <n v="1303"/>
    <x v="0"/>
    <x v="1"/>
    <n v="29.8"/>
    <n v="3.3"/>
    <n v="2"/>
    <x v="0"/>
    <x v="2"/>
    <n v="22.82"/>
  </r>
  <r>
    <n v="19"/>
    <x v="1"/>
    <x v="0"/>
    <n v="55.2"/>
    <n v="1.71"/>
    <n v="172"/>
    <n v="136"/>
    <n v="74"/>
    <n v="1.93"/>
    <n v="670"/>
    <x v="3"/>
    <x v="0"/>
    <n v="10"/>
    <n v="3.1"/>
    <n v="4"/>
    <x v="1"/>
    <x v="2"/>
    <n v="20.85"/>
  </r>
  <r>
    <n v="31"/>
    <x v="0"/>
    <x v="0"/>
    <n v="91.7"/>
    <n v="1.74"/>
    <n v="172"/>
    <n v="166"/>
    <n v="56"/>
    <n v="1.28"/>
    <n v="892"/>
    <x v="3"/>
    <x v="0"/>
    <n v="19.8"/>
    <n v="3.1"/>
    <n v="4"/>
    <x v="2"/>
    <x v="0"/>
    <n v="12.32"/>
  </r>
  <r>
    <n v="47"/>
    <x v="2"/>
    <x v="1"/>
    <n v="78.7"/>
    <n v="1.69"/>
    <n v="170"/>
    <n v="144"/>
    <n v="57"/>
    <n v="1"/>
    <n v="845"/>
    <x v="3"/>
    <x v="1"/>
    <n v="24.5"/>
    <n v="1.9"/>
    <n v="4"/>
    <x v="1"/>
    <x v="2"/>
    <n v="22"/>
  </r>
  <r>
    <n v="28"/>
    <x v="0"/>
    <x v="0"/>
    <n v="40"/>
    <n v="1.57"/>
    <n v="165"/>
    <n v="169"/>
    <n v="68"/>
    <n v="1.04"/>
    <n v="669"/>
    <x v="1"/>
    <x v="1"/>
    <n v="30.2"/>
    <n v="2.6"/>
    <n v="2"/>
    <x v="0"/>
    <x v="0"/>
    <n v="15.05"/>
  </r>
  <r>
    <n v="22"/>
    <x v="1"/>
    <x v="1"/>
    <n v="47.1"/>
    <n v="1.87"/>
    <n v="165"/>
    <n v="132"/>
    <n v="68"/>
    <n v="0.72"/>
    <n v="674"/>
    <x v="0"/>
    <x v="2"/>
    <n v="31.7"/>
    <n v="3.2"/>
    <n v="2"/>
    <x v="0"/>
    <x v="1"/>
    <n v="34.979999999999997"/>
  </r>
  <r>
    <n v="23"/>
    <x v="1"/>
    <x v="1"/>
    <n v="85.1"/>
    <n v="1.79"/>
    <n v="194"/>
    <n v="138"/>
    <n v="55"/>
    <n v="1.1599999999999999"/>
    <n v="829"/>
    <x v="0"/>
    <x v="1"/>
    <n v="23.7"/>
    <n v="2.6"/>
    <n v="4"/>
    <x v="0"/>
    <x v="2"/>
    <n v="19.2"/>
  </r>
  <r>
    <n v="48"/>
    <x v="2"/>
    <x v="0"/>
    <n v="87.9"/>
    <n v="1.5"/>
    <n v="180"/>
    <n v="164"/>
    <n v="68"/>
    <n v="1.41"/>
    <n v="974"/>
    <x v="3"/>
    <x v="3"/>
    <n v="22.1"/>
    <n v="2.6"/>
    <n v="4"/>
    <x v="1"/>
    <x v="0"/>
    <n v="13.04"/>
  </r>
  <r>
    <n v="24"/>
    <x v="1"/>
    <x v="0"/>
    <n v="74.2"/>
    <n v="1.58"/>
    <n v="177"/>
    <n v="140"/>
    <n v="71"/>
    <n v="1.28"/>
    <n v="780"/>
    <x v="0"/>
    <x v="3"/>
    <n v="23.6"/>
    <n v="1.9"/>
    <n v="4"/>
    <x v="0"/>
    <x v="1"/>
    <n v="30.92"/>
  </r>
  <r>
    <n v="33"/>
    <x v="0"/>
    <x v="1"/>
    <m/>
    <n v="1.8"/>
    <n v="160"/>
    <n v="155"/>
    <n v="74"/>
    <n v="1.26"/>
    <n v="906"/>
    <x v="3"/>
    <x v="1"/>
    <n v="23.9"/>
    <n v="3.2"/>
    <n v="4"/>
    <x v="1"/>
    <x v="0"/>
    <n v="18.21"/>
  </r>
  <r>
    <n v="22"/>
    <x v="1"/>
    <x v="1"/>
    <n v="49.6"/>
    <n v="1.87"/>
    <n v="190"/>
    <n v="137"/>
    <n v="54"/>
    <n v="1.6"/>
    <n v="1326"/>
    <x v="2"/>
    <x v="2"/>
    <n v="30.5"/>
    <n v="1.9"/>
    <n v="5"/>
    <x v="1"/>
    <x v="0"/>
    <n v="14.25"/>
  </r>
  <r>
    <n v="18"/>
    <x v="1"/>
    <x v="1"/>
    <n v="63.9"/>
    <n v="1.86"/>
    <n v="161"/>
    <n v="147"/>
    <n v="51"/>
    <n v="1.83"/>
    <n v="1178"/>
    <x v="0"/>
    <x v="1"/>
    <n v="24"/>
    <n v="3.3"/>
    <n v="2"/>
    <x v="1"/>
    <x v="2"/>
    <n v="24.05"/>
  </r>
  <r>
    <n v="43"/>
    <x v="3"/>
    <x v="1"/>
    <n v="75"/>
    <n v="1.8"/>
    <n v="170"/>
    <n v="141"/>
    <n v="61"/>
    <n v="1.0900000000000001"/>
    <n v="790"/>
    <x v="3"/>
    <x v="2"/>
    <n v="32.799999999999997"/>
    <n v="2.4"/>
    <n v="3"/>
    <x v="0"/>
    <x v="0"/>
    <m/>
  </r>
  <r>
    <n v="54"/>
    <x v="2"/>
    <x v="1"/>
    <n v="69.8"/>
    <n v="1.75"/>
    <n v="170"/>
    <n v="131"/>
    <n v="72"/>
    <n v="1.29"/>
    <n v="954"/>
    <x v="0"/>
    <x v="2"/>
    <n v="32"/>
    <n v="3.2"/>
    <n v="2"/>
    <x v="1"/>
    <x v="2"/>
    <n v="21.66"/>
  </r>
  <r>
    <n v="42"/>
    <x v="3"/>
    <x v="0"/>
    <n v="40.5"/>
    <n v="1.64"/>
    <n v="196"/>
    <n v="137"/>
    <n v="59"/>
    <n v="1.1200000000000001"/>
    <n v="1150"/>
    <x v="3"/>
    <x v="0"/>
    <n v="13.4"/>
    <n v="3.7"/>
    <n v="5"/>
    <x v="0"/>
    <x v="0"/>
    <n v="12.32"/>
  </r>
  <r>
    <n v="18"/>
    <x v="1"/>
    <x v="0"/>
    <n v="43.8"/>
    <n v="1.96"/>
    <n v="193"/>
    <n v="142"/>
    <n v="50"/>
    <n v="1.03"/>
    <n v="1590"/>
    <x v="0"/>
    <x v="1"/>
    <n v="29.7"/>
    <n v="3.6"/>
    <n v="2"/>
    <x v="2"/>
    <x v="2"/>
    <n v="21.88"/>
  </r>
  <r>
    <n v="24"/>
    <x v="1"/>
    <x v="0"/>
    <n v="45.7"/>
    <n v="1.63"/>
    <n v="199"/>
    <n v="144"/>
    <n v="71"/>
    <n v="0.94"/>
    <n v="1137"/>
    <x v="3"/>
    <x v="0"/>
    <n v="19.600000000000001"/>
    <n v="1.8"/>
    <n v="2"/>
    <x v="2"/>
    <x v="0"/>
    <n v="12.32"/>
  </r>
  <r>
    <n v="43"/>
    <x v="3"/>
    <x v="1"/>
    <n v="40"/>
    <n v="1.73"/>
    <n v="161"/>
    <n v="146"/>
    <n v="69"/>
    <m/>
    <n v="1359"/>
    <x v="1"/>
    <x v="1"/>
    <n v="21.3"/>
    <n v="2.5"/>
    <n v="2"/>
    <x v="2"/>
    <x v="0"/>
    <n v="12.61"/>
  </r>
  <r>
    <n v="25"/>
    <x v="0"/>
    <x v="1"/>
    <n v="40.799999999999997"/>
    <n v="1.69"/>
    <n v="194"/>
    <n v="145"/>
    <n v="54"/>
    <n v="1.65"/>
    <n v="1353"/>
    <x v="2"/>
    <x v="1"/>
    <n v="24.4"/>
    <n v="2.5"/>
    <n v="4"/>
    <x v="1"/>
    <x v="2"/>
    <n v="22.31"/>
  </r>
  <r>
    <n v="59"/>
    <x v="4"/>
    <x v="1"/>
    <n v="82"/>
    <n v="1.51"/>
    <n v="185"/>
    <n v="121"/>
    <n v="70"/>
    <n v="1.82"/>
    <n v="625"/>
    <x v="0"/>
    <x v="2"/>
    <n v="28.5"/>
    <n v="2.2000000000000002"/>
    <n v="4"/>
    <x v="2"/>
    <x v="2"/>
    <n v="24.72"/>
  </r>
  <r>
    <n v="29"/>
    <x v="0"/>
    <x v="0"/>
    <n v="60.9"/>
    <n v="1.92"/>
    <n v="192"/>
    <n v="151"/>
    <n v="67"/>
    <n v="1.5"/>
    <n v="1407"/>
    <x v="1"/>
    <x v="0"/>
    <n v="18"/>
    <n v="3.5"/>
    <n v="5"/>
    <x v="1"/>
    <x v="3"/>
    <n v="43.3"/>
  </r>
  <r>
    <n v="27"/>
    <x v="0"/>
    <x v="1"/>
    <n v="55"/>
    <n v="1.68"/>
    <n v="169"/>
    <n v="136"/>
    <n v="64"/>
    <n v="1.07"/>
    <n v="1389"/>
    <x v="1"/>
    <x v="1"/>
    <n v="24.6"/>
    <n v="2.1"/>
    <n v="4"/>
    <x v="0"/>
    <x v="2"/>
    <n v="18.54"/>
  </r>
  <r>
    <n v="23"/>
    <x v="1"/>
    <x v="0"/>
    <n v="59"/>
    <n v="1.62"/>
    <n v="193"/>
    <n v="162"/>
    <n v="56"/>
    <m/>
    <n v="670"/>
    <x v="1"/>
    <x v="0"/>
    <n v="17.600000000000001"/>
    <n v="1.6"/>
    <n v="5"/>
    <x v="1"/>
    <x v="0"/>
    <n v="17.71"/>
  </r>
  <r>
    <n v="34"/>
    <x v="0"/>
    <x v="0"/>
    <n v="80"/>
    <n v="2"/>
    <n v="173"/>
    <n v="125"/>
    <n v="56"/>
    <n v="1.82"/>
    <n v="773"/>
    <x v="0"/>
    <x v="3"/>
    <n v="22.3"/>
    <n v="2.8"/>
    <n v="4"/>
    <x v="0"/>
    <x v="0"/>
    <n v="14.62"/>
  </r>
  <r>
    <n v="24"/>
    <x v="1"/>
    <x v="1"/>
    <n v="44.3"/>
    <n v="1.65"/>
    <n v="189"/>
    <n v="129"/>
    <n v="56"/>
    <n v="1.9"/>
    <n v="972"/>
    <x v="3"/>
    <x v="2"/>
    <n v="27.8"/>
    <n v="3.3"/>
    <n v="2"/>
    <x v="1"/>
    <x v="0"/>
    <n v="15.86"/>
  </r>
  <r>
    <n v="24"/>
    <x v="1"/>
    <x v="1"/>
    <n v="63.6"/>
    <n v="1.74"/>
    <n v="199"/>
    <n v="135"/>
    <n v="61"/>
    <n v="1.31"/>
    <n v="486"/>
    <x v="2"/>
    <x v="2"/>
    <n v="26.1"/>
    <n v="2.2000000000000002"/>
    <n v="2"/>
    <x v="2"/>
    <x v="4"/>
    <n v="25.85"/>
  </r>
  <r>
    <n v="29"/>
    <x v="0"/>
    <x v="0"/>
    <n v="50.2"/>
    <n v="1.89"/>
    <n v="197"/>
    <n v="125"/>
    <n v="51"/>
    <n v="1.46"/>
    <n v="1286"/>
    <x v="0"/>
    <x v="1"/>
    <n v="27.6"/>
    <n v="3.3"/>
    <n v="2"/>
    <x v="2"/>
    <x v="0"/>
    <n v="15.27"/>
  </r>
  <r>
    <n v="58"/>
    <x v="4"/>
    <x v="1"/>
    <n v="43.6"/>
    <n v="1.67"/>
    <n v="176"/>
    <n v="142"/>
    <n v="74"/>
    <n v="1.1299999999999999"/>
    <n v="1089"/>
    <x v="2"/>
    <x v="2"/>
    <n v="26.7"/>
    <n v="3.4"/>
    <n v="4"/>
    <x v="0"/>
    <x v="4"/>
    <n v="28.29"/>
  </r>
  <r>
    <n v="38"/>
    <x v="3"/>
    <x v="1"/>
    <n v="60.5"/>
    <n v="1.72"/>
    <n v="187"/>
    <n v="139"/>
    <n v="50"/>
    <n v="1.34"/>
    <n v="1096"/>
    <x v="3"/>
    <x v="1"/>
    <n v="20.9"/>
    <n v="3.7"/>
    <n v="4"/>
    <x v="0"/>
    <x v="4"/>
    <n v="25.58"/>
  </r>
  <r>
    <n v="34"/>
    <x v="0"/>
    <x v="1"/>
    <n v="92.4"/>
    <n v="1.79"/>
    <m/>
    <n v="128"/>
    <n v="52"/>
    <n v="0.52"/>
    <n v="724"/>
    <x v="1"/>
    <x v="2"/>
    <n v="25.3"/>
    <n v="3.1"/>
    <n v="5"/>
    <x v="2"/>
    <x v="0"/>
    <n v="12.85"/>
  </r>
  <r>
    <n v="39"/>
    <x v="3"/>
    <x v="0"/>
    <n v="76.7"/>
    <n v="1.86"/>
    <n v="193"/>
    <n v="122"/>
    <n v="65"/>
    <n v="1.29"/>
    <n v="1770"/>
    <x v="3"/>
    <x v="3"/>
    <n v="23.1"/>
    <n v="3.2"/>
    <n v="3"/>
    <x v="1"/>
    <x v="0"/>
    <n v="17.75"/>
  </r>
  <r>
    <n v="38"/>
    <x v="3"/>
    <x v="1"/>
    <m/>
    <n v="1.7"/>
    <n v="181"/>
    <n v="144"/>
    <n v="56"/>
    <n v="1.47"/>
    <n v="574"/>
    <x v="2"/>
    <x v="2"/>
    <n v="26.3"/>
    <n v="2.6"/>
    <n v="4"/>
    <x v="1"/>
    <x v="0"/>
    <n v="14.96"/>
  </r>
  <r>
    <n v="18"/>
    <x v="1"/>
    <x v="1"/>
    <n v="71.900000000000006"/>
    <n v="1.88"/>
    <n v="177"/>
    <n v="159"/>
    <n v="57"/>
    <n v="2"/>
    <n v="1571"/>
    <x v="3"/>
    <x v="0"/>
    <n v="10"/>
    <n v="2.4"/>
    <n v="3"/>
    <x v="0"/>
    <x v="0"/>
    <n v="15.96"/>
  </r>
  <r>
    <n v="25"/>
    <x v="0"/>
    <x v="0"/>
    <n v="59.2"/>
    <n v="1.84"/>
    <n v="168"/>
    <n v="160"/>
    <n v="51"/>
    <n v="1.53"/>
    <n v="1476"/>
    <x v="3"/>
    <x v="1"/>
    <n v="25.1"/>
    <n v="3.7"/>
    <n v="4"/>
    <x v="0"/>
    <x v="0"/>
    <n v="13.81"/>
  </r>
  <r>
    <n v="27"/>
    <x v="0"/>
    <x v="1"/>
    <n v="57.4"/>
    <n v="1.89"/>
    <n v="193"/>
    <n v="128"/>
    <n v="51"/>
    <n v="0.92"/>
    <n v="1121"/>
    <x v="3"/>
    <x v="1"/>
    <n v="22.4"/>
    <n v="3.5"/>
    <n v="4"/>
    <x v="0"/>
    <x v="0"/>
    <n v="16"/>
  </r>
  <r>
    <n v="33"/>
    <x v="0"/>
    <x v="1"/>
    <n v="69.5"/>
    <n v="1.75"/>
    <n v="178"/>
    <n v="131"/>
    <n v="74"/>
    <n v="1.51"/>
    <n v="1651"/>
    <x v="0"/>
    <x v="2"/>
    <n v="32.4"/>
    <n v="1.6"/>
    <n v="3"/>
    <x v="2"/>
    <x v="2"/>
    <n v="21.58"/>
  </r>
  <r>
    <n v="23"/>
    <x v="1"/>
    <x v="1"/>
    <n v="47.4"/>
    <n v="1.96"/>
    <n v="161"/>
    <n v="142"/>
    <n v="65"/>
    <n v="1.18"/>
    <n v="441"/>
    <x v="1"/>
    <x v="1"/>
    <n v="18.7"/>
    <n v="1.6"/>
    <n v="3"/>
    <x v="1"/>
    <x v="2"/>
    <n v="21.34"/>
  </r>
  <r>
    <n v="33"/>
    <x v="0"/>
    <x v="1"/>
    <n v="76.5"/>
    <n v="1.75"/>
    <n v="198"/>
    <n v="139"/>
    <n v="57"/>
    <n v="1.22"/>
    <n v="984"/>
    <x v="0"/>
    <x v="0"/>
    <n v="12.5"/>
    <n v="3.4"/>
    <n v="3"/>
    <x v="1"/>
    <x v="1"/>
    <n v="32.82"/>
  </r>
  <r>
    <n v="18"/>
    <x v="1"/>
    <x v="0"/>
    <n v="53.5"/>
    <n v="1.68"/>
    <n v="198"/>
    <n v="134"/>
    <n v="74"/>
    <n v="1.9"/>
    <n v="368"/>
    <x v="2"/>
    <x v="1"/>
    <n v="28.1"/>
    <n v="3.1"/>
    <n v="5"/>
    <x v="0"/>
    <x v="2"/>
    <n v="23.57"/>
  </r>
  <r>
    <n v="25"/>
    <x v="0"/>
    <x v="0"/>
    <n v="83.1"/>
    <n v="1.72"/>
    <n v="182"/>
    <n v="167"/>
    <n v="67"/>
    <n v="0.89"/>
    <n v="771"/>
    <x v="0"/>
    <x v="3"/>
    <n v="23.8"/>
    <n v="2.2999999999999998"/>
    <n v="4"/>
    <x v="1"/>
    <x v="0"/>
    <n v="12.32"/>
  </r>
  <r>
    <n v="47"/>
    <x v="2"/>
    <x v="0"/>
    <n v="70.400000000000006"/>
    <n v="1.93"/>
    <n v="177"/>
    <n v="153"/>
    <n v="74"/>
    <n v="1.28"/>
    <n v="846"/>
    <x v="0"/>
    <x v="3"/>
    <n v="23.5"/>
    <n v="1.6"/>
    <n v="3"/>
    <x v="0"/>
    <x v="0"/>
    <n v="12.32"/>
  </r>
  <r>
    <n v="39"/>
    <x v="3"/>
    <x v="0"/>
    <n v="50.3"/>
    <n v="1.94"/>
    <n v="164"/>
    <n v="160"/>
    <n v="66"/>
    <n v="0.57999999999999996"/>
    <n v="992"/>
    <x v="1"/>
    <x v="0"/>
    <n v="10"/>
    <n v="2.9"/>
    <n v="4"/>
    <x v="1"/>
    <x v="0"/>
    <n v="14.72"/>
  </r>
  <r>
    <n v="28"/>
    <x v="0"/>
    <x v="0"/>
    <n v="65.3"/>
    <n v="1.68"/>
    <n v="161"/>
    <n v="145"/>
    <n v="73"/>
    <n v="0.72"/>
    <n v="408"/>
    <x v="2"/>
    <x v="2"/>
    <n v="32.4"/>
    <n v="1.7"/>
    <n v="5"/>
    <x v="3"/>
    <x v="4"/>
    <n v="25.26"/>
  </r>
  <r>
    <n v="20"/>
    <x v="1"/>
    <x v="1"/>
    <n v="66.2"/>
    <n v="1.85"/>
    <n v="196"/>
    <n v="120"/>
    <n v="58"/>
    <n v="0.84"/>
    <n v="420"/>
    <x v="2"/>
    <x v="2"/>
    <n v="24.9"/>
    <n v="1.5"/>
    <n v="4"/>
    <x v="1"/>
    <x v="0"/>
    <n v="12.32"/>
  </r>
  <r>
    <n v="19"/>
    <x v="1"/>
    <x v="0"/>
    <n v="51.4"/>
    <n v="1.84"/>
    <n v="169"/>
    <n v="152"/>
    <n v="58"/>
    <n v="1.1399999999999999"/>
    <n v="1175"/>
    <x v="1"/>
    <x v="3"/>
    <n v="20.9"/>
    <n v="3.5"/>
    <n v="5"/>
    <x v="2"/>
    <x v="0"/>
    <n v="16.95"/>
  </r>
  <r>
    <n v="58"/>
    <x v="4"/>
    <x v="0"/>
    <n v="78.3"/>
    <n v="1.52"/>
    <n v="176"/>
    <n v="123"/>
    <n v="74"/>
    <n v="1.49"/>
    <n v="1063"/>
    <x v="1"/>
    <x v="1"/>
    <n v="30.5"/>
    <n v="3.4"/>
    <n v="3"/>
    <x v="0"/>
    <x v="4"/>
    <n v="25.33"/>
  </r>
  <r>
    <n v="31"/>
    <x v="0"/>
    <x v="0"/>
    <n v="79.400000000000006"/>
    <n v="1.56"/>
    <n v="171"/>
    <n v="126"/>
    <n v="69"/>
    <n v="1.42"/>
    <n v="963"/>
    <x v="1"/>
    <x v="3"/>
    <n v="21.3"/>
    <n v="3.1"/>
    <n v="3"/>
    <x v="2"/>
    <x v="4"/>
    <n v="26.3"/>
  </r>
  <r>
    <n v="25"/>
    <x v="0"/>
    <x v="1"/>
    <n v="72.5"/>
    <n v="1.78"/>
    <n v="177"/>
    <n v="142"/>
    <n v="67"/>
    <n v="1.99"/>
    <n v="1047"/>
    <x v="2"/>
    <x v="2"/>
    <n v="27.4"/>
    <n v="3"/>
    <n v="4"/>
    <x v="2"/>
    <x v="0"/>
    <n v="12.32"/>
  </r>
  <r>
    <n v="21"/>
    <x v="1"/>
    <x v="1"/>
    <n v="92.1"/>
    <n v="1.77"/>
    <n v="175"/>
    <n v="167"/>
    <n v="74"/>
    <n v="1.66"/>
    <n v="737"/>
    <x v="1"/>
    <x v="2"/>
    <n v="25.3"/>
    <n v="3.3"/>
    <n v="4"/>
    <x v="0"/>
    <x v="0"/>
    <n v="17.16"/>
  </r>
  <r>
    <n v="55"/>
    <x v="4"/>
    <x v="0"/>
    <n v="72.599999999999994"/>
    <n v="1.55"/>
    <n v="191"/>
    <n v="137"/>
    <n v="50"/>
    <n v="2"/>
    <n v="1084"/>
    <x v="1"/>
    <x v="1"/>
    <n v="24.1"/>
    <n v="2.5"/>
    <n v="3"/>
    <x v="0"/>
    <x v="2"/>
    <n v="19.760000000000002"/>
  </r>
  <r>
    <n v="40"/>
    <x v="3"/>
    <x v="1"/>
    <n v="76.7"/>
    <n v="1.68"/>
    <n v="177"/>
    <n v="133"/>
    <n v="57"/>
    <n v="0.89"/>
    <n v="984"/>
    <x v="1"/>
    <x v="2"/>
    <n v="27.3"/>
    <n v="3.1"/>
    <n v="2"/>
    <x v="2"/>
    <x v="2"/>
    <n v="23.76"/>
  </r>
  <r>
    <n v="39"/>
    <x v="3"/>
    <x v="1"/>
    <n v="91"/>
    <n v="1.73"/>
    <n v="165"/>
    <n v="169"/>
    <n v="72"/>
    <n v="1.49"/>
    <n v="813"/>
    <x v="0"/>
    <x v="1"/>
    <n v="23.3"/>
    <n v="3.4"/>
    <n v="2"/>
    <x v="2"/>
    <x v="2"/>
    <n v="22.08"/>
  </r>
  <r>
    <n v="26"/>
    <x v="0"/>
    <x v="0"/>
    <n v="78.3"/>
    <n v="1.58"/>
    <n v="184"/>
    <n v="141"/>
    <n v="68"/>
    <n v="1.5"/>
    <n v="1436"/>
    <x v="3"/>
    <x v="0"/>
    <n v="15"/>
    <n v="3.7"/>
    <n v="3"/>
    <x v="1"/>
    <x v="4"/>
    <n v="28.61"/>
  </r>
  <r>
    <n v="26"/>
    <x v="0"/>
    <x v="0"/>
    <n v="54.2"/>
    <n v="1.64"/>
    <n v="190"/>
    <n v="151"/>
    <n v="65"/>
    <n v="0.82"/>
    <n v="1184"/>
    <x v="3"/>
    <x v="0"/>
    <n v="16.7"/>
    <n v="3.3"/>
    <n v="2"/>
    <x v="1"/>
    <x v="2"/>
    <n v="19.39"/>
  </r>
  <r>
    <n v="42"/>
    <x v="3"/>
    <x v="1"/>
    <n v="108.5"/>
    <n v="1.85"/>
    <m/>
    <n v="167"/>
    <n v="74"/>
    <n v="1.39"/>
    <n v="801"/>
    <x v="1"/>
    <x v="2"/>
    <n v="29"/>
    <n v="3"/>
    <n v="2"/>
    <x v="2"/>
    <x v="0"/>
    <n v="15.62"/>
  </r>
  <r>
    <n v="18"/>
    <x v="1"/>
    <x v="1"/>
    <n v="83.2"/>
    <n v="1.62"/>
    <n v="169"/>
    <n v="156"/>
    <n v="57"/>
    <n v="1.37"/>
    <n v="871"/>
    <x v="1"/>
    <x v="0"/>
    <n v="10"/>
    <n v="2.5"/>
    <n v="4"/>
    <x v="3"/>
    <x v="2"/>
    <n v="18.690000000000001"/>
  </r>
  <r>
    <n v="19"/>
    <x v="1"/>
    <x v="0"/>
    <n v="64.8"/>
    <n v="1.6"/>
    <n v="189"/>
    <n v="149"/>
    <n v="59"/>
    <n v="0.5"/>
    <n v="880"/>
    <x v="3"/>
    <x v="3"/>
    <n v="22.3"/>
    <n v="1.9"/>
    <n v="4"/>
    <x v="0"/>
    <x v="2"/>
    <n v="21.61"/>
  </r>
  <r>
    <n v="25"/>
    <x v="0"/>
    <x v="0"/>
    <n v="45.5"/>
    <n v="1.58"/>
    <n v="182"/>
    <n v="136"/>
    <n v="69"/>
    <n v="2"/>
    <n v="1137"/>
    <x v="3"/>
    <x v="0"/>
    <n v="17.399999999999999"/>
    <n v="1.7"/>
    <n v="2"/>
    <x v="0"/>
    <x v="0"/>
    <n v="15.04"/>
  </r>
  <r>
    <n v="42"/>
    <x v="3"/>
    <x v="0"/>
    <n v="59"/>
    <n v="1.89"/>
    <n v="175"/>
    <n v="142"/>
    <n v="63"/>
    <n v="1.25"/>
    <n v="1092"/>
    <x v="2"/>
    <x v="1"/>
    <n v="27.7"/>
    <n v="3.5"/>
    <n v="5"/>
    <x v="1"/>
    <x v="0"/>
    <n v="17.68"/>
  </r>
  <r>
    <n v="43"/>
    <x v="3"/>
    <x v="0"/>
    <n v="89.2"/>
    <n v="1.73"/>
    <n v="163"/>
    <n v="135"/>
    <n v="67"/>
    <n v="1.51"/>
    <n v="1367"/>
    <x v="3"/>
    <x v="0"/>
    <n v="14.5"/>
    <n v="3.5"/>
    <n v="3"/>
    <x v="1"/>
    <x v="4"/>
    <n v="25.4"/>
  </r>
  <r>
    <n v="47"/>
    <x v="2"/>
    <x v="0"/>
    <n v="108.3"/>
    <n v="1.67"/>
    <n v="176"/>
    <n v="169"/>
    <n v="69"/>
    <n v="1.07"/>
    <n v="1204"/>
    <x v="3"/>
    <x v="1"/>
    <n v="27.6"/>
    <n v="3.7"/>
    <n v="2"/>
    <x v="0"/>
    <x v="0"/>
    <n v="13.44"/>
  </r>
  <r>
    <n v="30"/>
    <x v="0"/>
    <x v="1"/>
    <n v="87.9"/>
    <n v="1.62"/>
    <n v="178"/>
    <n v="138"/>
    <n v="65"/>
    <n v="1.68"/>
    <n v="1205"/>
    <x v="3"/>
    <x v="1"/>
    <n v="20.9"/>
    <n v="2.6"/>
    <n v="4"/>
    <x v="3"/>
    <x v="1"/>
    <n v="34.99"/>
  </r>
  <r>
    <n v="48"/>
    <x v="2"/>
    <x v="0"/>
    <n v="45.9"/>
    <n v="1.94"/>
    <n v="169"/>
    <n v="141"/>
    <n v="74"/>
    <n v="1.1299999999999999"/>
    <n v="1507"/>
    <x v="1"/>
    <x v="1"/>
    <n v="29.1"/>
    <n v="3.2"/>
    <n v="5"/>
    <x v="0"/>
    <x v="0"/>
    <n v="12.32"/>
  </r>
  <r>
    <n v="18"/>
    <x v="1"/>
    <x v="1"/>
    <n v="107"/>
    <n v="1.75"/>
    <n v="177"/>
    <n v="155"/>
    <n v="71"/>
    <n v="2"/>
    <n v="645"/>
    <x v="0"/>
    <x v="2"/>
    <n v="27"/>
    <n v="3.2"/>
    <n v="5"/>
    <x v="0"/>
    <x v="4"/>
    <n v="27.94"/>
  </r>
  <r>
    <n v="39"/>
    <x v="3"/>
    <x v="1"/>
    <n v="40.700000000000003"/>
    <n v="1.84"/>
    <n v="197"/>
    <n v="145"/>
    <n v="55"/>
    <n v="1.48"/>
    <n v="1128"/>
    <x v="0"/>
    <x v="2"/>
    <n v="25.3"/>
    <n v="1.5"/>
    <n v="4"/>
    <x v="1"/>
    <x v="2"/>
    <n v="22.28"/>
  </r>
  <r>
    <n v="18"/>
    <x v="1"/>
    <x v="1"/>
    <n v="65.3"/>
    <n v="1.6"/>
    <n v="177"/>
    <n v="153"/>
    <n v="74"/>
    <n v="0.96"/>
    <m/>
    <x v="3"/>
    <x v="1"/>
    <n v="23.6"/>
    <n v="2.4"/>
    <n v="4"/>
    <x v="1"/>
    <x v="2"/>
    <n v="18.84"/>
  </r>
  <r>
    <n v="50"/>
    <x v="2"/>
    <x v="0"/>
    <n v="88.5"/>
    <n v="2"/>
    <n v="181"/>
    <n v="146"/>
    <n v="72"/>
    <n v="1.33"/>
    <n v="1088"/>
    <x v="1"/>
    <x v="0"/>
    <n v="11.9"/>
    <n v="2.2999999999999998"/>
    <n v="4"/>
    <x v="1"/>
    <x v="0"/>
    <n v="17.260000000000002"/>
  </r>
  <r>
    <n v="27"/>
    <x v="0"/>
    <x v="0"/>
    <n v="62.5"/>
    <n v="1.67"/>
    <n v="186"/>
    <n v="129"/>
    <n v="65"/>
    <n v="1.2"/>
    <n v="1783"/>
    <x v="0"/>
    <x v="3"/>
    <n v="23.2"/>
    <n v="1.5"/>
    <n v="3"/>
    <x v="0"/>
    <x v="4"/>
    <n v="26.22"/>
  </r>
  <r>
    <n v="43"/>
    <x v="3"/>
    <x v="0"/>
    <n v="79"/>
    <n v="1.73"/>
    <n v="186"/>
    <n v="158"/>
    <n v="55"/>
    <n v="1.2"/>
    <n v="1146"/>
    <x v="1"/>
    <x v="1"/>
    <n v="25.2"/>
    <n v="3.6"/>
    <n v="4"/>
    <x v="0"/>
    <x v="2"/>
    <n v="19.64"/>
  </r>
  <r>
    <n v="27"/>
    <x v="0"/>
    <x v="0"/>
    <n v="40"/>
    <n v="1.85"/>
    <n v="177"/>
    <n v="156"/>
    <n v="65"/>
    <n v="1.58"/>
    <n v="1014"/>
    <x v="1"/>
    <x v="1"/>
    <n v="24"/>
    <n v="3.7"/>
    <n v="5"/>
    <x v="2"/>
    <x v="2"/>
    <n v="22.49"/>
  </r>
  <r>
    <n v="19"/>
    <x v="1"/>
    <x v="1"/>
    <n v="51.8"/>
    <n v="1.6"/>
    <n v="176"/>
    <n v="159"/>
    <n v="72"/>
    <n v="1.1399999999999999"/>
    <n v="574"/>
    <x v="1"/>
    <x v="2"/>
    <n v="25.3"/>
    <n v="2"/>
    <n v="4"/>
    <x v="0"/>
    <x v="0"/>
    <n v="16.690000000000001"/>
  </r>
  <r>
    <n v="38"/>
    <x v="3"/>
    <x v="0"/>
    <n v="89.3"/>
    <n v="1.58"/>
    <n v="184"/>
    <n v="135"/>
    <n v="58"/>
    <n v="1.58"/>
    <n v="995"/>
    <x v="2"/>
    <x v="1"/>
    <n v="24"/>
    <n v="2.9"/>
    <n v="4"/>
    <x v="2"/>
    <x v="2"/>
    <n v="19.02"/>
  </r>
  <r>
    <n v="27"/>
    <x v="0"/>
    <x v="2"/>
    <n v="80"/>
    <n v="1.86"/>
    <n v="177"/>
    <n v="153"/>
    <n v="74"/>
    <n v="0.9"/>
    <n v="886"/>
    <x v="0"/>
    <x v="1"/>
    <n v="25.1"/>
    <n v="1.6"/>
    <n v="2"/>
    <x v="1"/>
    <x v="2"/>
    <n v="19.41"/>
  </r>
  <r>
    <n v="33"/>
    <x v="0"/>
    <x v="1"/>
    <n v="40"/>
    <n v="1.75"/>
    <n v="185"/>
    <n v="125"/>
    <n v="54"/>
    <n v="2"/>
    <n v="870"/>
    <x v="3"/>
    <x v="1"/>
    <n v="18.7"/>
    <n v="1.8"/>
    <n v="3"/>
    <x v="1"/>
    <x v="0"/>
    <n v="17.77"/>
  </r>
  <r>
    <n v="50"/>
    <x v="2"/>
    <x v="0"/>
    <n v="102.6"/>
    <n v="1.62"/>
    <n v="198"/>
    <n v="138"/>
    <n v="66"/>
    <n v="1.48"/>
    <n v="1149"/>
    <x v="2"/>
    <x v="0"/>
    <n v="10"/>
    <n v="2.7"/>
    <n v="5"/>
    <x v="0"/>
    <x v="0"/>
    <n v="18.48"/>
  </r>
  <r>
    <n v="18"/>
    <x v="1"/>
    <x v="1"/>
    <n v="69.2"/>
    <n v="1.62"/>
    <n v="164"/>
    <n v="167"/>
    <n v="62"/>
    <n v="1.5"/>
    <n v="1721"/>
    <x v="2"/>
    <x v="2"/>
    <n v="25"/>
    <n v="2.2999999999999998"/>
    <n v="5"/>
    <x v="1"/>
    <x v="1"/>
    <n v="33.299999999999997"/>
  </r>
  <r>
    <n v="19"/>
    <x v="1"/>
    <x v="1"/>
    <n v="75.3"/>
    <n v="1.67"/>
    <n v="166"/>
    <n v="130"/>
    <n v="58"/>
    <n v="1.22"/>
    <n v="928"/>
    <x v="2"/>
    <x v="2"/>
    <n v="27.4"/>
    <n v="3.2"/>
    <n v="3"/>
    <x v="0"/>
    <x v="2"/>
    <n v="23.17"/>
  </r>
  <r>
    <n v="45"/>
    <x v="2"/>
    <x v="1"/>
    <n v="45.9"/>
    <n v="1.51"/>
    <n v="195"/>
    <n v="142"/>
    <n v="57"/>
    <n v="1.64"/>
    <n v="303"/>
    <x v="1"/>
    <x v="2"/>
    <n v="29.8"/>
    <n v="2.7"/>
    <n v="3"/>
    <x v="1"/>
    <x v="0"/>
    <n v="12.32"/>
  </r>
  <r>
    <n v="59"/>
    <x v="4"/>
    <x v="1"/>
    <n v="66.900000000000006"/>
    <n v="1.57"/>
    <n v="178"/>
    <n v="120"/>
    <n v="71"/>
    <n v="1.44"/>
    <n v="1153"/>
    <x v="3"/>
    <x v="2"/>
    <n v="27.5"/>
    <n v="3.3"/>
    <n v="2"/>
    <x v="0"/>
    <x v="2"/>
    <n v="20.399999999999999"/>
  </r>
  <r>
    <n v="42"/>
    <x v="3"/>
    <x v="0"/>
    <n v="50.3"/>
    <n v="1.69"/>
    <n v="199"/>
    <n v="159"/>
    <n v="69"/>
    <n v="0.95"/>
    <n v="1293"/>
    <x v="3"/>
    <x v="0"/>
    <n v="14.8"/>
    <n v="3.2"/>
    <n v="3"/>
    <x v="0"/>
    <x v="0"/>
    <m/>
  </r>
  <r>
    <n v="32"/>
    <x v="0"/>
    <x v="1"/>
    <n v="68.7"/>
    <n v="1.77"/>
    <n v="186"/>
    <m/>
    <n v="63"/>
    <n v="1.85"/>
    <n v="1118"/>
    <x v="3"/>
    <x v="2"/>
    <n v="28.5"/>
    <n v="3.5"/>
    <n v="3"/>
    <x v="0"/>
    <x v="0"/>
    <n v="17.39"/>
  </r>
  <r>
    <n v="37"/>
    <x v="3"/>
    <x v="1"/>
    <n v="44.2"/>
    <n v="1.5"/>
    <n v="194"/>
    <n v="154"/>
    <n v="74"/>
    <n v="1.1100000000000001"/>
    <n v="612"/>
    <x v="1"/>
    <x v="1"/>
    <n v="24"/>
    <n v="3.5"/>
    <n v="2"/>
    <x v="0"/>
    <x v="2"/>
    <n v="20.62"/>
  </r>
  <r>
    <n v="18"/>
    <x v="1"/>
    <x v="0"/>
    <n v="46"/>
    <n v="1.79"/>
    <n v="177"/>
    <n v="140"/>
    <n v="68"/>
    <n v="2"/>
    <n v="1386"/>
    <x v="1"/>
    <x v="3"/>
    <n v="23.6"/>
    <n v="3.2"/>
    <n v="3"/>
    <x v="0"/>
    <x v="0"/>
    <n v="18"/>
  </r>
  <r>
    <n v="18"/>
    <x v="1"/>
    <x v="1"/>
    <n v="74.8"/>
    <n v="1.76"/>
    <n v="186"/>
    <n v="134"/>
    <n v="68"/>
    <n v="0.5"/>
    <n v="1783"/>
    <x v="1"/>
    <x v="1"/>
    <n v="21.8"/>
    <n v="3.5"/>
    <n v="4"/>
    <x v="2"/>
    <x v="2"/>
    <n v="23.47"/>
  </r>
  <r>
    <n v="54"/>
    <x v="2"/>
    <x v="1"/>
    <n v="46.3"/>
    <n v="1.62"/>
    <n v="161"/>
    <n v="138"/>
    <n v="60"/>
    <n v="1.03"/>
    <n v="1175"/>
    <x v="2"/>
    <x v="2"/>
    <n v="32.200000000000003"/>
    <n v="2.5"/>
    <n v="4"/>
    <x v="0"/>
    <x v="2"/>
    <n v="19.440000000000001"/>
  </r>
  <r>
    <n v="24"/>
    <x v="1"/>
    <x v="1"/>
    <n v="87.1"/>
    <n v="1.9"/>
    <n v="196"/>
    <n v="122"/>
    <n v="51"/>
    <n v="1.42"/>
    <n v="1153"/>
    <x v="3"/>
    <x v="2"/>
    <n v="27.6"/>
    <n v="3.3"/>
    <n v="3"/>
    <x v="1"/>
    <x v="1"/>
    <n v="36.549999999999997"/>
  </r>
  <r>
    <n v="43"/>
    <x v="3"/>
    <x v="0"/>
    <n v="40"/>
    <n v="1.89"/>
    <n v="169"/>
    <n v="134"/>
    <n v="54"/>
    <n v="0.56999999999999995"/>
    <n v="1267"/>
    <x v="2"/>
    <x v="3"/>
    <n v="21.4"/>
    <n v="1.5"/>
    <n v="4"/>
    <x v="0"/>
    <x v="0"/>
    <n v="12.32"/>
  </r>
  <r>
    <n v="18"/>
    <x v="1"/>
    <x v="0"/>
    <n v="49.3"/>
    <n v="1.71"/>
    <n v="162"/>
    <n v="160"/>
    <n v="52"/>
    <n v="1.23"/>
    <n v="375"/>
    <x v="3"/>
    <x v="1"/>
    <n v="29.4"/>
    <n v="3.4"/>
    <n v="5"/>
    <x v="3"/>
    <x v="0"/>
    <n v="14.06"/>
  </r>
  <r>
    <n v="18"/>
    <x v="1"/>
    <x v="0"/>
    <n v="67.900000000000006"/>
    <n v="1.81"/>
    <n v="194"/>
    <n v="137"/>
    <n v="73"/>
    <n v="1.19"/>
    <n v="1405"/>
    <x v="1"/>
    <x v="2"/>
    <n v="33.799999999999997"/>
    <n v="3.2"/>
    <n v="2"/>
    <x v="1"/>
    <x v="0"/>
    <n v="12.32"/>
  </r>
  <r>
    <n v="33"/>
    <x v="0"/>
    <x v="1"/>
    <n v="49.7"/>
    <n v="1.82"/>
    <n v="179"/>
    <n v="169"/>
    <n v="71"/>
    <n v="1.55"/>
    <n v="968"/>
    <x v="1"/>
    <x v="2"/>
    <n v="32.200000000000003"/>
    <n v="3.6"/>
    <n v="4"/>
    <x v="2"/>
    <x v="2"/>
    <n v="21.87"/>
  </r>
  <r>
    <n v="49"/>
    <x v="2"/>
    <x v="1"/>
    <n v="88.4"/>
    <n v="1.75"/>
    <n v="192"/>
    <n v="145"/>
    <n v="74"/>
    <n v="1.27"/>
    <n v="493"/>
    <x v="3"/>
    <x v="1"/>
    <n v="23.5"/>
    <n v="2.2000000000000002"/>
    <n v="3"/>
    <x v="1"/>
    <x v="0"/>
    <n v="12.42"/>
  </r>
  <r>
    <n v="48"/>
    <x v="2"/>
    <x v="1"/>
    <n v="45.8"/>
    <m/>
    <n v="167"/>
    <n v="135"/>
    <n v="53"/>
    <n v="1.28"/>
    <n v="1239"/>
    <x v="0"/>
    <x v="1"/>
    <n v="24.5"/>
    <n v="1.6"/>
    <n v="4"/>
    <x v="3"/>
    <x v="2"/>
    <n v="19.27"/>
  </r>
  <r>
    <n v="19"/>
    <x v="1"/>
    <x v="1"/>
    <n v="129.9"/>
    <n v="1.82"/>
    <n v="182"/>
    <n v="158"/>
    <n v="70"/>
    <n v="1.44"/>
    <n v="1155"/>
    <x v="1"/>
    <x v="1"/>
    <n v="20.2"/>
    <n v="3.6"/>
    <m/>
    <x v="1"/>
    <x v="0"/>
    <n v="17.37"/>
  </r>
  <r>
    <n v="35"/>
    <x v="3"/>
    <x v="1"/>
    <n v="40.299999999999997"/>
    <n v="1.79"/>
    <n v="183"/>
    <n v="120"/>
    <n v="68"/>
    <n v="1.24"/>
    <n v="1420"/>
    <x v="0"/>
    <x v="3"/>
    <n v="14.5"/>
    <n v="1.7"/>
    <n v="5"/>
    <x v="1"/>
    <x v="0"/>
    <n v="13.37"/>
  </r>
  <r>
    <n v="34"/>
    <x v="0"/>
    <x v="1"/>
    <n v="72.099999999999994"/>
    <n v="1.78"/>
    <n v="167"/>
    <n v="163"/>
    <n v="58"/>
    <n v="0.84"/>
    <n v="536"/>
    <x v="2"/>
    <x v="0"/>
    <n v="12.1"/>
    <n v="2.9"/>
    <n v="3"/>
    <x v="0"/>
    <x v="0"/>
    <n v="12.32"/>
  </r>
  <r>
    <n v="50"/>
    <x v="2"/>
    <x v="0"/>
    <n v="103.8"/>
    <n v="1.54"/>
    <n v="185"/>
    <n v="169"/>
    <n v="56"/>
    <n v="2"/>
    <n v="766"/>
    <x v="2"/>
    <x v="1"/>
    <n v="27.3"/>
    <n v="3.1"/>
    <n v="3"/>
    <x v="1"/>
    <x v="0"/>
    <n v="12.32"/>
  </r>
  <r>
    <n v="18"/>
    <x v="1"/>
    <x v="1"/>
    <n v="41"/>
    <n v="1.97"/>
    <n v="189"/>
    <n v="149"/>
    <n v="63"/>
    <n v="1.64"/>
    <n v="596"/>
    <x v="0"/>
    <x v="0"/>
    <m/>
    <n v="1.8"/>
    <n v="2"/>
    <x v="0"/>
    <x v="0"/>
    <n v="12.32"/>
  </r>
  <r>
    <n v="36"/>
    <x v="3"/>
    <x v="0"/>
    <n v="85.1"/>
    <n v="1.73"/>
    <n v="194"/>
    <n v="156"/>
    <n v="74"/>
    <n v="1.41"/>
    <n v="1024"/>
    <x v="1"/>
    <x v="1"/>
    <n v="28.9"/>
    <n v="3.5"/>
    <n v="4"/>
    <x v="2"/>
    <x v="0"/>
    <n v="13.22"/>
  </r>
  <r>
    <n v="18"/>
    <x v="1"/>
    <x v="1"/>
    <n v="81"/>
    <n v="1.64"/>
    <n v="175"/>
    <n v="169"/>
    <n v="74"/>
    <n v="1.99"/>
    <n v="878"/>
    <x v="3"/>
    <x v="1"/>
    <n v="21.7"/>
    <n v="1.5"/>
    <n v="2"/>
    <x v="2"/>
    <x v="0"/>
    <n v="13.42"/>
  </r>
  <r>
    <n v="47"/>
    <x v="2"/>
    <x v="0"/>
    <n v="74.099999999999994"/>
    <n v="1.87"/>
    <n v="168"/>
    <n v="123"/>
    <n v="70"/>
    <n v="0.95"/>
    <n v="1030"/>
    <x v="3"/>
    <x v="0"/>
    <n v="14.8"/>
    <n v="1.5"/>
    <n v="3"/>
    <x v="1"/>
    <x v="2"/>
    <n v="21.54"/>
  </r>
  <r>
    <n v="32"/>
    <x v="0"/>
    <x v="2"/>
    <n v="72.099999999999994"/>
    <n v="1.71"/>
    <n v="173"/>
    <n v="156"/>
    <n v="72"/>
    <n v="1.61"/>
    <n v="606"/>
    <x v="2"/>
    <x v="0"/>
    <n v="12"/>
    <n v="2.7"/>
    <n v="2"/>
    <x v="0"/>
    <x v="0"/>
    <n v="17.91"/>
  </r>
  <r>
    <n v="45"/>
    <x v="2"/>
    <x v="0"/>
    <n v="47.9"/>
    <n v="1.71"/>
    <n v="194"/>
    <n v="169"/>
    <n v="70"/>
    <n v="0.78"/>
    <n v="772"/>
    <x v="2"/>
    <x v="3"/>
    <n v="23.5"/>
    <n v="2.8"/>
    <n v="3"/>
    <x v="0"/>
    <x v="2"/>
    <n v="20.37"/>
  </r>
  <r>
    <n v="25"/>
    <x v="0"/>
    <x v="1"/>
    <n v="113.3"/>
    <n v="1.75"/>
    <n v="187"/>
    <n v="155"/>
    <n v="74"/>
    <n v="1.44"/>
    <n v="564"/>
    <x v="0"/>
    <x v="1"/>
    <n v="22.1"/>
    <n v="1.6"/>
    <n v="3"/>
    <x v="0"/>
    <x v="2"/>
    <n v="21.36"/>
  </r>
  <r>
    <n v="23"/>
    <x v="1"/>
    <x v="1"/>
    <n v="56.8"/>
    <n v="1.83"/>
    <n v="197"/>
    <n v="152"/>
    <n v="56"/>
    <n v="1.22"/>
    <n v="1193"/>
    <x v="1"/>
    <x v="1"/>
    <n v="23.2"/>
    <n v="1.6"/>
    <n v="4"/>
    <x v="0"/>
    <x v="0"/>
    <m/>
  </r>
  <r>
    <n v="23"/>
    <x v="1"/>
    <x v="0"/>
    <n v="78.2"/>
    <n v="1.9"/>
    <n v="180"/>
    <n v="131"/>
    <n v="55"/>
    <n v="0.85"/>
    <n v="888"/>
    <x v="0"/>
    <x v="0"/>
    <n v="16.2"/>
    <n v="2.2999999999999998"/>
    <n v="3"/>
    <x v="1"/>
    <x v="4"/>
    <n v="29.89"/>
  </r>
  <r>
    <n v="25"/>
    <x v="0"/>
    <x v="1"/>
    <n v="40"/>
    <n v="1.68"/>
    <n v="175"/>
    <n v="123"/>
    <n v="66"/>
    <n v="0.74"/>
    <n v="1783"/>
    <x v="0"/>
    <x v="2"/>
    <n v="27.9"/>
    <n v="3.5"/>
    <n v="3"/>
    <x v="2"/>
    <x v="0"/>
    <n v="14.27"/>
  </r>
  <r>
    <n v="59"/>
    <x v="4"/>
    <x v="1"/>
    <n v="40"/>
    <n v="1.78"/>
    <n v="179"/>
    <n v="139"/>
    <n v="59"/>
    <n v="1.1599999999999999"/>
    <n v="483"/>
    <x v="2"/>
    <x v="1"/>
    <n v="19.7"/>
    <n v="3.7"/>
    <m/>
    <x v="1"/>
    <x v="2"/>
    <n v="19.22"/>
  </r>
  <r>
    <n v="23"/>
    <x v="1"/>
    <x v="0"/>
    <n v="69.2"/>
    <n v="1.73"/>
    <n v="180"/>
    <n v="165"/>
    <n v="70"/>
    <n v="2"/>
    <n v="765"/>
    <x v="2"/>
    <x v="3"/>
    <n v="23.3"/>
    <n v="1.8"/>
    <n v="4"/>
    <x v="0"/>
    <x v="2"/>
    <n v="21.96"/>
  </r>
  <r>
    <n v="48"/>
    <x v="2"/>
    <x v="0"/>
    <n v="91.3"/>
    <n v="1.58"/>
    <n v="175"/>
    <n v="152"/>
    <n v="72"/>
    <n v="1.25"/>
    <n v="1576"/>
    <x v="3"/>
    <x v="1"/>
    <n v="28.9"/>
    <n v="3.4"/>
    <n v="2"/>
    <x v="0"/>
    <x v="2"/>
    <n v="19.62"/>
  </r>
  <r>
    <n v="46"/>
    <x v="2"/>
    <x v="1"/>
    <n v="68.2"/>
    <n v="1.88"/>
    <n v="172"/>
    <n v="167"/>
    <n v="70"/>
    <n v="1.41"/>
    <n v="723"/>
    <x v="0"/>
    <x v="1"/>
    <n v="17.2"/>
    <n v="2.6"/>
    <n v="5"/>
    <x v="1"/>
    <x v="1"/>
    <n v="32.75"/>
  </r>
  <r>
    <n v="18"/>
    <x v="1"/>
    <x v="0"/>
    <n v="45.1"/>
    <n v="1.86"/>
    <n v="182"/>
    <n v="169"/>
    <n v="64"/>
    <n v="0.92"/>
    <n v="1482"/>
    <x v="0"/>
    <x v="1"/>
    <n v="25.5"/>
    <n v="3.7"/>
    <n v="2"/>
    <x v="2"/>
    <x v="2"/>
    <n v="18.989999999999998"/>
  </r>
  <r>
    <n v="20"/>
    <x v="1"/>
    <x v="1"/>
    <n v="70.5"/>
    <n v="1.65"/>
    <n v="179"/>
    <n v="144"/>
    <n v="74"/>
    <n v="0.6"/>
    <n v="1151"/>
    <x v="3"/>
    <x v="3"/>
    <n v="15.5"/>
    <n v="3.5"/>
    <n v="2"/>
    <x v="0"/>
    <x v="0"/>
    <n v="12.32"/>
  </r>
  <r>
    <n v="18"/>
    <x v="1"/>
    <x v="0"/>
    <n v="54.2"/>
    <n v="1.68"/>
    <n v="199"/>
    <n v="137"/>
    <n v="74"/>
    <n v="1.67"/>
    <n v="972"/>
    <x v="2"/>
    <x v="0"/>
    <n v="14.1"/>
    <n v="3.4"/>
    <n v="2"/>
    <x v="3"/>
    <x v="0"/>
    <n v="15.66"/>
  </r>
  <r>
    <n v="18"/>
    <x v="1"/>
    <x v="0"/>
    <n v="83.6"/>
    <n v="1.86"/>
    <n v="170"/>
    <n v="162"/>
    <n v="74"/>
    <n v="0.83"/>
    <n v="732"/>
    <x v="2"/>
    <x v="3"/>
    <n v="22.7"/>
    <n v="2.8"/>
    <n v="2"/>
    <x v="2"/>
    <x v="2"/>
    <n v="24.77"/>
  </r>
  <r>
    <n v="37"/>
    <x v="3"/>
    <x v="0"/>
    <n v="58"/>
    <n v="1.6"/>
    <n v="168"/>
    <n v="143"/>
    <n v="52"/>
    <n v="1.28"/>
    <n v="834"/>
    <x v="0"/>
    <x v="3"/>
    <n v="21"/>
    <n v="3.6"/>
    <n v="4"/>
    <x v="0"/>
    <x v="2"/>
    <n v="22.2"/>
  </r>
  <r>
    <n v="27"/>
    <x v="0"/>
    <x v="0"/>
    <n v="45.6"/>
    <m/>
    <n v="177"/>
    <n v="146"/>
    <n v="74"/>
    <n v="2"/>
    <n v="1108"/>
    <x v="3"/>
    <x v="0"/>
    <n v="18"/>
    <n v="2.9"/>
    <n v="4"/>
    <x v="0"/>
    <x v="4"/>
    <n v="26.74"/>
  </r>
  <r>
    <n v="52"/>
    <x v="2"/>
    <x v="0"/>
    <n v="40"/>
    <n v="1.91"/>
    <n v="194"/>
    <n v="151"/>
    <n v="59"/>
    <n v="1.96"/>
    <n v="535"/>
    <x v="2"/>
    <x v="3"/>
    <n v="23.4"/>
    <n v="1.5"/>
    <n v="4"/>
    <x v="0"/>
    <x v="2"/>
    <n v="23.62"/>
  </r>
  <r>
    <n v="30"/>
    <x v="0"/>
    <x v="0"/>
    <n v="40"/>
    <n v="1.62"/>
    <n v="166"/>
    <n v="164"/>
    <n v="73"/>
    <n v="1.23"/>
    <n v="1046"/>
    <x v="3"/>
    <x v="1"/>
    <n v="25.2"/>
    <n v="3.7"/>
    <n v="5"/>
    <x v="2"/>
    <x v="0"/>
    <n v="14.53"/>
  </r>
  <r>
    <n v="23"/>
    <x v="1"/>
    <x v="0"/>
    <n v="83.5"/>
    <n v="1.5"/>
    <n v="194"/>
    <n v="142"/>
    <n v="63"/>
    <n v="2"/>
    <n v="767"/>
    <x v="3"/>
    <x v="1"/>
    <n v="25.8"/>
    <n v="2.9"/>
    <n v="4"/>
    <x v="0"/>
    <x v="0"/>
    <n v="12.32"/>
  </r>
  <r>
    <n v="22"/>
    <x v="1"/>
    <x v="0"/>
    <n v="81.900000000000006"/>
    <n v="1.8"/>
    <n v="163"/>
    <n v="146"/>
    <n v="74"/>
    <n v="1.1499999999999999"/>
    <n v="971"/>
    <x v="2"/>
    <x v="3"/>
    <n v="22.4"/>
    <n v="2.5"/>
    <n v="5"/>
    <x v="3"/>
    <x v="4"/>
    <n v="28.26"/>
  </r>
  <r>
    <n v="40"/>
    <x v="3"/>
    <x v="1"/>
    <n v="45.2"/>
    <n v="1.74"/>
    <n v="180"/>
    <n v="136"/>
    <n v="74"/>
    <n v="1.08"/>
    <n v="1058"/>
    <x v="3"/>
    <x v="2"/>
    <n v="26"/>
    <n v="3.3"/>
    <m/>
    <x v="2"/>
    <x v="0"/>
    <n v="18.36"/>
  </r>
  <r>
    <n v="49"/>
    <x v="2"/>
    <x v="1"/>
    <n v="60.2"/>
    <n v="1.62"/>
    <n v="162"/>
    <n v="155"/>
    <n v="72"/>
    <n v="1.1100000000000001"/>
    <n v="1105"/>
    <x v="0"/>
    <x v="1"/>
    <n v="23.4"/>
    <n v="3.1"/>
    <n v="3"/>
    <x v="1"/>
    <x v="0"/>
    <n v="16.850000000000001"/>
  </r>
  <r>
    <n v="51"/>
    <x v="2"/>
    <x v="2"/>
    <n v="47.3"/>
    <n v="1.74"/>
    <n v="194"/>
    <n v="148"/>
    <n v="55"/>
    <n v="2"/>
    <n v="1259"/>
    <x v="0"/>
    <x v="1"/>
    <n v="28.8"/>
    <n v="3.1"/>
    <n v="3"/>
    <x v="1"/>
    <x v="2"/>
    <n v="24.75"/>
  </r>
  <r>
    <n v="28"/>
    <x v="0"/>
    <x v="1"/>
    <n v="69.3"/>
    <n v="1.61"/>
    <n v="187"/>
    <n v="140"/>
    <n v="53"/>
    <n v="1.1200000000000001"/>
    <n v="998"/>
    <x v="2"/>
    <x v="1"/>
    <n v="17.600000000000001"/>
    <n v="2.8"/>
    <m/>
    <x v="2"/>
    <x v="1"/>
    <n v="32.49"/>
  </r>
  <r>
    <n v="33"/>
    <x v="0"/>
    <x v="0"/>
    <n v="40"/>
    <n v="1.79"/>
    <n v="189"/>
    <n v="144"/>
    <n v="67"/>
    <n v="2"/>
    <n v="1285"/>
    <x v="2"/>
    <x v="1"/>
    <n v="27.2"/>
    <n v="2.6"/>
    <n v="3"/>
    <x v="0"/>
    <x v="0"/>
    <n v="15.69"/>
  </r>
  <r>
    <n v="48"/>
    <x v="2"/>
    <x v="1"/>
    <n v="87.3"/>
    <n v="2"/>
    <n v="190"/>
    <n v="159"/>
    <n v="61"/>
    <n v="1.97"/>
    <n v="897"/>
    <x v="3"/>
    <x v="0"/>
    <n v="10.7"/>
    <n v="3.5"/>
    <n v="5"/>
    <x v="2"/>
    <x v="0"/>
    <n v="18.2"/>
  </r>
  <r>
    <n v="49"/>
    <x v="2"/>
    <x v="1"/>
    <n v="40"/>
    <n v="1.77"/>
    <n v="175"/>
    <n v="127"/>
    <n v="73"/>
    <n v="1.2"/>
    <n v="1109"/>
    <x v="3"/>
    <x v="1"/>
    <n v="24.7"/>
    <n v="2.4"/>
    <n v="3"/>
    <x v="2"/>
    <x v="4"/>
    <n v="25.41"/>
  </r>
  <r>
    <n v="26"/>
    <x v="0"/>
    <x v="0"/>
    <n v="55.4"/>
    <n v="2"/>
    <m/>
    <n v="124"/>
    <n v="62"/>
    <n v="1.22"/>
    <n v="1292"/>
    <x v="2"/>
    <x v="1"/>
    <n v="26.8"/>
    <n v="2.4"/>
    <n v="3"/>
    <x v="0"/>
    <x v="2"/>
    <n v="19.350000000000001"/>
  </r>
  <r>
    <n v="18"/>
    <x v="1"/>
    <x v="1"/>
    <n v="50.9"/>
    <n v="1.73"/>
    <n v="170"/>
    <n v="137"/>
    <n v="58"/>
    <n v="1.43"/>
    <n v="804"/>
    <x v="0"/>
    <x v="1"/>
    <n v="23.5"/>
    <n v="3.7"/>
    <n v="2"/>
    <x v="0"/>
    <x v="0"/>
    <n v="17.61"/>
  </r>
  <r>
    <n v="55"/>
    <x v="4"/>
    <x v="0"/>
    <n v="59.9"/>
    <n v="1.53"/>
    <n v="178"/>
    <n v="157"/>
    <n v="54"/>
    <n v="1.23"/>
    <n v="1044"/>
    <x v="2"/>
    <x v="1"/>
    <n v="26.9"/>
    <n v="3.4"/>
    <n v="4"/>
    <x v="1"/>
    <x v="1"/>
    <n v="31.33"/>
  </r>
  <r>
    <n v="44"/>
    <x v="3"/>
    <x v="1"/>
    <n v="66.8"/>
    <n v="1.97"/>
    <n v="194"/>
    <n v="126"/>
    <n v="65"/>
    <n v="1.66"/>
    <n v="1382"/>
    <x v="2"/>
    <x v="1"/>
    <n v="18.5"/>
    <n v="1.6"/>
    <n v="4"/>
    <x v="0"/>
    <x v="2"/>
    <n v="23.14"/>
  </r>
  <r>
    <n v="50"/>
    <x v="2"/>
    <x v="1"/>
    <n v="97"/>
    <n v="1.65"/>
    <n v="191"/>
    <n v="133"/>
    <n v="70"/>
    <n v="1.43"/>
    <n v="1256"/>
    <x v="1"/>
    <x v="2"/>
    <n v="27.1"/>
    <n v="1.5"/>
    <n v="5"/>
    <x v="3"/>
    <x v="4"/>
    <n v="27.51"/>
  </r>
  <r>
    <n v="37"/>
    <x v="3"/>
    <x v="1"/>
    <n v="75.8"/>
    <n v="1.63"/>
    <n v="192"/>
    <n v="131"/>
    <n v="64"/>
    <n v="0.98"/>
    <n v="921"/>
    <x v="0"/>
    <x v="2"/>
    <n v="26.5"/>
    <n v="1.5"/>
    <n v="4"/>
    <x v="1"/>
    <x v="0"/>
    <n v="14"/>
  </r>
  <r>
    <n v="21"/>
    <x v="1"/>
    <x v="0"/>
    <n v="51.6"/>
    <n v="1.5"/>
    <n v="175"/>
    <n v="149"/>
    <n v="66"/>
    <n v="2"/>
    <n v="863"/>
    <x v="3"/>
    <x v="1"/>
    <n v="25.2"/>
    <n v="2"/>
    <n v="3"/>
    <x v="1"/>
    <x v="2"/>
    <n v="24.7"/>
  </r>
  <r>
    <n v="27"/>
    <x v="0"/>
    <x v="0"/>
    <n v="55.4"/>
    <n v="1.88"/>
    <n v="187"/>
    <n v="134"/>
    <n v="53"/>
    <n v="2"/>
    <n v="855"/>
    <x v="0"/>
    <x v="0"/>
    <n v="16.3"/>
    <n v="2.6"/>
    <n v="5"/>
    <x v="1"/>
    <x v="0"/>
    <n v="14.33"/>
  </r>
  <r>
    <n v="23"/>
    <x v="1"/>
    <x v="1"/>
    <n v="72.900000000000006"/>
    <n v="1.51"/>
    <n v="190"/>
    <n v="164"/>
    <n v="57"/>
    <n v="1.29"/>
    <n v="925"/>
    <x v="0"/>
    <x v="1"/>
    <n v="22.3"/>
    <n v="1.5"/>
    <n v="2"/>
    <x v="1"/>
    <x v="3"/>
    <n v="40.08"/>
  </r>
  <r>
    <n v="30"/>
    <x v="0"/>
    <x v="0"/>
    <n v="80.2"/>
    <n v="1.91"/>
    <n v="192"/>
    <n v="135"/>
    <n v="62"/>
    <n v="1.47"/>
    <n v="1461"/>
    <x v="0"/>
    <x v="0"/>
    <n v="16.5"/>
    <n v="3.7"/>
    <n v="2"/>
    <x v="2"/>
    <x v="4"/>
    <n v="28.49"/>
  </r>
  <r>
    <n v="18"/>
    <x v="1"/>
    <x v="1"/>
    <n v="97.2"/>
    <n v="1.73"/>
    <n v="175"/>
    <n v="165"/>
    <n v="72"/>
    <n v="1.1499999999999999"/>
    <n v="707"/>
    <x v="0"/>
    <x v="3"/>
    <n v="14.3"/>
    <n v="1.5"/>
    <m/>
    <x v="0"/>
    <x v="0"/>
    <n v="16.190000000000001"/>
  </r>
  <r>
    <n v="45"/>
    <x v="2"/>
    <x v="1"/>
    <n v="121.2"/>
    <n v="1.67"/>
    <n v="186"/>
    <n v="133"/>
    <n v="55"/>
    <n v="2"/>
    <n v="466"/>
    <x v="1"/>
    <x v="3"/>
    <n v="16.7"/>
    <n v="3.4"/>
    <n v="4"/>
    <x v="1"/>
    <x v="1"/>
    <n v="30.69"/>
  </r>
  <r>
    <n v="36"/>
    <x v="3"/>
    <x v="0"/>
    <n v="100.2"/>
    <n v="1.93"/>
    <n v="199"/>
    <n v="166"/>
    <n v="60"/>
    <n v="0.98"/>
    <n v="1076"/>
    <x v="2"/>
    <x v="1"/>
    <n v="24.6"/>
    <n v="2.7"/>
    <n v="4"/>
    <x v="0"/>
    <x v="0"/>
    <n v="16.489999999999998"/>
  </r>
  <r>
    <n v="54"/>
    <x v="2"/>
    <x v="1"/>
    <n v="56.4"/>
    <n v="1.55"/>
    <n v="186"/>
    <n v="135"/>
    <n v="74"/>
    <n v="1.73"/>
    <m/>
    <x v="3"/>
    <x v="1"/>
    <n v="19.7"/>
    <n v="2.6"/>
    <n v="3"/>
    <x v="1"/>
    <x v="2"/>
    <n v="20.190000000000001"/>
  </r>
  <r>
    <n v="45"/>
    <x v="2"/>
    <x v="1"/>
    <n v="84.1"/>
    <n v="1.71"/>
    <n v="161"/>
    <n v="169"/>
    <n v="56"/>
    <n v="1.38"/>
    <n v="480"/>
    <x v="3"/>
    <x v="1"/>
    <n v="22.4"/>
    <n v="3.4"/>
    <n v="3"/>
    <x v="2"/>
    <x v="1"/>
    <n v="38.83"/>
  </r>
  <r>
    <n v="51"/>
    <x v="2"/>
    <x v="1"/>
    <n v="52"/>
    <n v="1.92"/>
    <n v="173"/>
    <n v="164"/>
    <n v="74"/>
    <n v="1.31"/>
    <n v="706"/>
    <x v="1"/>
    <x v="2"/>
    <n v="25.7"/>
    <n v="1.5"/>
    <n v="2"/>
    <x v="1"/>
    <x v="0"/>
    <n v="14.05"/>
  </r>
  <r>
    <n v="25"/>
    <x v="0"/>
    <x v="1"/>
    <n v="70.7"/>
    <n v="1.7"/>
    <n v="165"/>
    <n v="160"/>
    <n v="53"/>
    <n v="0.99"/>
    <n v="808"/>
    <x v="2"/>
    <x v="1"/>
    <n v="23.5"/>
    <n v="2.1"/>
    <n v="3"/>
    <x v="1"/>
    <x v="0"/>
    <n v="18.29"/>
  </r>
  <r>
    <n v="52"/>
    <x v="2"/>
    <x v="0"/>
    <n v="50.8"/>
    <n v="1.8"/>
    <n v="199"/>
    <n v="159"/>
    <n v="63"/>
    <n v="1.51"/>
    <n v="1153"/>
    <x v="2"/>
    <x v="1"/>
    <n v="24.9"/>
    <n v="2.4"/>
    <n v="4"/>
    <x v="0"/>
    <x v="0"/>
    <n v="16.16"/>
  </r>
  <r>
    <n v="28"/>
    <x v="0"/>
    <x v="2"/>
    <n v="48.7"/>
    <n v="1.6"/>
    <n v="175"/>
    <n v="133"/>
    <n v="59"/>
    <n v="1.38"/>
    <n v="996"/>
    <x v="2"/>
    <x v="3"/>
    <n v="23.5"/>
    <n v="1.5"/>
    <n v="2"/>
    <x v="0"/>
    <x v="2"/>
    <n v="21.98"/>
  </r>
  <r>
    <n v="24"/>
    <x v="1"/>
    <x v="2"/>
    <n v="51.3"/>
    <n v="1.69"/>
    <n v="174"/>
    <n v="153"/>
    <n v="74"/>
    <n v="1.18"/>
    <n v="828"/>
    <x v="3"/>
    <x v="0"/>
    <n v="16.100000000000001"/>
    <n v="2.6"/>
    <n v="3"/>
    <x v="0"/>
    <x v="2"/>
    <n v="21.88"/>
  </r>
  <r>
    <n v="42"/>
    <x v="3"/>
    <x v="0"/>
    <n v="77"/>
    <n v="1.63"/>
    <n v="185"/>
    <n v="136"/>
    <n v="68"/>
    <n v="1.07"/>
    <n v="1029"/>
    <x v="1"/>
    <x v="1"/>
    <n v="29.2"/>
    <n v="1.5"/>
    <n v="5"/>
    <x v="1"/>
    <x v="0"/>
    <n v="15.93"/>
  </r>
  <r>
    <n v="31"/>
    <x v="0"/>
    <x v="0"/>
    <n v="50.1"/>
    <n v="1.69"/>
    <n v="185"/>
    <n v="169"/>
    <n v="64"/>
    <n v="1.68"/>
    <n v="1001"/>
    <x v="0"/>
    <x v="1"/>
    <n v="27.4"/>
    <n v="1.6"/>
    <n v="4"/>
    <x v="1"/>
    <x v="2"/>
    <n v="22.3"/>
  </r>
  <r>
    <n v="45"/>
    <x v="2"/>
    <x v="0"/>
    <n v="99.3"/>
    <n v="1.93"/>
    <n v="182"/>
    <n v="137"/>
    <n v="50"/>
    <n v="1.23"/>
    <n v="686"/>
    <x v="0"/>
    <x v="0"/>
    <m/>
    <n v="2.4"/>
    <n v="3"/>
    <x v="2"/>
    <x v="1"/>
    <n v="33.26"/>
  </r>
  <r>
    <n v="18"/>
    <x v="1"/>
    <x v="1"/>
    <n v="89.2"/>
    <n v="1.88"/>
    <n v="189"/>
    <n v="167"/>
    <n v="58"/>
    <n v="2"/>
    <n v="1126"/>
    <x v="1"/>
    <x v="2"/>
    <n v="29.7"/>
    <n v="3.5"/>
    <n v="4"/>
    <x v="0"/>
    <x v="0"/>
    <n v="13.63"/>
  </r>
  <r>
    <n v="18"/>
    <x v="1"/>
    <x v="0"/>
    <n v="70.8"/>
    <n v="1.96"/>
    <n v="196"/>
    <n v="130"/>
    <n v="61"/>
    <n v="1.46"/>
    <n v="708"/>
    <x v="4"/>
    <x v="1"/>
    <n v="25.2"/>
    <n v="2.2000000000000002"/>
    <n v="3"/>
    <x v="0"/>
    <x v="0"/>
    <n v="12.32"/>
  </r>
  <r>
    <n v="50"/>
    <x v="2"/>
    <x v="1"/>
    <n v="59.1"/>
    <n v="1.74"/>
    <n v="181"/>
    <n v="156"/>
    <n v="51"/>
    <n v="1.01"/>
    <n v="985"/>
    <x v="3"/>
    <x v="2"/>
    <n v="30.1"/>
    <n v="3.5"/>
    <n v="2"/>
    <x v="2"/>
    <x v="2"/>
    <n v="24.07"/>
  </r>
  <r>
    <n v="46"/>
    <x v="2"/>
    <x v="0"/>
    <n v="67.5"/>
    <n v="1.76"/>
    <n v="160"/>
    <n v="150"/>
    <n v="74"/>
    <n v="1.43"/>
    <n v="577"/>
    <x v="3"/>
    <x v="3"/>
    <n v="20"/>
    <n v="2.6"/>
    <n v="4"/>
    <x v="0"/>
    <x v="0"/>
    <n v="17.39"/>
  </r>
  <r>
    <n v="46"/>
    <x v="2"/>
    <x v="1"/>
    <n v="91.4"/>
    <n v="1.71"/>
    <n v="183"/>
    <n v="136"/>
    <n v="58"/>
    <n v="0.93"/>
    <m/>
    <x v="1"/>
    <x v="2"/>
    <n v="30.8"/>
    <n v="3.4"/>
    <n v="4"/>
    <x v="1"/>
    <x v="0"/>
    <m/>
  </r>
  <r>
    <n v="27"/>
    <x v="0"/>
    <x v="0"/>
    <n v="41.4"/>
    <n v="1.69"/>
    <n v="191"/>
    <n v="169"/>
    <n v="56"/>
    <n v="1.99"/>
    <n v="647"/>
    <x v="3"/>
    <x v="3"/>
    <n v="23.2"/>
    <n v="2.8"/>
    <n v="5"/>
    <x v="0"/>
    <x v="0"/>
    <n v="16.260000000000002"/>
  </r>
  <r>
    <n v="24"/>
    <x v="1"/>
    <x v="0"/>
    <n v="80"/>
    <n v="1.59"/>
    <n v="198"/>
    <n v="125"/>
    <n v="70"/>
    <n v="1.68"/>
    <n v="1263"/>
    <x v="4"/>
    <x v="0"/>
    <n v="15.3"/>
    <n v="3.6"/>
    <n v="3"/>
    <x v="0"/>
    <x v="0"/>
    <n v="14.62"/>
  </r>
  <r>
    <n v="24"/>
    <x v="1"/>
    <x v="1"/>
    <n v="95.5"/>
    <n v="1.57"/>
    <n v="181"/>
    <n v="158"/>
    <n v="67"/>
    <n v="1.47"/>
    <n v="1609"/>
    <x v="1"/>
    <x v="2"/>
    <n v="32.5"/>
    <n v="2"/>
    <n v="4"/>
    <x v="0"/>
    <x v="4"/>
    <n v="26.3"/>
  </r>
  <r>
    <n v="18"/>
    <x v="1"/>
    <x v="1"/>
    <n v="66.900000000000006"/>
    <n v="1.76"/>
    <n v="163"/>
    <n v="169"/>
    <n v="55"/>
    <n v="1.1499999999999999"/>
    <n v="1018"/>
    <x v="3"/>
    <x v="1"/>
    <n v="24.2"/>
    <n v="3"/>
    <n v="3"/>
    <x v="1"/>
    <x v="0"/>
    <n v="16.52"/>
  </r>
  <r>
    <n v="18"/>
    <x v="1"/>
    <x v="1"/>
    <n v="82.8"/>
    <n v="1.5"/>
    <n v="197"/>
    <n v="134"/>
    <n v="74"/>
    <n v="1.79"/>
    <n v="1009"/>
    <x v="1"/>
    <x v="2"/>
    <n v="30.5"/>
    <n v="3.3"/>
    <n v="3"/>
    <x v="2"/>
    <x v="2"/>
    <n v="19.41"/>
  </r>
  <r>
    <n v="26"/>
    <x v="0"/>
    <x v="1"/>
    <n v="79.7"/>
    <n v="1.64"/>
    <n v="194"/>
    <n v="148"/>
    <n v="55"/>
    <n v="2"/>
    <n v="1462"/>
    <x v="3"/>
    <x v="1"/>
    <n v="21.8"/>
    <n v="3.2"/>
    <n v="4"/>
    <x v="0"/>
    <x v="4"/>
    <n v="26.9"/>
  </r>
  <r>
    <n v="18"/>
    <x v="1"/>
    <x v="0"/>
    <n v="80.400000000000006"/>
    <n v="1.79"/>
    <n v="171"/>
    <n v="169"/>
    <n v="74"/>
    <n v="1.43"/>
    <m/>
    <x v="2"/>
    <x v="0"/>
    <n v="16.3"/>
    <n v="3.6"/>
    <n v="3"/>
    <x v="0"/>
    <x v="0"/>
    <n v="15.03"/>
  </r>
  <r>
    <n v="33"/>
    <x v="0"/>
    <x v="0"/>
    <n v="71.8"/>
    <n v="1.51"/>
    <n v="190"/>
    <n v="167"/>
    <n v="59"/>
    <n v="1.84"/>
    <n v="1321"/>
    <x v="2"/>
    <x v="1"/>
    <n v="26.6"/>
    <n v="3.2"/>
    <n v="4"/>
    <x v="2"/>
    <x v="0"/>
    <n v="12.97"/>
  </r>
  <r>
    <n v="35"/>
    <x v="3"/>
    <x v="1"/>
    <n v="73.400000000000006"/>
    <n v="1.57"/>
    <n v="169"/>
    <n v="138"/>
    <n v="67"/>
    <n v="1.1399999999999999"/>
    <n v="977"/>
    <x v="0"/>
    <x v="2"/>
    <n v="32.4"/>
    <n v="3"/>
    <n v="4"/>
    <x v="2"/>
    <x v="4"/>
    <n v="25.05"/>
  </r>
  <r>
    <n v="54"/>
    <x v="2"/>
    <x v="0"/>
    <n v="45.8"/>
    <n v="1.62"/>
    <n v="163"/>
    <n v="135"/>
    <n v="66"/>
    <n v="1.26"/>
    <n v="1703"/>
    <x v="0"/>
    <x v="0"/>
    <n v="15.2"/>
    <n v="1.6"/>
    <n v="4"/>
    <x v="0"/>
    <x v="0"/>
    <n v="17.989999999999998"/>
  </r>
  <r>
    <n v="44"/>
    <x v="3"/>
    <x v="0"/>
    <n v="106.8"/>
    <n v="1.65"/>
    <n v="171"/>
    <n v="143"/>
    <n v="71"/>
    <n v="1.54"/>
    <n v="1295"/>
    <x v="1"/>
    <x v="0"/>
    <n v="17.100000000000001"/>
    <n v="3.5"/>
    <n v="3"/>
    <x v="2"/>
    <x v="4"/>
    <n v="25.4"/>
  </r>
  <r>
    <n v="19"/>
    <x v="1"/>
    <x v="1"/>
    <n v="59.8"/>
    <n v="1.7"/>
    <n v="181"/>
    <n v="120"/>
    <n v="73"/>
    <n v="1.54"/>
    <n v="1130"/>
    <x v="1"/>
    <x v="2"/>
    <n v="29.6"/>
    <n v="3.5"/>
    <n v="3"/>
    <x v="1"/>
    <x v="2"/>
    <n v="22.56"/>
  </r>
  <r>
    <n v="45"/>
    <x v="2"/>
    <x v="0"/>
    <n v="88.4"/>
    <n v="1.5"/>
    <n v="181"/>
    <n v="132"/>
    <n v="66"/>
    <n v="2"/>
    <m/>
    <x v="1"/>
    <x v="3"/>
    <n v="23"/>
    <n v="2.4"/>
    <n v="3"/>
    <x v="1"/>
    <x v="4"/>
    <n v="28.39"/>
  </r>
  <r>
    <n v="44"/>
    <x v="3"/>
    <x v="1"/>
    <n v="52.5"/>
    <n v="1.65"/>
    <n v="174"/>
    <n v="169"/>
    <n v="51"/>
    <n v="1.95"/>
    <n v="1783"/>
    <x v="1"/>
    <x v="2"/>
    <n v="29.4"/>
    <n v="2"/>
    <n v="2"/>
    <x v="1"/>
    <x v="0"/>
    <n v="16.41"/>
  </r>
  <r>
    <n v="58"/>
    <x v="4"/>
    <x v="1"/>
    <n v="56.5"/>
    <n v="1.76"/>
    <n v="180"/>
    <n v="139"/>
    <n v="74"/>
    <n v="2"/>
    <n v="1396"/>
    <x v="3"/>
    <x v="1"/>
    <n v="24.1"/>
    <n v="3.4"/>
    <n v="2"/>
    <x v="0"/>
    <x v="4"/>
    <n v="28.26"/>
  </r>
  <r>
    <n v="18"/>
    <x v="1"/>
    <x v="1"/>
    <n v="49.9"/>
    <n v="1.74"/>
    <n v="177"/>
    <n v="161"/>
    <n v="70"/>
    <n v="2"/>
    <n v="950"/>
    <x v="2"/>
    <x v="1"/>
    <n v="23"/>
    <n v="3.4"/>
    <n v="4"/>
    <x v="0"/>
    <x v="0"/>
    <n v="17.53"/>
  </r>
  <r>
    <n v="30"/>
    <x v="0"/>
    <x v="2"/>
    <n v="62.3"/>
    <n v="1.82"/>
    <n v="174"/>
    <n v="160"/>
    <n v="64"/>
    <n v="1.23"/>
    <n v="1080"/>
    <x v="1"/>
    <x v="0"/>
    <n v="15.9"/>
    <n v="2.5"/>
    <n v="3"/>
    <x v="2"/>
    <x v="2"/>
    <n v="22.26"/>
  </r>
  <r>
    <n v="18"/>
    <x v="1"/>
    <x v="0"/>
    <n v="76.099999999999994"/>
    <n v="1.64"/>
    <n v="196"/>
    <n v="169"/>
    <n v="63"/>
    <n v="1.43"/>
    <n v="686"/>
    <x v="1"/>
    <x v="2"/>
    <n v="34.799999999999997"/>
    <n v="1.5"/>
    <n v="3"/>
    <x v="2"/>
    <x v="1"/>
    <n v="33.24"/>
  </r>
  <r>
    <n v="18"/>
    <x v="1"/>
    <x v="0"/>
    <n v="40"/>
    <n v="1.74"/>
    <n v="160"/>
    <n v="145"/>
    <n v="74"/>
    <n v="0.53"/>
    <n v="907"/>
    <x v="0"/>
    <x v="1"/>
    <n v="24.8"/>
    <n v="3.6"/>
    <m/>
    <x v="2"/>
    <x v="2"/>
    <n v="24.44"/>
  </r>
  <r>
    <n v="18"/>
    <x v="1"/>
    <x v="1"/>
    <n v="91.1"/>
    <n v="1.7"/>
    <m/>
    <n v="137"/>
    <n v="68"/>
    <n v="1.03"/>
    <n v="826"/>
    <x v="1"/>
    <x v="2"/>
    <n v="33.700000000000003"/>
    <n v="3.5"/>
    <n v="2"/>
    <x v="0"/>
    <x v="0"/>
    <n v="18.239999999999998"/>
  </r>
  <r>
    <n v="28"/>
    <x v="0"/>
    <x v="0"/>
    <n v="67.099999999999994"/>
    <n v="1.9"/>
    <n v="184"/>
    <n v="169"/>
    <n v="59"/>
    <n v="1.61"/>
    <n v="587"/>
    <x v="3"/>
    <x v="3"/>
    <n v="20.8"/>
    <n v="2.7"/>
    <n v="3"/>
    <x v="1"/>
    <x v="0"/>
    <n v="12.32"/>
  </r>
  <r>
    <n v="18"/>
    <x v="1"/>
    <x v="0"/>
    <n v="53.9"/>
    <n v="1.69"/>
    <n v="187"/>
    <n v="169"/>
    <n v="56"/>
    <n v="1.34"/>
    <n v="752"/>
    <x v="3"/>
    <x v="0"/>
    <n v="13.6"/>
    <n v="3.3"/>
    <n v="3"/>
    <x v="0"/>
    <x v="0"/>
    <n v="15.23"/>
  </r>
  <r>
    <n v="34"/>
    <x v="0"/>
    <x v="0"/>
    <n v="79.3"/>
    <n v="1.65"/>
    <n v="181"/>
    <n v="149"/>
    <n v="64"/>
    <n v="1.4"/>
    <n v="501"/>
    <x v="2"/>
    <x v="0"/>
    <n v="12"/>
    <n v="2.2999999999999998"/>
    <n v="2"/>
    <x v="1"/>
    <x v="2"/>
    <n v="24.84"/>
  </r>
  <r>
    <n v="18"/>
    <x v="1"/>
    <x v="0"/>
    <n v="40"/>
    <n v="1.88"/>
    <n v="165"/>
    <n v="145"/>
    <n v="71"/>
    <n v="1.59"/>
    <n v="1121"/>
    <x v="0"/>
    <x v="3"/>
    <n v="22.6"/>
    <n v="3.4"/>
    <n v="2"/>
    <x v="1"/>
    <x v="0"/>
    <n v="14.1"/>
  </r>
  <r>
    <n v="35"/>
    <x v="3"/>
    <x v="1"/>
    <n v="75.7"/>
    <n v="1.74"/>
    <n v="189"/>
    <n v="136"/>
    <n v="74"/>
    <n v="1.7"/>
    <n v="854"/>
    <x v="2"/>
    <x v="1"/>
    <n v="24"/>
    <n v="1.5"/>
    <n v="2"/>
    <x v="0"/>
    <x v="0"/>
    <n v="12.47"/>
  </r>
  <r>
    <n v="29"/>
    <x v="0"/>
    <x v="1"/>
    <n v="82.5"/>
    <n v="1.79"/>
    <n v="190"/>
    <n v="132"/>
    <n v="69"/>
    <n v="0.9"/>
    <n v="664"/>
    <x v="3"/>
    <x v="0"/>
    <n v="10"/>
    <n v="2.2999999999999998"/>
    <n v="2"/>
    <x v="1"/>
    <x v="1"/>
    <n v="34.85"/>
  </r>
  <r>
    <n v="19"/>
    <x v="1"/>
    <x v="1"/>
    <n v="40"/>
    <n v="1.84"/>
    <n v="199"/>
    <n v="123"/>
    <n v="74"/>
    <n v="1.34"/>
    <n v="904"/>
    <x v="4"/>
    <x v="2"/>
    <n v="30.2"/>
    <n v="3.1"/>
    <n v="3"/>
    <x v="1"/>
    <x v="0"/>
    <n v="16.34"/>
  </r>
  <r>
    <n v="20"/>
    <x v="1"/>
    <x v="0"/>
    <n v="73"/>
    <n v="1.59"/>
    <n v="175"/>
    <n v="165"/>
    <n v="70"/>
    <n v="0.96"/>
    <n v="869"/>
    <x v="4"/>
    <x v="1"/>
    <n v="30.1"/>
    <n v="3"/>
    <n v="5"/>
    <x v="1"/>
    <x v="0"/>
    <n v="15.01"/>
  </r>
  <r>
    <n v="23"/>
    <x v="1"/>
    <x v="0"/>
    <n v="56.5"/>
    <n v="1.97"/>
    <n v="169"/>
    <n v="151"/>
    <n v="56"/>
    <n v="2"/>
    <n v="1380"/>
    <x v="0"/>
    <x v="1"/>
    <n v="28.6"/>
    <n v="2.6"/>
    <n v="3"/>
    <x v="0"/>
    <x v="0"/>
    <n v="13.2"/>
  </r>
  <r>
    <n v="33"/>
    <x v="0"/>
    <x v="1"/>
    <n v="78.7"/>
    <n v="1.61"/>
    <n v="193"/>
    <n v="137"/>
    <n v="55"/>
    <n v="0.93"/>
    <n v="1668"/>
    <x v="0"/>
    <x v="1"/>
    <n v="24.5"/>
    <n v="2.2999999999999998"/>
    <m/>
    <x v="0"/>
    <x v="2"/>
    <n v="19.47"/>
  </r>
  <r>
    <n v="27"/>
    <x v="0"/>
    <x v="1"/>
    <n v="75.400000000000006"/>
    <n v="1.58"/>
    <n v="192"/>
    <n v="169"/>
    <n v="63"/>
    <n v="1.3"/>
    <n v="1386"/>
    <x v="0"/>
    <x v="3"/>
    <n v="16.899999999999999"/>
    <n v="3.6"/>
    <n v="3"/>
    <x v="1"/>
    <x v="0"/>
    <n v="15.63"/>
  </r>
  <r>
    <n v="48"/>
    <x v="2"/>
    <x v="1"/>
    <n v="59.6"/>
    <n v="1.78"/>
    <n v="181"/>
    <n v="152"/>
    <n v="53"/>
    <n v="1.65"/>
    <n v="1741"/>
    <x v="0"/>
    <x v="1"/>
    <n v="23.2"/>
    <n v="3.3"/>
    <n v="4"/>
    <x v="1"/>
    <x v="0"/>
    <n v="12.32"/>
  </r>
  <r>
    <n v="29"/>
    <x v="0"/>
    <x v="0"/>
    <n v="57.2"/>
    <n v="1.84"/>
    <n v="168"/>
    <n v="141"/>
    <n v="74"/>
    <n v="1.56"/>
    <n v="303"/>
    <x v="3"/>
    <x v="0"/>
    <n v="16.8"/>
    <n v="2.4"/>
    <n v="5"/>
    <x v="2"/>
    <x v="4"/>
    <n v="29.68"/>
  </r>
  <r>
    <n v="39"/>
    <x v="3"/>
    <x v="0"/>
    <n v="74.3"/>
    <n v="1.63"/>
    <n v="178"/>
    <n v="169"/>
    <n v="57"/>
    <n v="1.35"/>
    <n v="1376"/>
    <x v="3"/>
    <x v="1"/>
    <n v="25.9"/>
    <n v="3.2"/>
    <n v="3"/>
    <x v="2"/>
    <x v="2"/>
    <n v="20.29"/>
  </r>
  <r>
    <n v="46"/>
    <x v="2"/>
    <x v="1"/>
    <n v="64.400000000000006"/>
    <n v="1.82"/>
    <n v="186"/>
    <n v="121"/>
    <n v="72"/>
    <n v="1.96"/>
    <n v="582"/>
    <x v="1"/>
    <x v="2"/>
    <n v="26.2"/>
    <m/>
    <n v="3"/>
    <x v="2"/>
    <x v="4"/>
    <n v="28.07"/>
  </r>
  <r>
    <n v="42"/>
    <x v="3"/>
    <x v="1"/>
    <m/>
    <m/>
    <n v="182"/>
    <n v="140"/>
    <n v="60"/>
    <n v="2"/>
    <n v="786"/>
    <x v="2"/>
    <x v="2"/>
    <n v="27.5"/>
    <n v="1.5"/>
    <n v="2"/>
    <x v="1"/>
    <x v="2"/>
    <n v="22.4"/>
  </r>
  <r>
    <n v="54"/>
    <x v="2"/>
    <x v="1"/>
    <n v="63.8"/>
    <n v="1.92"/>
    <n v="188"/>
    <n v="131"/>
    <n v="57"/>
    <n v="0.98"/>
    <n v="1117"/>
    <x v="2"/>
    <x v="1"/>
    <n v="20.7"/>
    <n v="1.6"/>
    <n v="5"/>
    <x v="0"/>
    <x v="4"/>
    <n v="26.75"/>
  </r>
  <r>
    <n v="21"/>
    <x v="1"/>
    <x v="0"/>
    <n v="45.1"/>
    <n v="1.87"/>
    <n v="192"/>
    <n v="138"/>
    <n v="69"/>
    <n v="1.89"/>
    <n v="1071"/>
    <x v="4"/>
    <x v="1"/>
    <n v="25.8"/>
    <n v="2.2999999999999998"/>
    <n v="5"/>
    <x v="0"/>
    <x v="2"/>
    <n v="19.64"/>
  </r>
  <r>
    <n v="27"/>
    <x v="0"/>
    <x v="1"/>
    <n v="63.7"/>
    <n v="1.86"/>
    <n v="183"/>
    <m/>
    <n v="70"/>
    <n v="0.91"/>
    <n v="759"/>
    <x v="0"/>
    <x v="1"/>
    <n v="24.5"/>
    <n v="3.5"/>
    <n v="3"/>
    <x v="2"/>
    <x v="2"/>
    <n v="18.88"/>
  </r>
  <r>
    <n v="30"/>
    <x v="0"/>
    <x v="0"/>
    <m/>
    <n v="1.81"/>
    <n v="179"/>
    <n v="144"/>
    <n v="50"/>
    <n v="1.52"/>
    <n v="1144"/>
    <x v="2"/>
    <x v="3"/>
    <n v="22"/>
    <n v="1.5"/>
    <n v="2"/>
    <x v="0"/>
    <x v="0"/>
    <n v="14.43"/>
  </r>
  <r>
    <n v="58"/>
    <x v="4"/>
    <x v="2"/>
    <n v="59"/>
    <n v="1.78"/>
    <n v="166"/>
    <n v="144"/>
    <n v="74"/>
    <n v="1.47"/>
    <n v="1152"/>
    <x v="0"/>
    <x v="1"/>
    <n v="28.9"/>
    <n v="3.4"/>
    <n v="5"/>
    <x v="0"/>
    <x v="2"/>
    <n v="22.67"/>
  </r>
  <r>
    <n v="20"/>
    <x v="1"/>
    <x v="1"/>
    <n v="57.1"/>
    <n v="1.66"/>
    <n v="168"/>
    <n v="146"/>
    <n v="74"/>
    <n v="1.17"/>
    <n v="1040"/>
    <x v="1"/>
    <x v="1"/>
    <n v="24.6"/>
    <n v="3.5"/>
    <n v="2"/>
    <x v="0"/>
    <x v="0"/>
    <n v="17.57"/>
  </r>
  <r>
    <n v="43"/>
    <x v="3"/>
    <x v="1"/>
    <n v="68.8"/>
    <n v="1.79"/>
    <n v="188"/>
    <n v="122"/>
    <n v="73"/>
    <n v="1.56"/>
    <n v="350"/>
    <x v="2"/>
    <x v="1"/>
    <n v="23.4"/>
    <n v="1.5"/>
    <n v="4"/>
    <x v="1"/>
    <x v="0"/>
    <n v="14.27"/>
  </r>
  <r>
    <n v="26"/>
    <x v="0"/>
    <x v="0"/>
    <n v="62.9"/>
    <n v="1.69"/>
    <n v="192"/>
    <n v="139"/>
    <n v="69"/>
    <n v="1.77"/>
    <m/>
    <x v="0"/>
    <x v="1"/>
    <n v="28.8"/>
    <n v="3.4"/>
    <n v="4"/>
    <x v="0"/>
    <x v="0"/>
    <n v="12.32"/>
  </r>
  <r>
    <n v="55"/>
    <x v="4"/>
    <x v="0"/>
    <n v="98.6"/>
    <n v="1.6"/>
    <n v="197"/>
    <n v="167"/>
    <n v="74"/>
    <n v="1.1599999999999999"/>
    <n v="802"/>
    <x v="2"/>
    <x v="3"/>
    <n v="22.1"/>
    <n v="2.9"/>
    <n v="4"/>
    <x v="0"/>
    <x v="0"/>
    <n v="14.29"/>
  </r>
  <r>
    <n v="25"/>
    <x v="0"/>
    <x v="0"/>
    <n v="102.8"/>
    <n v="2"/>
    <n v="166"/>
    <n v="131"/>
    <n v="73"/>
    <n v="1.28"/>
    <n v="1783"/>
    <x v="1"/>
    <x v="1"/>
    <n v="27.1"/>
    <n v="3.2"/>
    <m/>
    <x v="1"/>
    <x v="0"/>
    <n v="14.05"/>
  </r>
  <r>
    <n v="36"/>
    <x v="3"/>
    <x v="1"/>
    <n v="45.8"/>
    <n v="1.59"/>
    <n v="177"/>
    <n v="126"/>
    <n v="74"/>
    <n v="0.92"/>
    <n v="1221"/>
    <x v="0"/>
    <x v="2"/>
    <n v="32.9"/>
    <n v="3"/>
    <n v="3"/>
    <x v="2"/>
    <x v="1"/>
    <n v="30.03"/>
  </r>
  <r>
    <n v="53"/>
    <x v="2"/>
    <x v="0"/>
    <n v="47.5"/>
    <n v="1.66"/>
    <n v="166"/>
    <n v="156"/>
    <n v="55"/>
    <n v="1.1000000000000001"/>
    <n v="1766"/>
    <x v="2"/>
    <x v="3"/>
    <n v="22.5"/>
    <n v="1.6"/>
    <n v="3"/>
    <x v="1"/>
    <x v="1"/>
    <n v="32.14"/>
  </r>
  <r>
    <n v="52"/>
    <x v="2"/>
    <x v="1"/>
    <n v="88"/>
    <n v="1.87"/>
    <n v="180"/>
    <n v="128"/>
    <n v="74"/>
    <n v="1.44"/>
    <n v="1058"/>
    <x v="0"/>
    <x v="2"/>
    <n v="32.200000000000003"/>
    <n v="1.7"/>
    <n v="4"/>
    <x v="0"/>
    <x v="4"/>
    <n v="27.54"/>
  </r>
  <r>
    <n v="43"/>
    <x v="3"/>
    <x v="1"/>
    <n v="76.3"/>
    <n v="1.66"/>
    <n v="188"/>
    <n v="164"/>
    <n v="58"/>
    <n v="0.84"/>
    <n v="606"/>
    <x v="0"/>
    <x v="2"/>
    <n v="25.7"/>
    <n v="1.8"/>
    <n v="3"/>
    <x v="1"/>
    <x v="4"/>
    <n v="28.19"/>
  </r>
  <r>
    <n v="31"/>
    <x v="0"/>
    <x v="0"/>
    <n v="85.9"/>
    <n v="1.7"/>
    <n v="162"/>
    <n v="143"/>
    <n v="56"/>
    <n v="2"/>
    <n v="1455"/>
    <x v="3"/>
    <x v="1"/>
    <n v="28"/>
    <n v="3.3"/>
    <n v="3"/>
    <x v="2"/>
    <x v="0"/>
    <n v="12.78"/>
  </r>
  <r>
    <n v="28"/>
    <x v="0"/>
    <x v="1"/>
    <n v="93.7"/>
    <n v="1.77"/>
    <n v="192"/>
    <n v="142"/>
    <n v="57"/>
    <n v="1.45"/>
    <n v="1230"/>
    <x v="1"/>
    <x v="3"/>
    <n v="14.8"/>
    <n v="3.6"/>
    <n v="2"/>
    <x v="0"/>
    <x v="2"/>
    <n v="23.62"/>
  </r>
  <r>
    <n v="26"/>
    <x v="0"/>
    <x v="1"/>
    <n v="83.6"/>
    <n v="1.79"/>
    <n v="171"/>
    <n v="128"/>
    <n v="72"/>
    <n v="0.7"/>
    <n v="1247"/>
    <x v="0"/>
    <x v="2"/>
    <n v="25.4"/>
    <n v="3.2"/>
    <n v="3"/>
    <x v="1"/>
    <x v="4"/>
    <n v="27.91"/>
  </r>
  <r>
    <n v="38"/>
    <x v="3"/>
    <x v="1"/>
    <n v="101.4"/>
    <n v="2"/>
    <n v="190"/>
    <n v="169"/>
    <n v="63"/>
    <m/>
    <n v="1772"/>
    <x v="1"/>
    <x v="1"/>
    <n v="20.7"/>
    <n v="2.6"/>
    <n v="4"/>
    <x v="1"/>
    <x v="1"/>
    <n v="38.99"/>
  </r>
  <r>
    <n v="36"/>
    <x v="3"/>
    <x v="2"/>
    <n v="77.599999999999994"/>
    <n v="1.6"/>
    <n v="183"/>
    <n v="165"/>
    <n v="72"/>
    <n v="0.66"/>
    <n v="1208"/>
    <x v="1"/>
    <x v="1"/>
    <n v="25.6"/>
    <n v="1.7"/>
    <n v="3"/>
    <x v="1"/>
    <x v="0"/>
    <n v="12.44"/>
  </r>
  <r>
    <n v="28"/>
    <x v="0"/>
    <x v="2"/>
    <n v="44.7"/>
    <n v="1.68"/>
    <n v="166"/>
    <n v="160"/>
    <n v="62"/>
    <n v="0.99"/>
    <n v="1672"/>
    <x v="3"/>
    <x v="1"/>
    <n v="28.6"/>
    <n v="1.5"/>
    <n v="2"/>
    <x v="2"/>
    <x v="0"/>
    <n v="17.59"/>
  </r>
  <r>
    <n v="40"/>
    <x v="3"/>
    <x v="1"/>
    <n v="79.900000000000006"/>
    <n v="1.51"/>
    <n v="175"/>
    <n v="169"/>
    <n v="64"/>
    <n v="1.44"/>
    <n v="1277"/>
    <x v="3"/>
    <x v="2"/>
    <n v="26.2"/>
    <n v="1.5"/>
    <n v="5"/>
    <x v="2"/>
    <x v="0"/>
    <n v="14.09"/>
  </r>
  <r>
    <n v="45"/>
    <x v="2"/>
    <x v="0"/>
    <n v="70.2"/>
    <n v="1.82"/>
    <n v="167"/>
    <n v="139"/>
    <n v="67"/>
    <n v="1.32"/>
    <n v="953"/>
    <x v="0"/>
    <x v="0"/>
    <n v="10"/>
    <n v="1.5"/>
    <n v="4"/>
    <x v="0"/>
    <x v="0"/>
    <n v="13.6"/>
  </r>
  <r>
    <n v="40"/>
    <x v="3"/>
    <x v="0"/>
    <n v="44.2"/>
    <n v="1.7"/>
    <n v="161"/>
    <n v="160"/>
    <n v="64"/>
    <n v="1.71"/>
    <n v="979"/>
    <x v="3"/>
    <x v="3"/>
    <n v="23.7"/>
    <n v="3.4"/>
    <n v="3"/>
    <x v="0"/>
    <x v="2"/>
    <n v="24.1"/>
  </r>
  <r>
    <n v="49"/>
    <x v="2"/>
    <x v="1"/>
    <n v="90.6"/>
    <n v="1.78"/>
    <n v="181"/>
    <n v="130"/>
    <n v="63"/>
    <n v="1.27"/>
    <n v="1002"/>
    <x v="0"/>
    <x v="2"/>
    <n v="28.2"/>
    <n v="2.2999999999999998"/>
    <n v="3"/>
    <x v="0"/>
    <x v="0"/>
    <n v="15.66"/>
  </r>
  <r>
    <n v="40"/>
    <x v="3"/>
    <x v="0"/>
    <n v="56.8"/>
    <n v="1.54"/>
    <n v="166"/>
    <n v="167"/>
    <n v="71"/>
    <n v="1.06"/>
    <n v="1225"/>
    <x v="3"/>
    <x v="1"/>
    <n v="27.6"/>
    <n v="1.7"/>
    <n v="4"/>
    <x v="1"/>
    <x v="0"/>
    <n v="12.32"/>
  </r>
  <r>
    <n v="51"/>
    <x v="2"/>
    <x v="0"/>
    <n v="48.7"/>
    <n v="1.5"/>
    <n v="168"/>
    <n v="140"/>
    <n v="58"/>
    <n v="0.93"/>
    <n v="1108"/>
    <x v="1"/>
    <x v="1"/>
    <n v="27.3"/>
    <n v="3.2"/>
    <n v="2"/>
    <x v="0"/>
    <x v="0"/>
    <n v="12.32"/>
  </r>
  <r>
    <n v="41"/>
    <x v="3"/>
    <x v="0"/>
    <n v="72.3"/>
    <n v="1.66"/>
    <n v="165"/>
    <n v="142"/>
    <n v="74"/>
    <n v="1.4"/>
    <n v="758"/>
    <x v="1"/>
    <x v="1"/>
    <n v="25.6"/>
    <n v="3.6"/>
    <n v="4"/>
    <x v="1"/>
    <x v="2"/>
    <n v="23.85"/>
  </r>
  <r>
    <n v="43"/>
    <x v="3"/>
    <x v="0"/>
    <n v="68"/>
    <n v="1.78"/>
    <n v="183"/>
    <n v="120"/>
    <n v="58"/>
    <n v="2"/>
    <n v="1030"/>
    <x v="2"/>
    <x v="3"/>
    <n v="22.8"/>
    <n v="1.5"/>
    <n v="4"/>
    <x v="0"/>
    <x v="0"/>
    <n v="17.25"/>
  </r>
  <r>
    <n v="44"/>
    <x v="3"/>
    <x v="1"/>
    <n v="46.7"/>
    <n v="1.81"/>
    <n v="191"/>
    <n v="132"/>
    <n v="58"/>
    <n v="1.45"/>
    <n v="1113"/>
    <x v="1"/>
    <x v="0"/>
    <n v="10"/>
    <n v="3.5"/>
    <n v="4"/>
    <x v="2"/>
    <x v="2"/>
    <n v="23.21"/>
  </r>
  <r>
    <n v="30"/>
    <x v="0"/>
    <x v="1"/>
    <n v="59.4"/>
    <n v="1.87"/>
    <n v="190"/>
    <n v="122"/>
    <n v="50"/>
    <n v="1.77"/>
    <n v="1337"/>
    <x v="3"/>
    <x v="2"/>
    <n v="25.5"/>
    <n v="2.8"/>
    <n v="4"/>
    <x v="1"/>
    <x v="2"/>
    <n v="23.2"/>
  </r>
  <r>
    <n v="18"/>
    <x v="1"/>
    <x v="0"/>
    <n v="75.900000000000006"/>
    <n v="1.7"/>
    <n v="183"/>
    <n v="151"/>
    <n v="51"/>
    <n v="1.01"/>
    <n v="1289"/>
    <x v="2"/>
    <x v="1"/>
    <n v="30.1"/>
    <n v="3.2"/>
    <n v="2"/>
    <x v="1"/>
    <x v="4"/>
    <n v="24.94"/>
  </r>
  <r>
    <n v="47"/>
    <x v="2"/>
    <x v="0"/>
    <n v="45.1"/>
    <n v="1.73"/>
    <n v="193"/>
    <n v="152"/>
    <n v="57"/>
    <n v="1.25"/>
    <n v="918"/>
    <x v="4"/>
    <x v="1"/>
    <n v="29.7"/>
    <n v="2.8"/>
    <n v="3"/>
    <x v="2"/>
    <x v="0"/>
    <n v="14.58"/>
  </r>
  <r>
    <n v="25"/>
    <x v="0"/>
    <x v="0"/>
    <n v="64.599999999999994"/>
    <n v="1.51"/>
    <n v="194"/>
    <n v="127"/>
    <n v="55"/>
    <n v="1.4"/>
    <n v="1155"/>
    <x v="1"/>
    <x v="1"/>
    <n v="26.9"/>
    <n v="3.5"/>
    <n v="2"/>
    <x v="2"/>
    <x v="0"/>
    <n v="17.739999999999998"/>
  </r>
  <r>
    <n v="18"/>
    <x v="1"/>
    <x v="0"/>
    <n v="68.7"/>
    <n v="1.6"/>
    <n v="163"/>
    <n v="135"/>
    <n v="61"/>
    <n v="1.05"/>
    <n v="367"/>
    <x v="3"/>
    <x v="3"/>
    <n v="23.1"/>
    <n v="3.6"/>
    <n v="3"/>
    <x v="3"/>
    <x v="1"/>
    <n v="33.26"/>
  </r>
  <r>
    <n v="45"/>
    <x v="2"/>
    <x v="0"/>
    <n v="61.1"/>
    <n v="1.74"/>
    <n v="171"/>
    <n v="164"/>
    <n v="69"/>
    <n v="1.1599999999999999"/>
    <n v="1019"/>
    <x v="3"/>
    <x v="0"/>
    <n v="19.600000000000001"/>
    <n v="2.8"/>
    <n v="3"/>
    <x v="1"/>
    <x v="0"/>
    <n v="16.37"/>
  </r>
  <r>
    <n v="47"/>
    <x v="2"/>
    <x v="0"/>
    <n v="70.099999999999994"/>
    <n v="1.71"/>
    <n v="199"/>
    <n v="139"/>
    <n v="74"/>
    <n v="1.1499999999999999"/>
    <n v="1238"/>
    <x v="1"/>
    <x v="1"/>
    <n v="25.1"/>
    <n v="2.5"/>
    <n v="4"/>
    <x v="1"/>
    <x v="2"/>
    <n v="19.95"/>
  </r>
  <r>
    <n v="28"/>
    <x v="0"/>
    <x v="1"/>
    <n v="50.3"/>
    <n v="1.81"/>
    <n v="176"/>
    <n v="156"/>
    <n v="70"/>
    <n v="1.46"/>
    <n v="1143"/>
    <x v="0"/>
    <x v="2"/>
    <n v="31.8"/>
    <n v="1.9"/>
    <n v="3"/>
    <x v="1"/>
    <x v="4"/>
    <n v="26.47"/>
  </r>
  <r>
    <n v="18"/>
    <x v="1"/>
    <x v="0"/>
    <n v="66.8"/>
    <n v="1.62"/>
    <n v="161"/>
    <n v="169"/>
    <n v="74"/>
    <n v="1.57"/>
    <n v="1410"/>
    <x v="2"/>
    <x v="1"/>
    <n v="30.2"/>
    <n v="3.3"/>
    <m/>
    <x v="3"/>
    <x v="2"/>
    <n v="22.63"/>
  </r>
  <r>
    <n v="28"/>
    <x v="0"/>
    <x v="1"/>
    <n v="59.9"/>
    <n v="1.7"/>
    <n v="169"/>
    <n v="163"/>
    <n v="65"/>
    <n v="1.26"/>
    <n v="1474"/>
    <x v="3"/>
    <x v="0"/>
    <n v="11.7"/>
    <n v="2.9"/>
    <n v="4"/>
    <x v="1"/>
    <x v="1"/>
    <n v="33.85"/>
  </r>
  <r>
    <n v="41"/>
    <x v="3"/>
    <x v="1"/>
    <n v="52.8"/>
    <n v="1.68"/>
    <n v="192"/>
    <n v="132"/>
    <n v="59"/>
    <n v="1.47"/>
    <n v="1709"/>
    <x v="1"/>
    <x v="2"/>
    <n v="29.6"/>
    <n v="3.5"/>
    <n v="4"/>
    <x v="1"/>
    <x v="0"/>
    <n v="12.32"/>
  </r>
  <r>
    <n v="51"/>
    <x v="2"/>
    <x v="0"/>
    <n v="62.7"/>
    <n v="1.73"/>
    <n v="198"/>
    <n v="140"/>
    <n v="50"/>
    <n v="1.98"/>
    <n v="1656"/>
    <x v="0"/>
    <x v="0"/>
    <n v="18.2"/>
    <n v="3.6"/>
    <n v="4"/>
    <x v="0"/>
    <x v="1"/>
    <n v="33.869999999999997"/>
  </r>
  <r>
    <n v="34"/>
    <x v="0"/>
    <x v="1"/>
    <n v="76.400000000000006"/>
    <n v="1.84"/>
    <n v="164"/>
    <n v="161"/>
    <n v="69"/>
    <n v="1.2"/>
    <n v="978"/>
    <x v="1"/>
    <x v="1"/>
    <n v="17"/>
    <n v="3"/>
    <n v="3"/>
    <x v="1"/>
    <x v="2"/>
    <n v="21.69"/>
  </r>
  <r>
    <n v="52"/>
    <x v="2"/>
    <x v="1"/>
    <n v="54.7"/>
    <n v="1.93"/>
    <n v="193"/>
    <n v="135"/>
    <n v="62"/>
    <n v="2"/>
    <n v="416"/>
    <x v="1"/>
    <x v="2"/>
    <n v="31.9"/>
    <n v="3.2"/>
    <n v="2"/>
    <x v="0"/>
    <x v="1"/>
    <n v="34.32"/>
  </r>
  <r>
    <n v="18"/>
    <x v="1"/>
    <x v="0"/>
    <n v="49"/>
    <n v="1.72"/>
    <n v="190"/>
    <n v="153"/>
    <n v="60"/>
    <n v="0.72"/>
    <n v="862"/>
    <x v="2"/>
    <x v="1"/>
    <n v="24.4"/>
    <n v="2.8"/>
    <n v="4"/>
    <x v="2"/>
    <x v="0"/>
    <n v="17.260000000000002"/>
  </r>
  <r>
    <n v="30"/>
    <x v="0"/>
    <x v="1"/>
    <n v="46.3"/>
    <n v="1.59"/>
    <n v="166"/>
    <n v="133"/>
    <n v="54"/>
    <n v="1.33"/>
    <n v="1001"/>
    <x v="0"/>
    <x v="1"/>
    <n v="23.8"/>
    <n v="2.2000000000000002"/>
    <n v="2"/>
    <x v="0"/>
    <x v="0"/>
    <n v="17.739999999999998"/>
  </r>
  <r>
    <n v="35"/>
    <x v="3"/>
    <x v="0"/>
    <n v="68.2"/>
    <n v="1.7"/>
    <n v="178"/>
    <n v="137"/>
    <n v="52"/>
    <n v="2"/>
    <n v="1181"/>
    <x v="2"/>
    <x v="3"/>
    <n v="23.5"/>
    <n v="3.3"/>
    <n v="3"/>
    <x v="0"/>
    <x v="1"/>
    <n v="31.92"/>
  </r>
  <r>
    <n v="36"/>
    <x v="3"/>
    <x v="0"/>
    <n v="85.1"/>
    <n v="1.67"/>
    <n v="184"/>
    <n v="131"/>
    <n v="53"/>
    <n v="1.03"/>
    <n v="608"/>
    <x v="3"/>
    <x v="0"/>
    <n v="19.7"/>
    <n v="2.1"/>
    <n v="4"/>
    <x v="0"/>
    <x v="2"/>
    <n v="20.8"/>
  </r>
  <r>
    <n v="18"/>
    <x v="1"/>
    <x v="0"/>
    <n v="59.8"/>
    <n v="2"/>
    <n v="188"/>
    <n v="144"/>
    <n v="70"/>
    <n v="2"/>
    <n v="1337"/>
    <x v="2"/>
    <x v="2"/>
    <n v="32.9"/>
    <n v="3.1"/>
    <n v="3"/>
    <x v="1"/>
    <x v="0"/>
    <n v="14.17"/>
  </r>
  <r>
    <n v="56"/>
    <x v="4"/>
    <x v="0"/>
    <n v="63.7"/>
    <n v="1.74"/>
    <n v="161"/>
    <n v="158"/>
    <n v="65"/>
    <n v="1.94"/>
    <n v="1297"/>
    <x v="3"/>
    <x v="1"/>
    <n v="28.6"/>
    <n v="3.2"/>
    <n v="3"/>
    <x v="2"/>
    <x v="0"/>
    <n v="14.53"/>
  </r>
  <r>
    <n v="34"/>
    <x v="0"/>
    <x v="1"/>
    <n v="40"/>
    <n v="1.68"/>
    <n v="183"/>
    <n v="167"/>
    <n v="64"/>
    <n v="1.45"/>
    <n v="1642"/>
    <x v="3"/>
    <x v="2"/>
    <n v="28.2"/>
    <n v="2.2999999999999998"/>
    <n v="3"/>
    <x v="0"/>
    <x v="0"/>
    <n v="17.03"/>
  </r>
  <r>
    <n v="56"/>
    <x v="4"/>
    <x v="1"/>
    <n v="64.7"/>
    <n v="1.78"/>
    <n v="199"/>
    <n v="129"/>
    <n v="62"/>
    <n v="1.1000000000000001"/>
    <n v="941"/>
    <x v="2"/>
    <x v="0"/>
    <n v="11.5"/>
    <n v="2.4"/>
    <n v="3"/>
    <x v="0"/>
    <x v="0"/>
    <n v="13.72"/>
  </r>
  <r>
    <n v="28"/>
    <x v="0"/>
    <x v="1"/>
    <n v="56.5"/>
    <n v="1.73"/>
    <n v="198"/>
    <n v="136"/>
    <n v="74"/>
    <n v="1.23"/>
    <n v="991"/>
    <x v="0"/>
    <x v="3"/>
    <n v="14.5"/>
    <n v="3.6"/>
    <n v="5"/>
    <x v="1"/>
    <x v="0"/>
    <n v="13.82"/>
  </r>
  <r>
    <n v="18"/>
    <x v="1"/>
    <x v="1"/>
    <n v="56.9"/>
    <n v="1.74"/>
    <n v="180"/>
    <n v="149"/>
    <n v="59"/>
    <n v="0.89"/>
    <n v="1441"/>
    <x v="1"/>
    <x v="1"/>
    <n v="22"/>
    <n v="3.2"/>
    <n v="2"/>
    <x v="0"/>
    <x v="2"/>
    <n v="19.82"/>
  </r>
  <r>
    <n v="18"/>
    <x v="1"/>
    <x v="1"/>
    <n v="115.8"/>
    <n v="1.68"/>
    <n v="177"/>
    <n v="150"/>
    <n v="74"/>
    <n v="1.1100000000000001"/>
    <n v="629"/>
    <x v="0"/>
    <x v="1"/>
    <n v="24.2"/>
    <n v="3.6"/>
    <n v="5"/>
    <x v="0"/>
    <x v="2"/>
    <n v="20.56"/>
  </r>
  <r>
    <n v="45"/>
    <x v="2"/>
    <x v="1"/>
    <n v="46"/>
    <n v="1.76"/>
    <n v="165"/>
    <n v="135"/>
    <n v="69"/>
    <n v="1.05"/>
    <n v="1121"/>
    <x v="3"/>
    <x v="1"/>
    <n v="24"/>
    <n v="1.5"/>
    <n v="5"/>
    <x v="0"/>
    <x v="4"/>
    <n v="28.92"/>
  </r>
  <r>
    <n v="47"/>
    <x v="2"/>
    <x v="0"/>
    <n v="46.9"/>
    <n v="1.91"/>
    <n v="162"/>
    <n v="145"/>
    <n v="53"/>
    <n v="1.17"/>
    <n v="733"/>
    <x v="2"/>
    <x v="3"/>
    <n v="23.8"/>
    <n v="1.5"/>
    <n v="3"/>
    <x v="0"/>
    <x v="0"/>
    <n v="14.88"/>
  </r>
  <r>
    <n v="49"/>
    <x v="2"/>
    <x v="1"/>
    <n v="110.8"/>
    <n v="1.62"/>
    <n v="162"/>
    <n v="169"/>
    <n v="59"/>
    <n v="1.34"/>
    <n v="1783"/>
    <x v="1"/>
    <x v="0"/>
    <n v="11.5"/>
    <n v="1.7"/>
    <n v="4"/>
    <x v="0"/>
    <x v="2"/>
    <n v="21.26"/>
  </r>
  <r>
    <n v="19"/>
    <x v="1"/>
    <x v="1"/>
    <n v="97.4"/>
    <n v="1.75"/>
    <n v="173"/>
    <n v="144"/>
    <n v="56"/>
    <n v="1.27"/>
    <n v="917"/>
    <x v="2"/>
    <x v="2"/>
    <n v="27.1"/>
    <n v="3.2"/>
    <n v="4"/>
    <x v="0"/>
    <x v="4"/>
    <n v="28.45"/>
  </r>
  <r>
    <n v="42"/>
    <x v="3"/>
    <x v="1"/>
    <n v="117.7"/>
    <n v="1.71"/>
    <n v="198"/>
    <n v="149"/>
    <n v="74"/>
    <n v="0.89"/>
    <n v="943"/>
    <x v="1"/>
    <x v="1"/>
    <n v="23.7"/>
    <n v="1.8"/>
    <n v="4"/>
    <x v="1"/>
    <x v="4"/>
    <n v="26.89"/>
  </r>
  <r>
    <n v="24"/>
    <x v="1"/>
    <x v="2"/>
    <n v="91.2"/>
    <n v="1.66"/>
    <n v="167"/>
    <n v="129"/>
    <n v="60"/>
    <n v="1.27"/>
    <n v="314"/>
    <x v="2"/>
    <x v="1"/>
    <n v="30.8"/>
    <n v="3.4"/>
    <n v="5"/>
    <x v="1"/>
    <x v="2"/>
    <n v="21.76"/>
  </r>
  <r>
    <n v="18"/>
    <x v="1"/>
    <x v="0"/>
    <n v="100.3"/>
    <n v="1.83"/>
    <n v="168"/>
    <n v="125"/>
    <n v="74"/>
    <n v="1.21"/>
    <n v="746"/>
    <x v="3"/>
    <x v="3"/>
    <n v="23.3"/>
    <n v="3.4"/>
    <n v="5"/>
    <x v="1"/>
    <x v="0"/>
    <m/>
  </r>
  <r>
    <n v="28"/>
    <x v="0"/>
    <x v="1"/>
    <n v="51.1"/>
    <n v="1.66"/>
    <n v="161"/>
    <n v="154"/>
    <n v="65"/>
    <n v="0.86"/>
    <n v="944"/>
    <x v="2"/>
    <x v="2"/>
    <n v="31.1"/>
    <n v="3.3"/>
    <n v="5"/>
    <x v="0"/>
    <x v="2"/>
    <n v="19.670000000000002"/>
  </r>
  <r>
    <n v="18"/>
    <x v="1"/>
    <x v="1"/>
    <n v="79"/>
    <n v="1.64"/>
    <n v="191"/>
    <n v="150"/>
    <n v="74"/>
    <n v="1.37"/>
    <n v="1741"/>
    <x v="3"/>
    <x v="3"/>
    <n v="16.899999999999999"/>
    <n v="1.9"/>
    <n v="4"/>
    <x v="3"/>
    <x v="1"/>
    <n v="30.73"/>
  </r>
  <r>
    <n v="44"/>
    <x v="3"/>
    <x v="0"/>
    <n v="65"/>
    <n v="1.57"/>
    <n v="165"/>
    <n v="168"/>
    <n v="70"/>
    <n v="1.02"/>
    <n v="1232"/>
    <x v="1"/>
    <x v="1"/>
    <n v="27.9"/>
    <n v="3.6"/>
    <n v="3"/>
    <x v="1"/>
    <x v="1"/>
    <n v="32.75"/>
  </r>
  <r>
    <n v="24"/>
    <x v="1"/>
    <x v="1"/>
    <n v="86.3"/>
    <n v="1.71"/>
    <n v="191"/>
    <n v="150"/>
    <n v="50"/>
    <n v="1.33"/>
    <n v="1166"/>
    <x v="3"/>
    <x v="2"/>
    <n v="33.299999999999997"/>
    <n v="1.8"/>
    <n v="3"/>
    <x v="1"/>
    <x v="2"/>
    <n v="18.7"/>
  </r>
  <r>
    <n v="39"/>
    <x v="3"/>
    <x v="1"/>
    <n v="43.3"/>
    <n v="1.68"/>
    <n v="184"/>
    <n v="128"/>
    <n v="51"/>
    <n v="1.5"/>
    <n v="712"/>
    <x v="1"/>
    <x v="3"/>
    <n v="13.2"/>
    <n v="1.5"/>
    <n v="2"/>
    <x v="0"/>
    <x v="0"/>
    <n v="17.059999999999999"/>
  </r>
  <r>
    <n v="18"/>
    <x v="1"/>
    <x v="1"/>
    <n v="50.6"/>
    <n v="2"/>
    <n v="179"/>
    <n v="133"/>
    <n v="18"/>
    <n v="1.85"/>
    <n v="1265"/>
    <x v="0"/>
    <x v="1"/>
    <n v="19.8"/>
    <n v="2.7"/>
    <m/>
    <x v="0"/>
    <x v="2"/>
    <n v="20.88"/>
  </r>
  <r>
    <n v="52"/>
    <x v="2"/>
    <x v="1"/>
    <n v="40"/>
    <n v="1.71"/>
    <n v="165"/>
    <n v="157"/>
    <n v="74"/>
    <n v="1.64"/>
    <n v="1001"/>
    <x v="2"/>
    <x v="1"/>
    <n v="18.600000000000001"/>
    <n v="2.8"/>
    <n v="4"/>
    <x v="0"/>
    <x v="0"/>
    <n v="17.27"/>
  </r>
  <r>
    <n v="18"/>
    <x v="1"/>
    <x v="0"/>
    <n v="59.9"/>
    <n v="1.76"/>
    <n v="179"/>
    <n v="169"/>
    <n v="66"/>
    <n v="1.26"/>
    <n v="1024"/>
    <x v="1"/>
    <x v="0"/>
    <m/>
    <n v="2.1"/>
    <n v="3"/>
    <x v="1"/>
    <x v="2"/>
    <n v="18.690000000000001"/>
  </r>
  <r>
    <n v="56"/>
    <x v="4"/>
    <x v="0"/>
    <n v="59.1"/>
    <n v="2"/>
    <n v="177"/>
    <m/>
    <n v="58"/>
    <n v="0.94"/>
    <n v="1277"/>
    <x v="3"/>
    <x v="0"/>
    <n v="14.1"/>
    <n v="3.4"/>
    <n v="3"/>
    <x v="0"/>
    <x v="0"/>
    <n v="16.29"/>
  </r>
  <r>
    <n v="24"/>
    <x v="1"/>
    <x v="2"/>
    <n v="62.8"/>
    <n v="1.68"/>
    <n v="177"/>
    <n v="163"/>
    <n v="53"/>
    <n v="2"/>
    <n v="1005"/>
    <x v="2"/>
    <x v="1"/>
    <n v="25.9"/>
    <n v="2.9"/>
    <n v="4"/>
    <x v="1"/>
    <x v="2"/>
    <n v="19.91"/>
  </r>
  <r>
    <n v="59"/>
    <x v="4"/>
    <x v="0"/>
    <n v="72.8"/>
    <n v="1.65"/>
    <n v="172"/>
    <n v="165"/>
    <n v="55"/>
    <n v="1.17"/>
    <n v="1104"/>
    <x v="2"/>
    <x v="0"/>
    <n v="15.4"/>
    <n v="3.4"/>
    <n v="3"/>
    <x v="1"/>
    <x v="0"/>
    <n v="14.86"/>
  </r>
  <r>
    <n v="29"/>
    <x v="0"/>
    <x v="0"/>
    <n v="65"/>
    <n v="1.77"/>
    <n v="194"/>
    <n v="152"/>
    <n v="66"/>
    <n v="1.34"/>
    <n v="715"/>
    <x v="2"/>
    <x v="1"/>
    <n v="25.2"/>
    <n v="1.8"/>
    <n v="2"/>
    <x v="1"/>
    <x v="2"/>
    <n v="23.25"/>
  </r>
  <r>
    <n v="18"/>
    <x v="1"/>
    <x v="0"/>
    <n v="74.2"/>
    <n v="1.85"/>
    <n v="177"/>
    <n v="151"/>
    <n v="66"/>
    <n v="2"/>
    <n v="1104"/>
    <x v="2"/>
    <x v="1"/>
    <n v="28"/>
    <n v="1.5"/>
    <n v="3"/>
    <x v="1"/>
    <x v="0"/>
    <m/>
  </r>
  <r>
    <n v="46"/>
    <x v="2"/>
    <x v="0"/>
    <n v="61.2"/>
    <n v="1.79"/>
    <n v="190"/>
    <n v="157"/>
    <n v="72"/>
    <n v="1.05"/>
    <n v="947"/>
    <x v="0"/>
    <x v="3"/>
    <n v="22.6"/>
    <n v="2.5"/>
    <n v="3"/>
    <x v="1"/>
    <x v="0"/>
    <n v="17.28"/>
  </r>
  <r>
    <n v="27"/>
    <x v="0"/>
    <x v="0"/>
    <n v="63.3"/>
    <n v="1.9"/>
    <n v="183"/>
    <n v="148"/>
    <n v="67"/>
    <n v="0.57999999999999996"/>
    <n v="933"/>
    <x v="2"/>
    <x v="3"/>
    <n v="20"/>
    <n v="3.2"/>
    <n v="4"/>
    <x v="0"/>
    <x v="2"/>
    <n v="22.45"/>
  </r>
  <r>
    <n v="40"/>
    <x v="3"/>
    <x v="0"/>
    <n v="95.3"/>
    <n v="1.86"/>
    <n v="171"/>
    <n v="130"/>
    <n v="67"/>
    <n v="1.46"/>
    <n v="796"/>
    <x v="0"/>
    <x v="0"/>
    <n v="10"/>
    <n v="2"/>
    <n v="4"/>
    <x v="1"/>
    <x v="2"/>
    <n v="22.23"/>
  </r>
  <r>
    <n v="42"/>
    <x v="3"/>
    <x v="2"/>
    <n v="73.599999999999994"/>
    <n v="1.73"/>
    <n v="182"/>
    <n v="159"/>
    <n v="66"/>
    <n v="1.65"/>
    <n v="1265"/>
    <x v="1"/>
    <x v="3"/>
    <n v="23.2"/>
    <n v="2.4"/>
    <n v="2"/>
    <x v="0"/>
    <x v="0"/>
    <m/>
  </r>
  <r>
    <n v="35"/>
    <x v="3"/>
    <x v="1"/>
    <n v="124.8"/>
    <n v="1.75"/>
    <n v="176"/>
    <n v="161"/>
    <n v="59"/>
    <n v="1.2"/>
    <n v="1240"/>
    <x v="3"/>
    <x v="0"/>
    <n v="10"/>
    <n v="3.3"/>
    <n v="3"/>
    <x v="0"/>
    <x v="4"/>
    <n v="28.03"/>
  </r>
  <r>
    <n v="18"/>
    <x v="1"/>
    <x v="1"/>
    <n v="75.400000000000006"/>
    <n v="1.97"/>
    <n v="177"/>
    <n v="136"/>
    <n v="67"/>
    <n v="0.76"/>
    <n v="1371"/>
    <x v="2"/>
    <x v="2"/>
    <n v="29.7"/>
    <n v="3.1"/>
    <n v="2"/>
    <x v="1"/>
    <x v="0"/>
    <n v="15.43"/>
  </r>
  <r>
    <n v="46"/>
    <x v="2"/>
    <x v="1"/>
    <n v="49.8"/>
    <n v="1.91"/>
    <n v="160"/>
    <n v="146"/>
    <n v="65"/>
    <n v="2"/>
    <n v="1009"/>
    <x v="2"/>
    <x v="2"/>
    <n v="29.4"/>
    <n v="3"/>
    <n v="3"/>
    <x v="2"/>
    <x v="0"/>
    <n v="12.84"/>
  </r>
  <r>
    <n v="18"/>
    <x v="1"/>
    <x v="1"/>
    <n v="61"/>
    <n v="1.67"/>
    <n v="163"/>
    <n v="139"/>
    <n v="70"/>
    <n v="1.22"/>
    <n v="361"/>
    <x v="0"/>
    <x v="2"/>
    <n v="27.4"/>
    <n v="3.4"/>
    <n v="2"/>
    <x v="2"/>
    <x v="0"/>
    <n v="17.170000000000002"/>
  </r>
  <r>
    <n v="47"/>
    <x v="2"/>
    <x v="1"/>
    <n v="100.2"/>
    <n v="1.67"/>
    <n v="196"/>
    <n v="151"/>
    <n v="73"/>
    <n v="1.48"/>
    <n v="953"/>
    <x v="4"/>
    <x v="1"/>
    <n v="24.5"/>
    <n v="3.2"/>
    <n v="3"/>
    <x v="3"/>
    <x v="4"/>
    <n v="26.79"/>
  </r>
  <r>
    <n v="33"/>
    <x v="0"/>
    <x v="0"/>
    <n v="73"/>
    <n v="1.69"/>
    <n v="196"/>
    <n v="135"/>
    <n v="67"/>
    <n v="1.93"/>
    <n v="881"/>
    <x v="3"/>
    <x v="0"/>
    <n v="10"/>
    <n v="2.2000000000000002"/>
    <n v="2"/>
    <x v="0"/>
    <x v="2"/>
    <n v="23.54"/>
  </r>
  <r>
    <n v="30"/>
    <x v="0"/>
    <x v="1"/>
    <n v="88.2"/>
    <n v="1.72"/>
    <n v="191"/>
    <n v="155"/>
    <n v="54"/>
    <n v="1.28"/>
    <n v="911"/>
    <x v="0"/>
    <x v="2"/>
    <n v="27.2"/>
    <n v="2.2000000000000002"/>
    <n v="4"/>
    <x v="2"/>
    <x v="0"/>
    <n v="15.42"/>
  </r>
  <r>
    <n v="34"/>
    <x v="0"/>
    <x v="0"/>
    <n v="61.7"/>
    <n v="1.81"/>
    <n v="183"/>
    <n v="141"/>
    <n v="72"/>
    <n v="0.98"/>
    <n v="1443"/>
    <x v="2"/>
    <x v="2"/>
    <n v="31.4"/>
    <n v="2.6"/>
    <n v="4"/>
    <x v="2"/>
    <x v="2"/>
    <n v="20.6"/>
  </r>
  <r>
    <n v="30"/>
    <x v="0"/>
    <x v="1"/>
    <n v="120"/>
    <n v="1.79"/>
    <n v="187"/>
    <n v="141"/>
    <n v="51"/>
    <n v="2"/>
    <n v="1508"/>
    <x v="3"/>
    <x v="0"/>
    <m/>
    <n v="2.5"/>
    <n v="4"/>
    <x v="1"/>
    <x v="2"/>
    <n v="21.36"/>
  </r>
  <r>
    <n v="30"/>
    <x v="0"/>
    <x v="1"/>
    <n v="45.4"/>
    <n v="1.73"/>
    <n v="197"/>
    <n v="151"/>
    <n v="50"/>
    <n v="1.27"/>
    <n v="1200"/>
    <x v="1"/>
    <x v="1"/>
    <n v="23.1"/>
    <n v="3.6"/>
    <n v="4"/>
    <x v="2"/>
    <x v="0"/>
    <n v="17.329999999999998"/>
  </r>
  <r>
    <n v="30"/>
    <x v="0"/>
    <x v="1"/>
    <n v="40"/>
    <n v="1.87"/>
    <n v="186"/>
    <n v="140"/>
    <n v="56"/>
    <n v="1.57"/>
    <n v="848"/>
    <x v="4"/>
    <x v="2"/>
    <n v="26.6"/>
    <n v="2.6"/>
    <n v="5"/>
    <x v="1"/>
    <x v="0"/>
    <n v="12.87"/>
  </r>
  <r>
    <n v="22"/>
    <x v="1"/>
    <x v="1"/>
    <n v="129.9"/>
    <n v="1.62"/>
    <n v="185"/>
    <n v="141"/>
    <n v="52"/>
    <n v="1.62"/>
    <n v="571"/>
    <x v="0"/>
    <x v="2"/>
    <n v="27.2"/>
    <n v="1.8"/>
    <n v="4"/>
    <x v="0"/>
    <x v="0"/>
    <n v="12.32"/>
  </r>
  <r>
    <n v="53"/>
    <x v="2"/>
    <x v="0"/>
    <n v="71.900000000000006"/>
    <n v="2"/>
    <n v="191"/>
    <n v="161"/>
    <n v="74"/>
    <n v="1.6"/>
    <n v="1286"/>
    <x v="1"/>
    <x v="1"/>
    <n v="29"/>
    <n v="3.7"/>
    <n v="5"/>
    <x v="0"/>
    <x v="0"/>
    <n v="12.32"/>
  </r>
  <r>
    <n v="44"/>
    <x v="3"/>
    <x v="0"/>
    <n v="115.6"/>
    <n v="1.5"/>
    <n v="186"/>
    <n v="145"/>
    <n v="55"/>
    <n v="1.65"/>
    <n v="1075"/>
    <x v="2"/>
    <x v="1"/>
    <n v="25.1"/>
    <n v="3.5"/>
    <n v="2"/>
    <x v="1"/>
    <x v="0"/>
    <n v="18.41"/>
  </r>
  <r>
    <n v="26"/>
    <x v="0"/>
    <x v="0"/>
    <n v="64.7"/>
    <n v="1.61"/>
    <n v="197"/>
    <n v="137"/>
    <n v="74"/>
    <n v="1.48"/>
    <n v="1088"/>
    <x v="2"/>
    <x v="1"/>
    <n v="25.1"/>
    <n v="2.2000000000000002"/>
    <n v="5"/>
    <x v="0"/>
    <x v="2"/>
    <n v="24.23"/>
  </r>
  <r>
    <n v="52"/>
    <x v="2"/>
    <x v="1"/>
    <n v="58.2"/>
    <n v="1.71"/>
    <n v="182"/>
    <n v="161"/>
    <n v="50"/>
    <n v="1.49"/>
    <n v="1364"/>
    <x v="2"/>
    <x v="2"/>
    <n v="28.7"/>
    <n v="3.5"/>
    <n v="3"/>
    <x v="0"/>
    <x v="2"/>
    <n v="21.89"/>
  </r>
  <r>
    <n v="49"/>
    <x v="2"/>
    <x v="1"/>
    <n v="53.8"/>
    <n v="1.81"/>
    <n v="185"/>
    <n v="169"/>
    <n v="71"/>
    <n v="1.56"/>
    <n v="1345"/>
    <x v="0"/>
    <x v="2"/>
    <n v="25.3"/>
    <n v="2.4"/>
    <n v="4"/>
    <x v="0"/>
    <x v="2"/>
    <n v="19.34"/>
  </r>
  <r>
    <n v="26"/>
    <x v="0"/>
    <x v="0"/>
    <n v="63.6"/>
    <n v="1.77"/>
    <n v="173"/>
    <n v="145"/>
    <n v="55"/>
    <n v="1.29"/>
    <n v="1586"/>
    <x v="0"/>
    <x v="0"/>
    <n v="18.899999999999999"/>
    <n v="2.8"/>
    <n v="3"/>
    <x v="1"/>
    <x v="2"/>
    <n v="22.45"/>
  </r>
  <r>
    <n v="23"/>
    <x v="1"/>
    <x v="1"/>
    <n v="62.3"/>
    <n v="1.68"/>
    <n v="167"/>
    <n v="122"/>
    <n v="74"/>
    <n v="1.69"/>
    <n v="772"/>
    <x v="1"/>
    <x v="1"/>
    <n v="21.1"/>
    <n v="3.3"/>
    <m/>
    <x v="1"/>
    <x v="0"/>
    <n v="12.98"/>
  </r>
  <r>
    <n v="26"/>
    <x v="0"/>
    <x v="1"/>
    <n v="55.9"/>
    <n v="1.61"/>
    <n v="192"/>
    <m/>
    <n v="74"/>
    <n v="1"/>
    <n v="1133"/>
    <x v="1"/>
    <x v="1"/>
    <n v="21.1"/>
    <n v="2.6"/>
    <n v="5"/>
    <x v="1"/>
    <x v="2"/>
    <n v="21.42"/>
  </r>
  <r>
    <n v="41"/>
    <x v="3"/>
    <x v="0"/>
    <n v="65.7"/>
    <n v="1.57"/>
    <n v="170"/>
    <n v="169"/>
    <n v="71"/>
    <n v="1.1299999999999999"/>
    <n v="708"/>
    <x v="3"/>
    <x v="1"/>
    <n v="26.5"/>
    <n v="1.9"/>
    <n v="5"/>
    <x v="1"/>
    <x v="0"/>
    <n v="12.32"/>
  </r>
  <r>
    <n v="59"/>
    <x v="4"/>
    <x v="0"/>
    <n v="65.5"/>
    <n v="1.78"/>
    <n v="168"/>
    <n v="139"/>
    <n v="56"/>
    <n v="1.26"/>
    <n v="505"/>
    <x v="0"/>
    <x v="3"/>
    <n v="22.8"/>
    <n v="2"/>
    <n v="2"/>
    <x v="0"/>
    <x v="4"/>
    <n v="28.6"/>
  </r>
  <r>
    <n v="39"/>
    <x v="3"/>
    <x v="0"/>
    <n v="90.5"/>
    <m/>
    <n v="175"/>
    <n v="169"/>
    <n v="51"/>
    <n v="2"/>
    <n v="883"/>
    <x v="2"/>
    <x v="1"/>
    <n v="30.8"/>
    <n v="3.6"/>
    <n v="3"/>
    <x v="0"/>
    <x v="2"/>
    <n v="20.059999999999999"/>
  </r>
  <r>
    <n v="28"/>
    <x v="0"/>
    <x v="0"/>
    <n v="40"/>
    <n v="1.81"/>
    <n v="194"/>
    <n v="164"/>
    <n v="57"/>
    <n v="1.57"/>
    <n v="1070"/>
    <x v="3"/>
    <x v="3"/>
    <n v="21.3"/>
    <n v="3.4"/>
    <n v="3"/>
    <x v="1"/>
    <x v="1"/>
    <n v="37.33"/>
  </r>
  <r>
    <n v="48"/>
    <x v="2"/>
    <x v="1"/>
    <n v="40"/>
    <n v="1.67"/>
    <n v="169"/>
    <n v="168"/>
    <n v="57"/>
    <n v="2"/>
    <n v="833"/>
    <x v="0"/>
    <x v="1"/>
    <n v="17.8"/>
    <n v="2.2000000000000002"/>
    <n v="3"/>
    <x v="2"/>
    <x v="0"/>
    <n v="12.32"/>
  </r>
  <r>
    <n v="54"/>
    <x v="2"/>
    <x v="0"/>
    <n v="76.8"/>
    <n v="1.79"/>
    <n v="189"/>
    <n v="132"/>
    <n v="64"/>
    <n v="1.32"/>
    <n v="815"/>
    <x v="0"/>
    <x v="3"/>
    <n v="20.7"/>
    <n v="2.1"/>
    <n v="4"/>
    <x v="1"/>
    <x v="2"/>
    <n v="20.66"/>
  </r>
  <r>
    <n v="26"/>
    <x v="0"/>
    <x v="0"/>
    <n v="92.4"/>
    <n v="1.59"/>
    <n v="165"/>
    <n v="169"/>
    <n v="55"/>
    <n v="1.49"/>
    <n v="1783"/>
    <x v="2"/>
    <x v="1"/>
    <n v="24.9"/>
    <n v="1.5"/>
    <n v="4"/>
    <x v="0"/>
    <x v="2"/>
    <n v="22.09"/>
  </r>
  <r>
    <n v="28"/>
    <x v="0"/>
    <x v="1"/>
    <n v="88.5"/>
    <n v="1.64"/>
    <n v="160"/>
    <n v="163"/>
    <n v="50"/>
    <n v="1.25"/>
    <n v="1190"/>
    <x v="1"/>
    <x v="2"/>
    <n v="31.7"/>
    <n v="3.2"/>
    <n v="3"/>
    <x v="1"/>
    <x v="4"/>
    <n v="26.98"/>
  </r>
  <r>
    <n v="52"/>
    <x v="2"/>
    <x v="0"/>
    <n v="54.3"/>
    <n v="1.73"/>
    <n v="185"/>
    <n v="137"/>
    <n v="57"/>
    <n v="2"/>
    <n v="1783"/>
    <x v="3"/>
    <x v="3"/>
    <n v="20.5"/>
    <n v="3.1"/>
    <n v="3"/>
    <x v="0"/>
    <x v="2"/>
    <n v="22.75"/>
  </r>
  <r>
    <n v="23"/>
    <x v="1"/>
    <x v="1"/>
    <n v="71.2"/>
    <n v="1.56"/>
    <n v="170"/>
    <n v="140"/>
    <n v="68"/>
    <n v="0.79"/>
    <n v="1014"/>
    <x v="3"/>
    <x v="1"/>
    <n v="21.8"/>
    <n v="3.5"/>
    <n v="4"/>
    <x v="1"/>
    <x v="0"/>
    <n v="13.25"/>
  </r>
  <r>
    <n v="26"/>
    <x v="0"/>
    <x v="0"/>
    <n v="64.099999999999994"/>
    <n v="1.68"/>
    <n v="190"/>
    <n v="168"/>
    <n v="55"/>
    <n v="1.35"/>
    <n v="1175"/>
    <x v="0"/>
    <x v="1"/>
    <n v="28.1"/>
    <n v="3.4"/>
    <n v="2"/>
    <x v="0"/>
    <x v="3"/>
    <n v="39.840000000000003"/>
  </r>
  <r>
    <n v="18"/>
    <x v="1"/>
    <x v="0"/>
    <n v="45.3"/>
    <n v="1.75"/>
    <n v="190"/>
    <n v="169"/>
    <n v="69"/>
    <n v="0.82"/>
    <n v="808"/>
    <x v="1"/>
    <x v="1"/>
    <n v="28.4"/>
    <n v="3.7"/>
    <n v="2"/>
    <x v="2"/>
    <x v="4"/>
    <n v="26.5"/>
  </r>
  <r>
    <n v="21"/>
    <x v="1"/>
    <x v="0"/>
    <n v="76"/>
    <n v="1.72"/>
    <n v="196"/>
    <n v="160"/>
    <n v="73"/>
    <n v="1.51"/>
    <n v="1306"/>
    <x v="0"/>
    <x v="1"/>
    <n v="28.8"/>
    <n v="3.5"/>
    <n v="3"/>
    <x v="2"/>
    <x v="0"/>
    <n v="12.32"/>
  </r>
  <r>
    <n v="41"/>
    <x v="3"/>
    <x v="0"/>
    <n v="40"/>
    <n v="1.69"/>
    <n v="192"/>
    <n v="138"/>
    <n v="66"/>
    <n v="0.95"/>
    <n v="1556"/>
    <x v="3"/>
    <x v="1"/>
    <n v="26"/>
    <n v="2.6"/>
    <n v="4"/>
    <x v="1"/>
    <x v="2"/>
    <n v="19.940000000000001"/>
  </r>
  <r>
    <n v="30"/>
    <x v="0"/>
    <x v="1"/>
    <n v="129.9"/>
    <n v="1.78"/>
    <n v="189"/>
    <n v="120"/>
    <n v="74"/>
    <n v="1.51"/>
    <n v="828"/>
    <x v="3"/>
    <x v="1"/>
    <n v="20"/>
    <n v="1.5"/>
    <n v="2"/>
    <x v="1"/>
    <x v="1"/>
    <n v="30.83"/>
  </r>
  <r>
    <n v="27"/>
    <x v="0"/>
    <x v="0"/>
    <n v="62.9"/>
    <n v="1.73"/>
    <n v="187"/>
    <n v="157"/>
    <n v="54"/>
    <n v="0.99"/>
    <n v="569"/>
    <x v="0"/>
    <x v="1"/>
    <n v="27.9"/>
    <n v="2.4"/>
    <n v="4"/>
    <x v="1"/>
    <x v="4"/>
    <n v="28.52"/>
  </r>
  <r>
    <n v="28"/>
    <x v="0"/>
    <x v="1"/>
    <n v="69.3"/>
    <n v="1.99"/>
    <n v="183"/>
    <n v="154"/>
    <n v="62"/>
    <n v="1.97"/>
    <n v="827"/>
    <x v="0"/>
    <x v="3"/>
    <n v="14.4"/>
    <n v="1.5"/>
    <n v="4"/>
    <x v="0"/>
    <x v="2"/>
    <n v="18.72"/>
  </r>
  <r>
    <n v="38"/>
    <x v="3"/>
    <x v="1"/>
    <n v="60.6"/>
    <n v="1.81"/>
    <n v="170"/>
    <n v="159"/>
    <n v="71"/>
    <n v="1.45"/>
    <n v="577"/>
    <x v="1"/>
    <x v="1"/>
    <n v="24.8"/>
    <n v="3.7"/>
    <n v="3"/>
    <x v="2"/>
    <x v="0"/>
    <n v="13.74"/>
  </r>
  <r>
    <n v="59"/>
    <x v="4"/>
    <x v="0"/>
    <n v="40"/>
    <n v="1.65"/>
    <n v="179"/>
    <n v="163"/>
    <n v="71"/>
    <n v="1.93"/>
    <n v="823"/>
    <x v="1"/>
    <x v="3"/>
    <n v="23.4"/>
    <n v="3.4"/>
    <n v="3"/>
    <x v="1"/>
    <x v="2"/>
    <n v="22.78"/>
  </r>
  <r>
    <n v="33"/>
    <x v="0"/>
    <x v="0"/>
    <n v="56.6"/>
    <n v="2"/>
    <n v="173"/>
    <n v="131"/>
    <n v="71"/>
    <n v="1.65"/>
    <n v="680"/>
    <x v="4"/>
    <x v="1"/>
    <n v="24.1"/>
    <n v="1.9"/>
    <n v="3"/>
    <x v="0"/>
    <x v="1"/>
    <n v="37.619999999999997"/>
  </r>
  <r>
    <n v="27"/>
    <x v="0"/>
    <x v="0"/>
    <n v="75.2"/>
    <n v="1.96"/>
    <n v="172"/>
    <n v="132"/>
    <n v="61"/>
    <n v="1.22"/>
    <n v="829"/>
    <x v="2"/>
    <x v="0"/>
    <n v="14.9"/>
    <n v="2.7"/>
    <n v="3"/>
    <x v="1"/>
    <x v="2"/>
    <n v="21.52"/>
  </r>
  <r>
    <n v="46"/>
    <x v="2"/>
    <x v="0"/>
    <n v="78.400000000000006"/>
    <n v="1.55"/>
    <n v="176"/>
    <n v="132"/>
    <n v="69"/>
    <n v="2"/>
    <m/>
    <x v="0"/>
    <x v="3"/>
    <n v="23.3"/>
    <n v="2.2000000000000002"/>
    <n v="2"/>
    <x v="1"/>
    <x v="2"/>
    <n v="23.63"/>
  </r>
  <r>
    <n v="25"/>
    <x v="0"/>
    <x v="1"/>
    <n v="42.2"/>
    <n v="1.82"/>
    <n v="185"/>
    <n v="140"/>
    <n v="56"/>
    <n v="0.86"/>
    <n v="373"/>
    <x v="0"/>
    <x v="1"/>
    <n v="17.899999999999999"/>
    <n v="3.5"/>
    <n v="4"/>
    <x v="0"/>
    <x v="4"/>
    <n v="29.27"/>
  </r>
  <r>
    <n v="29"/>
    <x v="0"/>
    <x v="0"/>
    <n v="57"/>
    <n v="1.7"/>
    <n v="168"/>
    <n v="160"/>
    <n v="61"/>
    <n v="0.74"/>
    <n v="976"/>
    <x v="3"/>
    <x v="0"/>
    <n v="17.7"/>
    <n v="2.8"/>
    <n v="4"/>
    <x v="2"/>
    <x v="0"/>
    <n v="12.32"/>
  </r>
  <r>
    <n v="32"/>
    <x v="0"/>
    <x v="0"/>
    <n v="40"/>
    <n v="1.89"/>
    <n v="177"/>
    <n v="134"/>
    <n v="71"/>
    <m/>
    <n v="1270"/>
    <x v="2"/>
    <x v="3"/>
    <n v="23.9"/>
    <n v="1.9"/>
    <m/>
    <x v="0"/>
    <x v="0"/>
    <n v="18"/>
  </r>
  <r>
    <n v="49"/>
    <x v="2"/>
    <x v="1"/>
    <n v="128.5"/>
    <n v="1.96"/>
    <n v="196"/>
    <n v="138"/>
    <n v="68"/>
    <n v="0.5"/>
    <n v="1165"/>
    <x v="1"/>
    <x v="2"/>
    <n v="26.1"/>
    <n v="3.4"/>
    <n v="2"/>
    <x v="1"/>
    <x v="2"/>
    <n v="22.89"/>
  </r>
  <r>
    <n v="28"/>
    <x v="0"/>
    <x v="0"/>
    <n v="45"/>
    <n v="1.8"/>
    <n v="187"/>
    <n v="162"/>
    <n v="74"/>
    <n v="1.82"/>
    <n v="1395"/>
    <x v="0"/>
    <x v="3"/>
    <n v="23.2"/>
    <n v="2.7"/>
    <n v="4"/>
    <x v="2"/>
    <x v="0"/>
    <n v="12.32"/>
  </r>
  <r>
    <n v="18"/>
    <x v="1"/>
    <x v="0"/>
    <n v="78.5"/>
    <n v="1.81"/>
    <n v="190"/>
    <n v="127"/>
    <n v="74"/>
    <n v="1.38"/>
    <n v="466"/>
    <x v="3"/>
    <x v="1"/>
    <n v="29.9"/>
    <n v="1.7"/>
    <n v="4"/>
    <x v="2"/>
    <x v="0"/>
    <n v="15.7"/>
  </r>
  <r>
    <n v="50"/>
    <x v="2"/>
    <x v="0"/>
    <n v="49.4"/>
    <n v="1.91"/>
    <n v="188"/>
    <n v="131"/>
    <n v="74"/>
    <n v="1.1100000000000001"/>
    <n v="963"/>
    <x v="0"/>
    <x v="0"/>
    <n v="17.600000000000001"/>
    <n v="2.7"/>
    <n v="2"/>
    <x v="1"/>
    <x v="0"/>
    <n v="17.89"/>
  </r>
  <r>
    <n v="27"/>
    <x v="0"/>
    <x v="0"/>
    <n v="50.3"/>
    <n v="1.66"/>
    <n v="180"/>
    <n v="131"/>
    <n v="74"/>
    <n v="1.1200000000000001"/>
    <n v="677"/>
    <x v="1"/>
    <x v="1"/>
    <n v="27.6"/>
    <n v="1.8"/>
    <n v="2"/>
    <x v="0"/>
    <x v="3"/>
    <n v="39.72"/>
  </r>
  <r>
    <n v="40"/>
    <x v="3"/>
    <x v="0"/>
    <n v="61"/>
    <n v="1.88"/>
    <n v="171"/>
    <n v="138"/>
    <n v="62"/>
    <n v="1.38"/>
    <n v="1180"/>
    <x v="2"/>
    <x v="1"/>
    <n v="24.9"/>
    <n v="2"/>
    <n v="2"/>
    <x v="2"/>
    <x v="0"/>
    <n v="12.32"/>
  </r>
  <r>
    <n v="59"/>
    <x v="4"/>
    <x v="1"/>
    <n v="79.3"/>
    <n v="1.79"/>
    <n v="198"/>
    <n v="162"/>
    <n v="74"/>
    <n v="1.78"/>
    <n v="933"/>
    <x v="0"/>
    <x v="2"/>
    <n v="25.2"/>
    <n v="2.7"/>
    <n v="4"/>
    <x v="0"/>
    <x v="0"/>
    <n v="16"/>
  </r>
  <r>
    <n v="57"/>
    <x v="4"/>
    <x v="0"/>
    <n v="40"/>
    <n v="1.62"/>
    <n v="190"/>
    <n v="123"/>
    <n v="57"/>
    <n v="1.43"/>
    <n v="1093"/>
    <x v="3"/>
    <x v="1"/>
    <n v="25.2"/>
    <n v="3.2"/>
    <n v="5"/>
    <x v="1"/>
    <x v="2"/>
    <n v="21.11"/>
  </r>
  <r>
    <n v="18"/>
    <x v="1"/>
    <x v="1"/>
    <n v="50"/>
    <n v="1.69"/>
    <n v="196"/>
    <n v="143"/>
    <n v="53"/>
    <m/>
    <n v="1115"/>
    <x v="3"/>
    <x v="1"/>
    <n v="21.6"/>
    <n v="2.7"/>
    <n v="4"/>
    <x v="3"/>
    <x v="4"/>
    <n v="28.53"/>
  </r>
  <r>
    <n v="18"/>
    <x v="1"/>
    <x v="1"/>
    <n v="48.6"/>
    <n v="1.95"/>
    <n v="175"/>
    <n v="152"/>
    <n v="57"/>
    <n v="1.87"/>
    <n v="862"/>
    <x v="0"/>
    <x v="1"/>
    <n v="23.1"/>
    <n v="1.6"/>
    <n v="3"/>
    <x v="1"/>
    <x v="0"/>
    <n v="12.32"/>
  </r>
  <r>
    <n v="26"/>
    <x v="0"/>
    <x v="1"/>
    <n v="91.3"/>
    <n v="1.63"/>
    <n v="186"/>
    <n v="156"/>
    <n v="67"/>
    <n v="0.92"/>
    <n v="1091"/>
    <x v="3"/>
    <x v="1"/>
    <n v="22.6"/>
    <n v="2.4"/>
    <m/>
    <x v="1"/>
    <x v="2"/>
    <n v="19.46"/>
  </r>
  <r>
    <n v="50"/>
    <x v="2"/>
    <x v="0"/>
    <n v="102.2"/>
    <n v="1.65"/>
    <n v="198"/>
    <n v="157"/>
    <n v="64"/>
    <n v="1.64"/>
    <n v="1123"/>
    <x v="3"/>
    <x v="0"/>
    <n v="17.3"/>
    <n v="3.3"/>
    <n v="4"/>
    <x v="0"/>
    <x v="0"/>
    <n v="17.77"/>
  </r>
  <r>
    <n v="48"/>
    <x v="2"/>
    <x v="0"/>
    <n v="40"/>
    <n v="1.75"/>
    <n v="196"/>
    <n v="133"/>
    <n v="74"/>
    <n v="2"/>
    <n v="517"/>
    <x v="1"/>
    <x v="0"/>
    <n v="12.8"/>
    <n v="2.5"/>
    <n v="4"/>
    <x v="1"/>
    <x v="0"/>
    <n v="12.32"/>
  </r>
  <r>
    <n v="41"/>
    <x v="3"/>
    <x v="0"/>
    <n v="69.599999999999994"/>
    <n v="1.63"/>
    <n v="193"/>
    <n v="169"/>
    <n v="55"/>
    <n v="1.46"/>
    <n v="1157"/>
    <x v="0"/>
    <x v="1"/>
    <n v="27.9"/>
    <n v="3.7"/>
    <n v="4"/>
    <x v="1"/>
    <x v="1"/>
    <n v="32.29"/>
  </r>
  <r>
    <n v="23"/>
    <x v="1"/>
    <x v="0"/>
    <n v="56.8"/>
    <n v="1.75"/>
    <n v="183"/>
    <n v="149"/>
    <n v="74"/>
    <n v="1.54"/>
    <n v="926"/>
    <x v="0"/>
    <x v="1"/>
    <n v="25.3"/>
    <n v="2.6"/>
    <n v="2"/>
    <x v="3"/>
    <x v="0"/>
    <n v="12.32"/>
  </r>
  <r>
    <n v="50"/>
    <x v="2"/>
    <x v="0"/>
    <n v="99.4"/>
    <n v="1.7"/>
    <n v="181"/>
    <n v="120"/>
    <n v="58"/>
    <n v="0.88"/>
    <n v="694"/>
    <x v="3"/>
    <x v="1"/>
    <n v="30.5"/>
    <n v="1.5"/>
    <n v="3"/>
    <x v="3"/>
    <x v="0"/>
    <n v="16.45"/>
  </r>
  <r>
    <n v="18"/>
    <x v="1"/>
    <x v="1"/>
    <n v="51.4"/>
    <n v="1.83"/>
    <n v="195"/>
    <n v="141"/>
    <n v="54"/>
    <n v="0.97"/>
    <n v="1145"/>
    <x v="2"/>
    <x v="1"/>
    <n v="23.7"/>
    <n v="1.7"/>
    <n v="2"/>
    <x v="2"/>
    <x v="0"/>
    <n v="16.63"/>
  </r>
  <r>
    <n v="22"/>
    <x v="1"/>
    <x v="1"/>
    <n v="96.9"/>
    <n v="1.8"/>
    <n v="163"/>
    <n v="132"/>
    <n v="56"/>
    <n v="0.94"/>
    <n v="748"/>
    <x v="2"/>
    <x v="1"/>
    <n v="21.7"/>
    <n v="2.5"/>
    <n v="4"/>
    <x v="0"/>
    <x v="2"/>
    <n v="24.29"/>
  </r>
  <r>
    <n v="26"/>
    <x v="0"/>
    <x v="0"/>
    <n v="64.3"/>
    <n v="1.7"/>
    <n v="192"/>
    <n v="140"/>
    <n v="65"/>
    <n v="1.51"/>
    <n v="1236"/>
    <x v="3"/>
    <x v="2"/>
    <n v="33.9"/>
    <n v="3.6"/>
    <n v="3"/>
    <x v="0"/>
    <x v="3"/>
    <n v="39.07"/>
  </r>
  <r>
    <n v="42"/>
    <x v="3"/>
    <x v="0"/>
    <n v="40"/>
    <n v="1.72"/>
    <n v="197"/>
    <n v="139"/>
    <n v="74"/>
    <n v="1.64"/>
    <n v="1143"/>
    <x v="3"/>
    <x v="1"/>
    <n v="24"/>
    <n v="1.5"/>
    <n v="3"/>
    <x v="0"/>
    <x v="2"/>
    <n v="19.149999999999999"/>
  </r>
  <r>
    <n v="37"/>
    <x v="3"/>
    <x v="1"/>
    <n v="40"/>
    <n v="1.92"/>
    <n v="194"/>
    <n v="128"/>
    <n v="72"/>
    <n v="1.89"/>
    <n v="1753"/>
    <x v="0"/>
    <x v="0"/>
    <n v="10"/>
    <n v="3.4"/>
    <n v="5"/>
    <x v="1"/>
    <x v="0"/>
    <n v="15.24"/>
  </r>
  <r>
    <n v="30"/>
    <x v="0"/>
    <x v="0"/>
    <n v="85.4"/>
    <n v="1.71"/>
    <n v="188"/>
    <n v="169"/>
    <n v="74"/>
    <n v="1.17"/>
    <n v="744"/>
    <x v="2"/>
    <x v="3"/>
    <n v="21.6"/>
    <n v="3.6"/>
    <n v="4"/>
    <x v="0"/>
    <x v="2"/>
    <n v="20.149999999999999"/>
  </r>
  <r>
    <n v="33"/>
    <x v="0"/>
    <x v="0"/>
    <n v="72.900000000000006"/>
    <n v="1.58"/>
    <n v="178"/>
    <n v="153"/>
    <n v="57"/>
    <n v="0.94"/>
    <n v="1139"/>
    <x v="2"/>
    <x v="1"/>
    <n v="25.9"/>
    <n v="3.5"/>
    <n v="2"/>
    <x v="1"/>
    <x v="2"/>
    <n v="18.97"/>
  </r>
  <r>
    <n v="25"/>
    <x v="0"/>
    <x v="0"/>
    <n v="48.8"/>
    <n v="1.84"/>
    <n v="186"/>
    <n v="168"/>
    <n v="65"/>
    <n v="1.68"/>
    <n v="972"/>
    <x v="0"/>
    <x v="1"/>
    <n v="25"/>
    <n v="1.7"/>
    <n v="3"/>
    <x v="0"/>
    <x v="0"/>
    <n v="16.600000000000001"/>
  </r>
  <r>
    <n v="18"/>
    <x v="1"/>
    <x v="1"/>
    <n v="54.9"/>
    <n v="1.74"/>
    <n v="187"/>
    <n v="131"/>
    <n v="74"/>
    <n v="0.93"/>
    <n v="597"/>
    <x v="2"/>
    <x v="0"/>
    <m/>
    <n v="3.2"/>
    <n v="3"/>
    <x v="2"/>
    <x v="2"/>
    <n v="18.89"/>
  </r>
  <r>
    <n v="38"/>
    <x v="3"/>
    <x v="1"/>
    <n v="53.6"/>
    <n v="1.7"/>
    <n v="188"/>
    <n v="126"/>
    <n v="73"/>
    <n v="0.97"/>
    <n v="1083"/>
    <x v="3"/>
    <x v="2"/>
    <n v="30.4"/>
    <n v="3.4"/>
    <n v="4"/>
    <x v="0"/>
    <x v="0"/>
    <n v="12.32"/>
  </r>
  <r>
    <n v="47"/>
    <x v="2"/>
    <x v="1"/>
    <n v="77.900000000000006"/>
    <n v="1.76"/>
    <n v="164"/>
    <n v="139"/>
    <n v="59"/>
    <n v="1.29"/>
    <n v="1233"/>
    <x v="1"/>
    <x v="2"/>
    <n v="34"/>
    <n v="2.8"/>
    <n v="2"/>
    <x v="1"/>
    <x v="0"/>
    <n v="15.38"/>
  </r>
  <r>
    <n v="35"/>
    <x v="3"/>
    <x v="1"/>
    <n v="68.5"/>
    <n v="1.73"/>
    <n v="175"/>
    <n v="142"/>
    <n v="58"/>
    <n v="1.2"/>
    <n v="840"/>
    <x v="1"/>
    <x v="1"/>
    <n v="19.3"/>
    <n v="2.1"/>
    <n v="2"/>
    <x v="2"/>
    <x v="0"/>
    <n v="12.32"/>
  </r>
  <r>
    <n v="59"/>
    <x v="4"/>
    <x v="2"/>
    <m/>
    <n v="1.56"/>
    <n v="164"/>
    <n v="124"/>
    <n v="56"/>
    <n v="0.85"/>
    <n v="917"/>
    <x v="1"/>
    <x v="1"/>
    <n v="29.4"/>
    <n v="3.7"/>
    <n v="2"/>
    <x v="3"/>
    <x v="0"/>
    <n v="18.27"/>
  </r>
  <r>
    <n v="28"/>
    <x v="0"/>
    <x v="2"/>
    <n v="77.2"/>
    <n v="1.86"/>
    <n v="180"/>
    <n v="133"/>
    <n v="18"/>
    <n v="1.55"/>
    <n v="1710"/>
    <x v="0"/>
    <x v="1"/>
    <n v="26.5"/>
    <n v="1.6"/>
    <n v="4"/>
    <x v="2"/>
    <x v="0"/>
    <n v="17.34"/>
  </r>
  <r>
    <n v="32"/>
    <x v="0"/>
    <x v="0"/>
    <n v="113.1"/>
    <n v="1.73"/>
    <n v="165"/>
    <n v="135"/>
    <n v="58"/>
    <n v="1.5"/>
    <n v="1081"/>
    <x v="3"/>
    <x v="1"/>
    <n v="26.2"/>
    <n v="3.3"/>
    <n v="4"/>
    <x v="1"/>
    <x v="0"/>
    <n v="12.32"/>
  </r>
  <r>
    <n v="27"/>
    <x v="0"/>
    <x v="0"/>
    <n v="53.7"/>
    <n v="1.75"/>
    <n v="167"/>
    <n v="137"/>
    <n v="74"/>
    <n v="2"/>
    <n v="788"/>
    <x v="3"/>
    <x v="0"/>
    <n v="13.3"/>
    <n v="2.6"/>
    <n v="3"/>
    <x v="3"/>
    <x v="0"/>
    <n v="16.239999999999998"/>
  </r>
  <r>
    <n v="25"/>
    <x v="0"/>
    <x v="1"/>
    <n v="61.3"/>
    <n v="1.77"/>
    <n v="173"/>
    <n v="167"/>
    <n v="50"/>
    <n v="1.88"/>
    <n v="1760"/>
    <x v="0"/>
    <x v="2"/>
    <n v="35"/>
    <n v="3.1"/>
    <n v="4"/>
    <x v="0"/>
    <x v="0"/>
    <n v="17.690000000000001"/>
  </r>
  <r>
    <n v="38"/>
    <x v="3"/>
    <x v="1"/>
    <n v="41.1"/>
    <n v="1.67"/>
    <n v="184"/>
    <n v="133"/>
    <n v="74"/>
    <n v="0.63"/>
    <n v="804"/>
    <x v="2"/>
    <x v="2"/>
    <n v="25.6"/>
    <n v="2.8"/>
    <n v="5"/>
    <x v="2"/>
    <x v="0"/>
    <n v="14.26"/>
  </r>
  <r>
    <n v="36"/>
    <x v="3"/>
    <x v="1"/>
    <n v="78.2"/>
    <n v="1.63"/>
    <n v="191"/>
    <n v="169"/>
    <n v="74"/>
    <n v="2"/>
    <n v="1381"/>
    <x v="1"/>
    <x v="1"/>
    <n v="23.1"/>
    <n v="2.7"/>
    <n v="3"/>
    <x v="0"/>
    <x v="2"/>
    <n v="21.82"/>
  </r>
  <r>
    <n v="35"/>
    <x v="3"/>
    <x v="1"/>
    <n v="94.6"/>
    <n v="1.69"/>
    <n v="167"/>
    <n v="158"/>
    <n v="57"/>
    <n v="0.75"/>
    <n v="1534"/>
    <x v="3"/>
    <x v="2"/>
    <n v="33.1"/>
    <n v="2"/>
    <n v="4"/>
    <x v="0"/>
    <x v="2"/>
    <n v="22.21"/>
  </r>
  <r>
    <n v="28"/>
    <x v="0"/>
    <x v="0"/>
    <n v="68.8"/>
    <n v="1.73"/>
    <n v="198"/>
    <n v="169"/>
    <n v="66"/>
    <n v="1.46"/>
    <n v="1279"/>
    <x v="3"/>
    <x v="2"/>
    <n v="31.4"/>
    <n v="1.6"/>
    <n v="3"/>
    <x v="1"/>
    <x v="0"/>
    <n v="12.38"/>
  </r>
  <r>
    <n v="27"/>
    <x v="0"/>
    <x v="0"/>
    <n v="43.4"/>
    <n v="1.71"/>
    <n v="184"/>
    <n v="165"/>
    <n v="71"/>
    <n v="1.24"/>
    <n v="945"/>
    <x v="0"/>
    <x v="0"/>
    <n v="10"/>
    <n v="3.6"/>
    <n v="2"/>
    <x v="0"/>
    <x v="4"/>
    <n v="25.15"/>
  </r>
  <r>
    <n v="37"/>
    <x v="3"/>
    <x v="0"/>
    <n v="40"/>
    <n v="1.81"/>
    <n v="164"/>
    <n v="139"/>
    <n v="62"/>
    <n v="1.35"/>
    <n v="658"/>
    <x v="4"/>
    <x v="0"/>
    <n v="15.4"/>
    <m/>
    <n v="4"/>
    <x v="1"/>
    <x v="0"/>
    <m/>
  </r>
  <r>
    <n v="40"/>
    <x v="3"/>
    <x v="0"/>
    <n v="40"/>
    <n v="1.74"/>
    <n v="173"/>
    <n v="164"/>
    <n v="72"/>
    <n v="1.33"/>
    <n v="1194"/>
    <x v="2"/>
    <x v="3"/>
    <n v="22.7"/>
    <n v="1.5"/>
    <n v="4"/>
    <x v="1"/>
    <x v="0"/>
    <n v="12.32"/>
  </r>
  <r>
    <n v="24"/>
    <x v="1"/>
    <x v="1"/>
    <n v="70.3"/>
    <n v="1.87"/>
    <n v="191"/>
    <n v="127"/>
    <n v="62"/>
    <n v="1.75"/>
    <n v="1285"/>
    <x v="3"/>
    <x v="1"/>
    <n v="23.9"/>
    <n v="1.5"/>
    <n v="2"/>
    <x v="2"/>
    <x v="0"/>
    <n v="14.32"/>
  </r>
  <r>
    <n v="18"/>
    <x v="1"/>
    <x v="1"/>
    <n v="64.7"/>
    <n v="1.67"/>
    <n v="167"/>
    <n v="152"/>
    <n v="74"/>
    <n v="1.38"/>
    <n v="1506"/>
    <x v="2"/>
    <x v="2"/>
    <n v="26"/>
    <n v="1.7"/>
    <n v="4"/>
    <x v="2"/>
    <x v="2"/>
    <n v="19.63"/>
  </r>
  <r>
    <n v="59"/>
    <x v="4"/>
    <x v="1"/>
    <n v="61"/>
    <n v="1.62"/>
    <n v="191"/>
    <n v="162"/>
    <n v="74"/>
    <n v="1.69"/>
    <n v="499"/>
    <x v="2"/>
    <x v="3"/>
    <n v="14.6"/>
    <n v="1.8"/>
    <n v="3"/>
    <x v="2"/>
    <x v="2"/>
    <n v="21.37"/>
  </r>
  <r>
    <n v="37"/>
    <x v="3"/>
    <x v="0"/>
    <n v="44.2"/>
    <n v="1.61"/>
    <n v="168"/>
    <n v="164"/>
    <n v="73"/>
    <n v="1.1299999999999999"/>
    <n v="1011"/>
    <x v="3"/>
    <x v="1"/>
    <n v="28.8"/>
    <n v="2.5"/>
    <n v="4"/>
    <x v="2"/>
    <x v="0"/>
    <n v="14.92"/>
  </r>
  <r>
    <n v="18"/>
    <x v="1"/>
    <x v="1"/>
    <n v="77.8"/>
    <n v="1.76"/>
    <n v="183"/>
    <n v="157"/>
    <n v="74"/>
    <n v="1.27"/>
    <n v="1086"/>
    <x v="2"/>
    <x v="1"/>
    <n v="24.6"/>
    <n v="3.3"/>
    <n v="3"/>
    <x v="1"/>
    <x v="0"/>
    <n v="16.37"/>
  </r>
  <r>
    <n v="53"/>
    <x v="2"/>
    <x v="1"/>
    <n v="53.5"/>
    <n v="1.71"/>
    <n v="195"/>
    <n v="169"/>
    <n v="54"/>
    <n v="1.04"/>
    <n v="900"/>
    <x v="3"/>
    <x v="2"/>
    <n v="25.1"/>
    <n v="2.7"/>
    <n v="3"/>
    <x v="0"/>
    <x v="1"/>
    <n v="33.56"/>
  </r>
  <r>
    <n v="44"/>
    <x v="3"/>
    <x v="1"/>
    <n v="63.7"/>
    <n v="1.62"/>
    <n v="176"/>
    <n v="166"/>
    <n v="54"/>
    <n v="1.1599999999999999"/>
    <n v="1142"/>
    <x v="1"/>
    <x v="1"/>
    <n v="23"/>
    <n v="3.2"/>
    <n v="5"/>
    <x v="0"/>
    <x v="0"/>
    <n v="12.32"/>
  </r>
  <r>
    <n v="28"/>
    <x v="0"/>
    <x v="0"/>
    <n v="64.099999999999994"/>
    <n v="1.82"/>
    <n v="170"/>
    <n v="120"/>
    <n v="57"/>
    <n v="1.53"/>
    <n v="686"/>
    <x v="3"/>
    <x v="0"/>
    <n v="16.3"/>
    <n v="2.7"/>
    <n v="2"/>
    <x v="3"/>
    <x v="0"/>
    <n v="13.85"/>
  </r>
  <r>
    <n v="18"/>
    <x v="1"/>
    <x v="0"/>
    <n v="54.5"/>
    <n v="1.67"/>
    <n v="196"/>
    <n v="148"/>
    <n v="73"/>
    <n v="1.21"/>
    <n v="819"/>
    <x v="0"/>
    <x v="1"/>
    <n v="29.4"/>
    <n v="3.1"/>
    <n v="3"/>
    <x v="1"/>
    <x v="0"/>
    <n v="15.16"/>
  </r>
  <r>
    <n v="30"/>
    <x v="0"/>
    <x v="0"/>
    <n v="40"/>
    <n v="1.93"/>
    <n v="180"/>
    <n v="143"/>
    <n v="74"/>
    <n v="1.94"/>
    <n v="916"/>
    <x v="3"/>
    <x v="0"/>
    <n v="17.2"/>
    <n v="2.2999999999999998"/>
    <n v="2"/>
    <x v="1"/>
    <x v="0"/>
    <n v="12.32"/>
  </r>
  <r>
    <n v="25"/>
    <x v="0"/>
    <x v="0"/>
    <n v="68.8"/>
    <n v="1.73"/>
    <n v="182"/>
    <n v="133"/>
    <n v="74"/>
    <n v="1.65"/>
    <n v="851"/>
    <x v="0"/>
    <x v="1"/>
    <n v="28.8"/>
    <n v="1.8"/>
    <n v="3"/>
    <x v="2"/>
    <x v="0"/>
    <n v="12.32"/>
  </r>
  <r>
    <n v="18"/>
    <x v="1"/>
    <x v="2"/>
    <n v="50.6"/>
    <n v="1.74"/>
    <n v="162"/>
    <n v="153"/>
    <n v="74"/>
    <n v="1.25"/>
    <n v="634"/>
    <x v="0"/>
    <x v="1"/>
    <n v="29.3"/>
    <n v="1.5"/>
    <n v="4"/>
    <x v="3"/>
    <x v="0"/>
    <n v="17.25"/>
  </r>
  <r>
    <n v="53"/>
    <x v="2"/>
    <x v="0"/>
    <n v="68.900000000000006"/>
    <n v="1.6"/>
    <n v="191"/>
    <n v="155"/>
    <n v="70"/>
    <n v="0.89"/>
    <n v="874"/>
    <x v="3"/>
    <x v="0"/>
    <n v="10.199999999999999"/>
    <n v="1.6"/>
    <n v="3"/>
    <x v="0"/>
    <x v="4"/>
    <n v="27.19"/>
  </r>
  <r>
    <n v="25"/>
    <x v="0"/>
    <x v="1"/>
    <n v="100.4"/>
    <n v="1.76"/>
    <n v="173"/>
    <n v="169"/>
    <n v="58"/>
    <n v="0.85"/>
    <n v="1465"/>
    <x v="1"/>
    <x v="2"/>
    <n v="30.4"/>
    <n v="1.8"/>
    <n v="3"/>
    <x v="1"/>
    <x v="0"/>
    <n v="17.45"/>
  </r>
  <r>
    <n v="58"/>
    <x v="4"/>
    <x v="0"/>
    <n v="105.7"/>
    <n v="1.65"/>
    <n v="171"/>
    <n v="136"/>
    <n v="71"/>
    <n v="1.22"/>
    <n v="841"/>
    <x v="1"/>
    <x v="2"/>
    <n v="32"/>
    <n v="3.4"/>
    <m/>
    <x v="2"/>
    <x v="0"/>
    <n v="13.66"/>
  </r>
  <r>
    <n v="18"/>
    <x v="1"/>
    <x v="0"/>
    <n v="61.9"/>
    <n v="1.58"/>
    <n v="184"/>
    <n v="141"/>
    <n v="18"/>
    <n v="1.63"/>
    <n v="900"/>
    <x v="3"/>
    <x v="1"/>
    <n v="25.2"/>
    <n v="3.7"/>
    <n v="2"/>
    <x v="1"/>
    <x v="0"/>
    <n v="18.23"/>
  </r>
  <r>
    <n v="50"/>
    <x v="2"/>
    <x v="0"/>
    <n v="60.4"/>
    <n v="1.72"/>
    <n v="184"/>
    <n v="124"/>
    <n v="74"/>
    <n v="2"/>
    <n v="494"/>
    <x v="3"/>
    <x v="1"/>
    <n v="27.9"/>
    <n v="3"/>
    <n v="4"/>
    <x v="0"/>
    <x v="2"/>
    <n v="20.81"/>
  </r>
  <r>
    <n v="23"/>
    <x v="1"/>
    <x v="1"/>
    <n v="56.2"/>
    <n v="1.58"/>
    <n v="184"/>
    <n v="141"/>
    <n v="71"/>
    <n v="2"/>
    <n v="640"/>
    <x v="1"/>
    <x v="2"/>
    <n v="25.2"/>
    <n v="1.5"/>
    <n v="4"/>
    <x v="1"/>
    <x v="0"/>
    <m/>
  </r>
  <r>
    <n v="18"/>
    <x v="1"/>
    <x v="0"/>
    <n v="42.6"/>
    <n v="1.56"/>
    <n v="180"/>
    <n v="169"/>
    <n v="62"/>
    <n v="1.27"/>
    <n v="1497"/>
    <x v="0"/>
    <x v="1"/>
    <n v="27.1"/>
    <n v="3.6"/>
    <n v="4"/>
    <x v="1"/>
    <x v="0"/>
    <n v="12.46"/>
  </r>
  <r>
    <n v="59"/>
    <x v="4"/>
    <x v="0"/>
    <n v="97.4"/>
    <n v="1.57"/>
    <n v="199"/>
    <n v="153"/>
    <n v="70"/>
    <n v="0.73"/>
    <n v="877"/>
    <x v="3"/>
    <x v="0"/>
    <n v="18.100000000000001"/>
    <n v="3.3"/>
    <n v="4"/>
    <x v="1"/>
    <x v="4"/>
    <n v="27.67"/>
  </r>
  <r>
    <n v="32"/>
    <x v="0"/>
    <x v="1"/>
    <n v="58.7"/>
    <m/>
    <n v="161"/>
    <n v="130"/>
    <n v="69"/>
    <n v="1.07"/>
    <n v="733"/>
    <x v="0"/>
    <x v="2"/>
    <n v="28.6"/>
    <n v="1.9"/>
    <n v="3"/>
    <x v="2"/>
    <x v="0"/>
    <n v="12.87"/>
  </r>
  <r>
    <n v="21"/>
    <x v="1"/>
    <x v="1"/>
    <n v="46.4"/>
    <n v="2"/>
    <n v="198"/>
    <n v="135"/>
    <n v="74"/>
    <n v="1"/>
    <n v="497"/>
    <x v="1"/>
    <x v="2"/>
    <n v="29.7"/>
    <n v="1.8"/>
    <n v="2"/>
    <x v="1"/>
    <x v="2"/>
    <n v="23.07"/>
  </r>
  <r>
    <n v="32"/>
    <x v="0"/>
    <x v="1"/>
    <n v="57.4"/>
    <n v="1.66"/>
    <n v="189"/>
    <n v="136"/>
    <n v="62"/>
    <n v="1.55"/>
    <n v="1068"/>
    <x v="2"/>
    <x v="1"/>
    <n v="24.6"/>
    <n v="3.4"/>
    <n v="2"/>
    <x v="0"/>
    <x v="0"/>
    <m/>
  </r>
  <r>
    <n v="38"/>
    <x v="3"/>
    <x v="1"/>
    <n v="87.9"/>
    <n v="1.75"/>
    <n v="183"/>
    <n v="130"/>
    <n v="74"/>
    <n v="1.54"/>
    <n v="1273"/>
    <x v="2"/>
    <x v="1"/>
    <n v="24.2"/>
    <n v="1.6"/>
    <n v="3"/>
    <x v="1"/>
    <x v="0"/>
    <n v="12.32"/>
  </r>
  <r>
    <n v="40"/>
    <x v="3"/>
    <x v="1"/>
    <n v="87.8"/>
    <n v="1.64"/>
    <n v="161"/>
    <n v="145"/>
    <n v="59"/>
    <n v="1.63"/>
    <n v="849"/>
    <x v="1"/>
    <x v="1"/>
    <n v="22.5"/>
    <n v="2.6"/>
    <n v="4"/>
    <x v="0"/>
    <x v="0"/>
    <n v="17.55"/>
  </r>
  <r>
    <n v="52"/>
    <x v="2"/>
    <x v="0"/>
    <n v="62.4"/>
    <n v="1.91"/>
    <n v="191"/>
    <n v="161"/>
    <n v="63"/>
    <n v="2"/>
    <n v="1783"/>
    <x v="3"/>
    <x v="1"/>
    <n v="27.3"/>
    <n v="3.2"/>
    <n v="2"/>
    <x v="1"/>
    <x v="0"/>
    <n v="15.2"/>
  </r>
  <r>
    <n v="20"/>
    <x v="1"/>
    <x v="0"/>
    <n v="65.7"/>
    <n v="1.81"/>
    <n v="189"/>
    <n v="165"/>
    <n v="55"/>
    <n v="1.66"/>
    <n v="733"/>
    <x v="0"/>
    <x v="2"/>
    <n v="35"/>
    <n v="3.5"/>
    <n v="4"/>
    <x v="0"/>
    <x v="4"/>
    <n v="25.06"/>
  </r>
  <r>
    <n v="23"/>
    <x v="1"/>
    <x v="0"/>
    <n v="51.4"/>
    <n v="2"/>
    <n v="182"/>
    <n v="158"/>
    <n v="65"/>
    <n v="1.07"/>
    <n v="738"/>
    <x v="0"/>
    <x v="2"/>
    <n v="31.7"/>
    <n v="2.6"/>
    <n v="4"/>
    <x v="0"/>
    <x v="0"/>
    <n v="15.31"/>
  </r>
  <r>
    <n v="34"/>
    <x v="0"/>
    <x v="0"/>
    <n v="75.2"/>
    <n v="2"/>
    <n v="196"/>
    <n v="141"/>
    <n v="73"/>
    <n v="1.1299999999999999"/>
    <n v="753"/>
    <x v="2"/>
    <x v="2"/>
    <n v="33.799999999999997"/>
    <n v="3.6"/>
    <n v="4"/>
    <x v="0"/>
    <x v="0"/>
    <n v="16.39"/>
  </r>
  <r>
    <n v="34"/>
    <x v="0"/>
    <x v="1"/>
    <n v="77.7"/>
    <n v="1.81"/>
    <n v="187"/>
    <n v="149"/>
    <n v="54"/>
    <n v="1.08"/>
    <n v="842"/>
    <x v="0"/>
    <x v="2"/>
    <n v="33"/>
    <n v="3"/>
    <n v="2"/>
    <x v="2"/>
    <x v="0"/>
    <n v="12.32"/>
  </r>
  <r>
    <n v="23"/>
    <x v="1"/>
    <x v="0"/>
    <n v="40"/>
    <n v="1.89"/>
    <n v="162"/>
    <n v="126"/>
    <n v="60"/>
    <n v="0.74"/>
    <n v="1237"/>
    <x v="1"/>
    <x v="1"/>
    <n v="24.7"/>
    <n v="2.9"/>
    <n v="3"/>
    <x v="1"/>
    <x v="0"/>
    <n v="17.09"/>
  </r>
  <r>
    <n v="43"/>
    <x v="3"/>
    <x v="0"/>
    <n v="80.5"/>
    <n v="1.68"/>
    <n v="190"/>
    <n v="135"/>
    <n v="58"/>
    <n v="1.1000000000000001"/>
    <n v="1099"/>
    <x v="3"/>
    <x v="3"/>
    <n v="21.7"/>
    <n v="2.1"/>
    <n v="5"/>
    <x v="1"/>
    <x v="4"/>
    <n v="25.52"/>
  </r>
  <r>
    <n v="18"/>
    <x v="1"/>
    <x v="1"/>
    <n v="40"/>
    <n v="1.78"/>
    <n v="167"/>
    <n v="133"/>
    <n v="62"/>
    <n v="0.86"/>
    <n v="963"/>
    <x v="3"/>
    <x v="3"/>
    <n v="16.899999999999999"/>
    <n v="3.7"/>
    <n v="4"/>
    <x v="2"/>
    <x v="2"/>
    <n v="21.42"/>
  </r>
  <r>
    <n v="28"/>
    <x v="0"/>
    <x v="0"/>
    <n v="109.4"/>
    <n v="1.58"/>
    <n v="170"/>
    <n v="165"/>
    <n v="74"/>
    <n v="1.94"/>
    <n v="619"/>
    <x v="2"/>
    <x v="3"/>
    <n v="21.9"/>
    <n v="2.2000000000000002"/>
    <n v="5"/>
    <x v="1"/>
    <x v="2"/>
    <n v="21.16"/>
  </r>
  <r>
    <n v="57"/>
    <x v="4"/>
    <x v="0"/>
    <n v="40"/>
    <n v="1.58"/>
    <n v="165"/>
    <n v="140"/>
    <n v="55"/>
    <n v="1.33"/>
    <n v="1783"/>
    <x v="0"/>
    <x v="1"/>
    <n v="24.7"/>
    <n v="2.6"/>
    <n v="4"/>
    <x v="1"/>
    <x v="0"/>
    <n v="14.94"/>
  </r>
  <r>
    <n v="18"/>
    <x v="1"/>
    <x v="1"/>
    <n v="40"/>
    <n v="1.8"/>
    <n v="168"/>
    <m/>
    <n v="58"/>
    <n v="0.5"/>
    <n v="729"/>
    <x v="4"/>
    <x v="2"/>
    <n v="32.5"/>
    <n v="3.7"/>
    <n v="3"/>
    <x v="2"/>
    <x v="0"/>
    <n v="12.32"/>
  </r>
  <r>
    <n v="44"/>
    <x v="3"/>
    <x v="0"/>
    <n v="79.5"/>
    <n v="1.73"/>
    <n v="184"/>
    <n v="155"/>
    <n v="56"/>
    <n v="1.57"/>
    <n v="1058"/>
    <x v="3"/>
    <x v="0"/>
    <n v="17.8"/>
    <n v="2.6"/>
    <n v="4"/>
    <x v="0"/>
    <x v="4"/>
    <n v="25.45"/>
  </r>
  <r>
    <n v="21"/>
    <x v="1"/>
    <x v="0"/>
    <n v="68.5"/>
    <n v="1.61"/>
    <n v="191"/>
    <n v="169"/>
    <n v="74"/>
    <n v="1.18"/>
    <n v="1278"/>
    <x v="3"/>
    <x v="0"/>
    <n v="19.899999999999999"/>
    <n v="3.1"/>
    <n v="3"/>
    <x v="0"/>
    <x v="2"/>
    <n v="18.59"/>
  </r>
  <r>
    <n v="39"/>
    <x v="3"/>
    <x v="2"/>
    <n v="65.599999999999994"/>
    <n v="1.75"/>
    <n v="164"/>
    <n v="158"/>
    <n v="66"/>
    <n v="1.0900000000000001"/>
    <n v="1593"/>
    <x v="1"/>
    <x v="3"/>
    <n v="23.7"/>
    <n v="3.1"/>
    <n v="4"/>
    <x v="0"/>
    <x v="2"/>
    <n v="23.89"/>
  </r>
  <r>
    <n v="44"/>
    <x v="3"/>
    <x v="0"/>
    <n v="87.5"/>
    <n v="1.88"/>
    <n v="173"/>
    <n v="132"/>
    <n v="66"/>
    <n v="1.21"/>
    <n v="1643"/>
    <x v="0"/>
    <x v="1"/>
    <n v="26.9"/>
    <n v="3.1"/>
    <n v="2"/>
    <x v="0"/>
    <x v="2"/>
    <n v="21.72"/>
  </r>
  <r>
    <n v="56"/>
    <x v="4"/>
    <x v="1"/>
    <n v="54.5"/>
    <n v="1.76"/>
    <n v="196"/>
    <n v="148"/>
    <n v="74"/>
    <n v="1.4"/>
    <n v="659"/>
    <x v="2"/>
    <x v="2"/>
    <n v="32.1"/>
    <n v="2.8"/>
    <n v="4"/>
    <x v="0"/>
    <x v="4"/>
    <n v="27.02"/>
  </r>
  <r>
    <n v="33"/>
    <x v="0"/>
    <x v="0"/>
    <n v="55.4"/>
    <n v="1.6"/>
    <n v="185"/>
    <n v="144"/>
    <n v="67"/>
    <n v="2"/>
    <n v="1015"/>
    <x v="2"/>
    <x v="1"/>
    <n v="30.6"/>
    <n v="2.7"/>
    <n v="4"/>
    <x v="2"/>
    <x v="2"/>
    <n v="20.82"/>
  </r>
  <r>
    <n v="32"/>
    <x v="0"/>
    <x v="1"/>
    <n v="85.7"/>
    <n v="1.53"/>
    <n v="185"/>
    <n v="133"/>
    <n v="52"/>
    <n v="1.02"/>
    <n v="1108"/>
    <x v="1"/>
    <x v="1"/>
    <n v="24"/>
    <n v="3.4"/>
    <n v="3"/>
    <x v="2"/>
    <x v="0"/>
    <n v="14.19"/>
  </r>
  <r>
    <n v="34"/>
    <x v="0"/>
    <x v="0"/>
    <n v="58.2"/>
    <n v="1.7"/>
    <n v="189"/>
    <n v="134"/>
    <n v="55"/>
    <n v="0.73"/>
    <n v="785"/>
    <x v="2"/>
    <x v="1"/>
    <n v="24"/>
    <n v="1.6"/>
    <n v="4"/>
    <x v="0"/>
    <x v="0"/>
    <n v="12.46"/>
  </r>
  <r>
    <n v="30"/>
    <x v="0"/>
    <x v="1"/>
    <n v="72.5"/>
    <n v="1.91"/>
    <n v="189"/>
    <n v="142"/>
    <n v="58"/>
    <n v="1.44"/>
    <n v="976"/>
    <x v="1"/>
    <x v="2"/>
    <n v="28.2"/>
    <n v="3.6"/>
    <n v="2"/>
    <x v="0"/>
    <x v="4"/>
    <n v="26.6"/>
  </r>
  <r>
    <n v="26"/>
    <x v="0"/>
    <x v="2"/>
    <n v="77.2"/>
    <n v="1.64"/>
    <n v="168"/>
    <n v="162"/>
    <n v="64"/>
    <n v="1.25"/>
    <n v="438"/>
    <x v="0"/>
    <x v="3"/>
    <n v="22.7"/>
    <n v="2.4"/>
    <n v="4"/>
    <x v="0"/>
    <x v="1"/>
    <n v="30.85"/>
  </r>
  <r>
    <n v="20"/>
    <x v="1"/>
    <x v="1"/>
    <n v="90.3"/>
    <n v="1.68"/>
    <n v="169"/>
    <n v="135"/>
    <n v="59"/>
    <n v="1.1000000000000001"/>
    <n v="758"/>
    <x v="1"/>
    <x v="0"/>
    <n v="10.5"/>
    <n v="1.7"/>
    <n v="4"/>
    <x v="1"/>
    <x v="1"/>
    <n v="31.04"/>
  </r>
  <r>
    <n v="42"/>
    <x v="3"/>
    <x v="0"/>
    <n v="95.2"/>
    <n v="1.76"/>
    <n v="178"/>
    <n v="158"/>
    <n v="56"/>
    <n v="1.21"/>
    <n v="770"/>
    <x v="1"/>
    <x v="1"/>
    <n v="25.3"/>
    <n v="2"/>
    <n v="2"/>
    <x v="2"/>
    <x v="0"/>
    <n v="16.059999999999999"/>
  </r>
  <r>
    <n v="26"/>
    <x v="0"/>
    <x v="1"/>
    <n v="75"/>
    <n v="1.91"/>
    <n v="181"/>
    <n v="168"/>
    <n v="74"/>
    <n v="1.1000000000000001"/>
    <n v="943"/>
    <x v="2"/>
    <x v="1"/>
    <n v="24.8"/>
    <n v="2"/>
    <n v="3"/>
    <x v="0"/>
    <x v="2"/>
    <n v="21.87"/>
  </r>
  <r>
    <n v="26"/>
    <x v="0"/>
    <x v="1"/>
    <n v="61.5"/>
    <n v="1.51"/>
    <n v="185"/>
    <n v="155"/>
    <n v="74"/>
    <n v="1.35"/>
    <n v="1079"/>
    <x v="1"/>
    <x v="2"/>
    <n v="31.4"/>
    <n v="3.4"/>
    <n v="4"/>
    <x v="0"/>
    <x v="2"/>
    <n v="21.29"/>
  </r>
  <r>
    <n v="28"/>
    <x v="0"/>
    <x v="0"/>
    <n v="101.9"/>
    <n v="1.5"/>
    <n v="196"/>
    <n v="164"/>
    <n v="56"/>
    <n v="1.87"/>
    <n v="1211"/>
    <x v="1"/>
    <x v="3"/>
    <n v="23.8"/>
    <n v="3.2"/>
    <n v="2"/>
    <x v="0"/>
    <x v="0"/>
    <n v="15.07"/>
  </r>
  <r>
    <n v="54"/>
    <x v="2"/>
    <x v="0"/>
    <n v="41.4"/>
    <n v="1.6"/>
    <n v="163"/>
    <n v="169"/>
    <n v="71"/>
    <n v="1.62"/>
    <n v="1385"/>
    <x v="3"/>
    <x v="0"/>
    <n v="10"/>
    <n v="1.6"/>
    <n v="5"/>
    <x v="2"/>
    <x v="2"/>
    <n v="20.92"/>
  </r>
  <r>
    <n v="18"/>
    <x v="1"/>
    <x v="1"/>
    <n v="71.3"/>
    <n v="1.78"/>
    <n v="167"/>
    <n v="129"/>
    <n v="72"/>
    <n v="0.86"/>
    <n v="1238"/>
    <x v="0"/>
    <x v="1"/>
    <n v="20.6"/>
    <n v="1.5"/>
    <n v="4"/>
    <x v="2"/>
    <x v="1"/>
    <n v="34.18"/>
  </r>
  <r>
    <n v="42"/>
    <x v="3"/>
    <x v="1"/>
    <n v="46.2"/>
    <n v="1.72"/>
    <n v="167"/>
    <n v="130"/>
    <n v="69"/>
    <n v="1.19"/>
    <n v="945"/>
    <x v="2"/>
    <x v="1"/>
    <n v="24.6"/>
    <n v="2.9"/>
    <n v="2"/>
    <x v="2"/>
    <x v="2"/>
    <n v="19.47"/>
  </r>
  <r>
    <n v="24"/>
    <x v="1"/>
    <x v="1"/>
    <n v="64"/>
    <n v="1.83"/>
    <n v="187"/>
    <n v="155"/>
    <n v="74"/>
    <n v="1.79"/>
    <n v="406"/>
    <x v="3"/>
    <x v="2"/>
    <n v="27.7"/>
    <n v="1.5"/>
    <n v="3"/>
    <x v="3"/>
    <x v="1"/>
    <n v="31.31"/>
  </r>
  <r>
    <n v="54"/>
    <x v="2"/>
    <x v="1"/>
    <n v="47.2"/>
    <n v="1.75"/>
    <n v="160"/>
    <n v="134"/>
    <n v="68"/>
    <n v="1.18"/>
    <n v="1001"/>
    <x v="3"/>
    <x v="1"/>
    <n v="23.9"/>
    <n v="1.9"/>
    <n v="4"/>
    <x v="1"/>
    <x v="2"/>
    <n v="20"/>
  </r>
  <r>
    <n v="53"/>
    <x v="2"/>
    <x v="1"/>
    <n v="95.5"/>
    <n v="1.52"/>
    <n v="164"/>
    <n v="169"/>
    <n v="52"/>
    <n v="1.31"/>
    <n v="1009"/>
    <x v="3"/>
    <x v="1"/>
    <n v="21.8"/>
    <n v="1.9"/>
    <m/>
    <x v="2"/>
    <x v="0"/>
    <n v="12.32"/>
  </r>
  <r>
    <n v="33"/>
    <x v="0"/>
    <x v="0"/>
    <n v="40"/>
    <n v="1.79"/>
    <n v="194"/>
    <n v="162"/>
    <n v="60"/>
    <n v="1.39"/>
    <n v="1012"/>
    <x v="1"/>
    <x v="3"/>
    <n v="23.7"/>
    <n v="2.8"/>
    <n v="4"/>
    <x v="3"/>
    <x v="0"/>
    <n v="13.81"/>
  </r>
  <r>
    <n v="52"/>
    <x v="2"/>
    <x v="0"/>
    <n v="81.099999999999994"/>
    <n v="1.74"/>
    <n v="184"/>
    <n v="168"/>
    <n v="74"/>
    <m/>
    <n v="1080"/>
    <x v="4"/>
    <x v="3"/>
    <n v="23.6"/>
    <n v="3.4"/>
    <n v="5"/>
    <x v="1"/>
    <x v="0"/>
    <n v="12.32"/>
  </r>
  <r>
    <n v="51"/>
    <x v="2"/>
    <x v="0"/>
    <n v="72.099999999999994"/>
    <m/>
    <n v="162"/>
    <n v="160"/>
    <n v="70"/>
    <n v="1.21"/>
    <n v="1186"/>
    <x v="1"/>
    <x v="0"/>
    <n v="17.600000000000001"/>
    <n v="3.2"/>
    <n v="3"/>
    <x v="0"/>
    <x v="0"/>
    <n v="12.66"/>
  </r>
  <r>
    <n v="47"/>
    <x v="2"/>
    <x v="1"/>
    <n v="100.5"/>
    <n v="1.56"/>
    <n v="185"/>
    <n v="133"/>
    <n v="64"/>
    <n v="0.87"/>
    <n v="872"/>
    <x v="1"/>
    <x v="1"/>
    <n v="22.1"/>
    <n v="1.5"/>
    <n v="4"/>
    <x v="0"/>
    <x v="0"/>
    <m/>
  </r>
  <r>
    <n v="55"/>
    <x v="4"/>
    <x v="0"/>
    <n v="129.9"/>
    <n v="1.89"/>
    <n v="177"/>
    <n v="157"/>
    <n v="66"/>
    <n v="0.81"/>
    <n v="1154"/>
    <x v="1"/>
    <x v="0"/>
    <n v="15.2"/>
    <n v="2.4"/>
    <n v="4"/>
    <x v="0"/>
    <x v="2"/>
    <n v="20.100000000000001"/>
  </r>
  <r>
    <n v="28"/>
    <x v="0"/>
    <x v="1"/>
    <n v="75.7"/>
    <n v="1.85"/>
    <n v="160"/>
    <n v="157"/>
    <n v="64"/>
    <n v="1.59"/>
    <n v="1179"/>
    <x v="4"/>
    <x v="2"/>
    <n v="29.7"/>
    <n v="1.5"/>
    <n v="3"/>
    <x v="0"/>
    <x v="1"/>
    <n v="37.5"/>
  </r>
  <r>
    <n v="18"/>
    <x v="1"/>
    <x v="0"/>
    <n v="69"/>
    <n v="1.66"/>
    <n v="196"/>
    <n v="141"/>
    <n v="56"/>
    <n v="1.46"/>
    <n v="1251"/>
    <x v="3"/>
    <x v="1"/>
    <n v="25.7"/>
    <n v="2.4"/>
    <n v="4"/>
    <x v="0"/>
    <x v="0"/>
    <n v="18.23"/>
  </r>
  <r>
    <n v="19"/>
    <x v="1"/>
    <x v="1"/>
    <n v="72.5"/>
    <n v="1.73"/>
    <n v="184"/>
    <n v="135"/>
    <n v="71"/>
    <n v="1.1200000000000001"/>
    <n v="1392"/>
    <x v="2"/>
    <x v="0"/>
    <n v="11.9"/>
    <n v="3.5"/>
    <n v="3"/>
    <x v="1"/>
    <x v="4"/>
    <n v="29.87"/>
  </r>
  <r>
    <n v="30"/>
    <x v="0"/>
    <x v="2"/>
    <n v="50.8"/>
    <n v="1.81"/>
    <n v="196"/>
    <n v="132"/>
    <n v="74"/>
    <n v="1.28"/>
    <n v="794"/>
    <x v="3"/>
    <x v="0"/>
    <n v="14.5"/>
    <n v="3.2"/>
    <n v="3"/>
    <x v="2"/>
    <x v="2"/>
    <n v="22.58"/>
  </r>
  <r>
    <n v="40"/>
    <x v="3"/>
    <x v="0"/>
    <n v="68.2"/>
    <n v="1.5"/>
    <n v="197"/>
    <n v="153"/>
    <n v="71"/>
    <n v="1.24"/>
    <n v="484"/>
    <x v="1"/>
    <x v="1"/>
    <n v="24.1"/>
    <n v="3.5"/>
    <n v="4"/>
    <x v="0"/>
    <x v="0"/>
    <n v="12.45"/>
  </r>
  <r>
    <n v="49"/>
    <x v="2"/>
    <x v="0"/>
    <n v="105"/>
    <n v="1.63"/>
    <n v="170"/>
    <n v="139"/>
    <n v="70"/>
    <n v="1.53"/>
    <n v="1065"/>
    <x v="1"/>
    <x v="1"/>
    <n v="24"/>
    <n v="1.5"/>
    <n v="4"/>
    <x v="0"/>
    <x v="2"/>
    <n v="18.89"/>
  </r>
  <r>
    <n v="57"/>
    <x v="4"/>
    <x v="0"/>
    <n v="129.9"/>
    <n v="1.88"/>
    <n v="162"/>
    <n v="148"/>
    <n v="56"/>
    <n v="1.71"/>
    <n v="1233"/>
    <x v="0"/>
    <x v="1"/>
    <n v="24"/>
    <n v="1.8"/>
    <n v="3"/>
    <x v="1"/>
    <x v="0"/>
    <m/>
  </r>
  <r>
    <n v="27"/>
    <x v="0"/>
    <x v="0"/>
    <n v="61.1"/>
    <n v="1.59"/>
    <s v="\t182"/>
    <n v="139"/>
    <n v="68"/>
    <n v="1.0900000000000001"/>
    <n v="669"/>
    <x v="3"/>
    <x v="0"/>
    <n v="16.7"/>
    <n v="1.5"/>
    <n v="3"/>
    <x v="0"/>
    <x v="0"/>
    <n v="12.32"/>
  </r>
  <r>
    <n v="27"/>
    <x v="0"/>
    <x v="1"/>
    <m/>
    <n v="1.81"/>
    <n v="176"/>
    <n v="169"/>
    <n v="64"/>
    <n v="1.37"/>
    <n v="1783"/>
    <x v="3"/>
    <x v="2"/>
    <n v="28.5"/>
    <n v="1.5"/>
    <n v="3"/>
    <x v="2"/>
    <x v="0"/>
    <n v="16.600000000000001"/>
  </r>
  <r>
    <n v="50"/>
    <x v="2"/>
    <x v="1"/>
    <n v="62.5"/>
    <n v="1.67"/>
    <n v="172"/>
    <n v="121"/>
    <n v="56"/>
    <n v="1.1399999999999999"/>
    <n v="1415"/>
    <x v="1"/>
    <x v="1"/>
    <n v="20.9"/>
    <n v="2.5"/>
    <n v="5"/>
    <x v="0"/>
    <x v="4"/>
    <n v="28.47"/>
  </r>
  <r>
    <n v="59"/>
    <x v="4"/>
    <x v="1"/>
    <n v="62.4"/>
    <n v="1.71"/>
    <n v="197"/>
    <m/>
    <n v="74"/>
    <n v="1.47"/>
    <n v="705"/>
    <x v="1"/>
    <x v="2"/>
    <n v="32"/>
    <n v="2.4"/>
    <n v="4"/>
    <x v="0"/>
    <x v="2"/>
    <n v="19.22"/>
  </r>
  <r>
    <n v="26"/>
    <x v="0"/>
    <x v="1"/>
    <n v="72.400000000000006"/>
    <n v="1.68"/>
    <n v="196"/>
    <n v="169"/>
    <n v="53"/>
    <n v="2"/>
    <n v="1082"/>
    <x v="2"/>
    <x v="2"/>
    <n v="29.8"/>
    <n v="2.5"/>
    <n v="2"/>
    <x v="2"/>
    <x v="2"/>
    <n v="21.68"/>
  </r>
  <r>
    <n v="55"/>
    <x v="4"/>
    <x v="0"/>
    <n v="93.1"/>
    <n v="1.82"/>
    <n v="172"/>
    <n v="148"/>
    <n v="60"/>
    <n v="1.22"/>
    <n v="1039"/>
    <x v="2"/>
    <x v="0"/>
    <n v="17.3"/>
    <n v="2.6"/>
    <n v="4"/>
    <x v="1"/>
    <x v="2"/>
    <n v="20.51"/>
  </r>
  <r>
    <n v="48"/>
    <x v="2"/>
    <x v="0"/>
    <n v="122.3"/>
    <n v="1.71"/>
    <n v="183"/>
    <n v="120"/>
    <n v="63"/>
    <n v="0.79"/>
    <n v="992"/>
    <x v="4"/>
    <x v="0"/>
    <n v="10"/>
    <n v="2.6"/>
    <n v="4"/>
    <x v="1"/>
    <x v="2"/>
    <n v="18.899999999999999"/>
  </r>
  <r>
    <n v="29"/>
    <x v="0"/>
    <x v="0"/>
    <n v="70.8"/>
    <n v="1.85"/>
    <n v="160"/>
    <n v="142"/>
    <n v="52"/>
    <n v="1.5"/>
    <n v="1624"/>
    <x v="3"/>
    <x v="0"/>
    <n v="14.2"/>
    <n v="3.5"/>
    <n v="2"/>
    <x v="2"/>
    <x v="0"/>
    <n v="15.46"/>
  </r>
  <r>
    <n v="52"/>
    <x v="2"/>
    <x v="1"/>
    <n v="51.5"/>
    <n v="1.6"/>
    <n v="184"/>
    <n v="162"/>
    <n v="65"/>
    <n v="1.46"/>
    <n v="1339"/>
    <x v="1"/>
    <x v="2"/>
    <n v="25.2"/>
    <n v="3.2"/>
    <n v="4"/>
    <x v="2"/>
    <x v="0"/>
    <n v="12.32"/>
  </r>
  <r>
    <n v="18"/>
    <x v="1"/>
    <x v="0"/>
    <n v="57.1"/>
    <n v="1.61"/>
    <n v="198"/>
    <n v="129"/>
    <n v="66"/>
    <n v="0.94"/>
    <n v="1064"/>
    <x v="1"/>
    <x v="2"/>
    <n v="31.7"/>
    <n v="2.4"/>
    <n v="2"/>
    <x v="2"/>
    <x v="2"/>
    <n v="19.32"/>
  </r>
  <r>
    <n v="36"/>
    <x v="3"/>
    <x v="0"/>
    <n v="64.400000000000006"/>
    <n v="1.97"/>
    <n v="166"/>
    <n v="153"/>
    <n v="59"/>
    <n v="1.45"/>
    <n v="1132"/>
    <x v="2"/>
    <x v="1"/>
    <n v="27.9"/>
    <n v="2.9"/>
    <n v="3"/>
    <x v="1"/>
    <x v="2"/>
    <n v="23.33"/>
  </r>
  <r>
    <n v="52"/>
    <x v="2"/>
    <x v="1"/>
    <n v="63"/>
    <n v="1.72"/>
    <n v="184"/>
    <n v="131"/>
    <n v="54"/>
    <n v="1.48"/>
    <n v="804"/>
    <x v="1"/>
    <x v="1"/>
    <n v="21.5"/>
    <n v="1.5"/>
    <n v="4"/>
    <x v="2"/>
    <x v="1"/>
    <n v="34.06"/>
  </r>
  <r>
    <n v="29"/>
    <x v="0"/>
    <x v="1"/>
    <n v="77.2"/>
    <n v="1.89"/>
    <n v="192"/>
    <n v="152"/>
    <n v="58"/>
    <n v="2"/>
    <n v="858"/>
    <x v="2"/>
    <x v="2"/>
    <n v="25.6"/>
    <n v="3.2"/>
    <n v="3"/>
    <x v="0"/>
    <x v="2"/>
    <n v="19.23"/>
  </r>
  <r>
    <n v="18"/>
    <x v="1"/>
    <x v="0"/>
    <n v="40"/>
    <n v="1.66"/>
    <n v="190"/>
    <n v="147"/>
    <n v="50"/>
    <n v="1.6"/>
    <n v="1287"/>
    <x v="1"/>
    <x v="1"/>
    <n v="27.6"/>
    <n v="1.9"/>
    <n v="5"/>
    <x v="2"/>
    <x v="2"/>
    <n v="22.99"/>
  </r>
  <r>
    <n v="30"/>
    <x v="0"/>
    <x v="0"/>
    <n v="76.3"/>
    <n v="2"/>
    <n v="193"/>
    <n v="132"/>
    <n v="59"/>
    <n v="1.1100000000000001"/>
    <n v="548"/>
    <x v="2"/>
    <x v="2"/>
    <n v="34.9"/>
    <n v="3.2"/>
    <n v="3"/>
    <x v="1"/>
    <x v="0"/>
    <n v="17.54"/>
  </r>
  <r>
    <n v="29"/>
    <x v="0"/>
    <x v="0"/>
    <n v="71.2"/>
    <n v="1.8"/>
    <n v="176"/>
    <n v="139"/>
    <n v="68"/>
    <n v="1.4"/>
    <n v="354"/>
    <x v="1"/>
    <x v="0"/>
    <n v="10"/>
    <n v="3.4"/>
    <n v="2"/>
    <x v="2"/>
    <x v="1"/>
    <n v="31.75"/>
  </r>
  <r>
    <n v="55"/>
    <x v="4"/>
    <x v="1"/>
    <n v="104.9"/>
    <n v="1.56"/>
    <n v="187"/>
    <n v="155"/>
    <n v="58"/>
    <n v="0.87"/>
    <n v="1260"/>
    <x v="0"/>
    <x v="2"/>
    <n v="27.8"/>
    <n v="3.5"/>
    <n v="3"/>
    <x v="1"/>
    <x v="0"/>
    <n v="12.68"/>
  </r>
  <r>
    <n v="34"/>
    <x v="0"/>
    <x v="0"/>
    <n v="102.1"/>
    <n v="1.53"/>
    <n v="178"/>
    <n v="152"/>
    <n v="50"/>
    <n v="2"/>
    <n v="1783"/>
    <x v="0"/>
    <x v="1"/>
    <n v="26.5"/>
    <n v="2.1"/>
    <n v="3"/>
    <x v="1"/>
    <x v="1"/>
    <n v="38.340000000000003"/>
  </r>
  <r>
    <n v="31"/>
    <x v="0"/>
    <x v="0"/>
    <n v="63.6"/>
    <n v="1.57"/>
    <n v="165"/>
    <n v="169"/>
    <n v="74"/>
    <n v="1.0900000000000001"/>
    <n v="1148"/>
    <x v="0"/>
    <x v="0"/>
    <n v="15.1"/>
    <n v="3.4"/>
    <n v="4"/>
    <x v="1"/>
    <x v="0"/>
    <n v="13.15"/>
  </r>
  <r>
    <n v="26"/>
    <x v="0"/>
    <x v="1"/>
    <n v="68.599999999999994"/>
    <n v="1.7"/>
    <n v="172"/>
    <n v="167"/>
    <n v="57"/>
    <n v="1.32"/>
    <n v="501"/>
    <x v="3"/>
    <x v="2"/>
    <n v="25.4"/>
    <n v="1.5"/>
    <n v="3"/>
    <x v="0"/>
    <x v="0"/>
    <n v="18.29"/>
  </r>
  <r>
    <n v="33"/>
    <x v="0"/>
    <x v="1"/>
    <n v="46"/>
    <n v="1.71"/>
    <n v="163"/>
    <n v="145"/>
    <n v="54"/>
    <n v="1.29"/>
    <n v="671"/>
    <x v="3"/>
    <x v="1"/>
    <n v="21.4"/>
    <n v="3.1"/>
    <n v="2"/>
    <x v="2"/>
    <x v="0"/>
    <n v="14.68"/>
  </r>
  <r>
    <n v="39"/>
    <x v="3"/>
    <x v="0"/>
    <n v="88.6"/>
    <n v="1.8"/>
    <n v="181"/>
    <n v="158"/>
    <n v="71"/>
    <n v="1.29"/>
    <n v="1296"/>
    <x v="0"/>
    <x v="1"/>
    <n v="24.3"/>
    <n v="2.8"/>
    <n v="4"/>
    <x v="1"/>
    <x v="0"/>
    <m/>
  </r>
  <r>
    <n v="36"/>
    <x v="3"/>
    <x v="1"/>
    <n v="79.7"/>
    <n v="1.75"/>
    <n v="168"/>
    <n v="132"/>
    <n v="74"/>
    <n v="1.67"/>
    <n v="445"/>
    <x v="0"/>
    <x v="1"/>
    <n v="23.9"/>
    <n v="3.4"/>
    <n v="4"/>
    <x v="0"/>
    <x v="4"/>
    <n v="25.28"/>
  </r>
  <r>
    <n v="33"/>
    <x v="0"/>
    <x v="0"/>
    <n v="108.7"/>
    <n v="1.75"/>
    <n v="199"/>
    <n v="131"/>
    <n v="74"/>
    <n v="0.86"/>
    <n v="1080"/>
    <x v="3"/>
    <x v="1"/>
    <n v="24.1"/>
    <n v="1.9"/>
    <n v="3"/>
    <x v="1"/>
    <x v="0"/>
    <n v="16.46"/>
  </r>
  <r>
    <n v="45"/>
    <x v="2"/>
    <x v="0"/>
    <n v="61.4"/>
    <n v="1.76"/>
    <n v="194"/>
    <n v="120"/>
    <n v="68"/>
    <n v="1.22"/>
    <n v="909"/>
    <x v="0"/>
    <x v="3"/>
    <n v="21.4"/>
    <n v="2.8"/>
    <n v="2"/>
    <x v="1"/>
    <x v="2"/>
    <n v="21.75"/>
  </r>
  <r>
    <n v="21"/>
    <x v="1"/>
    <x v="0"/>
    <n v="69.2"/>
    <n v="1.87"/>
    <n v="168"/>
    <n v="127"/>
    <n v="68"/>
    <n v="1.47"/>
    <n v="1275"/>
    <x v="3"/>
    <x v="1"/>
    <n v="24.1"/>
    <n v="2.9"/>
    <n v="5"/>
    <x v="2"/>
    <x v="0"/>
    <n v="14.59"/>
  </r>
  <r>
    <n v="52"/>
    <x v="2"/>
    <x v="1"/>
    <n v="67.400000000000006"/>
    <n v="1.72"/>
    <n v="160"/>
    <n v="134"/>
    <n v="51"/>
    <n v="1.49"/>
    <n v="1307"/>
    <x v="0"/>
    <x v="1"/>
    <n v="17"/>
    <n v="2.6"/>
    <n v="2"/>
    <x v="0"/>
    <x v="0"/>
    <n v="15.39"/>
  </r>
  <r>
    <n v="29"/>
    <x v="0"/>
    <x v="0"/>
    <n v="40"/>
    <n v="1.64"/>
    <n v="178"/>
    <n v="130"/>
    <n v="69"/>
    <n v="1.1499999999999999"/>
    <n v="1093"/>
    <x v="2"/>
    <x v="1"/>
    <n v="27.4"/>
    <n v="3.4"/>
    <n v="3"/>
    <x v="0"/>
    <x v="0"/>
    <n v="14.89"/>
  </r>
  <r>
    <n v="47"/>
    <x v="2"/>
    <x v="0"/>
    <n v="46"/>
    <n v="1.58"/>
    <n v="172"/>
    <n v="147"/>
    <n v="72"/>
    <n v="1.37"/>
    <n v="1098"/>
    <x v="0"/>
    <x v="1"/>
    <n v="28.5"/>
    <n v="3.7"/>
    <n v="2"/>
    <x v="2"/>
    <x v="0"/>
    <n v="15.45"/>
  </r>
  <r>
    <n v="34"/>
    <x v="0"/>
    <x v="1"/>
    <n v="89.1"/>
    <n v="1.78"/>
    <n v="174"/>
    <n v="120"/>
    <n v="51"/>
    <n v="1.52"/>
    <n v="574"/>
    <x v="1"/>
    <x v="2"/>
    <n v="27.6"/>
    <n v="1.5"/>
    <n v="4"/>
    <x v="0"/>
    <x v="2"/>
    <n v="20.61"/>
  </r>
  <r>
    <n v="57"/>
    <x v="4"/>
    <x v="1"/>
    <n v="70.400000000000006"/>
    <n v="1.72"/>
    <n v="181"/>
    <n v="161"/>
    <n v="57"/>
    <n v="1.3"/>
    <n v="983"/>
    <x v="3"/>
    <x v="2"/>
    <n v="29.9"/>
    <n v="3.6"/>
    <n v="3"/>
    <x v="0"/>
    <x v="2"/>
    <n v="22.21"/>
  </r>
  <r>
    <n v="24"/>
    <x v="1"/>
    <x v="1"/>
    <n v="65.7"/>
    <n v="1.84"/>
    <n v="165"/>
    <n v="146"/>
    <n v="74"/>
    <n v="1.59"/>
    <n v="954"/>
    <x v="1"/>
    <x v="1"/>
    <n v="17.8"/>
    <n v="2.8"/>
    <n v="5"/>
    <x v="0"/>
    <x v="0"/>
    <n v="16.059999999999999"/>
  </r>
  <r>
    <n v="26"/>
    <x v="0"/>
    <x v="1"/>
    <n v="82.2"/>
    <n v="1.69"/>
    <n v="189"/>
    <n v="139"/>
    <n v="70"/>
    <n v="1.45"/>
    <n v="1184"/>
    <x v="3"/>
    <x v="0"/>
    <n v="10"/>
    <n v="2.5"/>
    <n v="5"/>
    <x v="0"/>
    <x v="0"/>
    <n v="18.010000000000002"/>
  </r>
  <r>
    <n v="32"/>
    <x v="0"/>
    <x v="2"/>
    <n v="52.2"/>
    <n v="1.73"/>
    <n v="196"/>
    <n v="134"/>
    <n v="74"/>
    <n v="2"/>
    <n v="684"/>
    <x v="0"/>
    <x v="1"/>
    <n v="27.4"/>
    <n v="2"/>
    <n v="3"/>
    <x v="1"/>
    <x v="2"/>
    <n v="21.27"/>
  </r>
  <r>
    <n v="54"/>
    <x v="2"/>
    <x v="1"/>
    <n v="128.69999999999999"/>
    <n v="1.91"/>
    <n v="192"/>
    <m/>
    <n v="58"/>
    <n v="1.97"/>
    <n v="1049"/>
    <x v="1"/>
    <x v="1"/>
    <n v="22.9"/>
    <n v="2.7"/>
    <n v="4"/>
    <x v="0"/>
    <x v="2"/>
    <n v="23.32"/>
  </r>
  <r>
    <n v="18"/>
    <x v="1"/>
    <x v="0"/>
    <m/>
    <n v="1.64"/>
    <n v="196"/>
    <n v="169"/>
    <n v="74"/>
    <n v="0.9"/>
    <n v="921"/>
    <x v="0"/>
    <x v="1"/>
    <n v="25.8"/>
    <n v="3.3"/>
    <n v="5"/>
    <x v="0"/>
    <x v="2"/>
    <n v="20.03"/>
  </r>
  <r>
    <n v="18"/>
    <x v="1"/>
    <x v="0"/>
    <n v="110.3"/>
    <n v="1.76"/>
    <n v="168"/>
    <n v="169"/>
    <n v="55"/>
    <n v="1.86"/>
    <n v="1391"/>
    <x v="0"/>
    <x v="2"/>
    <n v="33"/>
    <n v="3.5"/>
    <n v="5"/>
    <x v="2"/>
    <x v="0"/>
    <n v="16.38"/>
  </r>
  <r>
    <n v="54"/>
    <x v="2"/>
    <x v="1"/>
    <n v="42.7"/>
    <n v="1.72"/>
    <n v="191"/>
    <n v="153"/>
    <n v="74"/>
    <n v="2"/>
    <n v="987"/>
    <x v="3"/>
    <x v="3"/>
    <n v="13.6"/>
    <n v="1.5"/>
    <n v="5"/>
    <x v="0"/>
    <x v="2"/>
    <n v="19.11"/>
  </r>
  <r>
    <n v="35"/>
    <x v="3"/>
    <x v="0"/>
    <n v="98"/>
    <n v="1.59"/>
    <n v="179"/>
    <n v="141"/>
    <n v="62"/>
    <n v="1.04"/>
    <n v="729"/>
    <x v="1"/>
    <x v="0"/>
    <n v="14.2"/>
    <n v="1.5"/>
    <n v="3"/>
    <x v="1"/>
    <x v="0"/>
    <n v="18.32"/>
  </r>
  <r>
    <n v="37"/>
    <x v="3"/>
    <x v="0"/>
    <n v="94.5"/>
    <n v="1.84"/>
    <n v="160"/>
    <n v="158"/>
    <n v="61"/>
    <n v="1.2"/>
    <n v="1063"/>
    <x v="2"/>
    <x v="1"/>
    <n v="26.6"/>
    <n v="2.6"/>
    <n v="3"/>
    <x v="0"/>
    <x v="0"/>
    <n v="12.32"/>
  </r>
  <r>
    <n v="30"/>
    <x v="0"/>
    <x v="0"/>
    <n v="57.6"/>
    <n v="1.66"/>
    <n v="169"/>
    <n v="160"/>
    <n v="67"/>
    <n v="1.86"/>
    <n v="1332"/>
    <x v="3"/>
    <x v="1"/>
    <n v="30.9"/>
    <n v="2.7"/>
    <n v="4"/>
    <x v="0"/>
    <x v="1"/>
    <n v="30.42"/>
  </r>
  <r>
    <n v="31"/>
    <x v="0"/>
    <x v="1"/>
    <n v="40"/>
    <n v="1.74"/>
    <n v="194"/>
    <n v="155"/>
    <n v="68"/>
    <n v="1.4"/>
    <n v="716"/>
    <x v="2"/>
    <x v="2"/>
    <n v="30.6"/>
    <n v="1.5"/>
    <n v="4"/>
    <x v="2"/>
    <x v="2"/>
    <n v="20.16"/>
  </r>
  <r>
    <n v="28"/>
    <x v="0"/>
    <x v="1"/>
    <n v="40.299999999999997"/>
    <n v="1.69"/>
    <n v="166"/>
    <n v="169"/>
    <n v="69"/>
    <n v="0.5"/>
    <n v="864"/>
    <x v="1"/>
    <x v="2"/>
    <n v="24.9"/>
    <n v="2.6"/>
    <n v="3"/>
    <x v="2"/>
    <x v="2"/>
    <n v="20.420000000000002"/>
  </r>
  <r>
    <n v="53"/>
    <x v="2"/>
    <x v="1"/>
    <n v="60.8"/>
    <n v="1.66"/>
    <n v="199"/>
    <n v="121"/>
    <n v="69"/>
    <n v="1.1200000000000001"/>
    <n v="926"/>
    <x v="0"/>
    <x v="2"/>
    <n v="26.5"/>
    <n v="3.6"/>
    <n v="4"/>
    <x v="1"/>
    <x v="0"/>
    <n v="12.32"/>
  </r>
  <r>
    <n v="56"/>
    <x v="4"/>
    <x v="1"/>
    <n v="72"/>
    <n v="1.77"/>
    <n v="191"/>
    <n v="168"/>
    <n v="62"/>
    <n v="1.55"/>
    <n v="1144"/>
    <x v="1"/>
    <x v="2"/>
    <n v="30"/>
    <n v="2.7"/>
    <n v="2"/>
    <x v="0"/>
    <x v="2"/>
    <n v="23.34"/>
  </r>
  <r>
    <n v="44"/>
    <x v="3"/>
    <x v="1"/>
    <n v="94.4"/>
    <n v="1.75"/>
    <n v="163"/>
    <n v="154"/>
    <n v="58"/>
    <n v="1.66"/>
    <n v="881"/>
    <x v="2"/>
    <x v="1"/>
    <n v="24.1"/>
    <n v="2.9"/>
    <n v="3"/>
    <x v="2"/>
    <x v="0"/>
    <n v="12.32"/>
  </r>
  <r>
    <n v="38"/>
    <x v="3"/>
    <x v="1"/>
    <n v="71"/>
    <n v="1.84"/>
    <n v="190"/>
    <n v="120"/>
    <n v="53"/>
    <n v="1.93"/>
    <n v="1700"/>
    <x v="1"/>
    <x v="1"/>
    <n v="24.7"/>
    <n v="3.1"/>
    <m/>
    <x v="2"/>
    <x v="2"/>
    <n v="21.97"/>
  </r>
  <r>
    <n v="34"/>
    <x v="0"/>
    <x v="0"/>
    <n v="77.900000000000006"/>
    <n v="1.87"/>
    <n v="183"/>
    <n v="169"/>
    <n v="59"/>
    <n v="1.28"/>
    <n v="691"/>
    <x v="4"/>
    <x v="1"/>
    <n v="24"/>
    <n v="3.4"/>
    <n v="2"/>
    <x v="1"/>
    <x v="0"/>
    <n v="15.67"/>
  </r>
  <r>
    <n v="48"/>
    <x v="2"/>
    <x v="1"/>
    <n v="52.6"/>
    <n v="1.63"/>
    <n v="182"/>
    <n v="129"/>
    <n v="54"/>
    <n v="2"/>
    <n v="1310"/>
    <x v="0"/>
    <x v="2"/>
    <n v="25.1"/>
    <n v="1.5"/>
    <m/>
    <x v="1"/>
    <x v="0"/>
    <n v="14.53"/>
  </r>
  <r>
    <n v="48"/>
    <x v="2"/>
    <x v="0"/>
    <n v="62.9"/>
    <n v="1.67"/>
    <n v="198"/>
    <n v="164"/>
    <n v="64"/>
    <n v="0.84"/>
    <n v="1098"/>
    <x v="2"/>
    <x v="1"/>
    <n v="24.5"/>
    <n v="3.3"/>
    <n v="5"/>
    <x v="1"/>
    <x v="2"/>
    <n v="24.26"/>
  </r>
  <r>
    <n v="33"/>
    <x v="0"/>
    <x v="1"/>
    <n v="59.6"/>
    <n v="1.6"/>
    <n v="187"/>
    <n v="127"/>
    <n v="69"/>
    <n v="1.41"/>
    <n v="573"/>
    <x v="1"/>
    <x v="1"/>
    <n v="22.7"/>
    <n v="2.2000000000000002"/>
    <n v="3"/>
    <x v="1"/>
    <x v="2"/>
    <n v="21.54"/>
  </r>
  <r>
    <n v="46"/>
    <x v="2"/>
    <x v="0"/>
    <n v="50"/>
    <n v="1.5"/>
    <n v="182"/>
    <n v="149"/>
    <n v="64"/>
    <n v="1.44"/>
    <n v="929"/>
    <x v="1"/>
    <x v="3"/>
    <n v="23.8"/>
    <n v="3.3"/>
    <n v="2"/>
    <x v="2"/>
    <x v="0"/>
    <n v="16.09"/>
  </r>
  <r>
    <n v="32"/>
    <x v="0"/>
    <x v="0"/>
    <n v="104.3"/>
    <n v="1.83"/>
    <n v="160"/>
    <m/>
    <n v="64"/>
    <n v="1.83"/>
    <n v="1122"/>
    <x v="3"/>
    <x v="3"/>
    <n v="22.1"/>
    <n v="2.8"/>
    <n v="4"/>
    <x v="0"/>
    <x v="0"/>
    <n v="16.989999999999998"/>
  </r>
  <r>
    <n v="36"/>
    <x v="3"/>
    <x v="0"/>
    <n v="61.2"/>
    <n v="1.93"/>
    <n v="166"/>
    <n v="145"/>
    <n v="55"/>
    <n v="0.77"/>
    <n v="1015"/>
    <x v="2"/>
    <x v="0"/>
    <n v="18.8"/>
    <n v="1.5"/>
    <n v="4"/>
    <x v="0"/>
    <x v="0"/>
    <n v="12.32"/>
  </r>
  <r>
    <n v="36"/>
    <x v="3"/>
    <x v="0"/>
    <n v="82.5"/>
    <n v="1.66"/>
    <n v="166"/>
    <n v="134"/>
    <n v="50"/>
    <n v="0.95"/>
    <n v="640"/>
    <x v="3"/>
    <x v="0"/>
    <n v="11.2"/>
    <n v="3.4"/>
    <n v="5"/>
    <x v="0"/>
    <x v="2"/>
    <n v="21.01"/>
  </r>
  <r>
    <n v="57"/>
    <x v="4"/>
    <x v="0"/>
    <n v="58.3"/>
    <n v="1.73"/>
    <n v="164"/>
    <n v="132"/>
    <n v="50"/>
    <n v="1.48"/>
    <n v="492"/>
    <x v="2"/>
    <x v="1"/>
    <n v="27.7"/>
    <n v="3.6"/>
    <n v="3"/>
    <x v="1"/>
    <x v="2"/>
    <n v="19.23"/>
  </r>
  <r>
    <n v="45"/>
    <x v="2"/>
    <x v="1"/>
    <n v="61.6"/>
    <n v="1.95"/>
    <n v="176"/>
    <m/>
    <n v="64"/>
    <n v="1.1200000000000001"/>
    <n v="1049"/>
    <x v="0"/>
    <x v="2"/>
    <n v="25.1"/>
    <n v="2.4"/>
    <n v="4"/>
    <x v="1"/>
    <x v="1"/>
    <n v="30.72"/>
  </r>
  <r>
    <n v="44"/>
    <x v="3"/>
    <x v="1"/>
    <n v="64.2"/>
    <n v="1.7"/>
    <m/>
    <n v="139"/>
    <n v="62"/>
    <n v="1.3"/>
    <n v="1201"/>
    <x v="3"/>
    <x v="1"/>
    <n v="23.2"/>
    <n v="3.3"/>
    <n v="2"/>
    <x v="0"/>
    <x v="0"/>
    <n v="15.79"/>
  </r>
  <r>
    <n v="31"/>
    <x v="0"/>
    <x v="1"/>
    <n v="53"/>
    <n v="1.83"/>
    <n v="182"/>
    <n v="149"/>
    <n v="55"/>
    <n v="1.33"/>
    <n v="821"/>
    <x v="0"/>
    <x v="1"/>
    <n v="23.6"/>
    <n v="3.4"/>
    <n v="4"/>
    <x v="2"/>
    <x v="2"/>
    <n v="22.89"/>
  </r>
  <r>
    <n v="50"/>
    <x v="2"/>
    <x v="0"/>
    <n v="69.599999999999994"/>
    <n v="1.9"/>
    <n v="172"/>
    <n v="127"/>
    <n v="74"/>
    <m/>
    <n v="303"/>
    <x v="0"/>
    <x v="1"/>
    <n v="26.2"/>
    <n v="1.5"/>
    <n v="3"/>
    <x v="1"/>
    <x v="1"/>
    <n v="29.91"/>
  </r>
  <r>
    <n v="38"/>
    <x v="3"/>
    <x v="0"/>
    <n v="81.099999999999994"/>
    <n v="1.92"/>
    <n v="190"/>
    <n v="125"/>
    <n v="61"/>
    <n v="1.18"/>
    <n v="690"/>
    <x v="3"/>
    <x v="1"/>
    <n v="26.1"/>
    <n v="3.1"/>
    <n v="4"/>
    <x v="2"/>
    <x v="0"/>
    <n v="17.989999999999998"/>
  </r>
  <r>
    <n v="49"/>
    <x v="2"/>
    <x v="0"/>
    <n v="65.7"/>
    <n v="1.77"/>
    <n v="182"/>
    <n v="139"/>
    <n v="74"/>
    <n v="1.18"/>
    <n v="744"/>
    <x v="2"/>
    <x v="1"/>
    <n v="26.8"/>
    <n v="3.1"/>
    <n v="2"/>
    <x v="0"/>
    <x v="2"/>
    <n v="23"/>
  </r>
  <r>
    <n v="21"/>
    <x v="1"/>
    <x v="1"/>
    <n v="81.8"/>
    <n v="1.83"/>
    <n v="182"/>
    <n v="163"/>
    <n v="53"/>
    <n v="2"/>
    <n v="1159"/>
    <x v="1"/>
    <x v="2"/>
    <n v="29.2"/>
    <n v="2.7"/>
    <n v="4"/>
    <x v="1"/>
    <x v="2"/>
    <n v="22.27"/>
  </r>
  <r>
    <n v="28"/>
    <x v="0"/>
    <x v="0"/>
    <n v="91.2"/>
    <n v="1.77"/>
    <n v="164"/>
    <n v="162"/>
    <n v="55"/>
    <n v="1.28"/>
    <n v="648"/>
    <x v="0"/>
    <x v="1"/>
    <n v="25.4"/>
    <n v="3.3"/>
    <n v="2"/>
    <x v="0"/>
    <x v="2"/>
    <n v="18.88"/>
  </r>
  <r>
    <n v="52"/>
    <x v="2"/>
    <x v="0"/>
    <n v="98.5"/>
    <n v="1.96"/>
    <n v="183"/>
    <n v="169"/>
    <n v="50"/>
    <n v="1.98"/>
    <n v="1515"/>
    <x v="0"/>
    <x v="0"/>
    <m/>
    <n v="2.2000000000000002"/>
    <n v="5"/>
    <x v="1"/>
    <x v="1"/>
    <n v="35.08"/>
  </r>
  <r>
    <n v="22"/>
    <x v="1"/>
    <x v="1"/>
    <n v="88.9"/>
    <n v="1.6"/>
    <n v="182"/>
    <n v="148"/>
    <n v="74"/>
    <n v="1.39"/>
    <n v="1386"/>
    <x v="2"/>
    <x v="2"/>
    <n v="28.9"/>
    <n v="2.5"/>
    <n v="3"/>
    <x v="2"/>
    <x v="1"/>
    <n v="32.24"/>
  </r>
  <r>
    <n v="43"/>
    <x v="3"/>
    <x v="1"/>
    <n v="88.5"/>
    <n v="1.72"/>
    <n v="185"/>
    <n v="131"/>
    <n v="67"/>
    <n v="1.48"/>
    <n v="1140"/>
    <x v="1"/>
    <x v="1"/>
    <n v="23.6"/>
    <n v="3.3"/>
    <n v="4"/>
    <x v="1"/>
    <x v="4"/>
    <n v="28.7"/>
  </r>
  <r>
    <n v="46"/>
    <x v="2"/>
    <x v="1"/>
    <n v="85.9"/>
    <n v="1.7"/>
    <n v="180"/>
    <n v="148"/>
    <n v="66"/>
    <n v="1.77"/>
    <n v="1088"/>
    <x v="2"/>
    <x v="3"/>
    <n v="13.8"/>
    <n v="3.4"/>
    <n v="2"/>
    <x v="0"/>
    <x v="2"/>
    <n v="21.8"/>
  </r>
  <r>
    <n v="18"/>
    <x v="1"/>
    <x v="1"/>
    <n v="56.5"/>
    <n v="1.86"/>
    <n v="193"/>
    <n v="129"/>
    <n v="54"/>
    <n v="1.4"/>
    <n v="901"/>
    <x v="2"/>
    <x v="1"/>
    <n v="20.6"/>
    <n v="3.5"/>
    <n v="4"/>
    <x v="0"/>
    <x v="0"/>
    <n v="13.7"/>
  </r>
  <r>
    <n v="43"/>
    <x v="3"/>
    <x v="0"/>
    <n v="65.2"/>
    <n v="1.97"/>
    <n v="184"/>
    <n v="121"/>
    <n v="72"/>
    <n v="1.1000000000000001"/>
    <n v="594"/>
    <x v="2"/>
    <x v="3"/>
    <n v="23.2"/>
    <m/>
    <n v="3"/>
    <x v="0"/>
    <x v="0"/>
    <n v="17.03"/>
  </r>
  <r>
    <n v="18"/>
    <x v="1"/>
    <x v="1"/>
    <n v="71.900000000000006"/>
    <n v="1.54"/>
    <n v="170"/>
    <n v="121"/>
    <n v="59"/>
    <n v="1.48"/>
    <n v="658"/>
    <x v="2"/>
    <x v="1"/>
    <n v="18.899999999999999"/>
    <n v="2.6"/>
    <n v="4"/>
    <x v="0"/>
    <x v="2"/>
    <n v="24.65"/>
  </r>
  <r>
    <n v="44"/>
    <x v="3"/>
    <x v="1"/>
    <n v="66.8"/>
    <n v="1.72"/>
    <n v="191"/>
    <n v="136"/>
    <n v="68"/>
    <n v="1.34"/>
    <n v="1239"/>
    <x v="1"/>
    <x v="2"/>
    <n v="31.5"/>
    <n v="2.8"/>
    <n v="4"/>
    <x v="0"/>
    <x v="2"/>
    <n v="22.21"/>
  </r>
  <r>
    <n v="55"/>
    <x v="4"/>
    <x v="0"/>
    <n v="46.3"/>
    <n v="1.7"/>
    <n v="187"/>
    <n v="139"/>
    <n v="52"/>
    <n v="2"/>
    <n v="1130"/>
    <x v="1"/>
    <x v="1"/>
    <n v="27.3"/>
    <n v="1.5"/>
    <n v="3"/>
    <x v="1"/>
    <x v="1"/>
    <n v="32.94"/>
  </r>
  <r>
    <n v="36"/>
    <x v="3"/>
    <x v="1"/>
    <n v="93.2"/>
    <n v="1.63"/>
    <m/>
    <n v="153"/>
    <n v="55"/>
    <n v="1.21"/>
    <n v="389"/>
    <x v="1"/>
    <x v="2"/>
    <n v="25.8"/>
    <n v="1.5"/>
    <n v="3"/>
    <x v="0"/>
    <x v="4"/>
    <n v="24.94"/>
  </r>
  <r>
    <n v="57"/>
    <x v="4"/>
    <x v="1"/>
    <n v="72.400000000000006"/>
    <n v="1.65"/>
    <n v="168"/>
    <n v="162"/>
    <n v="56"/>
    <n v="1.71"/>
    <n v="1140"/>
    <x v="3"/>
    <x v="0"/>
    <n v="10.9"/>
    <n v="2.5"/>
    <n v="4"/>
    <x v="1"/>
    <x v="4"/>
    <n v="28.3"/>
  </r>
  <r>
    <n v="41"/>
    <x v="3"/>
    <x v="1"/>
    <n v="70.7"/>
    <n v="1.81"/>
    <n v="191"/>
    <n v="134"/>
    <n v="62"/>
    <n v="1.53"/>
    <n v="1381"/>
    <x v="1"/>
    <x v="2"/>
    <n v="30.3"/>
    <n v="3.3"/>
    <n v="2"/>
    <x v="0"/>
    <x v="2"/>
    <n v="23.32"/>
  </r>
  <r>
    <n v="52"/>
    <x v="2"/>
    <x v="0"/>
    <n v="45"/>
    <n v="1.75"/>
    <n v="196"/>
    <n v="143"/>
    <n v="74"/>
    <n v="2"/>
    <n v="926"/>
    <x v="3"/>
    <x v="3"/>
    <n v="22"/>
    <n v="2.4"/>
    <n v="3"/>
    <x v="1"/>
    <x v="1"/>
    <n v="38.799999999999997"/>
  </r>
  <r>
    <n v="18"/>
    <x v="1"/>
    <x v="0"/>
    <n v="74.8"/>
    <n v="1.83"/>
    <n v="165"/>
    <n v="144"/>
    <n v="63"/>
    <n v="1.66"/>
    <n v="1174"/>
    <x v="1"/>
    <x v="3"/>
    <n v="22.9"/>
    <n v="3.1"/>
    <n v="2"/>
    <x v="0"/>
    <x v="0"/>
    <n v="15.29"/>
  </r>
  <r>
    <n v="31"/>
    <x v="0"/>
    <x v="0"/>
    <n v="61.1"/>
    <n v="1.69"/>
    <n v="190"/>
    <n v="123"/>
    <n v="64"/>
    <n v="0.62"/>
    <n v="1227"/>
    <x v="2"/>
    <x v="3"/>
    <n v="23.8"/>
    <n v="3.6"/>
    <n v="2"/>
    <x v="2"/>
    <x v="2"/>
    <n v="19.829999999999998"/>
  </r>
  <r>
    <n v="34"/>
    <x v="0"/>
    <x v="0"/>
    <n v="44.3"/>
    <n v="1.76"/>
    <n v="180"/>
    <n v="129"/>
    <n v="58"/>
    <n v="1.85"/>
    <n v="494"/>
    <x v="0"/>
    <x v="1"/>
    <n v="25.8"/>
    <n v="3.2"/>
    <n v="4"/>
    <x v="2"/>
    <x v="0"/>
    <n v="16.48"/>
  </r>
  <r>
    <n v="20"/>
    <x v="1"/>
    <x v="0"/>
    <n v="96.2"/>
    <n v="1.59"/>
    <n v="170"/>
    <n v="142"/>
    <n v="52"/>
    <n v="1.57"/>
    <n v="1305"/>
    <x v="0"/>
    <x v="0"/>
    <n v="10.199999999999999"/>
    <n v="2.8"/>
    <m/>
    <x v="1"/>
    <x v="2"/>
    <n v="21.72"/>
  </r>
  <r>
    <n v="47"/>
    <x v="2"/>
    <x v="1"/>
    <n v="69.7"/>
    <n v="1.83"/>
    <n v="184"/>
    <n v="121"/>
    <n v="70"/>
    <n v="1.02"/>
    <n v="747"/>
    <x v="2"/>
    <x v="2"/>
    <n v="30.2"/>
    <n v="1.9"/>
    <n v="5"/>
    <x v="1"/>
    <x v="2"/>
    <n v="20.78"/>
  </r>
  <r>
    <n v="33"/>
    <x v="0"/>
    <x v="1"/>
    <n v="41.9"/>
    <n v="1.59"/>
    <n v="166"/>
    <n v="165"/>
    <n v="50"/>
    <n v="2"/>
    <n v="898"/>
    <x v="0"/>
    <x v="1"/>
    <n v="24.6"/>
    <n v="3.2"/>
    <n v="3"/>
    <x v="0"/>
    <x v="0"/>
    <n v="14.53"/>
  </r>
  <r>
    <n v="47"/>
    <x v="2"/>
    <x v="0"/>
    <n v="52.9"/>
    <n v="1.67"/>
    <n v="180"/>
    <n v="142"/>
    <n v="72"/>
    <n v="1.1100000000000001"/>
    <n v="770"/>
    <x v="1"/>
    <x v="3"/>
    <n v="22.9"/>
    <n v="1.5"/>
    <n v="3"/>
    <x v="0"/>
    <x v="1"/>
    <n v="30.5"/>
  </r>
  <r>
    <n v="58"/>
    <x v="4"/>
    <x v="1"/>
    <n v="94.6"/>
    <n v="1.57"/>
    <n v="191"/>
    <n v="152"/>
    <n v="74"/>
    <n v="0.78"/>
    <n v="674"/>
    <x v="1"/>
    <x v="0"/>
    <n v="10.199999999999999"/>
    <n v="3.3"/>
    <m/>
    <x v="1"/>
    <x v="2"/>
    <n v="22.94"/>
  </r>
  <r>
    <n v="47"/>
    <x v="2"/>
    <x v="1"/>
    <n v="70.5"/>
    <n v="1.67"/>
    <n v="166"/>
    <n v="168"/>
    <n v="58"/>
    <n v="1.74"/>
    <n v="898"/>
    <x v="0"/>
    <x v="2"/>
    <n v="30"/>
    <n v="3.2"/>
    <n v="3"/>
    <x v="0"/>
    <x v="3"/>
    <n v="46.78"/>
  </r>
  <r>
    <n v="27"/>
    <x v="0"/>
    <x v="0"/>
    <n v="40"/>
    <n v="1.76"/>
    <n v="192"/>
    <n v="169"/>
    <n v="56"/>
    <n v="2"/>
    <n v="602"/>
    <x v="2"/>
    <x v="1"/>
    <n v="28"/>
    <n v="3.4"/>
    <n v="3"/>
    <x v="2"/>
    <x v="1"/>
    <n v="31.97"/>
  </r>
  <r>
    <n v="51"/>
    <x v="2"/>
    <x v="1"/>
    <n v="51.6"/>
    <n v="1.83"/>
    <n v="194"/>
    <n v="161"/>
    <n v="67"/>
    <n v="2"/>
    <n v="1057"/>
    <x v="3"/>
    <x v="2"/>
    <n v="27.6"/>
    <n v="2.2000000000000002"/>
    <n v="3"/>
    <x v="1"/>
    <x v="2"/>
    <n v="24.12"/>
  </r>
  <r>
    <n v="18"/>
    <x v="1"/>
    <x v="0"/>
    <n v="83.3"/>
    <n v="1.59"/>
    <n v="165"/>
    <n v="169"/>
    <n v="72"/>
    <n v="1.19"/>
    <n v="997"/>
    <x v="0"/>
    <x v="1"/>
    <n v="25.7"/>
    <n v="3.3"/>
    <n v="3"/>
    <x v="1"/>
    <x v="1"/>
    <n v="31.83"/>
  </r>
  <r>
    <n v="20"/>
    <x v="1"/>
    <x v="1"/>
    <n v="67.7"/>
    <n v="1.84"/>
    <n v="193"/>
    <n v="122"/>
    <n v="66"/>
    <n v="1.19"/>
    <n v="900"/>
    <x v="1"/>
    <x v="3"/>
    <n v="13.7"/>
    <n v="3.4"/>
    <n v="5"/>
    <x v="0"/>
    <x v="2"/>
    <n v="19.760000000000002"/>
  </r>
  <r>
    <n v="43"/>
    <x v="3"/>
    <x v="1"/>
    <n v="57.8"/>
    <n v="1.78"/>
    <n v="197"/>
    <n v="163"/>
    <n v="52"/>
    <n v="1.42"/>
    <n v="1418"/>
    <x v="3"/>
    <x v="2"/>
    <n v="28.6"/>
    <n v="1.6"/>
    <n v="2"/>
    <x v="1"/>
    <x v="0"/>
    <n v="14.84"/>
  </r>
  <r>
    <n v="45"/>
    <x v="2"/>
    <x v="1"/>
    <n v="59"/>
    <n v="1.87"/>
    <n v="199"/>
    <n v="157"/>
    <n v="55"/>
    <n v="1.1100000000000001"/>
    <n v="613"/>
    <x v="0"/>
    <x v="1"/>
    <n v="18.2"/>
    <n v="3.2"/>
    <n v="2"/>
    <x v="1"/>
    <x v="1"/>
    <n v="31.55"/>
  </r>
  <r>
    <n v="29"/>
    <x v="0"/>
    <x v="0"/>
    <n v="61.5"/>
    <n v="1.88"/>
    <n v="182"/>
    <n v="152"/>
    <n v="72"/>
    <n v="1.62"/>
    <n v="793"/>
    <x v="2"/>
    <x v="1"/>
    <n v="24.2"/>
    <n v="3.3"/>
    <n v="4"/>
    <x v="2"/>
    <x v="2"/>
    <n v="23.84"/>
  </r>
  <r>
    <n v="18"/>
    <x v="1"/>
    <x v="0"/>
    <n v="40"/>
    <n v="1.75"/>
    <n v="176"/>
    <n v="124"/>
    <n v="68"/>
    <n v="1.01"/>
    <n v="1536"/>
    <x v="2"/>
    <x v="0"/>
    <n v="14.6"/>
    <n v="3.5"/>
    <m/>
    <x v="0"/>
    <x v="0"/>
    <n v="17.62"/>
  </r>
  <r>
    <n v="37"/>
    <x v="3"/>
    <x v="1"/>
    <n v="79.599999999999994"/>
    <n v="1.68"/>
    <n v="180"/>
    <n v="137"/>
    <n v="67"/>
    <n v="2"/>
    <n v="920"/>
    <x v="3"/>
    <x v="2"/>
    <n v="28.6"/>
    <n v="1.8"/>
    <m/>
    <x v="2"/>
    <x v="2"/>
    <n v="23.26"/>
  </r>
  <r>
    <n v="26"/>
    <x v="0"/>
    <x v="0"/>
    <n v="68.599999999999994"/>
    <n v="1.75"/>
    <n v="184"/>
    <n v="140"/>
    <n v="60"/>
    <n v="1.26"/>
    <n v="681"/>
    <x v="2"/>
    <x v="1"/>
    <n v="29.4"/>
    <n v="1.8"/>
    <n v="3"/>
    <x v="2"/>
    <x v="2"/>
    <n v="20.02"/>
  </r>
  <r>
    <n v="49"/>
    <x v="2"/>
    <x v="0"/>
    <n v="77.900000000000006"/>
    <n v="1.75"/>
    <n v="196"/>
    <n v="169"/>
    <n v="64"/>
    <n v="1.24"/>
    <n v="1267"/>
    <x v="2"/>
    <x v="1"/>
    <n v="24.8"/>
    <n v="3.5"/>
    <n v="3"/>
    <x v="0"/>
    <x v="0"/>
    <n v="14.38"/>
  </r>
  <r>
    <n v="23"/>
    <x v="1"/>
    <x v="0"/>
    <n v="40.9"/>
    <n v="1.75"/>
    <n v="187"/>
    <n v="136"/>
    <n v="50"/>
    <n v="1.1399999999999999"/>
    <n v="1135"/>
    <x v="1"/>
    <x v="1"/>
    <n v="24.8"/>
    <n v="3.4"/>
    <n v="3"/>
    <x v="0"/>
    <x v="0"/>
    <n v="12.32"/>
  </r>
  <r>
    <n v="18"/>
    <x v="1"/>
    <x v="1"/>
    <n v="68.7"/>
    <n v="1.77"/>
    <n v="161"/>
    <n v="169"/>
    <n v="68"/>
    <n v="1.01"/>
    <n v="1011"/>
    <x v="1"/>
    <x v="2"/>
    <n v="27.3"/>
    <n v="3.5"/>
    <n v="3"/>
    <x v="0"/>
    <x v="0"/>
    <n v="17"/>
  </r>
  <r>
    <n v="23"/>
    <x v="1"/>
    <x v="1"/>
    <n v="114.9"/>
    <n v="1.61"/>
    <n v="180"/>
    <n v="120"/>
    <n v="56"/>
    <n v="1.27"/>
    <n v="891"/>
    <x v="2"/>
    <x v="2"/>
    <n v="28"/>
    <n v="3.3"/>
    <n v="3"/>
    <x v="1"/>
    <x v="2"/>
    <n v="22.67"/>
  </r>
  <r>
    <n v="47"/>
    <x v="2"/>
    <x v="1"/>
    <n v="65.599999999999994"/>
    <n v="1.77"/>
    <n v="190"/>
    <n v="154"/>
    <n v="54"/>
    <n v="1.59"/>
    <n v="413"/>
    <x v="0"/>
    <x v="1"/>
    <n v="23.1"/>
    <n v="3.6"/>
    <n v="2"/>
    <x v="0"/>
    <x v="0"/>
    <n v="14.47"/>
  </r>
  <r>
    <n v="20"/>
    <x v="1"/>
    <x v="0"/>
    <n v="90.9"/>
    <n v="1.69"/>
    <n v="198"/>
    <n v="142"/>
    <n v="74"/>
    <n v="1.35"/>
    <n v="927"/>
    <x v="1"/>
    <x v="0"/>
    <n v="18.100000000000001"/>
    <n v="3.2"/>
    <n v="4"/>
    <x v="1"/>
    <x v="0"/>
    <n v="16.23"/>
  </r>
  <r>
    <n v="40"/>
    <x v="3"/>
    <x v="1"/>
    <n v="61"/>
    <n v="1.89"/>
    <n v="196"/>
    <n v="123"/>
    <n v="71"/>
    <n v="1.45"/>
    <n v="625"/>
    <x v="0"/>
    <x v="2"/>
    <n v="27.4"/>
    <n v="3.6"/>
    <n v="3"/>
    <x v="1"/>
    <x v="2"/>
    <n v="23.16"/>
  </r>
  <r>
    <n v="18"/>
    <x v="1"/>
    <x v="1"/>
    <n v="66.8"/>
    <n v="1.66"/>
    <n v="166"/>
    <n v="135"/>
    <n v="59"/>
    <n v="2"/>
    <n v="803"/>
    <x v="3"/>
    <x v="1"/>
    <n v="23.2"/>
    <n v="3"/>
    <n v="2"/>
    <x v="1"/>
    <x v="0"/>
    <n v="12.56"/>
  </r>
  <r>
    <n v="56"/>
    <x v="4"/>
    <x v="1"/>
    <n v="42.6"/>
    <n v="1.61"/>
    <n v="190"/>
    <n v="161"/>
    <n v="60"/>
    <n v="1.24"/>
    <n v="1260"/>
    <x v="2"/>
    <x v="1"/>
    <n v="23"/>
    <n v="3.6"/>
    <n v="4"/>
    <x v="2"/>
    <x v="2"/>
    <n v="23.68"/>
  </r>
  <r>
    <n v="56"/>
    <x v="4"/>
    <x v="0"/>
    <n v="88.8"/>
    <n v="1.7"/>
    <n v="173"/>
    <n v="129"/>
    <n v="52"/>
    <n v="1.79"/>
    <n v="933"/>
    <x v="3"/>
    <x v="1"/>
    <n v="24.1"/>
    <n v="1.5"/>
    <n v="4"/>
    <x v="0"/>
    <x v="0"/>
    <n v="12.32"/>
  </r>
  <r>
    <n v="34"/>
    <x v="0"/>
    <x v="0"/>
    <n v="83.2"/>
    <n v="1.64"/>
    <n v="171"/>
    <n v="164"/>
    <n v="69"/>
    <n v="1.19"/>
    <n v="1392"/>
    <x v="3"/>
    <x v="3"/>
    <n v="22.9"/>
    <n v="3.5"/>
    <n v="3"/>
    <x v="1"/>
    <x v="0"/>
    <n v="14.97"/>
  </r>
  <r>
    <n v="38"/>
    <x v="3"/>
    <x v="0"/>
    <n v="99.1"/>
    <n v="1.5"/>
    <n v="185"/>
    <n v="159"/>
    <n v="74"/>
    <n v="1.38"/>
    <n v="995"/>
    <x v="2"/>
    <x v="0"/>
    <n v="17.8"/>
    <n v="1.5"/>
    <n v="4"/>
    <x v="1"/>
    <x v="2"/>
    <n v="24.56"/>
  </r>
  <r>
    <n v="43"/>
    <x v="3"/>
    <x v="1"/>
    <n v="77.8"/>
    <n v="1.7"/>
    <n v="180"/>
    <n v="149"/>
    <n v="58"/>
    <n v="1.38"/>
    <n v="1643"/>
    <x v="0"/>
    <x v="3"/>
    <n v="14.9"/>
    <n v="2.8"/>
    <n v="5"/>
    <x v="1"/>
    <x v="0"/>
    <n v="16.55"/>
  </r>
  <r>
    <n v="18"/>
    <x v="1"/>
    <x v="1"/>
    <n v="47.8"/>
    <n v="1.85"/>
    <n v="161"/>
    <n v="156"/>
    <n v="50"/>
    <n v="1.02"/>
    <n v="1265"/>
    <x v="3"/>
    <x v="2"/>
    <n v="30.8"/>
    <n v="3.2"/>
    <n v="5"/>
    <x v="1"/>
    <x v="0"/>
    <n v="12.32"/>
  </r>
  <r>
    <n v="24"/>
    <x v="1"/>
    <x v="1"/>
    <n v="40"/>
    <n v="1.82"/>
    <n v="168"/>
    <n v="120"/>
    <n v="74"/>
    <n v="1.28"/>
    <n v="303"/>
    <x v="0"/>
    <x v="2"/>
    <n v="25"/>
    <n v="3.6"/>
    <n v="3"/>
    <x v="1"/>
    <x v="0"/>
    <n v="17.95"/>
  </r>
  <r>
    <n v="35"/>
    <x v="3"/>
    <x v="0"/>
    <n v="91"/>
    <n v="1.55"/>
    <n v="174"/>
    <n v="136"/>
    <n v="74"/>
    <n v="0.99"/>
    <n v="1216"/>
    <x v="1"/>
    <x v="1"/>
    <n v="27"/>
    <n v="3.5"/>
    <n v="3"/>
    <x v="2"/>
    <x v="0"/>
    <n v="16"/>
  </r>
  <r>
    <n v="21"/>
    <x v="1"/>
    <x v="1"/>
    <n v="86.3"/>
    <n v="1.74"/>
    <n v="184"/>
    <n v="169"/>
    <n v="61"/>
    <n v="1.85"/>
    <n v="993"/>
    <x v="0"/>
    <x v="2"/>
    <n v="24.9"/>
    <n v="3.4"/>
    <n v="2"/>
    <x v="0"/>
    <x v="2"/>
    <n v="22.21"/>
  </r>
  <r>
    <n v="26"/>
    <x v="0"/>
    <x v="1"/>
    <n v="64.599999999999994"/>
    <n v="1.82"/>
    <n v="196"/>
    <n v="165"/>
    <n v="55"/>
    <n v="1.46"/>
    <n v="1699"/>
    <x v="3"/>
    <x v="2"/>
    <n v="28.1"/>
    <n v="3.3"/>
    <n v="4"/>
    <x v="0"/>
    <x v="2"/>
    <n v="19.63"/>
  </r>
  <r>
    <n v="40"/>
    <x v="3"/>
    <x v="0"/>
    <n v="49.6"/>
    <n v="1.7"/>
    <n v="169"/>
    <m/>
    <n v="72"/>
    <n v="1.6"/>
    <n v="921"/>
    <x v="1"/>
    <x v="2"/>
    <n v="32.5"/>
    <n v="3.6"/>
    <m/>
    <x v="0"/>
    <x v="0"/>
    <n v="12.71"/>
  </r>
  <r>
    <n v="23"/>
    <x v="1"/>
    <x v="0"/>
    <n v="59.6"/>
    <n v="1.81"/>
    <n v="160"/>
    <n v="146"/>
    <n v="71"/>
    <n v="1.54"/>
    <n v="1382"/>
    <x v="2"/>
    <x v="3"/>
    <n v="22.6"/>
    <n v="2.8"/>
    <n v="5"/>
    <x v="0"/>
    <x v="0"/>
    <n v="12.32"/>
  </r>
  <r>
    <n v="46"/>
    <x v="2"/>
    <x v="0"/>
    <n v="53.7"/>
    <n v="1.5"/>
    <n v="177"/>
    <n v="169"/>
    <n v="54"/>
    <n v="1.62"/>
    <n v="1245"/>
    <x v="0"/>
    <x v="1"/>
    <n v="26.8"/>
    <n v="3.7"/>
    <n v="4"/>
    <x v="2"/>
    <x v="2"/>
    <n v="22.71"/>
  </r>
  <r>
    <n v="55"/>
    <x v="4"/>
    <x v="0"/>
    <n v="58.9"/>
    <n v="1.56"/>
    <n v="197"/>
    <n v="125"/>
    <n v="58"/>
    <n v="0.73"/>
    <n v="1103"/>
    <x v="3"/>
    <x v="3"/>
    <n v="22.1"/>
    <n v="3.5"/>
    <n v="3"/>
    <x v="0"/>
    <x v="1"/>
    <n v="30.52"/>
  </r>
  <r>
    <n v="31"/>
    <x v="0"/>
    <x v="1"/>
    <n v="79.400000000000006"/>
    <n v="1.58"/>
    <n v="163"/>
    <n v="125"/>
    <n v="74"/>
    <n v="1.49"/>
    <n v="663"/>
    <x v="1"/>
    <x v="1"/>
    <n v="24"/>
    <n v="2.4"/>
    <n v="3"/>
    <x v="0"/>
    <x v="0"/>
    <n v="12.32"/>
  </r>
  <r>
    <n v="26"/>
    <x v="0"/>
    <x v="1"/>
    <n v="83.1"/>
    <n v="1.52"/>
    <n v="163"/>
    <n v="139"/>
    <n v="51"/>
    <n v="1.95"/>
    <n v="925"/>
    <x v="0"/>
    <x v="0"/>
    <n v="10"/>
    <n v="2.8"/>
    <n v="3"/>
    <x v="1"/>
    <x v="2"/>
    <n v="20.05"/>
  </r>
  <r>
    <n v="31"/>
    <x v="0"/>
    <x v="0"/>
    <n v="61.7"/>
    <n v="1.52"/>
    <n v="177"/>
    <n v="160"/>
    <n v="54"/>
    <n v="0.54"/>
    <n v="1266"/>
    <x v="3"/>
    <x v="3"/>
    <n v="23.1"/>
    <n v="1.7"/>
    <n v="4"/>
    <x v="0"/>
    <x v="0"/>
    <n v="12.32"/>
  </r>
  <r>
    <n v="27"/>
    <x v="0"/>
    <x v="1"/>
    <n v="66.599999999999994"/>
    <n v="1.7"/>
    <n v="171"/>
    <n v="149"/>
    <n v="73"/>
    <n v="1.43"/>
    <n v="1321"/>
    <x v="0"/>
    <x v="2"/>
    <n v="26.6"/>
    <n v="3.3"/>
    <n v="4"/>
    <x v="2"/>
    <x v="0"/>
    <n v="13.51"/>
  </r>
  <r>
    <n v="45"/>
    <x v="2"/>
    <x v="0"/>
    <n v="106.3"/>
    <n v="1.84"/>
    <n v="172"/>
    <n v="123"/>
    <n v="61"/>
    <n v="1.1499999999999999"/>
    <n v="1177"/>
    <x v="0"/>
    <x v="0"/>
    <n v="16.899999999999999"/>
    <n v="2.6"/>
    <n v="4"/>
    <x v="2"/>
    <x v="1"/>
    <n v="30.72"/>
  </r>
  <r>
    <n v="23"/>
    <x v="1"/>
    <x v="0"/>
    <n v="73.2"/>
    <n v="1.58"/>
    <n v="175"/>
    <n v="169"/>
    <n v="18"/>
    <n v="1.54"/>
    <n v="1226"/>
    <x v="2"/>
    <x v="1"/>
    <n v="25"/>
    <n v="2.4"/>
    <n v="3"/>
    <x v="0"/>
    <x v="2"/>
    <n v="24.85"/>
  </r>
  <r>
    <n v="48"/>
    <x v="2"/>
    <x v="0"/>
    <n v="69.900000000000006"/>
    <n v="1.82"/>
    <n v="173"/>
    <n v="162"/>
    <n v="18"/>
    <n v="2"/>
    <n v="1724"/>
    <x v="3"/>
    <x v="1"/>
    <n v="26.7"/>
    <n v="2.4"/>
    <n v="3"/>
    <x v="1"/>
    <x v="2"/>
    <n v="23.63"/>
  </r>
  <r>
    <n v="30"/>
    <x v="0"/>
    <x v="0"/>
    <n v="62.3"/>
    <n v="1.53"/>
    <n v="185"/>
    <n v="153"/>
    <n v="68"/>
    <n v="1.3"/>
    <n v="1382"/>
    <x v="3"/>
    <x v="3"/>
    <n v="20.5"/>
    <n v="1.6"/>
    <n v="2"/>
    <x v="0"/>
    <x v="1"/>
    <n v="34.479999999999997"/>
  </r>
  <r>
    <n v="48"/>
    <x v="2"/>
    <x v="1"/>
    <n v="83"/>
    <n v="1.55"/>
    <n v="164"/>
    <n v="169"/>
    <n v="67"/>
    <n v="1.27"/>
    <n v="1287"/>
    <x v="1"/>
    <x v="1"/>
    <n v="21.5"/>
    <n v="3.5"/>
    <n v="2"/>
    <x v="2"/>
    <x v="2"/>
    <n v="22.88"/>
  </r>
  <r>
    <n v="35"/>
    <x v="3"/>
    <x v="1"/>
    <n v="75.400000000000006"/>
    <n v="1.64"/>
    <n v="198"/>
    <n v="167"/>
    <n v="63"/>
    <n v="1.1399999999999999"/>
    <n v="1045"/>
    <x v="3"/>
    <x v="1"/>
    <n v="20.5"/>
    <n v="1.5"/>
    <n v="3"/>
    <x v="0"/>
    <x v="1"/>
    <n v="30.23"/>
  </r>
  <r>
    <n v="30"/>
    <x v="0"/>
    <x v="0"/>
    <n v="98.3"/>
    <n v="1.84"/>
    <n v="178"/>
    <n v="161"/>
    <n v="74"/>
    <n v="1.58"/>
    <n v="576"/>
    <x v="2"/>
    <x v="3"/>
    <n v="23.3"/>
    <n v="1.6"/>
    <n v="3"/>
    <x v="0"/>
    <x v="0"/>
    <n v="16.149999999999999"/>
  </r>
  <r>
    <n v="38"/>
    <x v="3"/>
    <x v="0"/>
    <n v="46.5"/>
    <n v="1.65"/>
    <n v="182"/>
    <n v="169"/>
    <n v="70"/>
    <n v="1.34"/>
    <n v="806"/>
    <x v="1"/>
    <x v="1"/>
    <n v="24.1"/>
    <n v="3.5"/>
    <n v="2"/>
    <x v="1"/>
    <x v="0"/>
    <n v="12.32"/>
  </r>
  <r>
    <n v="44"/>
    <x v="3"/>
    <x v="1"/>
    <n v="61.6"/>
    <n v="1.65"/>
    <n v="167"/>
    <n v="158"/>
    <n v="74"/>
    <n v="1.1100000000000001"/>
    <n v="1223"/>
    <x v="0"/>
    <x v="1"/>
    <n v="23.8"/>
    <n v="2.9"/>
    <n v="4"/>
    <x v="1"/>
    <x v="0"/>
    <n v="15.25"/>
  </r>
  <r>
    <n v="31"/>
    <x v="0"/>
    <x v="0"/>
    <n v="64"/>
    <n v="1.85"/>
    <n v="184"/>
    <n v="147"/>
    <n v="71"/>
    <n v="1.05"/>
    <n v="571"/>
    <x v="0"/>
    <x v="1"/>
    <n v="27"/>
    <n v="2"/>
    <n v="5"/>
    <x v="0"/>
    <x v="0"/>
    <n v="14.26"/>
  </r>
  <r>
    <n v="18"/>
    <x v="1"/>
    <x v="1"/>
    <n v="59.1"/>
    <n v="1.69"/>
    <n v="180"/>
    <n v="155"/>
    <n v="57"/>
    <n v="1.99"/>
    <n v="1505"/>
    <x v="3"/>
    <x v="2"/>
    <n v="27.5"/>
    <n v="1.9"/>
    <n v="4"/>
    <x v="1"/>
    <x v="0"/>
    <n v="17.36"/>
  </r>
  <r>
    <n v="24"/>
    <x v="1"/>
    <x v="0"/>
    <n v="45.1"/>
    <n v="1.6"/>
    <n v="195"/>
    <n v="163"/>
    <n v="66"/>
    <n v="2"/>
    <n v="453"/>
    <x v="1"/>
    <x v="2"/>
    <n v="31.2"/>
    <n v="1.6"/>
    <n v="2"/>
    <x v="0"/>
    <x v="2"/>
    <n v="22.88"/>
  </r>
  <r>
    <n v="18"/>
    <x v="1"/>
    <x v="1"/>
    <n v="49.1"/>
    <n v="1.68"/>
    <m/>
    <n v="142"/>
    <n v="74"/>
    <n v="1.1299999999999999"/>
    <n v="961"/>
    <x v="3"/>
    <x v="1"/>
    <n v="23.7"/>
    <n v="3.1"/>
    <m/>
    <x v="1"/>
    <x v="0"/>
    <n v="15.28"/>
  </r>
  <r>
    <n v="18"/>
    <x v="1"/>
    <x v="2"/>
    <n v="82.7"/>
    <n v="1.79"/>
    <n v="171"/>
    <n v="167"/>
    <n v="69"/>
    <n v="1.0900000000000001"/>
    <n v="1305"/>
    <x v="2"/>
    <x v="3"/>
    <n v="21.8"/>
    <n v="2.1"/>
    <n v="2"/>
    <x v="1"/>
    <x v="0"/>
    <n v="12.89"/>
  </r>
  <r>
    <n v="33"/>
    <x v="0"/>
    <x v="1"/>
    <n v="85"/>
    <n v="1.73"/>
    <n v="161"/>
    <n v="128"/>
    <n v="64"/>
    <n v="1.34"/>
    <n v="812"/>
    <x v="0"/>
    <x v="3"/>
    <n v="16.600000000000001"/>
    <n v="3.2"/>
    <n v="4"/>
    <x v="1"/>
    <x v="0"/>
    <n v="13.34"/>
  </r>
  <r>
    <n v="21"/>
    <x v="1"/>
    <x v="0"/>
    <n v="77.900000000000006"/>
    <n v="1.8"/>
    <n v="199"/>
    <n v="169"/>
    <n v="56"/>
    <n v="1.3"/>
    <n v="1171"/>
    <x v="1"/>
    <x v="0"/>
    <n v="19.7"/>
    <n v="3.4"/>
    <n v="3"/>
    <x v="0"/>
    <x v="2"/>
    <n v="19.98"/>
  </r>
  <r>
    <n v="20"/>
    <x v="1"/>
    <x v="1"/>
    <n v="40"/>
    <n v="1.52"/>
    <n v="192"/>
    <n v="151"/>
    <n v="63"/>
    <n v="1.5"/>
    <n v="572"/>
    <x v="2"/>
    <x v="2"/>
    <n v="25.1"/>
    <n v="3.7"/>
    <n v="4"/>
    <x v="1"/>
    <x v="4"/>
    <n v="25.64"/>
  </r>
  <r>
    <n v="59"/>
    <x v="4"/>
    <x v="1"/>
    <n v="44.8"/>
    <n v="1.67"/>
    <n v="189"/>
    <n v="130"/>
    <n v="63"/>
    <n v="1.29"/>
    <n v="1021"/>
    <x v="0"/>
    <x v="2"/>
    <n v="29.8"/>
    <n v="3.6"/>
    <n v="3"/>
    <x v="2"/>
    <x v="0"/>
    <n v="12.32"/>
  </r>
  <r>
    <n v="51"/>
    <x v="2"/>
    <x v="0"/>
    <n v="66.400000000000006"/>
    <n v="1.77"/>
    <n v="184"/>
    <n v="147"/>
    <n v="55"/>
    <n v="0.97"/>
    <n v="1531"/>
    <x v="2"/>
    <x v="2"/>
    <n v="33.1"/>
    <n v="3.6"/>
    <n v="3"/>
    <x v="2"/>
    <x v="0"/>
    <n v="14.27"/>
  </r>
  <r>
    <n v="50"/>
    <x v="2"/>
    <x v="1"/>
    <n v="40"/>
    <n v="2"/>
    <n v="192"/>
    <n v="155"/>
    <n v="56"/>
    <n v="0.82"/>
    <n v="829"/>
    <x v="0"/>
    <x v="1"/>
    <n v="24.6"/>
    <n v="2.4"/>
    <n v="3"/>
    <x v="0"/>
    <x v="0"/>
    <n v="16.670000000000002"/>
  </r>
  <r>
    <n v="42"/>
    <x v="3"/>
    <x v="1"/>
    <n v="96.2"/>
    <n v="1.63"/>
    <n v="164"/>
    <n v="148"/>
    <n v="74"/>
    <n v="1.38"/>
    <n v="887"/>
    <x v="0"/>
    <x v="3"/>
    <n v="16.3"/>
    <n v="1.6"/>
    <n v="2"/>
    <x v="2"/>
    <x v="4"/>
    <n v="25.15"/>
  </r>
  <r>
    <n v="45"/>
    <x v="2"/>
    <x v="0"/>
    <n v="54"/>
    <n v="1.86"/>
    <n v="170"/>
    <n v="148"/>
    <n v="65"/>
    <n v="1.36"/>
    <n v="670"/>
    <x v="1"/>
    <x v="1"/>
    <n v="28.9"/>
    <n v="3.5"/>
    <n v="3"/>
    <x v="0"/>
    <x v="0"/>
    <n v="16.72"/>
  </r>
  <r>
    <n v="22"/>
    <x v="1"/>
    <x v="1"/>
    <n v="71.099999999999994"/>
    <n v="1.68"/>
    <n v="164"/>
    <n v="160"/>
    <n v="74"/>
    <n v="1.51"/>
    <n v="955"/>
    <x v="1"/>
    <x v="0"/>
    <n v="10"/>
    <n v="3.3"/>
    <n v="4"/>
    <x v="0"/>
    <x v="0"/>
    <n v="16.09"/>
  </r>
  <r>
    <n v="47"/>
    <x v="2"/>
    <x v="0"/>
    <n v="48.6"/>
    <n v="1.55"/>
    <n v="176"/>
    <n v="165"/>
    <n v="74"/>
    <n v="0.71"/>
    <n v="1305"/>
    <x v="1"/>
    <x v="0"/>
    <n v="15.6"/>
    <n v="2.7"/>
    <n v="2"/>
    <x v="1"/>
    <x v="4"/>
    <n v="27.31"/>
  </r>
  <r>
    <n v="34"/>
    <x v="0"/>
    <x v="0"/>
    <n v="100.1"/>
    <n v="1.97"/>
    <n v="192"/>
    <n v="164"/>
    <n v="73"/>
    <n v="2"/>
    <n v="1747"/>
    <x v="3"/>
    <x v="1"/>
    <n v="25.5"/>
    <n v="1.5"/>
    <n v="4"/>
    <x v="0"/>
    <x v="2"/>
    <n v="22.68"/>
  </r>
  <r>
    <n v="51"/>
    <x v="2"/>
    <x v="0"/>
    <n v="53.7"/>
    <n v="1.72"/>
    <n v="169"/>
    <n v="120"/>
    <n v="52"/>
    <n v="0.95"/>
    <n v="1234"/>
    <x v="2"/>
    <x v="0"/>
    <n v="10"/>
    <n v="3.3"/>
    <m/>
    <x v="2"/>
    <x v="0"/>
    <n v="14.41"/>
  </r>
  <r>
    <n v="27"/>
    <x v="0"/>
    <x v="1"/>
    <n v="83.5"/>
    <n v="1.67"/>
    <n v="162"/>
    <n v="129"/>
    <n v="65"/>
    <n v="1.48"/>
    <n v="1517"/>
    <x v="3"/>
    <x v="2"/>
    <n v="25.8"/>
    <n v="3.3"/>
    <n v="2"/>
    <x v="1"/>
    <x v="0"/>
    <n v="18.45"/>
  </r>
  <r>
    <n v="18"/>
    <x v="1"/>
    <x v="1"/>
    <n v="52.4"/>
    <n v="1.74"/>
    <n v="181"/>
    <n v="169"/>
    <n v="63"/>
    <n v="0.83"/>
    <n v="889"/>
    <x v="0"/>
    <x v="0"/>
    <n v="10"/>
    <n v="2.8"/>
    <n v="4"/>
    <x v="2"/>
    <x v="0"/>
    <n v="13.4"/>
  </r>
  <r>
    <n v="48"/>
    <x v="2"/>
    <x v="1"/>
    <n v="89.5"/>
    <n v="1.61"/>
    <n v="170"/>
    <n v="153"/>
    <n v="57"/>
    <n v="1.38"/>
    <n v="1355"/>
    <x v="0"/>
    <x v="0"/>
    <n v="10"/>
    <n v="3.3"/>
    <n v="3"/>
    <x v="1"/>
    <x v="0"/>
    <n v="12.32"/>
  </r>
  <r>
    <n v="25"/>
    <x v="0"/>
    <x v="0"/>
    <n v="58.2"/>
    <n v="1.64"/>
    <n v="165"/>
    <n v="169"/>
    <n v="71"/>
    <n v="1.92"/>
    <n v="984"/>
    <x v="0"/>
    <x v="3"/>
    <n v="20.8"/>
    <n v="3.3"/>
    <n v="4"/>
    <x v="2"/>
    <x v="2"/>
    <n v="19.05"/>
  </r>
  <r>
    <n v="51"/>
    <x v="2"/>
    <x v="1"/>
    <n v="126"/>
    <n v="1.74"/>
    <n v="190"/>
    <n v="139"/>
    <n v="57"/>
    <n v="1.04"/>
    <n v="1108"/>
    <x v="0"/>
    <x v="2"/>
    <n v="27.3"/>
    <n v="3.2"/>
    <n v="2"/>
    <x v="1"/>
    <x v="2"/>
    <n v="22.63"/>
  </r>
  <r>
    <n v="58"/>
    <x v="4"/>
    <x v="0"/>
    <n v="57.4"/>
    <n v="1.62"/>
    <n v="196"/>
    <n v="154"/>
    <n v="61"/>
    <n v="1.59"/>
    <n v="1015"/>
    <x v="4"/>
    <x v="0"/>
    <n v="15"/>
    <n v="2.1"/>
    <n v="3"/>
    <x v="1"/>
    <x v="4"/>
    <n v="25.02"/>
  </r>
  <r>
    <n v="32"/>
    <x v="0"/>
    <x v="0"/>
    <n v="52.3"/>
    <n v="1.59"/>
    <n v="161"/>
    <n v="121"/>
    <n v="74"/>
    <n v="2"/>
    <n v="723"/>
    <x v="0"/>
    <x v="3"/>
    <n v="20.3"/>
    <n v="3.3"/>
    <n v="3"/>
    <x v="1"/>
    <x v="2"/>
    <n v="22.56"/>
  </r>
  <r>
    <n v="47"/>
    <x v="2"/>
    <x v="2"/>
    <n v="40"/>
    <n v="1.85"/>
    <n v="192"/>
    <n v="139"/>
    <n v="57"/>
    <n v="1.2"/>
    <n v="697"/>
    <x v="1"/>
    <x v="1"/>
    <n v="25.2"/>
    <n v="3.5"/>
    <n v="4"/>
    <x v="1"/>
    <x v="2"/>
    <n v="19.04"/>
  </r>
  <r>
    <n v="55"/>
    <x v="4"/>
    <x v="0"/>
    <n v="129.6"/>
    <n v="1.84"/>
    <n v="188"/>
    <n v="139"/>
    <n v="58"/>
    <n v="1.28"/>
    <n v="1272"/>
    <x v="2"/>
    <x v="0"/>
    <n v="19.2"/>
    <n v="3.5"/>
    <n v="3"/>
    <x v="1"/>
    <x v="0"/>
    <n v="18.38"/>
  </r>
  <r>
    <n v="33"/>
    <x v="0"/>
    <x v="0"/>
    <n v="72.3"/>
    <n v="1.8"/>
    <n v="199"/>
    <n v="120"/>
    <n v="74"/>
    <n v="1.33"/>
    <n v="457"/>
    <x v="2"/>
    <x v="1"/>
    <n v="26.5"/>
    <n v="2.2999999999999998"/>
    <n v="4"/>
    <x v="0"/>
    <x v="0"/>
    <n v="12.32"/>
  </r>
  <r>
    <n v="28"/>
    <x v="0"/>
    <x v="1"/>
    <n v="64.099999999999994"/>
    <n v="1.55"/>
    <n v="179"/>
    <n v="152"/>
    <n v="52"/>
    <n v="1.41"/>
    <n v="1091"/>
    <x v="2"/>
    <x v="2"/>
    <n v="31.1"/>
    <n v="3.3"/>
    <n v="4"/>
    <x v="1"/>
    <x v="0"/>
    <n v="18.43"/>
  </r>
  <r>
    <n v="34"/>
    <x v="0"/>
    <x v="1"/>
    <n v="66.7"/>
    <n v="1.55"/>
    <n v="186"/>
    <n v="169"/>
    <n v="55"/>
    <n v="1.48"/>
    <n v="781"/>
    <x v="1"/>
    <x v="1"/>
    <n v="19.399999999999999"/>
    <n v="2.5"/>
    <n v="3"/>
    <x v="1"/>
    <x v="0"/>
    <n v="12.32"/>
  </r>
  <r>
    <n v="35"/>
    <x v="3"/>
    <x v="1"/>
    <n v="44.9"/>
    <n v="1.92"/>
    <n v="168"/>
    <n v="123"/>
    <n v="67"/>
    <n v="1.29"/>
    <n v="572"/>
    <x v="1"/>
    <x v="1"/>
    <n v="20.8"/>
    <n v="2.1"/>
    <n v="4"/>
    <x v="0"/>
    <x v="0"/>
    <n v="17.329999999999998"/>
  </r>
  <r>
    <n v="36"/>
    <x v="3"/>
    <x v="0"/>
    <n v="90"/>
    <n v="1.69"/>
    <n v="180"/>
    <n v="160"/>
    <n v="72"/>
    <n v="2"/>
    <n v="717"/>
    <x v="2"/>
    <x v="3"/>
    <n v="20.6"/>
    <n v="3.3"/>
    <n v="4"/>
    <x v="1"/>
    <x v="0"/>
    <n v="13.72"/>
  </r>
  <r>
    <n v="27"/>
    <x v="0"/>
    <x v="1"/>
    <n v="77.7"/>
    <n v="1.76"/>
    <n v="167"/>
    <n v="131"/>
    <n v="74"/>
    <n v="1.36"/>
    <n v="448"/>
    <x v="2"/>
    <x v="2"/>
    <n v="24.9"/>
    <n v="2.1"/>
    <n v="5"/>
    <x v="0"/>
    <x v="2"/>
    <n v="23.19"/>
  </r>
  <r>
    <n v="18"/>
    <x v="1"/>
    <x v="1"/>
    <n v="100"/>
    <n v="1.73"/>
    <n v="192"/>
    <n v="166"/>
    <n v="56"/>
    <n v="1.22"/>
    <n v="1631"/>
    <x v="0"/>
    <x v="1"/>
    <n v="23.3"/>
    <n v="1.8"/>
    <n v="4"/>
    <x v="0"/>
    <x v="0"/>
    <n v="12.32"/>
  </r>
  <r>
    <n v="52"/>
    <x v="2"/>
    <x v="1"/>
    <n v="83.4"/>
    <n v="1.52"/>
    <n v="176"/>
    <n v="142"/>
    <n v="56"/>
    <n v="1.45"/>
    <n v="596"/>
    <x v="2"/>
    <x v="2"/>
    <n v="25.6"/>
    <n v="1.9"/>
    <n v="3"/>
    <x v="0"/>
    <x v="0"/>
    <n v="15.21"/>
  </r>
  <r>
    <n v="32"/>
    <x v="0"/>
    <x v="0"/>
    <n v="46.5"/>
    <n v="1.83"/>
    <n v="176"/>
    <n v="128"/>
    <n v="74"/>
    <n v="1.01"/>
    <n v="1061"/>
    <x v="1"/>
    <x v="0"/>
    <n v="10"/>
    <n v="2.5"/>
    <n v="4"/>
    <x v="2"/>
    <x v="0"/>
    <n v="14.63"/>
  </r>
  <r>
    <n v="37"/>
    <x v="3"/>
    <x v="0"/>
    <n v="81.099999999999994"/>
    <n v="1.78"/>
    <n v="195"/>
    <n v="143"/>
    <n v="72"/>
    <n v="1.07"/>
    <n v="770"/>
    <x v="2"/>
    <x v="3"/>
    <n v="22.5"/>
    <n v="2.5"/>
    <n v="3"/>
    <x v="0"/>
    <x v="0"/>
    <n v="12.51"/>
  </r>
  <r>
    <n v="31"/>
    <x v="0"/>
    <x v="1"/>
    <n v="50.7"/>
    <n v="1.86"/>
    <n v="171"/>
    <n v="149"/>
    <n v="74"/>
    <n v="1.29"/>
    <n v="580"/>
    <x v="1"/>
    <x v="0"/>
    <m/>
    <n v="3.6"/>
    <n v="3"/>
    <x v="0"/>
    <x v="2"/>
    <n v="21.13"/>
  </r>
  <r>
    <n v="23"/>
    <x v="1"/>
    <x v="0"/>
    <n v="55.4"/>
    <n v="1.8"/>
    <n v="164"/>
    <n v="163"/>
    <n v="73"/>
    <n v="1.33"/>
    <n v="783"/>
    <x v="0"/>
    <x v="1"/>
    <n v="27.1"/>
    <n v="1.5"/>
    <n v="2"/>
    <x v="1"/>
    <x v="2"/>
    <n v="18.71"/>
  </r>
  <r>
    <n v="23"/>
    <x v="1"/>
    <x v="0"/>
    <n v="40"/>
    <n v="1.8"/>
    <n v="160"/>
    <n v="136"/>
    <n v="62"/>
    <n v="1.85"/>
    <n v="1113"/>
    <x v="0"/>
    <x v="0"/>
    <n v="16.8"/>
    <n v="1.7"/>
    <n v="3"/>
    <x v="3"/>
    <x v="0"/>
    <n v="16.37"/>
  </r>
  <r>
    <n v="25"/>
    <x v="0"/>
    <x v="0"/>
    <n v="76.2"/>
    <n v="1.87"/>
    <n v="184"/>
    <n v="148"/>
    <n v="69"/>
    <n v="1.96"/>
    <n v="809"/>
    <x v="2"/>
    <x v="1"/>
    <n v="26.2"/>
    <n v="2.2999999999999998"/>
    <n v="3"/>
    <x v="1"/>
    <x v="0"/>
    <n v="17.02"/>
  </r>
  <r>
    <n v="52"/>
    <x v="2"/>
    <x v="1"/>
    <n v="84.5"/>
    <n v="1.75"/>
    <n v="180"/>
    <n v="158"/>
    <n v="71"/>
    <n v="2"/>
    <n v="830"/>
    <x v="0"/>
    <x v="3"/>
    <n v="14.1"/>
    <n v="1.5"/>
    <n v="4"/>
    <x v="2"/>
    <x v="0"/>
    <n v="18.25"/>
  </r>
  <r>
    <n v="59"/>
    <x v="4"/>
    <x v="1"/>
    <n v="40"/>
    <n v="2"/>
    <n v="173"/>
    <n v="141"/>
    <n v="68"/>
    <n v="1.04"/>
    <n v="1331"/>
    <x v="0"/>
    <x v="2"/>
    <n v="27"/>
    <n v="3.7"/>
    <n v="2"/>
    <x v="1"/>
    <x v="3"/>
    <n v="43.74"/>
  </r>
  <r>
    <n v="37"/>
    <x v="3"/>
    <x v="2"/>
    <n v="40"/>
    <n v="1.92"/>
    <n v="163"/>
    <n v="129"/>
    <n v="68"/>
    <n v="1.22"/>
    <n v="1025"/>
    <x v="1"/>
    <x v="3"/>
    <n v="22.7"/>
    <n v="3.3"/>
    <n v="2"/>
    <x v="1"/>
    <x v="2"/>
    <n v="23.28"/>
  </r>
  <r>
    <n v="42"/>
    <x v="3"/>
    <x v="0"/>
    <n v="55.6"/>
    <n v="1.63"/>
    <n v="176"/>
    <n v="134"/>
    <n v="74"/>
    <n v="1.41"/>
    <n v="384"/>
    <x v="1"/>
    <x v="3"/>
    <n v="22"/>
    <n v="3.3"/>
    <n v="3"/>
    <x v="1"/>
    <x v="1"/>
    <n v="32.64"/>
  </r>
  <r>
    <n v="29"/>
    <x v="0"/>
    <x v="1"/>
    <n v="73.599999999999994"/>
    <n v="1.82"/>
    <n v="162"/>
    <n v="141"/>
    <n v="55"/>
    <n v="1.5"/>
    <n v="1057"/>
    <x v="1"/>
    <x v="2"/>
    <n v="25.2"/>
    <n v="2.1"/>
    <n v="2"/>
    <x v="0"/>
    <x v="1"/>
    <n v="30.41"/>
  </r>
  <r>
    <n v="29"/>
    <x v="0"/>
    <x v="0"/>
    <n v="50.8"/>
    <n v="1.89"/>
    <n v="199"/>
    <n v="163"/>
    <n v="59"/>
    <n v="0.8"/>
    <n v="784"/>
    <x v="2"/>
    <x v="2"/>
    <n v="35"/>
    <n v="2.5"/>
    <n v="3"/>
    <x v="0"/>
    <x v="2"/>
    <n v="22.37"/>
  </r>
  <r>
    <n v="27"/>
    <x v="0"/>
    <x v="1"/>
    <n v="72.5"/>
    <n v="1.88"/>
    <n v="181"/>
    <n v="162"/>
    <n v="69"/>
    <n v="1.21"/>
    <n v="1120"/>
    <x v="2"/>
    <x v="2"/>
    <n v="34.6"/>
    <n v="3.4"/>
    <n v="4"/>
    <x v="1"/>
    <x v="4"/>
    <n v="27.76"/>
  </r>
  <r>
    <n v="22"/>
    <x v="1"/>
    <x v="1"/>
    <n v="128.4"/>
    <m/>
    <n v="166"/>
    <n v="169"/>
    <n v="50"/>
    <n v="1.53"/>
    <n v="914"/>
    <x v="2"/>
    <x v="3"/>
    <n v="16.7"/>
    <n v="2.8"/>
    <n v="3"/>
    <x v="0"/>
    <x v="0"/>
    <n v="13.01"/>
  </r>
  <r>
    <n v="41"/>
    <x v="3"/>
    <x v="1"/>
    <n v="74.7"/>
    <n v="1.84"/>
    <n v="170"/>
    <n v="169"/>
    <n v="57"/>
    <m/>
    <n v="1257"/>
    <x v="0"/>
    <x v="1"/>
    <n v="24.8"/>
    <n v="2.5"/>
    <n v="3"/>
    <x v="2"/>
    <x v="0"/>
    <n v="14.71"/>
  </r>
  <r>
    <n v="21"/>
    <x v="1"/>
    <x v="0"/>
    <n v="94.4"/>
    <n v="1.69"/>
    <n v="197"/>
    <n v="155"/>
    <n v="61"/>
    <n v="1.94"/>
    <n v="1089"/>
    <x v="0"/>
    <x v="3"/>
    <n v="20.7"/>
    <n v="2.4"/>
    <m/>
    <x v="0"/>
    <x v="0"/>
    <n v="14.52"/>
  </r>
  <r>
    <n v="52"/>
    <x v="2"/>
    <x v="1"/>
    <n v="57.5"/>
    <n v="1.87"/>
    <n v="174"/>
    <n v="149"/>
    <n v="70"/>
    <n v="1.05"/>
    <n v="880"/>
    <x v="4"/>
    <x v="0"/>
    <n v="12.5"/>
    <n v="2.5"/>
    <n v="2"/>
    <x v="0"/>
    <x v="0"/>
    <n v="12.32"/>
  </r>
  <r>
    <n v="32"/>
    <x v="0"/>
    <x v="1"/>
    <n v="51.1"/>
    <n v="1.86"/>
    <n v="199"/>
    <n v="131"/>
    <n v="63"/>
    <n v="1"/>
    <n v="865"/>
    <x v="2"/>
    <x v="2"/>
    <n v="34.799999999999997"/>
    <n v="3.2"/>
    <n v="3"/>
    <x v="1"/>
    <x v="2"/>
    <n v="21.49"/>
  </r>
  <r>
    <n v="30"/>
    <x v="0"/>
    <x v="0"/>
    <n v="88.8"/>
    <n v="1.69"/>
    <n v="171"/>
    <n v="127"/>
    <n v="70"/>
    <n v="1.21"/>
    <n v="1097"/>
    <x v="0"/>
    <x v="1"/>
    <n v="25.6"/>
    <n v="3.4"/>
    <m/>
    <x v="1"/>
    <x v="2"/>
    <n v="19.29"/>
  </r>
  <r>
    <n v="31"/>
    <x v="0"/>
    <x v="0"/>
    <m/>
    <n v="1.54"/>
    <n v="161"/>
    <n v="156"/>
    <n v="74"/>
    <n v="0.68"/>
    <n v="882"/>
    <x v="1"/>
    <x v="1"/>
    <n v="28.9"/>
    <n v="2.6"/>
    <n v="4"/>
    <x v="1"/>
    <x v="0"/>
    <n v="12.32"/>
  </r>
  <r>
    <n v="49"/>
    <x v="2"/>
    <x v="0"/>
    <n v="80"/>
    <n v="2"/>
    <n v="162"/>
    <n v="151"/>
    <n v="74"/>
    <n v="1.07"/>
    <m/>
    <x v="4"/>
    <x v="0"/>
    <n v="15.7"/>
    <n v="3.6"/>
    <n v="3"/>
    <x v="0"/>
    <x v="4"/>
    <n v="29.6"/>
  </r>
  <r>
    <n v="23"/>
    <x v="1"/>
    <x v="0"/>
    <n v="52.6"/>
    <n v="1.78"/>
    <n v="176"/>
    <n v="169"/>
    <n v="53"/>
    <n v="1.1499999999999999"/>
    <n v="1384"/>
    <x v="1"/>
    <x v="2"/>
    <n v="31.1"/>
    <n v="2.4"/>
    <n v="3"/>
    <x v="0"/>
    <x v="2"/>
    <n v="21.08"/>
  </r>
  <r>
    <n v="18"/>
    <x v="1"/>
    <x v="1"/>
    <n v="57.5"/>
    <n v="1.74"/>
    <n v="193"/>
    <n v="154"/>
    <n v="70"/>
    <n v="1.1599999999999999"/>
    <n v="1358"/>
    <x v="2"/>
    <x v="2"/>
    <n v="33.9"/>
    <n v="3.7"/>
    <n v="4"/>
    <x v="2"/>
    <x v="0"/>
    <n v="12.32"/>
  </r>
  <r>
    <n v="52"/>
    <x v="2"/>
    <x v="0"/>
    <n v="45.1"/>
    <n v="1.65"/>
    <n v="165"/>
    <n v="164"/>
    <n v="71"/>
    <n v="1.76"/>
    <n v="1380"/>
    <x v="3"/>
    <x v="3"/>
    <n v="21.5"/>
    <n v="3.3"/>
    <n v="5"/>
    <x v="1"/>
    <x v="4"/>
    <n v="29.89"/>
  </r>
  <r>
    <n v="45"/>
    <x v="2"/>
    <x v="1"/>
    <n v="98.7"/>
    <n v="1.77"/>
    <n v="183"/>
    <n v="132"/>
    <n v="74"/>
    <n v="1.32"/>
    <n v="400"/>
    <x v="1"/>
    <x v="1"/>
    <n v="19.5"/>
    <n v="2"/>
    <n v="4"/>
    <x v="0"/>
    <x v="0"/>
    <n v="18.18"/>
  </r>
  <r>
    <n v="51"/>
    <x v="2"/>
    <x v="1"/>
    <n v="63"/>
    <n v="1.78"/>
    <n v="161"/>
    <n v="152"/>
    <n v="50"/>
    <n v="1.33"/>
    <n v="1339"/>
    <x v="0"/>
    <x v="2"/>
    <n v="29.1"/>
    <n v="1.8"/>
    <n v="2"/>
    <x v="0"/>
    <x v="0"/>
    <n v="15.95"/>
  </r>
  <r>
    <n v="34"/>
    <x v="0"/>
    <x v="0"/>
    <n v="101.5"/>
    <n v="1.57"/>
    <n v="184"/>
    <n v="120"/>
    <n v="55"/>
    <n v="1.02"/>
    <n v="601"/>
    <x v="0"/>
    <x v="0"/>
    <n v="17.7"/>
    <n v="2.2999999999999998"/>
    <n v="5"/>
    <x v="3"/>
    <x v="3"/>
    <n v="46.11"/>
  </r>
  <r>
    <n v="18"/>
    <x v="1"/>
    <x v="0"/>
    <n v="89.8"/>
    <n v="1.66"/>
    <n v="185"/>
    <n v="140"/>
    <n v="54"/>
    <n v="2"/>
    <n v="1283"/>
    <x v="2"/>
    <x v="1"/>
    <n v="28.4"/>
    <n v="1.9"/>
    <m/>
    <x v="0"/>
    <x v="0"/>
    <n v="16.690000000000001"/>
  </r>
  <r>
    <n v="42"/>
    <x v="3"/>
    <x v="1"/>
    <n v="43.5"/>
    <n v="1.56"/>
    <n v="192"/>
    <n v="159"/>
    <n v="57"/>
    <n v="1.96"/>
    <n v="555"/>
    <x v="4"/>
    <x v="2"/>
    <n v="25.3"/>
    <n v="3.6"/>
    <n v="3"/>
    <x v="0"/>
    <x v="4"/>
    <n v="28.64"/>
  </r>
  <r>
    <n v="28"/>
    <x v="0"/>
    <x v="0"/>
    <n v="121.1"/>
    <n v="1.75"/>
    <n v="163"/>
    <n v="149"/>
    <n v="68"/>
    <n v="1.57"/>
    <n v="716"/>
    <x v="0"/>
    <x v="3"/>
    <n v="21"/>
    <n v="3.3"/>
    <n v="5"/>
    <x v="1"/>
    <x v="4"/>
    <n v="26.5"/>
  </r>
  <r>
    <n v="18"/>
    <x v="1"/>
    <x v="1"/>
    <n v="46.3"/>
    <n v="2"/>
    <n v="167"/>
    <n v="169"/>
    <n v="64"/>
    <n v="1.29"/>
    <n v="1556"/>
    <x v="3"/>
    <x v="1"/>
    <n v="22.5"/>
    <n v="2.6"/>
    <n v="2"/>
    <x v="2"/>
    <x v="0"/>
    <n v="17.38"/>
  </r>
  <r>
    <n v="35"/>
    <x v="3"/>
    <x v="1"/>
    <n v="40"/>
    <n v="1.71"/>
    <n v="162"/>
    <n v="133"/>
    <n v="69"/>
    <n v="1.99"/>
    <n v="840"/>
    <x v="3"/>
    <x v="1"/>
    <n v="20.2"/>
    <n v="3.2"/>
    <n v="4"/>
    <x v="0"/>
    <x v="4"/>
    <n v="27.14"/>
  </r>
  <r>
    <n v="56"/>
    <x v="4"/>
    <x v="0"/>
    <n v="64.2"/>
    <n v="1.79"/>
    <n v="196"/>
    <n v="165"/>
    <n v="58"/>
    <n v="0.97"/>
    <n v="667"/>
    <x v="1"/>
    <x v="0"/>
    <n v="15.9"/>
    <n v="3.3"/>
    <n v="4"/>
    <x v="1"/>
    <x v="0"/>
    <n v="12.32"/>
  </r>
  <r>
    <n v="18"/>
    <x v="1"/>
    <x v="0"/>
    <n v="56"/>
    <n v="1.82"/>
    <n v="170"/>
    <n v="131"/>
    <n v="62"/>
    <n v="1.55"/>
    <n v="1249"/>
    <x v="2"/>
    <x v="0"/>
    <m/>
    <n v="2"/>
    <n v="3"/>
    <x v="2"/>
    <x v="0"/>
    <n v="15.72"/>
  </r>
  <r>
    <n v="45"/>
    <x v="2"/>
    <x v="1"/>
    <n v="43.8"/>
    <m/>
    <n v="161"/>
    <n v="169"/>
    <n v="72"/>
    <n v="1.97"/>
    <n v="1783"/>
    <x v="2"/>
    <x v="2"/>
    <n v="24.9"/>
    <n v="3.5"/>
    <n v="4"/>
    <x v="2"/>
    <x v="0"/>
    <n v="15.83"/>
  </r>
  <r>
    <n v="32"/>
    <x v="0"/>
    <x v="0"/>
    <n v="90.5"/>
    <n v="1.63"/>
    <n v="184"/>
    <n v="166"/>
    <n v="50"/>
    <n v="1.46"/>
    <n v="1217"/>
    <x v="0"/>
    <x v="2"/>
    <n v="31.3"/>
    <n v="2"/>
    <n v="5"/>
    <x v="1"/>
    <x v="0"/>
    <n v="12.99"/>
  </r>
  <r>
    <n v="42"/>
    <x v="3"/>
    <x v="0"/>
    <n v="40"/>
    <n v="1.81"/>
    <n v="177"/>
    <n v="145"/>
    <n v="59"/>
    <n v="1.71"/>
    <n v="1065"/>
    <x v="2"/>
    <x v="1"/>
    <n v="26.6"/>
    <n v="1.5"/>
    <n v="3"/>
    <x v="1"/>
    <x v="2"/>
    <n v="23.25"/>
  </r>
  <r>
    <n v="54"/>
    <x v="2"/>
    <x v="1"/>
    <n v="72.599999999999994"/>
    <n v="1.56"/>
    <n v="172"/>
    <n v="165"/>
    <n v="69"/>
    <n v="1.26"/>
    <n v="966"/>
    <x v="2"/>
    <x v="2"/>
    <n v="26.1"/>
    <n v="3.5"/>
    <n v="2"/>
    <x v="1"/>
    <x v="1"/>
    <n v="31.41"/>
  </r>
  <r>
    <n v="18"/>
    <x v="1"/>
    <x v="1"/>
    <n v="40"/>
    <n v="1.58"/>
    <m/>
    <n v="164"/>
    <n v="52"/>
    <n v="1.08"/>
    <n v="1262"/>
    <x v="2"/>
    <x v="1"/>
    <n v="24.7"/>
    <n v="3.2"/>
    <n v="4"/>
    <x v="1"/>
    <x v="4"/>
    <n v="28.07"/>
  </r>
  <r>
    <n v="34"/>
    <x v="0"/>
    <x v="0"/>
    <n v="89.7"/>
    <n v="1.78"/>
    <n v="184"/>
    <n v="142"/>
    <n v="53"/>
    <n v="0.53"/>
    <n v="1662"/>
    <x v="2"/>
    <x v="1"/>
    <n v="24.2"/>
    <n v="1.5"/>
    <n v="3"/>
    <x v="1"/>
    <x v="3"/>
    <n v="39.54"/>
  </r>
  <r>
    <n v="21"/>
    <x v="1"/>
    <x v="0"/>
    <n v="59.7"/>
    <n v="1.65"/>
    <n v="191"/>
    <n v="138"/>
    <n v="68"/>
    <n v="0.95"/>
    <n v="539"/>
    <x v="2"/>
    <x v="2"/>
    <n v="35"/>
    <n v="3.2"/>
    <n v="4"/>
    <x v="0"/>
    <x v="0"/>
    <n v="17.55"/>
  </r>
  <r>
    <n v="18"/>
    <x v="1"/>
    <x v="1"/>
    <n v="42"/>
    <n v="1.82"/>
    <n v="188"/>
    <n v="137"/>
    <n v="67"/>
    <n v="0.77"/>
    <n v="589"/>
    <x v="2"/>
    <x v="3"/>
    <n v="16.399999999999999"/>
    <n v="2"/>
    <n v="2"/>
    <x v="2"/>
    <x v="4"/>
    <n v="29.09"/>
  </r>
  <r>
    <n v="18"/>
    <x v="1"/>
    <x v="1"/>
    <n v="57.9"/>
    <n v="2"/>
    <n v="168"/>
    <n v="156"/>
    <n v="50"/>
    <n v="1.05"/>
    <n v="689"/>
    <x v="1"/>
    <x v="2"/>
    <n v="28.3"/>
    <n v="3.6"/>
    <n v="3"/>
    <x v="2"/>
    <x v="0"/>
    <n v="18.309999999999999"/>
  </r>
  <r>
    <n v="49"/>
    <x v="2"/>
    <x v="2"/>
    <n v="50.2"/>
    <n v="1.7"/>
    <n v="164"/>
    <n v="169"/>
    <n v="73"/>
    <n v="0.75"/>
    <n v="622"/>
    <x v="1"/>
    <x v="1"/>
    <n v="28"/>
    <n v="1.6"/>
    <n v="2"/>
    <x v="1"/>
    <x v="0"/>
    <n v="13.34"/>
  </r>
  <r>
    <n v="18"/>
    <x v="1"/>
    <x v="0"/>
    <n v="40"/>
    <n v="1.8"/>
    <n v="187"/>
    <n v="158"/>
    <n v="71"/>
    <n v="1.24"/>
    <n v="665"/>
    <x v="0"/>
    <x v="1"/>
    <n v="24.1"/>
    <n v="1.7"/>
    <n v="2"/>
    <x v="0"/>
    <x v="0"/>
    <n v="14.93"/>
  </r>
  <r>
    <n v="18"/>
    <x v="1"/>
    <x v="0"/>
    <n v="70.900000000000006"/>
    <n v="1.87"/>
    <n v="176"/>
    <n v="164"/>
    <n v="59"/>
    <n v="2"/>
    <n v="745"/>
    <x v="2"/>
    <x v="1"/>
    <n v="28.2"/>
    <n v="3.2"/>
    <n v="4"/>
    <x v="0"/>
    <x v="0"/>
    <n v="15.74"/>
  </r>
  <r>
    <n v="26"/>
    <x v="0"/>
    <x v="1"/>
    <n v="44"/>
    <n v="1.6"/>
    <n v="190"/>
    <n v="125"/>
    <n v="68"/>
    <n v="1.06"/>
    <n v="1246"/>
    <x v="0"/>
    <x v="1"/>
    <n v="21.1"/>
    <n v="2.7"/>
    <n v="2"/>
    <x v="0"/>
    <x v="0"/>
    <n v="15.5"/>
  </r>
  <r>
    <n v="31"/>
    <x v="0"/>
    <x v="0"/>
    <n v="46.9"/>
    <n v="1.75"/>
    <n v="192"/>
    <n v="146"/>
    <n v="63"/>
    <n v="2"/>
    <n v="748"/>
    <x v="1"/>
    <x v="0"/>
    <n v="15.3"/>
    <n v="1.7"/>
    <n v="4"/>
    <x v="3"/>
    <x v="0"/>
    <n v="12.48"/>
  </r>
  <r>
    <n v="49"/>
    <x v="2"/>
    <x v="1"/>
    <n v="47.5"/>
    <n v="1.79"/>
    <n v="161"/>
    <n v="169"/>
    <n v="61"/>
    <n v="1.43"/>
    <n v="957"/>
    <x v="0"/>
    <x v="2"/>
    <n v="25.8"/>
    <n v="3"/>
    <n v="4"/>
    <x v="1"/>
    <x v="0"/>
    <n v="13.47"/>
  </r>
  <r>
    <n v="38"/>
    <x v="3"/>
    <x v="1"/>
    <n v="69"/>
    <n v="1.82"/>
    <n v="170"/>
    <n v="133"/>
    <n v="53"/>
    <n v="1.24"/>
    <n v="1610"/>
    <x v="0"/>
    <x v="2"/>
    <n v="30.1"/>
    <n v="2.8"/>
    <n v="2"/>
    <x v="0"/>
    <x v="2"/>
    <n v="20.05"/>
  </r>
  <r>
    <n v="18"/>
    <x v="1"/>
    <x v="0"/>
    <n v="59.1"/>
    <n v="2"/>
    <n v="181"/>
    <n v="123"/>
    <n v="72"/>
    <n v="1.94"/>
    <n v="901"/>
    <x v="2"/>
    <x v="3"/>
    <n v="23.2"/>
    <n v="2.4"/>
    <n v="4"/>
    <x v="0"/>
    <x v="0"/>
    <n v="13.32"/>
  </r>
  <r>
    <n v="53"/>
    <x v="2"/>
    <x v="0"/>
    <n v="40"/>
    <n v="1.66"/>
    <n v="192"/>
    <n v="169"/>
    <n v="72"/>
    <n v="1.1100000000000001"/>
    <m/>
    <x v="3"/>
    <x v="1"/>
    <n v="27.5"/>
    <n v="2.8"/>
    <n v="4"/>
    <x v="2"/>
    <x v="2"/>
    <n v="22.65"/>
  </r>
  <r>
    <n v="18"/>
    <x v="1"/>
    <x v="0"/>
    <n v="74.599999999999994"/>
    <n v="1.71"/>
    <n v="169"/>
    <n v="143"/>
    <n v="54"/>
    <n v="1.49"/>
    <n v="1213"/>
    <x v="4"/>
    <x v="1"/>
    <n v="28.7"/>
    <n v="2"/>
    <n v="2"/>
    <x v="1"/>
    <x v="2"/>
    <n v="18.68"/>
  </r>
  <r>
    <n v="35"/>
    <x v="3"/>
    <x v="1"/>
    <n v="98.6"/>
    <n v="1.55"/>
    <n v="184"/>
    <n v="141"/>
    <n v="59"/>
    <n v="2"/>
    <n v="1172"/>
    <x v="1"/>
    <x v="2"/>
    <n v="27.8"/>
    <n v="3.2"/>
    <n v="2"/>
    <x v="0"/>
    <x v="2"/>
    <n v="23.47"/>
  </r>
  <r>
    <n v="29"/>
    <x v="0"/>
    <x v="0"/>
    <n v="58.4"/>
    <n v="1.61"/>
    <n v="182"/>
    <n v="165"/>
    <n v="70"/>
    <n v="0.77"/>
    <n v="1259"/>
    <x v="2"/>
    <x v="3"/>
    <n v="20.100000000000001"/>
    <n v="3.5"/>
    <n v="4"/>
    <x v="0"/>
    <x v="4"/>
    <n v="26.13"/>
  </r>
  <r>
    <n v="35"/>
    <x v="3"/>
    <x v="0"/>
    <n v="76.099999999999994"/>
    <n v="1.81"/>
    <m/>
    <n v="153"/>
    <n v="74"/>
    <n v="2"/>
    <n v="1119"/>
    <x v="2"/>
    <x v="0"/>
    <n v="17.7"/>
    <n v="3.3"/>
    <n v="2"/>
    <x v="1"/>
    <x v="4"/>
    <n v="26.86"/>
  </r>
  <r>
    <n v="38"/>
    <x v="3"/>
    <x v="1"/>
    <n v="93.7"/>
    <n v="1.66"/>
    <n v="168"/>
    <n v="169"/>
    <n v="68"/>
    <n v="1.97"/>
    <n v="875"/>
    <x v="1"/>
    <x v="2"/>
    <n v="29"/>
    <n v="3.4"/>
    <n v="4"/>
    <x v="0"/>
    <x v="0"/>
    <n v="13.87"/>
  </r>
  <r>
    <n v="42"/>
    <x v="3"/>
    <x v="0"/>
    <n v="88.6"/>
    <n v="2"/>
    <n v="171"/>
    <n v="166"/>
    <n v="72"/>
    <n v="1.1100000000000001"/>
    <n v="1335"/>
    <x v="3"/>
    <x v="0"/>
    <n v="18.600000000000001"/>
    <n v="2.2000000000000002"/>
    <n v="5"/>
    <x v="0"/>
    <x v="0"/>
    <n v="18.3"/>
  </r>
  <r>
    <n v="18"/>
    <x v="1"/>
    <x v="1"/>
    <n v="49.9"/>
    <n v="1.77"/>
    <n v="191"/>
    <n v="123"/>
    <n v="74"/>
    <n v="1.4"/>
    <n v="626"/>
    <x v="0"/>
    <x v="2"/>
    <n v="25.9"/>
    <n v="3.4"/>
    <n v="2"/>
    <x v="0"/>
    <x v="2"/>
    <n v="24.35"/>
  </r>
  <r>
    <n v="42"/>
    <x v="3"/>
    <x v="0"/>
    <n v="99.9"/>
    <n v="1.6"/>
    <n v="189"/>
    <n v="169"/>
    <n v="58"/>
    <n v="1.85"/>
    <n v="1099"/>
    <x v="2"/>
    <x v="2"/>
    <n v="32.6"/>
    <n v="2.2000000000000002"/>
    <n v="2"/>
    <x v="1"/>
    <x v="0"/>
    <n v="15.78"/>
  </r>
  <r>
    <n v="26"/>
    <x v="0"/>
    <x v="0"/>
    <n v="58.6"/>
    <n v="1.78"/>
    <n v="198"/>
    <n v="143"/>
    <n v="74"/>
    <n v="1.59"/>
    <n v="1008"/>
    <x v="1"/>
    <x v="3"/>
    <n v="21.1"/>
    <n v="2.2000000000000002"/>
    <n v="3"/>
    <x v="1"/>
    <x v="3"/>
    <n v="44.77"/>
  </r>
  <r>
    <n v="36"/>
    <x v="3"/>
    <x v="1"/>
    <n v="57.4"/>
    <n v="1.58"/>
    <n v="192"/>
    <n v="152"/>
    <n v="70"/>
    <n v="1.38"/>
    <n v="1137"/>
    <x v="3"/>
    <x v="1"/>
    <n v="18.3"/>
    <n v="3.2"/>
    <n v="2"/>
    <x v="1"/>
    <x v="2"/>
    <n v="20.91"/>
  </r>
  <r>
    <n v="47"/>
    <x v="2"/>
    <x v="1"/>
    <n v="48.1"/>
    <n v="1.71"/>
    <n v="185"/>
    <n v="129"/>
    <n v="74"/>
    <n v="0.87"/>
    <n v="1177"/>
    <x v="0"/>
    <x v="2"/>
    <n v="28.1"/>
    <n v="2.6"/>
    <n v="3"/>
    <x v="2"/>
    <x v="0"/>
    <n v="12.32"/>
  </r>
  <r>
    <n v="30"/>
    <x v="0"/>
    <x v="1"/>
    <n v="60.1"/>
    <n v="1.93"/>
    <n v="187"/>
    <n v="140"/>
    <n v="58"/>
    <n v="1.48"/>
    <n v="875"/>
    <x v="2"/>
    <x v="2"/>
    <n v="29.7"/>
    <n v="3.1"/>
    <n v="5"/>
    <x v="1"/>
    <x v="2"/>
    <n v="24.29"/>
  </r>
  <r>
    <n v="23"/>
    <x v="1"/>
    <x v="0"/>
    <n v="88"/>
    <n v="2"/>
    <n v="193"/>
    <n v="128"/>
    <n v="70"/>
    <n v="1.24"/>
    <n v="399"/>
    <x v="2"/>
    <x v="3"/>
    <n v="23.9"/>
    <n v="2.8"/>
    <n v="3"/>
    <x v="1"/>
    <x v="1"/>
    <n v="31.33"/>
  </r>
  <r>
    <n v="39"/>
    <x v="3"/>
    <x v="0"/>
    <n v="62.5"/>
    <n v="1.74"/>
    <n v="162"/>
    <n v="141"/>
    <n v="58"/>
    <n v="1.27"/>
    <n v="699"/>
    <x v="4"/>
    <x v="1"/>
    <n v="24.2"/>
    <n v="1.8"/>
    <n v="3"/>
    <x v="1"/>
    <x v="0"/>
    <n v="17.600000000000001"/>
  </r>
  <r>
    <n v="38"/>
    <x v="3"/>
    <x v="0"/>
    <n v="69.400000000000006"/>
    <n v="2"/>
    <n v="195"/>
    <n v="130"/>
    <n v="18"/>
    <n v="1.34"/>
    <n v="1197"/>
    <x v="0"/>
    <x v="0"/>
    <n v="19.5"/>
    <n v="2.6"/>
    <n v="3"/>
    <x v="2"/>
    <x v="0"/>
    <n v="14.99"/>
  </r>
  <r>
    <n v="20"/>
    <x v="1"/>
    <x v="0"/>
    <n v="69.3"/>
    <n v="1.75"/>
    <n v="180"/>
    <n v="120"/>
    <n v="72"/>
    <n v="1.06"/>
    <n v="1421"/>
    <x v="3"/>
    <x v="1"/>
    <n v="24.6"/>
    <n v="3.2"/>
    <n v="4"/>
    <x v="0"/>
    <x v="4"/>
    <n v="25.22"/>
  </r>
  <r>
    <n v="18"/>
    <x v="1"/>
    <x v="1"/>
    <n v="52.6"/>
    <n v="1.76"/>
    <n v="175"/>
    <n v="154"/>
    <n v="50"/>
    <n v="1.17"/>
    <n v="1783"/>
    <x v="3"/>
    <x v="1"/>
    <n v="21"/>
    <n v="3"/>
    <n v="3"/>
    <x v="0"/>
    <x v="1"/>
    <n v="30.92"/>
  </r>
  <r>
    <n v="39"/>
    <x v="3"/>
    <x v="0"/>
    <n v="65.599999999999994"/>
    <n v="1.7"/>
    <n v="172"/>
    <n v="148"/>
    <n v="68"/>
    <n v="0.87"/>
    <n v="1709"/>
    <x v="2"/>
    <x v="3"/>
    <n v="20.2"/>
    <n v="1.5"/>
    <n v="4"/>
    <x v="2"/>
    <x v="0"/>
    <n v="14.83"/>
  </r>
  <r>
    <n v="45"/>
    <x v="2"/>
    <x v="1"/>
    <n v="71.400000000000006"/>
    <m/>
    <n v="179"/>
    <n v="140"/>
    <n v="52"/>
    <n v="1.56"/>
    <n v="1246"/>
    <x v="0"/>
    <x v="1"/>
    <n v="24.6"/>
    <n v="2.6"/>
    <n v="4"/>
    <x v="1"/>
    <x v="0"/>
    <n v="15.53"/>
  </r>
  <r>
    <n v="22"/>
    <x v="1"/>
    <x v="1"/>
    <n v="80.599999999999994"/>
    <n v="1.71"/>
    <n v="176"/>
    <n v="139"/>
    <n v="60"/>
    <n v="2"/>
    <n v="957"/>
    <x v="1"/>
    <x v="2"/>
    <n v="31"/>
    <n v="2.4"/>
    <n v="4"/>
    <x v="0"/>
    <x v="0"/>
    <n v="12.32"/>
  </r>
  <r>
    <n v="57"/>
    <x v="4"/>
    <x v="0"/>
    <n v="43.5"/>
    <n v="2"/>
    <n v="172"/>
    <n v="159"/>
    <n v="59"/>
    <n v="1.73"/>
    <n v="530"/>
    <x v="3"/>
    <x v="0"/>
    <n v="18.7"/>
    <n v="2.1"/>
    <n v="2"/>
    <x v="2"/>
    <x v="2"/>
    <n v="23.74"/>
  </r>
  <r>
    <n v="25"/>
    <x v="0"/>
    <x v="0"/>
    <n v="72.599999999999994"/>
    <n v="1.7"/>
    <n v="161"/>
    <n v="168"/>
    <n v="51"/>
    <n v="1.28"/>
    <n v="1262"/>
    <x v="0"/>
    <x v="3"/>
    <n v="22"/>
    <n v="3.1"/>
    <n v="4"/>
    <x v="0"/>
    <x v="0"/>
    <n v="16.45"/>
  </r>
  <r>
    <n v="18"/>
    <x v="1"/>
    <x v="1"/>
    <n v="87.5"/>
    <n v="1.76"/>
    <n v="169"/>
    <n v="160"/>
    <n v="60"/>
    <n v="2"/>
    <n v="1042"/>
    <x v="3"/>
    <x v="1"/>
    <n v="22.4"/>
    <n v="3.3"/>
    <n v="2"/>
    <x v="2"/>
    <x v="2"/>
    <n v="21.79"/>
  </r>
  <r>
    <n v="50"/>
    <x v="2"/>
    <x v="1"/>
    <n v="46.8"/>
    <n v="1.77"/>
    <n v="180"/>
    <n v="128"/>
    <n v="70"/>
    <n v="1.4"/>
    <n v="803"/>
    <x v="2"/>
    <x v="1"/>
    <n v="17"/>
    <n v="3.3"/>
    <n v="4"/>
    <x v="1"/>
    <x v="2"/>
    <n v="21.83"/>
  </r>
  <r>
    <n v="27"/>
    <x v="0"/>
    <x v="1"/>
    <n v="42.5"/>
    <n v="1.61"/>
    <n v="183"/>
    <n v="155"/>
    <n v="71"/>
    <n v="2"/>
    <n v="933"/>
    <x v="2"/>
    <x v="1"/>
    <n v="22.9"/>
    <n v="1.6"/>
    <n v="2"/>
    <x v="1"/>
    <x v="0"/>
    <m/>
  </r>
  <r>
    <n v="43"/>
    <x v="3"/>
    <x v="1"/>
    <n v="83.5"/>
    <n v="1.96"/>
    <n v="168"/>
    <n v="169"/>
    <n v="54"/>
    <n v="1.47"/>
    <n v="1522"/>
    <x v="0"/>
    <x v="0"/>
    <m/>
    <n v="2.1"/>
    <n v="4"/>
    <x v="0"/>
    <x v="2"/>
    <n v="24.03"/>
  </r>
  <r>
    <n v="18"/>
    <x v="1"/>
    <x v="0"/>
    <n v="44.9"/>
    <n v="1.77"/>
    <n v="168"/>
    <n v="127"/>
    <n v="57"/>
    <n v="1.66"/>
    <n v="512"/>
    <x v="0"/>
    <x v="0"/>
    <n v="12.3"/>
    <n v="3.7"/>
    <n v="3"/>
    <x v="1"/>
    <x v="2"/>
    <n v="20.39"/>
  </r>
  <r>
    <n v="18"/>
    <x v="1"/>
    <x v="1"/>
    <n v="63.9"/>
    <n v="1.71"/>
    <n v="164"/>
    <n v="140"/>
    <n v="66"/>
    <n v="1.48"/>
    <n v="785"/>
    <x v="3"/>
    <x v="2"/>
    <n v="30.2"/>
    <n v="3.3"/>
    <n v="4"/>
    <x v="0"/>
    <x v="2"/>
    <n v="21.96"/>
  </r>
  <r>
    <n v="36"/>
    <x v="3"/>
    <x v="0"/>
    <n v="67.5"/>
    <n v="1.71"/>
    <n v="173"/>
    <m/>
    <n v="60"/>
    <n v="1.1000000000000001"/>
    <n v="511"/>
    <x v="2"/>
    <x v="3"/>
    <n v="20.6"/>
    <n v="1.5"/>
    <n v="4"/>
    <x v="1"/>
    <x v="2"/>
    <n v="18.75"/>
  </r>
  <r>
    <n v="24"/>
    <x v="1"/>
    <x v="0"/>
    <n v="59"/>
    <n v="1.68"/>
    <m/>
    <n v="132"/>
    <n v="56"/>
    <n v="1.17"/>
    <n v="1186"/>
    <x v="1"/>
    <x v="1"/>
    <n v="24.2"/>
    <n v="3.4"/>
    <n v="3"/>
    <x v="2"/>
    <x v="0"/>
    <n v="14.37"/>
  </r>
  <r>
    <n v="21"/>
    <x v="1"/>
    <x v="1"/>
    <n v="90.1"/>
    <n v="1.72"/>
    <n v="184"/>
    <n v="138"/>
    <n v="68"/>
    <n v="1.35"/>
    <n v="1043"/>
    <x v="3"/>
    <x v="2"/>
    <n v="27.1"/>
    <n v="2.1"/>
    <n v="4"/>
    <x v="2"/>
    <x v="2"/>
    <n v="22.34"/>
  </r>
  <r>
    <n v="18"/>
    <x v="1"/>
    <x v="1"/>
    <n v="48.2"/>
    <n v="1.75"/>
    <n v="180"/>
    <n v="134"/>
    <n v="63"/>
    <n v="1.39"/>
    <n v="1053"/>
    <x v="3"/>
    <x v="1"/>
    <n v="22.1"/>
    <n v="2.2000000000000002"/>
    <n v="4"/>
    <x v="1"/>
    <x v="0"/>
    <n v="16.34"/>
  </r>
  <r>
    <n v="18"/>
    <x v="1"/>
    <x v="1"/>
    <n v="78.099999999999994"/>
    <n v="1.75"/>
    <n v="184"/>
    <n v="158"/>
    <n v="50"/>
    <m/>
    <n v="871"/>
    <x v="1"/>
    <x v="2"/>
    <n v="31.6"/>
    <n v="2.5"/>
    <n v="2"/>
    <x v="2"/>
    <x v="0"/>
    <n v="17.61"/>
  </r>
  <r>
    <n v="31"/>
    <x v="0"/>
    <x v="1"/>
    <n v="67.400000000000006"/>
    <n v="1.83"/>
    <n v="167"/>
    <n v="122"/>
    <n v="66"/>
    <n v="1.49"/>
    <n v="1032"/>
    <x v="2"/>
    <x v="2"/>
    <n v="30.6"/>
    <n v="3.1"/>
    <n v="5"/>
    <x v="0"/>
    <x v="0"/>
    <n v="18.29"/>
  </r>
  <r>
    <n v="27"/>
    <x v="0"/>
    <x v="1"/>
    <n v="44.1"/>
    <n v="1.56"/>
    <n v="169"/>
    <m/>
    <n v="72"/>
    <n v="1.34"/>
    <n v="1124"/>
    <x v="0"/>
    <x v="0"/>
    <n v="10"/>
    <n v="3.1"/>
    <n v="2"/>
    <x v="1"/>
    <x v="2"/>
    <n v="20.18"/>
  </r>
  <r>
    <n v="26"/>
    <x v="0"/>
    <x v="1"/>
    <n v="65"/>
    <n v="1.69"/>
    <n v="171"/>
    <n v="162"/>
    <n v="62"/>
    <n v="1.54"/>
    <n v="1066"/>
    <x v="0"/>
    <x v="3"/>
    <n v="16.600000000000001"/>
    <n v="3.5"/>
    <n v="2"/>
    <x v="0"/>
    <x v="4"/>
    <n v="29.56"/>
  </r>
  <r>
    <n v="33"/>
    <x v="0"/>
    <x v="0"/>
    <n v="95"/>
    <n v="1.85"/>
    <n v="168"/>
    <n v="140"/>
    <n v="56"/>
    <n v="1.3"/>
    <n v="958"/>
    <x v="0"/>
    <x v="3"/>
    <n v="20.5"/>
    <n v="3.3"/>
    <n v="3"/>
    <x v="0"/>
    <x v="0"/>
    <n v="12.66"/>
  </r>
  <r>
    <n v="30"/>
    <x v="0"/>
    <x v="0"/>
    <n v="65.3"/>
    <n v="1.76"/>
    <n v="192"/>
    <n v="161"/>
    <n v="57"/>
    <n v="1.1599999999999999"/>
    <n v="1092"/>
    <x v="1"/>
    <x v="2"/>
    <n v="32.1"/>
    <n v="1.9"/>
    <n v="4"/>
    <x v="2"/>
    <x v="2"/>
    <n v="23.82"/>
  </r>
  <r>
    <n v="59"/>
    <x v="4"/>
    <x v="1"/>
    <n v="40"/>
    <n v="1.72"/>
    <n v="182"/>
    <n v="164"/>
    <n v="56"/>
    <n v="1.27"/>
    <n v="1783"/>
    <x v="2"/>
    <x v="0"/>
    <n v="12.6"/>
    <n v="3.1"/>
    <n v="4"/>
    <x v="2"/>
    <x v="0"/>
    <n v="12.32"/>
  </r>
  <r>
    <n v="46"/>
    <x v="2"/>
    <x v="0"/>
    <n v="82.9"/>
    <n v="1.74"/>
    <n v="194"/>
    <n v="165"/>
    <n v="52"/>
    <n v="2"/>
    <n v="1107"/>
    <x v="1"/>
    <x v="1"/>
    <n v="24.3"/>
    <n v="3.1"/>
    <n v="3"/>
    <x v="2"/>
    <x v="0"/>
    <n v="14.4"/>
  </r>
  <r>
    <n v="18"/>
    <x v="1"/>
    <x v="1"/>
    <n v="59.4"/>
    <n v="1.87"/>
    <n v="195"/>
    <n v="139"/>
    <n v="74"/>
    <n v="2"/>
    <n v="958"/>
    <x v="3"/>
    <x v="3"/>
    <n v="14.9"/>
    <n v="2.7"/>
    <n v="3"/>
    <x v="0"/>
    <x v="1"/>
    <n v="36.72"/>
  </r>
  <r>
    <n v="49"/>
    <x v="2"/>
    <x v="1"/>
    <n v="58.2"/>
    <n v="1.82"/>
    <n v="171"/>
    <n v="154"/>
    <n v="67"/>
    <n v="1.38"/>
    <n v="624"/>
    <x v="0"/>
    <x v="1"/>
    <n v="20.8"/>
    <n v="3.5"/>
    <n v="4"/>
    <x v="1"/>
    <x v="2"/>
    <n v="19.11"/>
  </r>
  <r>
    <n v="37"/>
    <x v="3"/>
    <x v="0"/>
    <n v="77.3"/>
    <n v="1.58"/>
    <n v="180"/>
    <n v="140"/>
    <n v="61"/>
    <n v="1.57"/>
    <n v="1333"/>
    <x v="2"/>
    <x v="3"/>
    <n v="23.5"/>
    <n v="1.5"/>
    <n v="2"/>
    <x v="0"/>
    <x v="0"/>
    <n v="12.32"/>
  </r>
  <r>
    <n v="22"/>
    <x v="1"/>
    <x v="1"/>
    <n v="66"/>
    <n v="1.67"/>
    <n v="181"/>
    <n v="122"/>
    <n v="50"/>
    <n v="0.96"/>
    <n v="912"/>
    <x v="1"/>
    <x v="2"/>
    <n v="26.3"/>
    <n v="1.5"/>
    <n v="3"/>
    <x v="0"/>
    <x v="0"/>
    <n v="15.29"/>
  </r>
  <r>
    <n v="29"/>
    <x v="0"/>
    <x v="0"/>
    <n v="67.400000000000006"/>
    <n v="1.76"/>
    <n v="187"/>
    <n v="120"/>
    <n v="74"/>
    <n v="1.1000000000000001"/>
    <n v="911"/>
    <x v="1"/>
    <x v="3"/>
    <n v="21.4"/>
    <n v="2.2999999999999998"/>
    <n v="5"/>
    <x v="1"/>
    <x v="2"/>
    <n v="19.600000000000001"/>
  </r>
  <r>
    <n v="31"/>
    <x v="0"/>
    <x v="1"/>
    <n v="62.2"/>
    <n v="1.7"/>
    <n v="168"/>
    <n v="155"/>
    <n v="55"/>
    <n v="0.62"/>
    <n v="1596"/>
    <x v="0"/>
    <x v="2"/>
    <n v="35"/>
    <n v="3.2"/>
    <n v="2"/>
    <x v="1"/>
    <x v="0"/>
    <n v="16.7"/>
  </r>
  <r>
    <n v="45"/>
    <x v="2"/>
    <x v="2"/>
    <n v="67.3"/>
    <n v="1.67"/>
    <n v="198"/>
    <n v="155"/>
    <n v="54"/>
    <n v="0.72"/>
    <n v="1006"/>
    <x v="3"/>
    <x v="2"/>
    <n v="33.200000000000003"/>
    <n v="3.5"/>
    <n v="4"/>
    <x v="0"/>
    <x v="0"/>
    <n v="17.760000000000002"/>
  </r>
  <r>
    <n v="27"/>
    <x v="0"/>
    <x v="0"/>
    <n v="59.6"/>
    <n v="1.73"/>
    <n v="182"/>
    <n v="139"/>
    <n v="71"/>
    <n v="1.42"/>
    <n v="1321"/>
    <x v="0"/>
    <x v="0"/>
    <n v="16.3"/>
    <n v="3.3"/>
    <n v="4"/>
    <x v="2"/>
    <x v="0"/>
    <n v="16.62"/>
  </r>
  <r>
    <n v="35"/>
    <x v="3"/>
    <x v="1"/>
    <n v="40"/>
    <n v="1.72"/>
    <n v="182"/>
    <n v="120"/>
    <n v="70"/>
    <n v="1.22"/>
    <n v="1178"/>
    <x v="2"/>
    <x v="3"/>
    <n v="14.6"/>
    <n v="1.9"/>
    <n v="4"/>
    <x v="0"/>
    <x v="0"/>
    <n v="17.87"/>
  </r>
  <r>
    <n v="24"/>
    <x v="1"/>
    <x v="1"/>
    <n v="41.3"/>
    <n v="1.73"/>
    <n v="180"/>
    <n v="156"/>
    <n v="74"/>
    <n v="1.55"/>
    <n v="1285"/>
    <x v="2"/>
    <x v="2"/>
    <n v="26.2"/>
    <n v="3.2"/>
    <n v="4"/>
    <x v="2"/>
    <x v="0"/>
    <n v="14.93"/>
  </r>
  <r>
    <n v="48"/>
    <x v="2"/>
    <x v="1"/>
    <n v="97"/>
    <n v="1.73"/>
    <n v="172"/>
    <n v="122"/>
    <n v="74"/>
    <n v="1.7"/>
    <n v="903"/>
    <x v="1"/>
    <x v="0"/>
    <n v="12.8"/>
    <n v="3.5"/>
    <n v="4"/>
    <x v="0"/>
    <x v="2"/>
    <n v="22.39"/>
  </r>
  <r>
    <n v="59"/>
    <x v="4"/>
    <x v="0"/>
    <n v="47.2"/>
    <n v="1.68"/>
    <n v="185"/>
    <n v="159"/>
    <n v="70"/>
    <n v="1.49"/>
    <n v="704"/>
    <x v="0"/>
    <x v="0"/>
    <n v="15.4"/>
    <n v="2.2000000000000002"/>
    <n v="4"/>
    <x v="0"/>
    <x v="2"/>
    <n v="23.79"/>
  </r>
  <r>
    <n v="49"/>
    <x v="2"/>
    <x v="0"/>
    <n v="58.7"/>
    <n v="1.79"/>
    <m/>
    <n v="120"/>
    <n v="67"/>
    <n v="0.9"/>
    <n v="900"/>
    <x v="1"/>
    <x v="1"/>
    <n v="24.4"/>
    <n v="3.7"/>
    <n v="4"/>
    <x v="0"/>
    <x v="4"/>
    <n v="28.66"/>
  </r>
  <r>
    <n v="33"/>
    <x v="0"/>
    <x v="1"/>
    <n v="65.7"/>
    <n v="1.97"/>
    <n v="167"/>
    <n v="144"/>
    <n v="53"/>
    <n v="1.1000000000000001"/>
    <n v="872"/>
    <x v="1"/>
    <x v="1"/>
    <n v="19.100000000000001"/>
    <n v="2"/>
    <n v="4"/>
    <x v="1"/>
    <x v="2"/>
    <n v="19.14"/>
  </r>
  <r>
    <n v="31"/>
    <x v="0"/>
    <x v="1"/>
    <n v="80.2"/>
    <n v="1.74"/>
    <n v="187"/>
    <n v="141"/>
    <n v="72"/>
    <n v="1.23"/>
    <n v="1326"/>
    <x v="0"/>
    <x v="1"/>
    <n v="21.2"/>
    <n v="2.8"/>
    <n v="2"/>
    <x v="0"/>
    <x v="0"/>
    <n v="16.100000000000001"/>
  </r>
  <r>
    <n v="40"/>
    <x v="3"/>
    <x v="1"/>
    <n v="59.3"/>
    <n v="2"/>
    <n v="166"/>
    <n v="141"/>
    <n v="74"/>
    <n v="1.44"/>
    <n v="801"/>
    <x v="1"/>
    <x v="1"/>
    <n v="24.6"/>
    <n v="3.4"/>
    <n v="5"/>
    <x v="0"/>
    <x v="0"/>
    <n v="17.04"/>
  </r>
  <r>
    <n v="28"/>
    <x v="0"/>
    <x v="1"/>
    <n v="61.1"/>
    <n v="1.74"/>
    <n v="163"/>
    <n v="156"/>
    <n v="59"/>
    <n v="1.89"/>
    <n v="1277"/>
    <x v="1"/>
    <x v="1"/>
    <n v="21.5"/>
    <n v="3.4"/>
    <n v="2"/>
    <x v="0"/>
    <x v="0"/>
    <m/>
  </r>
  <r>
    <n v="57"/>
    <x v="4"/>
    <x v="0"/>
    <n v="79.400000000000006"/>
    <n v="1.55"/>
    <n v="160"/>
    <n v="164"/>
    <n v="50"/>
    <n v="1.55"/>
    <n v="1116"/>
    <x v="0"/>
    <x v="2"/>
    <n v="32.200000000000003"/>
    <n v="3.6"/>
    <n v="2"/>
    <x v="0"/>
    <x v="0"/>
    <n v="14.69"/>
  </r>
  <r>
    <n v="55"/>
    <x v="4"/>
    <x v="1"/>
    <n v="86.2"/>
    <n v="2"/>
    <n v="189"/>
    <n v="159"/>
    <n v="66"/>
    <n v="1.78"/>
    <n v="462"/>
    <x v="0"/>
    <x v="2"/>
    <n v="27.2"/>
    <m/>
    <n v="3"/>
    <x v="1"/>
    <x v="2"/>
    <n v="20.09"/>
  </r>
  <r>
    <n v="28"/>
    <x v="0"/>
    <x v="1"/>
    <n v="59.3"/>
    <n v="1.79"/>
    <n v="189"/>
    <n v="128"/>
    <n v="69"/>
    <n v="0.91"/>
    <n v="877"/>
    <x v="0"/>
    <x v="1"/>
    <n v="24.8"/>
    <n v="2.1"/>
    <n v="4"/>
    <x v="1"/>
    <x v="4"/>
    <n v="28.16"/>
  </r>
  <r>
    <n v="23"/>
    <x v="1"/>
    <x v="1"/>
    <n v="40"/>
    <n v="1.87"/>
    <n v="161"/>
    <m/>
    <n v="74"/>
    <n v="1.5"/>
    <n v="1200"/>
    <x v="0"/>
    <x v="1"/>
    <n v="23.7"/>
    <n v="3.3"/>
    <n v="4"/>
    <x v="2"/>
    <x v="0"/>
    <n v="13.11"/>
  </r>
  <r>
    <n v="30"/>
    <x v="0"/>
    <x v="2"/>
    <n v="61.8"/>
    <n v="1.88"/>
    <n v="189"/>
    <n v="142"/>
    <n v="73"/>
    <n v="1.02"/>
    <n v="1033"/>
    <x v="1"/>
    <x v="3"/>
    <n v="23.7"/>
    <n v="2.2999999999999998"/>
    <n v="4"/>
    <x v="1"/>
    <x v="2"/>
    <n v="21.86"/>
  </r>
  <r>
    <n v="30"/>
    <x v="0"/>
    <x v="1"/>
    <n v="40"/>
    <n v="1.63"/>
    <n v="192"/>
    <n v="157"/>
    <n v="64"/>
    <n v="1.31"/>
    <n v="1078"/>
    <x v="2"/>
    <x v="0"/>
    <n v="10"/>
    <n v="2.8"/>
    <n v="3"/>
    <x v="1"/>
    <x v="0"/>
    <n v="14.92"/>
  </r>
  <r>
    <n v="25"/>
    <x v="0"/>
    <x v="0"/>
    <n v="61.4"/>
    <n v="1.7"/>
    <n v="172"/>
    <n v="166"/>
    <n v="72"/>
    <n v="1.28"/>
    <n v="1064"/>
    <x v="3"/>
    <x v="2"/>
    <n v="32.5"/>
    <n v="3"/>
    <n v="3"/>
    <x v="0"/>
    <x v="2"/>
    <n v="19.45"/>
  </r>
  <r>
    <n v="46"/>
    <x v="2"/>
    <x v="0"/>
    <n v="80.2"/>
    <n v="1.98"/>
    <n v="172"/>
    <n v="155"/>
    <n v="73"/>
    <n v="1.29"/>
    <n v="1355"/>
    <x v="3"/>
    <x v="1"/>
    <n v="26.8"/>
    <n v="3.3"/>
    <n v="4"/>
    <x v="2"/>
    <x v="0"/>
    <n v="15.63"/>
  </r>
  <r>
    <n v="24"/>
    <x v="1"/>
    <x v="0"/>
    <n v="89"/>
    <n v="1.61"/>
    <m/>
    <n v="160"/>
    <n v="74"/>
    <n v="1.3"/>
    <n v="827"/>
    <x v="3"/>
    <x v="3"/>
    <n v="23.8"/>
    <n v="3.1"/>
    <n v="3"/>
    <x v="2"/>
    <x v="1"/>
    <n v="30.63"/>
  </r>
  <r>
    <n v="28"/>
    <x v="0"/>
    <x v="1"/>
    <n v="58"/>
    <n v="1.77"/>
    <n v="179"/>
    <n v="157"/>
    <n v="74"/>
    <n v="1.59"/>
    <n v="1145"/>
    <x v="3"/>
    <x v="1"/>
    <n v="21.3"/>
    <n v="1.5"/>
    <n v="2"/>
    <x v="2"/>
    <x v="0"/>
    <n v="14.72"/>
  </r>
  <r>
    <n v="27"/>
    <x v="0"/>
    <x v="1"/>
    <n v="53"/>
    <n v="1.91"/>
    <n v="172"/>
    <n v="123"/>
    <n v="54"/>
    <n v="1.0900000000000001"/>
    <n v="655"/>
    <x v="0"/>
    <x v="2"/>
    <n v="34.4"/>
    <n v="3.1"/>
    <n v="3"/>
    <x v="0"/>
    <x v="2"/>
    <n v="21.18"/>
  </r>
  <r>
    <n v="23"/>
    <x v="1"/>
    <x v="0"/>
    <n v="51.2"/>
    <n v="1.92"/>
    <n v="187"/>
    <n v="169"/>
    <n v="55"/>
    <n v="1.1000000000000001"/>
    <n v="969"/>
    <x v="3"/>
    <x v="1"/>
    <n v="25.3"/>
    <n v="2.7"/>
    <n v="2"/>
    <x v="1"/>
    <x v="0"/>
    <n v="16.98"/>
  </r>
  <r>
    <n v="26"/>
    <x v="0"/>
    <x v="0"/>
    <n v="51.9"/>
    <n v="1.9"/>
    <n v="182"/>
    <n v="129"/>
    <n v="55"/>
    <n v="2"/>
    <n v="1418"/>
    <x v="1"/>
    <x v="2"/>
    <n v="32.200000000000003"/>
    <n v="2.4"/>
    <n v="2"/>
    <x v="1"/>
    <x v="2"/>
    <n v="20.41"/>
  </r>
  <r>
    <n v="27"/>
    <x v="0"/>
    <x v="0"/>
    <n v="56.3"/>
    <n v="1.7"/>
    <n v="191"/>
    <n v="134"/>
    <n v="72"/>
    <n v="1.61"/>
    <n v="1631"/>
    <x v="3"/>
    <x v="3"/>
    <n v="23.4"/>
    <n v="3.3"/>
    <n v="3"/>
    <x v="1"/>
    <x v="1"/>
    <n v="30.84"/>
  </r>
  <r>
    <n v="18"/>
    <x v="1"/>
    <x v="1"/>
    <n v="92.4"/>
    <n v="1.52"/>
    <n v="197"/>
    <n v="135"/>
    <n v="59"/>
    <n v="1.1200000000000001"/>
    <n v="1515"/>
    <x v="1"/>
    <x v="2"/>
    <n v="25.9"/>
    <n v="3.2"/>
    <n v="3"/>
    <x v="0"/>
    <x v="0"/>
    <n v="16.46"/>
  </r>
  <r>
    <n v="59"/>
    <x v="4"/>
    <x v="1"/>
    <n v="108.3"/>
    <n v="1.53"/>
    <n v="183"/>
    <n v="122"/>
    <n v="50"/>
    <n v="0.86"/>
    <n v="1071"/>
    <x v="2"/>
    <x v="1"/>
    <n v="21.9"/>
    <n v="3.3"/>
    <n v="3"/>
    <x v="1"/>
    <x v="0"/>
    <n v="17.75"/>
  </r>
  <r>
    <n v="22"/>
    <x v="1"/>
    <x v="0"/>
    <n v="71.5"/>
    <n v="1.81"/>
    <n v="195"/>
    <n v="164"/>
    <n v="51"/>
    <n v="1.52"/>
    <n v="935"/>
    <x v="3"/>
    <x v="3"/>
    <n v="22"/>
    <n v="2.6"/>
    <n v="3"/>
    <x v="0"/>
    <x v="0"/>
    <n v="14.55"/>
  </r>
  <r>
    <n v="18"/>
    <x v="1"/>
    <x v="1"/>
    <n v="89.4"/>
    <n v="1.84"/>
    <n v="168"/>
    <n v="168"/>
    <n v="69"/>
    <n v="2"/>
    <n v="968"/>
    <x v="0"/>
    <x v="1"/>
    <n v="17.3"/>
    <n v="2.6"/>
    <n v="5"/>
    <x v="0"/>
    <x v="0"/>
    <n v="14.77"/>
  </r>
  <r>
    <n v="32"/>
    <x v="0"/>
    <x v="1"/>
    <n v="82.3"/>
    <n v="1.55"/>
    <n v="172"/>
    <n v="128"/>
    <n v="74"/>
    <n v="1.52"/>
    <n v="990"/>
    <x v="2"/>
    <x v="2"/>
    <n v="26.7"/>
    <n v="2"/>
    <n v="3"/>
    <x v="1"/>
    <x v="2"/>
    <n v="20.149999999999999"/>
  </r>
  <r>
    <n v="35"/>
    <x v="3"/>
    <x v="1"/>
    <n v="96.5"/>
    <n v="1.54"/>
    <n v="168"/>
    <n v="160"/>
    <n v="70"/>
    <n v="1.43"/>
    <n v="1573"/>
    <x v="3"/>
    <x v="2"/>
    <n v="35"/>
    <n v="3.4"/>
    <n v="4"/>
    <x v="1"/>
    <x v="2"/>
    <n v="20.43"/>
  </r>
  <r>
    <n v="44"/>
    <x v="3"/>
    <x v="1"/>
    <n v="40"/>
    <n v="1.91"/>
    <n v="181"/>
    <n v="124"/>
    <n v="71"/>
    <n v="1.55"/>
    <n v="1545"/>
    <x v="1"/>
    <x v="2"/>
    <n v="26.5"/>
    <n v="3.4"/>
    <n v="3"/>
    <x v="1"/>
    <x v="1"/>
    <n v="35.01"/>
  </r>
  <r>
    <n v="43"/>
    <x v="3"/>
    <x v="1"/>
    <n v="65.2"/>
    <n v="1.5"/>
    <n v="182"/>
    <n v="157"/>
    <n v="68"/>
    <n v="2"/>
    <n v="1417"/>
    <x v="3"/>
    <x v="2"/>
    <n v="26.7"/>
    <n v="3.1"/>
    <n v="4"/>
    <x v="0"/>
    <x v="0"/>
    <n v="14.95"/>
  </r>
  <r>
    <n v="38"/>
    <x v="3"/>
    <x v="0"/>
    <n v="77.099999999999994"/>
    <m/>
    <n v="177"/>
    <n v="169"/>
    <n v="72"/>
    <n v="1.73"/>
    <n v="1538"/>
    <x v="1"/>
    <x v="1"/>
    <n v="26.4"/>
    <n v="3.6"/>
    <n v="3"/>
    <x v="1"/>
    <x v="0"/>
    <n v="13.97"/>
  </r>
  <r>
    <n v="18"/>
    <x v="1"/>
    <x v="1"/>
    <n v="53.9"/>
    <n v="1.62"/>
    <n v="170"/>
    <n v="169"/>
    <n v="72"/>
    <n v="1.38"/>
    <n v="810"/>
    <x v="1"/>
    <x v="1"/>
    <n v="24.7"/>
    <n v="3.4"/>
    <n v="3"/>
    <x v="1"/>
    <x v="4"/>
    <n v="29.34"/>
  </r>
  <r>
    <n v="42"/>
    <x v="3"/>
    <x v="1"/>
    <m/>
    <n v="1.87"/>
    <n v="176"/>
    <n v="127"/>
    <n v="74"/>
    <n v="1.82"/>
    <n v="693"/>
    <x v="3"/>
    <x v="0"/>
    <n v="10"/>
    <n v="2.1"/>
    <n v="4"/>
    <x v="1"/>
    <x v="2"/>
    <n v="20.3"/>
  </r>
  <r>
    <n v="22"/>
    <x v="1"/>
    <x v="2"/>
    <n v="69.599999999999994"/>
    <n v="1.8"/>
    <n v="186"/>
    <n v="136"/>
    <n v="73"/>
    <n v="1.37"/>
    <n v="1081"/>
    <x v="1"/>
    <x v="1"/>
    <n v="28.6"/>
    <n v="2"/>
    <n v="5"/>
    <x v="2"/>
    <x v="2"/>
    <n v="21.14"/>
  </r>
  <r>
    <n v="18"/>
    <x v="1"/>
    <x v="2"/>
    <n v="62.9"/>
    <n v="1.72"/>
    <n v="191"/>
    <n v="157"/>
    <n v="63"/>
    <n v="1.31"/>
    <n v="514"/>
    <x v="0"/>
    <x v="1"/>
    <n v="26.3"/>
    <n v="2.2000000000000002"/>
    <n v="3"/>
    <x v="0"/>
    <x v="0"/>
    <n v="12.32"/>
  </r>
  <r>
    <n v="18"/>
    <x v="1"/>
    <x v="2"/>
    <n v="69.099999999999994"/>
    <n v="1.64"/>
    <n v="183"/>
    <n v="139"/>
    <n v="73"/>
    <n v="1.32"/>
    <n v="1002"/>
    <x v="4"/>
    <x v="1"/>
    <n v="26"/>
    <n v="1.5"/>
    <n v="5"/>
    <x v="1"/>
    <x v="0"/>
    <n v="16.27"/>
  </r>
  <r>
    <n v="37"/>
    <x v="3"/>
    <x v="0"/>
    <n v="61.3"/>
    <n v="1.96"/>
    <n v="193"/>
    <n v="169"/>
    <n v="65"/>
    <n v="2"/>
    <n v="947"/>
    <x v="3"/>
    <x v="2"/>
    <n v="31.1"/>
    <n v="3.5"/>
    <n v="5"/>
    <x v="1"/>
    <x v="2"/>
    <n v="24.18"/>
  </r>
  <r>
    <n v="37"/>
    <x v="3"/>
    <x v="0"/>
    <n v="78.5"/>
    <n v="1.5"/>
    <n v="189"/>
    <n v="169"/>
    <n v="60"/>
    <n v="1.67"/>
    <n v="954"/>
    <x v="2"/>
    <x v="0"/>
    <n v="17.899999999999999"/>
    <n v="2.4"/>
    <n v="3"/>
    <x v="2"/>
    <x v="2"/>
    <n v="21.98"/>
  </r>
  <r>
    <n v="41"/>
    <x v="3"/>
    <x v="0"/>
    <n v="40"/>
    <n v="1.78"/>
    <n v="182"/>
    <n v="155"/>
    <n v="68"/>
    <n v="1.51"/>
    <n v="1376"/>
    <x v="2"/>
    <x v="1"/>
    <n v="29.8"/>
    <n v="2.1"/>
    <n v="2"/>
    <x v="2"/>
    <x v="0"/>
    <n v="12.32"/>
  </r>
  <r>
    <n v="18"/>
    <x v="1"/>
    <x v="1"/>
    <n v="49.9"/>
    <n v="1.75"/>
    <n v="182"/>
    <n v="158"/>
    <n v="74"/>
    <n v="2"/>
    <n v="1032"/>
    <x v="0"/>
    <x v="1"/>
    <n v="23.1"/>
    <n v="3.1"/>
    <n v="5"/>
    <x v="1"/>
    <x v="0"/>
    <n v="17.64"/>
  </r>
  <r>
    <n v="46"/>
    <x v="2"/>
    <x v="0"/>
    <n v="69.900000000000006"/>
    <n v="1.68"/>
    <n v="173"/>
    <n v="168"/>
    <n v="64"/>
    <n v="1.43"/>
    <n v="911"/>
    <x v="0"/>
    <x v="2"/>
    <n v="35"/>
    <n v="3.4"/>
    <n v="3"/>
    <x v="0"/>
    <x v="2"/>
    <n v="18.95"/>
  </r>
  <r>
    <n v="24"/>
    <x v="1"/>
    <x v="1"/>
    <n v="62.5"/>
    <n v="1.58"/>
    <n v="175"/>
    <n v="137"/>
    <n v="51"/>
    <n v="2"/>
    <n v="1231"/>
    <x v="0"/>
    <x v="2"/>
    <n v="32.200000000000003"/>
    <n v="3.6"/>
    <n v="4"/>
    <x v="1"/>
    <x v="1"/>
    <n v="36.26"/>
  </r>
  <r>
    <n v="22"/>
    <x v="1"/>
    <x v="1"/>
    <n v="40"/>
    <n v="1.67"/>
    <n v="162"/>
    <n v="146"/>
    <n v="59"/>
    <n v="1.04"/>
    <n v="807"/>
    <x v="0"/>
    <x v="1"/>
    <n v="24.1"/>
    <n v="1.5"/>
    <n v="3"/>
    <x v="1"/>
    <x v="0"/>
    <n v="13.05"/>
  </r>
  <r>
    <n v="53"/>
    <x v="2"/>
    <x v="0"/>
    <n v="46.8"/>
    <n v="1.69"/>
    <n v="163"/>
    <n v="169"/>
    <n v="56"/>
    <n v="1.32"/>
    <n v="1017"/>
    <x v="2"/>
    <x v="1"/>
    <n v="27.6"/>
    <n v="2.4"/>
    <n v="4"/>
    <x v="0"/>
    <x v="4"/>
    <n v="29.04"/>
  </r>
  <r>
    <n v="44"/>
    <x v="3"/>
    <x v="0"/>
    <n v="75.2"/>
    <n v="1.9"/>
    <n v="185"/>
    <n v="131"/>
    <n v="65"/>
    <n v="0.94"/>
    <n v="1303"/>
    <x v="1"/>
    <x v="0"/>
    <n v="18"/>
    <n v="3.4"/>
    <n v="3"/>
    <x v="0"/>
    <x v="0"/>
    <m/>
  </r>
  <r>
    <n v="43"/>
    <x v="3"/>
    <x v="1"/>
    <n v="70.099999999999994"/>
    <n v="1.72"/>
    <n v="187"/>
    <n v="129"/>
    <n v="54"/>
    <n v="1.43"/>
    <n v="984"/>
    <x v="2"/>
    <x v="2"/>
    <n v="25"/>
    <n v="1.6"/>
    <n v="3"/>
    <x v="1"/>
    <x v="4"/>
    <n v="25.52"/>
  </r>
  <r>
    <n v="18"/>
    <x v="1"/>
    <x v="1"/>
    <n v="40"/>
    <n v="1.7"/>
    <n v="190"/>
    <n v="120"/>
    <n v="64"/>
    <n v="1.33"/>
    <n v="1589"/>
    <x v="3"/>
    <x v="2"/>
    <n v="26.8"/>
    <n v="3.1"/>
    <n v="2"/>
    <x v="1"/>
    <x v="2"/>
    <n v="18.760000000000002"/>
  </r>
  <r>
    <n v="59"/>
    <x v="4"/>
    <x v="0"/>
    <n v="73.599999999999994"/>
    <n v="1.6"/>
    <n v="164"/>
    <n v="158"/>
    <n v="58"/>
    <n v="1.35"/>
    <n v="1216"/>
    <x v="0"/>
    <x v="1"/>
    <n v="30"/>
    <n v="2.2999999999999998"/>
    <n v="5"/>
    <x v="0"/>
    <x v="0"/>
    <n v="15.78"/>
  </r>
  <r>
    <n v="18"/>
    <x v="1"/>
    <x v="1"/>
    <n v="40"/>
    <n v="1.65"/>
    <n v="160"/>
    <n v="144"/>
    <n v="73"/>
    <n v="2"/>
    <n v="1078"/>
    <x v="3"/>
    <x v="1"/>
    <n v="17.399999999999999"/>
    <n v="3.5"/>
    <n v="2"/>
    <x v="1"/>
    <x v="2"/>
    <n v="21.36"/>
  </r>
  <r>
    <n v="43"/>
    <x v="3"/>
    <x v="1"/>
    <n v="72.599999999999994"/>
    <n v="1.64"/>
    <n v="166"/>
    <n v="152"/>
    <n v="54"/>
    <n v="1.22"/>
    <n v="1188"/>
    <x v="1"/>
    <x v="1"/>
    <n v="21.3"/>
    <n v="2.5"/>
    <n v="2"/>
    <x v="0"/>
    <x v="0"/>
    <n v="12.97"/>
  </r>
  <r>
    <n v="36"/>
    <x v="3"/>
    <x v="1"/>
    <n v="87.6"/>
    <n v="1.81"/>
    <n v="179"/>
    <n v="140"/>
    <n v="56"/>
    <n v="0.9"/>
    <n v="645"/>
    <x v="2"/>
    <x v="1"/>
    <n v="22.1"/>
    <n v="3.6"/>
    <n v="2"/>
    <x v="1"/>
    <x v="0"/>
    <n v="18.22"/>
  </r>
  <r>
    <n v="26"/>
    <x v="0"/>
    <x v="0"/>
    <n v="110.3"/>
    <n v="1.94"/>
    <n v="171"/>
    <m/>
    <n v="51"/>
    <n v="1.25"/>
    <n v="1376"/>
    <x v="2"/>
    <x v="1"/>
    <n v="30"/>
    <n v="3.7"/>
    <n v="3"/>
    <x v="1"/>
    <x v="0"/>
    <n v="12.32"/>
  </r>
  <r>
    <n v="18"/>
    <x v="1"/>
    <x v="0"/>
    <n v="79"/>
    <n v="1.68"/>
    <n v="195"/>
    <n v="158"/>
    <n v="61"/>
    <n v="2"/>
    <n v="1410"/>
    <x v="0"/>
    <x v="2"/>
    <n v="31.1"/>
    <n v="2.5"/>
    <n v="5"/>
    <x v="0"/>
    <x v="0"/>
    <n v="14.2"/>
  </r>
  <r>
    <n v="40"/>
    <x v="3"/>
    <x v="1"/>
    <n v="40"/>
    <n v="1.73"/>
    <n v="194"/>
    <n v="149"/>
    <n v="72"/>
    <n v="1.06"/>
    <n v="811"/>
    <x v="2"/>
    <x v="1"/>
    <n v="19.399999999999999"/>
    <n v="2.7"/>
    <n v="2"/>
    <x v="2"/>
    <x v="1"/>
    <n v="36.56"/>
  </r>
  <r>
    <n v="18"/>
    <x v="1"/>
    <x v="1"/>
    <n v="123.8"/>
    <n v="1.62"/>
    <n v="164"/>
    <n v="167"/>
    <n v="59"/>
    <n v="1.43"/>
    <n v="303"/>
    <x v="0"/>
    <x v="1"/>
    <n v="22.3"/>
    <n v="3.6"/>
    <n v="2"/>
    <x v="2"/>
    <x v="2"/>
    <n v="24.63"/>
  </r>
  <r>
    <n v="59"/>
    <x v="4"/>
    <x v="0"/>
    <n v="40"/>
    <n v="1.84"/>
    <n v="167"/>
    <n v="137"/>
    <n v="53"/>
    <n v="1.87"/>
    <n v="681"/>
    <x v="3"/>
    <x v="3"/>
    <n v="23.7"/>
    <n v="2.2000000000000002"/>
    <n v="2"/>
    <x v="0"/>
    <x v="0"/>
    <n v="14.55"/>
  </r>
  <r>
    <n v="38"/>
    <x v="3"/>
    <x v="1"/>
    <n v="41.4"/>
    <n v="1.71"/>
    <n v="183"/>
    <n v="168"/>
    <n v="73"/>
    <n v="0.94"/>
    <n v="1253"/>
    <x v="3"/>
    <x v="2"/>
    <n v="30.8"/>
    <n v="3.2"/>
    <n v="3"/>
    <x v="1"/>
    <x v="0"/>
    <n v="14.6"/>
  </r>
  <r>
    <n v="33"/>
    <x v="0"/>
    <x v="0"/>
    <n v="60.5"/>
    <n v="1.76"/>
    <n v="160"/>
    <n v="146"/>
    <n v="67"/>
    <n v="0.57999999999999996"/>
    <n v="1172"/>
    <x v="2"/>
    <x v="1"/>
    <n v="26.4"/>
    <m/>
    <n v="4"/>
    <x v="0"/>
    <x v="4"/>
    <n v="28.93"/>
  </r>
  <r>
    <n v="45"/>
    <x v="2"/>
    <x v="0"/>
    <n v="40"/>
    <n v="1.69"/>
    <n v="162"/>
    <n v="147"/>
    <n v="68"/>
    <n v="1.19"/>
    <n v="979"/>
    <x v="2"/>
    <x v="1"/>
    <n v="25.2"/>
    <n v="2.4"/>
    <n v="4"/>
    <x v="0"/>
    <x v="0"/>
    <n v="12.75"/>
  </r>
  <r>
    <n v="44"/>
    <x v="3"/>
    <x v="0"/>
    <n v="52.8"/>
    <n v="1.71"/>
    <n v="198"/>
    <n v="132"/>
    <n v="63"/>
    <n v="2"/>
    <n v="1783"/>
    <x v="2"/>
    <x v="3"/>
    <n v="21.7"/>
    <n v="3.4"/>
    <n v="4"/>
    <x v="0"/>
    <x v="0"/>
    <n v="12.32"/>
  </r>
  <r>
    <n v="39"/>
    <x v="3"/>
    <x v="0"/>
    <n v="69.900000000000006"/>
    <n v="1.85"/>
    <n v="164"/>
    <n v="147"/>
    <n v="50"/>
    <n v="1.3"/>
    <n v="1562"/>
    <x v="3"/>
    <x v="1"/>
    <n v="27.7"/>
    <n v="3.7"/>
    <n v="3"/>
    <x v="2"/>
    <x v="0"/>
    <n v="12.87"/>
  </r>
  <r>
    <n v="25"/>
    <x v="0"/>
    <x v="0"/>
    <n v="51"/>
    <n v="1.76"/>
    <n v="167"/>
    <n v="127"/>
    <n v="70"/>
    <n v="0.72"/>
    <n v="1119"/>
    <x v="4"/>
    <x v="1"/>
    <n v="25.1"/>
    <n v="2.6"/>
    <n v="4"/>
    <x v="2"/>
    <x v="0"/>
    <n v="12.64"/>
  </r>
  <r>
    <n v="50"/>
    <x v="2"/>
    <x v="0"/>
    <n v="92.6"/>
    <n v="1.91"/>
    <n v="171"/>
    <n v="137"/>
    <n v="54"/>
    <n v="1.6"/>
    <n v="303"/>
    <x v="0"/>
    <x v="1"/>
    <n v="25.2"/>
    <n v="2.2999999999999998"/>
    <n v="3"/>
    <x v="1"/>
    <x v="2"/>
    <n v="21.42"/>
  </r>
  <r>
    <n v="21"/>
    <x v="1"/>
    <x v="0"/>
    <n v="52.7"/>
    <n v="1.53"/>
    <n v="182"/>
    <n v="134"/>
    <n v="50"/>
    <n v="1.19"/>
    <n v="1090"/>
    <x v="0"/>
    <x v="2"/>
    <n v="31.5"/>
    <n v="3.4"/>
    <n v="3"/>
    <x v="2"/>
    <x v="4"/>
    <n v="25.06"/>
  </r>
  <r>
    <n v="49"/>
    <x v="2"/>
    <x v="1"/>
    <n v="40"/>
    <n v="1.75"/>
    <n v="166"/>
    <n v="169"/>
    <n v="59"/>
    <n v="1.3"/>
    <m/>
    <x v="3"/>
    <x v="1"/>
    <n v="19.7"/>
    <n v="1.6"/>
    <n v="4"/>
    <x v="0"/>
    <x v="2"/>
    <n v="19.149999999999999"/>
  </r>
  <r>
    <n v="20"/>
    <x v="1"/>
    <x v="1"/>
    <n v="40"/>
    <n v="1.78"/>
    <n v="192"/>
    <n v="149"/>
    <n v="57"/>
    <n v="0.93"/>
    <n v="1075"/>
    <x v="0"/>
    <x v="2"/>
    <n v="25.5"/>
    <n v="1.9"/>
    <n v="4"/>
    <x v="1"/>
    <x v="2"/>
    <n v="22.57"/>
  </r>
  <r>
    <n v="50"/>
    <x v="2"/>
    <x v="1"/>
    <n v="40"/>
    <n v="1.92"/>
    <n v="168"/>
    <n v="144"/>
    <n v="55"/>
    <n v="1.48"/>
    <n v="692"/>
    <x v="1"/>
    <x v="3"/>
    <n v="16"/>
    <n v="2.5"/>
    <n v="5"/>
    <x v="1"/>
    <x v="0"/>
    <n v="18.29"/>
  </r>
  <r>
    <n v="52"/>
    <x v="2"/>
    <x v="0"/>
    <n v="81.7"/>
    <n v="1.59"/>
    <n v="164"/>
    <n v="136"/>
    <n v="67"/>
    <n v="1.91"/>
    <n v="1025"/>
    <x v="2"/>
    <x v="1"/>
    <n v="28.2"/>
    <n v="3.4"/>
    <n v="2"/>
    <x v="0"/>
    <x v="2"/>
    <n v="19.89"/>
  </r>
  <r>
    <n v="41"/>
    <x v="3"/>
    <x v="1"/>
    <n v="65.900000000000006"/>
    <n v="1.93"/>
    <n v="188"/>
    <n v="124"/>
    <n v="74"/>
    <n v="1.36"/>
    <n v="1419"/>
    <x v="3"/>
    <x v="1"/>
    <n v="22.6"/>
    <n v="1.5"/>
    <n v="2"/>
    <x v="0"/>
    <x v="0"/>
    <n v="17.600000000000001"/>
  </r>
  <r>
    <n v="22"/>
    <x v="1"/>
    <x v="1"/>
    <n v="55"/>
    <n v="1.88"/>
    <n v="176"/>
    <n v="131"/>
    <n v="74"/>
    <n v="2"/>
    <n v="1445"/>
    <x v="3"/>
    <x v="3"/>
    <n v="16.3"/>
    <n v="1.9"/>
    <m/>
    <x v="1"/>
    <x v="4"/>
    <n v="26.04"/>
  </r>
  <r>
    <n v="19"/>
    <x v="1"/>
    <x v="2"/>
    <n v="92.2"/>
    <n v="1.73"/>
    <n v="170"/>
    <n v="150"/>
    <n v="74"/>
    <n v="2"/>
    <n v="538"/>
    <x v="1"/>
    <x v="0"/>
    <n v="10"/>
    <n v="2.2000000000000002"/>
    <n v="2"/>
    <x v="1"/>
    <x v="0"/>
    <n v="15.3"/>
  </r>
  <r>
    <n v="31"/>
    <x v="0"/>
    <x v="0"/>
    <n v="67.900000000000006"/>
    <n v="1.7"/>
    <n v="163"/>
    <n v="124"/>
    <n v="68"/>
    <n v="1.43"/>
    <n v="1338"/>
    <x v="1"/>
    <x v="0"/>
    <n v="13"/>
    <n v="3.1"/>
    <n v="5"/>
    <x v="1"/>
    <x v="0"/>
    <n v="13.87"/>
  </r>
  <r>
    <n v="32"/>
    <x v="0"/>
    <x v="0"/>
    <n v="86"/>
    <n v="1.6"/>
    <n v="164"/>
    <n v="144"/>
    <n v="65"/>
    <n v="1.0900000000000001"/>
    <n v="1196"/>
    <x v="2"/>
    <x v="0"/>
    <n v="17.399999999999999"/>
    <n v="1.5"/>
    <n v="2"/>
    <x v="1"/>
    <x v="2"/>
    <n v="20.18"/>
  </r>
  <r>
    <n v="29"/>
    <x v="0"/>
    <x v="0"/>
    <n v="60.6"/>
    <n v="1.83"/>
    <n v="172"/>
    <n v="161"/>
    <n v="60"/>
    <n v="1.32"/>
    <n v="760"/>
    <x v="0"/>
    <x v="1"/>
    <n v="25"/>
    <n v="3.3"/>
    <n v="5"/>
    <x v="0"/>
    <x v="0"/>
    <n v="18.03"/>
  </r>
  <r>
    <n v="34"/>
    <x v="0"/>
    <x v="1"/>
    <n v="47.8"/>
    <n v="1.69"/>
    <n v="182"/>
    <n v="153"/>
    <n v="68"/>
    <n v="1.63"/>
    <n v="1249"/>
    <x v="3"/>
    <x v="1"/>
    <n v="20.2"/>
    <n v="1.5"/>
    <n v="4"/>
    <x v="2"/>
    <x v="0"/>
    <n v="12.32"/>
  </r>
  <r>
    <n v="19"/>
    <x v="1"/>
    <x v="1"/>
    <n v="79.400000000000006"/>
    <n v="1.77"/>
    <n v="165"/>
    <n v="150"/>
    <n v="73"/>
    <n v="1.23"/>
    <n v="1148"/>
    <x v="1"/>
    <x v="1"/>
    <n v="24.1"/>
    <n v="3.3"/>
    <n v="3"/>
    <x v="0"/>
    <x v="2"/>
    <n v="22.64"/>
  </r>
  <r>
    <n v="33"/>
    <x v="0"/>
    <x v="0"/>
    <n v="62.4"/>
    <n v="1.72"/>
    <n v="168"/>
    <n v="164"/>
    <n v="74"/>
    <n v="0.91"/>
    <n v="1042"/>
    <x v="3"/>
    <x v="1"/>
    <n v="27.1"/>
    <n v="3.4"/>
    <n v="5"/>
    <x v="0"/>
    <x v="4"/>
    <n v="29.29"/>
  </r>
  <r>
    <n v="47"/>
    <x v="2"/>
    <x v="1"/>
    <n v="71.3"/>
    <n v="1.83"/>
    <n v="186"/>
    <n v="163"/>
    <n v="68"/>
    <n v="0.95"/>
    <n v="837"/>
    <x v="0"/>
    <x v="1"/>
    <n v="22.6"/>
    <n v="1.5"/>
    <n v="5"/>
    <x v="0"/>
    <x v="2"/>
    <n v="18.61"/>
  </r>
  <r>
    <n v="37"/>
    <x v="3"/>
    <x v="1"/>
    <n v="116.2"/>
    <n v="1.65"/>
    <n v="194"/>
    <n v="160"/>
    <n v="74"/>
    <n v="1.98"/>
    <n v="1036"/>
    <x v="3"/>
    <x v="1"/>
    <n v="22.1"/>
    <n v="2.4"/>
    <n v="4"/>
    <x v="1"/>
    <x v="2"/>
    <n v="23.58"/>
  </r>
  <r>
    <n v="50"/>
    <x v="2"/>
    <x v="1"/>
    <n v="55.8"/>
    <n v="1.81"/>
    <n v="161"/>
    <n v="126"/>
    <n v="55"/>
    <n v="1.32"/>
    <n v="909"/>
    <x v="3"/>
    <x v="1"/>
    <n v="23.6"/>
    <n v="2.9"/>
    <n v="4"/>
    <x v="0"/>
    <x v="0"/>
    <n v="12.32"/>
  </r>
  <r>
    <n v="49"/>
    <x v="2"/>
    <x v="1"/>
    <n v="53.5"/>
    <n v="1.79"/>
    <n v="167"/>
    <n v="158"/>
    <n v="64"/>
    <n v="1.31"/>
    <n v="1268"/>
    <x v="3"/>
    <x v="0"/>
    <m/>
    <n v="1.9"/>
    <n v="2"/>
    <x v="1"/>
    <x v="4"/>
    <n v="27.68"/>
  </r>
  <r>
    <n v="53"/>
    <x v="2"/>
    <x v="0"/>
    <n v="55.9"/>
    <n v="1.78"/>
    <n v="182"/>
    <n v="125"/>
    <n v="58"/>
    <n v="1.45"/>
    <n v="1308"/>
    <x v="3"/>
    <x v="3"/>
    <n v="21.1"/>
    <n v="1.5"/>
    <n v="3"/>
    <x v="0"/>
    <x v="0"/>
    <n v="12.32"/>
  </r>
  <r>
    <n v="29"/>
    <x v="0"/>
    <x v="0"/>
    <n v="80.7"/>
    <n v="1.74"/>
    <n v="192"/>
    <n v="121"/>
    <n v="72"/>
    <n v="1.43"/>
    <n v="839"/>
    <x v="0"/>
    <x v="1"/>
    <n v="26.5"/>
    <n v="1.5"/>
    <n v="4"/>
    <x v="1"/>
    <x v="0"/>
    <n v="12.32"/>
  </r>
  <r>
    <n v="46"/>
    <x v="2"/>
    <x v="1"/>
    <n v="69"/>
    <n v="1.88"/>
    <n v="177"/>
    <n v="120"/>
    <n v="74"/>
    <n v="1.63"/>
    <n v="1183"/>
    <x v="0"/>
    <x v="1"/>
    <n v="23.4"/>
    <n v="3.6"/>
    <n v="4"/>
    <x v="0"/>
    <x v="0"/>
    <n v="14.54"/>
  </r>
  <r>
    <n v="34"/>
    <x v="0"/>
    <x v="1"/>
    <n v="60.5"/>
    <n v="1.8"/>
    <n v="171"/>
    <n v="120"/>
    <n v="68"/>
    <n v="1.57"/>
    <n v="1452"/>
    <x v="1"/>
    <x v="2"/>
    <n v="27.1"/>
    <n v="3.2"/>
    <n v="3"/>
    <x v="1"/>
    <x v="0"/>
    <n v="12.32"/>
  </r>
  <r>
    <n v="44"/>
    <x v="3"/>
    <x v="2"/>
    <n v="71.599999999999994"/>
    <n v="1.73"/>
    <n v="167"/>
    <n v="138"/>
    <n v="71"/>
    <n v="1.45"/>
    <n v="1000"/>
    <x v="0"/>
    <x v="3"/>
    <n v="23.6"/>
    <n v="2.6"/>
    <n v="2"/>
    <x v="2"/>
    <x v="2"/>
    <n v="21.12"/>
  </r>
  <r>
    <n v="51"/>
    <x v="2"/>
    <x v="0"/>
    <n v="96.3"/>
    <n v="1.88"/>
    <n v="166"/>
    <n v="127"/>
    <n v="59"/>
    <n v="1.32"/>
    <n v="1362"/>
    <x v="0"/>
    <x v="1"/>
    <n v="28.1"/>
    <n v="1.9"/>
    <n v="2"/>
    <x v="0"/>
    <x v="0"/>
    <n v="16.309999999999999"/>
  </r>
  <r>
    <n v="47"/>
    <x v="2"/>
    <x v="1"/>
    <n v="48.4"/>
    <n v="1.65"/>
    <n v="196"/>
    <n v="148"/>
    <n v="60"/>
    <n v="1.29"/>
    <n v="1357"/>
    <x v="1"/>
    <x v="0"/>
    <n v="11.3"/>
    <n v="1.5"/>
    <n v="3"/>
    <x v="0"/>
    <x v="0"/>
    <n v="12.51"/>
  </r>
  <r>
    <n v="52"/>
    <x v="2"/>
    <x v="1"/>
    <n v="77.8"/>
    <n v="1.59"/>
    <n v="183"/>
    <n v="135"/>
    <n v="50"/>
    <n v="1.37"/>
    <n v="949"/>
    <x v="1"/>
    <x v="2"/>
    <n v="27.3"/>
    <n v="2.9"/>
    <n v="4"/>
    <x v="0"/>
    <x v="2"/>
    <n v="23.73"/>
  </r>
  <r>
    <n v="25"/>
    <x v="0"/>
    <x v="1"/>
    <n v="85.5"/>
    <n v="1.8"/>
    <n v="168"/>
    <n v="156"/>
    <n v="69"/>
    <n v="1.39"/>
    <n v="644"/>
    <x v="0"/>
    <x v="3"/>
    <n v="15.7"/>
    <n v="3.3"/>
    <n v="2"/>
    <x v="1"/>
    <x v="0"/>
    <n v="12.32"/>
  </r>
  <r>
    <n v="28"/>
    <x v="0"/>
    <x v="2"/>
    <n v="74.900000000000006"/>
    <n v="1.74"/>
    <n v="196"/>
    <n v="163"/>
    <n v="54"/>
    <n v="1.24"/>
    <n v="1144"/>
    <x v="1"/>
    <x v="1"/>
    <n v="30.7"/>
    <n v="1.6"/>
    <n v="2"/>
    <x v="1"/>
    <x v="4"/>
    <n v="25.53"/>
  </r>
  <r>
    <n v="30"/>
    <x v="0"/>
    <x v="1"/>
    <n v="67.400000000000006"/>
    <n v="1.79"/>
    <n v="185"/>
    <n v="169"/>
    <n v="59"/>
    <n v="1.27"/>
    <n v="1398"/>
    <x v="1"/>
    <x v="1"/>
    <n v="18.899999999999999"/>
    <n v="3.4"/>
    <n v="5"/>
    <x v="2"/>
    <x v="4"/>
    <n v="25.14"/>
  </r>
  <r>
    <n v="36"/>
    <x v="3"/>
    <x v="1"/>
    <n v="71"/>
    <n v="1.66"/>
    <n v="168"/>
    <n v="131"/>
    <n v="74"/>
    <n v="1.1000000000000001"/>
    <n v="567"/>
    <x v="2"/>
    <x v="1"/>
    <n v="20.3"/>
    <n v="3.7"/>
    <n v="4"/>
    <x v="1"/>
    <x v="4"/>
    <n v="28.31"/>
  </r>
  <r>
    <n v="24"/>
    <x v="1"/>
    <x v="0"/>
    <n v="50.5"/>
    <n v="2"/>
    <n v="177"/>
    <n v="129"/>
    <n v="70"/>
    <n v="1.33"/>
    <n v="1213"/>
    <x v="0"/>
    <x v="1"/>
    <n v="26.6"/>
    <m/>
    <n v="2"/>
    <x v="0"/>
    <x v="0"/>
    <n v="16.2"/>
  </r>
  <r>
    <n v="55"/>
    <x v="4"/>
    <x v="1"/>
    <n v="94.8"/>
    <n v="2"/>
    <n v="192"/>
    <n v="169"/>
    <n v="50"/>
    <n v="1.38"/>
    <n v="1458"/>
    <x v="0"/>
    <x v="1"/>
    <n v="23.2"/>
    <n v="2.2999999999999998"/>
    <n v="3"/>
    <x v="2"/>
    <x v="0"/>
    <m/>
  </r>
  <r>
    <n v="18"/>
    <x v="1"/>
    <x v="0"/>
    <n v="73.599999999999994"/>
    <n v="1.79"/>
    <n v="195"/>
    <n v="146"/>
    <n v="73"/>
    <n v="1.1299999999999999"/>
    <n v="636"/>
    <x v="2"/>
    <x v="0"/>
    <n v="14.1"/>
    <n v="2.7"/>
    <n v="2"/>
    <x v="1"/>
    <x v="0"/>
    <n v="12.32"/>
  </r>
  <r>
    <n v="21"/>
    <x v="1"/>
    <x v="1"/>
    <n v="47.8"/>
    <n v="1.62"/>
    <n v="173"/>
    <n v="129"/>
    <n v="74"/>
    <n v="1.59"/>
    <n v="1638"/>
    <x v="2"/>
    <x v="2"/>
    <n v="25.8"/>
    <n v="2.4"/>
    <n v="3"/>
    <x v="0"/>
    <x v="0"/>
    <n v="12.32"/>
  </r>
  <r>
    <n v="41"/>
    <x v="3"/>
    <x v="1"/>
    <n v="40"/>
    <n v="1.74"/>
    <n v="166"/>
    <n v="154"/>
    <n v="71"/>
    <n v="1.1299999999999999"/>
    <n v="1356"/>
    <x v="2"/>
    <x v="1"/>
    <n v="20.100000000000001"/>
    <n v="2.8"/>
    <n v="3"/>
    <x v="2"/>
    <x v="0"/>
    <n v="15.67"/>
  </r>
  <r>
    <n v="51"/>
    <x v="2"/>
    <x v="1"/>
    <n v="43.9"/>
    <n v="1.78"/>
    <n v="194"/>
    <n v="136"/>
    <n v="51"/>
    <n v="0.98"/>
    <n v="1293"/>
    <x v="0"/>
    <x v="2"/>
    <n v="27"/>
    <n v="1.5"/>
    <n v="2"/>
    <x v="1"/>
    <x v="0"/>
    <n v="15.75"/>
  </r>
  <r>
    <n v="47"/>
    <x v="2"/>
    <x v="1"/>
    <n v="59.6"/>
    <n v="1.88"/>
    <n v="192"/>
    <n v="125"/>
    <n v="50"/>
    <n v="1.32"/>
    <n v="1108"/>
    <x v="3"/>
    <x v="2"/>
    <n v="30.6"/>
    <n v="2.2999999999999998"/>
    <n v="3"/>
    <x v="0"/>
    <x v="0"/>
    <n v="12.32"/>
  </r>
  <r>
    <n v="22"/>
    <x v="1"/>
    <x v="0"/>
    <n v="56.1"/>
    <n v="1.91"/>
    <n v="167"/>
    <n v="122"/>
    <n v="70"/>
    <n v="1.4"/>
    <n v="1183"/>
    <x v="1"/>
    <x v="1"/>
    <n v="24.9"/>
    <n v="2.7"/>
    <n v="2"/>
    <x v="1"/>
    <x v="0"/>
    <n v="12.32"/>
  </r>
  <r>
    <n v="18"/>
    <x v="1"/>
    <x v="1"/>
    <n v="56.5"/>
    <n v="1.93"/>
    <n v="177"/>
    <n v="156"/>
    <n v="52"/>
    <n v="1.53"/>
    <n v="1419"/>
    <x v="0"/>
    <x v="1"/>
    <n v="22.3"/>
    <n v="3.5"/>
    <n v="4"/>
    <x v="0"/>
    <x v="0"/>
    <n v="16.43"/>
  </r>
  <r>
    <n v="39"/>
    <x v="3"/>
    <x v="1"/>
    <n v="83.7"/>
    <n v="1.52"/>
    <n v="187"/>
    <n v="152"/>
    <n v="58"/>
    <n v="1.65"/>
    <n v="1647"/>
    <x v="0"/>
    <x v="2"/>
    <n v="29.3"/>
    <n v="3.2"/>
    <m/>
    <x v="3"/>
    <x v="0"/>
    <n v="15.84"/>
  </r>
  <r>
    <n v="34"/>
    <x v="0"/>
    <x v="0"/>
    <n v="79.099999999999994"/>
    <n v="1.73"/>
    <n v="188"/>
    <n v="151"/>
    <n v="58"/>
    <n v="1.32"/>
    <n v="1191"/>
    <x v="3"/>
    <x v="1"/>
    <n v="30.7"/>
    <n v="3.6"/>
    <m/>
    <x v="0"/>
    <x v="0"/>
    <n v="18.309999999999999"/>
  </r>
  <r>
    <n v="46"/>
    <x v="2"/>
    <x v="0"/>
    <n v="56.7"/>
    <n v="1.97"/>
    <n v="199"/>
    <n v="160"/>
    <n v="56"/>
    <n v="1.3"/>
    <n v="1215"/>
    <x v="2"/>
    <x v="1"/>
    <n v="26.4"/>
    <n v="2.4"/>
    <n v="3"/>
    <x v="1"/>
    <x v="0"/>
    <n v="16.02"/>
  </r>
  <r>
    <n v="22"/>
    <x v="1"/>
    <x v="0"/>
    <n v="48.9"/>
    <n v="1.84"/>
    <n v="185"/>
    <n v="164"/>
    <n v="73"/>
    <n v="1.1299999999999999"/>
    <m/>
    <x v="3"/>
    <x v="1"/>
    <n v="27"/>
    <n v="1.5"/>
    <n v="3"/>
    <x v="2"/>
    <x v="2"/>
    <n v="22.64"/>
  </r>
  <r>
    <n v="43"/>
    <x v="3"/>
    <x v="0"/>
    <n v="47.1"/>
    <n v="1.81"/>
    <n v="166"/>
    <n v="149"/>
    <n v="69"/>
    <n v="0.76"/>
    <n v="998"/>
    <x v="2"/>
    <x v="3"/>
    <n v="22.2"/>
    <n v="3"/>
    <n v="4"/>
    <x v="1"/>
    <x v="4"/>
    <n v="29.69"/>
  </r>
  <r>
    <n v="51"/>
    <x v="2"/>
    <x v="1"/>
    <n v="65.099999999999994"/>
    <n v="1.85"/>
    <n v="185"/>
    <n v="130"/>
    <n v="60"/>
    <n v="2"/>
    <n v="717"/>
    <x v="1"/>
    <x v="1"/>
    <n v="22.2"/>
    <n v="1.9"/>
    <n v="2"/>
    <x v="0"/>
    <x v="0"/>
    <n v="15.62"/>
  </r>
  <r>
    <n v="55"/>
    <x v="4"/>
    <x v="0"/>
    <n v="60.6"/>
    <n v="1.68"/>
    <n v="185"/>
    <n v="124"/>
    <n v="70"/>
    <n v="1.35"/>
    <n v="1447"/>
    <x v="2"/>
    <x v="1"/>
    <n v="24"/>
    <n v="2"/>
    <n v="4"/>
    <x v="1"/>
    <x v="2"/>
    <n v="18.66"/>
  </r>
  <r>
    <n v="42"/>
    <x v="3"/>
    <x v="0"/>
    <n v="101"/>
    <n v="1.56"/>
    <n v="186"/>
    <n v="168"/>
    <n v="56"/>
    <n v="1.19"/>
    <n v="650"/>
    <x v="2"/>
    <x v="1"/>
    <n v="27.6"/>
    <n v="3.6"/>
    <n v="4"/>
    <x v="1"/>
    <x v="2"/>
    <n v="24.46"/>
  </r>
  <r>
    <n v="31"/>
    <x v="0"/>
    <x v="0"/>
    <n v="66.400000000000006"/>
    <n v="1.76"/>
    <n v="175"/>
    <n v="140"/>
    <n v="69"/>
    <n v="1.55"/>
    <n v="640"/>
    <x v="0"/>
    <x v="1"/>
    <n v="24.7"/>
    <n v="3.5"/>
    <n v="4"/>
    <x v="0"/>
    <x v="4"/>
    <n v="29.07"/>
  </r>
  <r>
    <n v="49"/>
    <x v="2"/>
    <x v="1"/>
    <n v="97.1"/>
    <n v="2"/>
    <n v="174"/>
    <n v="153"/>
    <n v="74"/>
    <n v="1.26"/>
    <n v="763"/>
    <x v="0"/>
    <x v="0"/>
    <n v="10"/>
    <n v="2.6"/>
    <n v="2"/>
    <x v="0"/>
    <x v="2"/>
    <n v="23.64"/>
  </r>
  <r>
    <n v="29"/>
    <x v="0"/>
    <x v="1"/>
    <n v="73.7"/>
    <n v="1.88"/>
    <n v="192"/>
    <n v="141"/>
    <n v="59"/>
    <n v="1.68"/>
    <n v="769"/>
    <x v="1"/>
    <x v="0"/>
    <m/>
    <n v="3.2"/>
    <n v="3"/>
    <x v="2"/>
    <x v="2"/>
    <n v="24.55"/>
  </r>
  <r>
    <n v="44"/>
    <x v="3"/>
    <x v="1"/>
    <n v="86.1"/>
    <n v="1.73"/>
    <n v="178"/>
    <n v="140"/>
    <n v="51"/>
    <n v="1.1200000000000001"/>
    <n v="1244"/>
    <x v="0"/>
    <x v="1"/>
    <n v="22.7"/>
    <n v="3.4"/>
    <n v="3"/>
    <x v="2"/>
    <x v="2"/>
    <n v="19.23"/>
  </r>
  <r>
    <n v="37"/>
    <x v="3"/>
    <x v="0"/>
    <n v="58.7"/>
    <n v="1.78"/>
    <n v="195"/>
    <n v="154"/>
    <n v="59"/>
    <n v="1.34"/>
    <n v="1015"/>
    <x v="1"/>
    <x v="1"/>
    <n v="29.5"/>
    <n v="2.8"/>
    <n v="2"/>
    <x v="2"/>
    <x v="2"/>
    <n v="18.670000000000002"/>
  </r>
  <r>
    <n v="37"/>
    <x v="3"/>
    <x v="0"/>
    <n v="69.099999999999994"/>
    <n v="1.74"/>
    <n v="175"/>
    <n v="127"/>
    <n v="53"/>
    <n v="1.61"/>
    <n v="1411"/>
    <x v="0"/>
    <x v="2"/>
    <n v="31.9"/>
    <n v="3.6"/>
    <n v="2"/>
    <x v="0"/>
    <x v="0"/>
    <n v="18.07"/>
  </r>
  <r>
    <n v="46"/>
    <x v="2"/>
    <x v="0"/>
    <n v="73"/>
    <n v="1.73"/>
    <n v="164"/>
    <n v="150"/>
    <n v="54"/>
    <n v="1.87"/>
    <n v="1037"/>
    <x v="1"/>
    <x v="1"/>
    <n v="25.1"/>
    <n v="3.4"/>
    <n v="2"/>
    <x v="3"/>
    <x v="0"/>
    <n v="15.27"/>
  </r>
  <r>
    <n v="53"/>
    <x v="2"/>
    <x v="1"/>
    <n v="67.3"/>
    <n v="1.5"/>
    <n v="199"/>
    <n v="151"/>
    <n v="60"/>
    <n v="1.04"/>
    <n v="593"/>
    <x v="2"/>
    <x v="3"/>
    <n v="15.8"/>
    <n v="3.4"/>
    <n v="4"/>
    <x v="0"/>
    <x v="0"/>
    <n v="12.32"/>
  </r>
  <r>
    <n v="47"/>
    <x v="2"/>
    <x v="0"/>
    <n v="59.2"/>
    <n v="1.67"/>
    <n v="182"/>
    <n v="169"/>
    <n v="57"/>
    <n v="1.06"/>
    <n v="1252"/>
    <x v="2"/>
    <x v="2"/>
    <n v="31.5"/>
    <n v="2.2000000000000002"/>
    <n v="3"/>
    <x v="0"/>
    <x v="2"/>
    <n v="23.65"/>
  </r>
  <r>
    <n v="46"/>
    <x v="2"/>
    <x v="0"/>
    <n v="119.6"/>
    <n v="1.71"/>
    <n v="176"/>
    <n v="129"/>
    <n v="53"/>
    <n v="1.26"/>
    <n v="1144"/>
    <x v="2"/>
    <x v="3"/>
    <n v="23.9"/>
    <n v="1.7"/>
    <n v="4"/>
    <x v="0"/>
    <x v="0"/>
    <n v="12.32"/>
  </r>
  <r>
    <n v="53"/>
    <x v="2"/>
    <x v="1"/>
    <n v="80.099999999999994"/>
    <n v="1.69"/>
    <n v="188"/>
    <n v="167"/>
    <n v="74"/>
    <n v="2"/>
    <n v="1196"/>
    <x v="0"/>
    <x v="3"/>
    <n v="13"/>
    <n v="2.2999999999999998"/>
    <n v="3"/>
    <x v="1"/>
    <x v="0"/>
    <n v="14.85"/>
  </r>
  <r>
    <n v="42"/>
    <x v="3"/>
    <x v="1"/>
    <n v="59.1"/>
    <n v="1.65"/>
    <n v="183"/>
    <n v="138"/>
    <n v="71"/>
    <n v="2"/>
    <n v="957"/>
    <x v="0"/>
    <x v="1"/>
    <n v="21.2"/>
    <n v="2"/>
    <n v="2"/>
    <x v="0"/>
    <x v="1"/>
    <n v="35.06"/>
  </r>
  <r>
    <n v="48"/>
    <x v="2"/>
    <x v="2"/>
    <n v="88.8"/>
    <n v="1.91"/>
    <n v="183"/>
    <n v="156"/>
    <n v="67"/>
    <n v="0.87"/>
    <n v="853"/>
    <x v="1"/>
    <x v="2"/>
    <n v="32.5"/>
    <n v="3.3"/>
    <n v="3"/>
    <x v="0"/>
    <x v="2"/>
    <n v="19.12"/>
  </r>
  <r>
    <n v="36"/>
    <x v="3"/>
    <x v="1"/>
    <n v="53.4"/>
    <n v="1.75"/>
    <n v="177"/>
    <n v="120"/>
    <n v="70"/>
    <n v="0.68"/>
    <n v="1257"/>
    <x v="3"/>
    <x v="2"/>
    <n v="26.7"/>
    <n v="2.7"/>
    <n v="5"/>
    <x v="0"/>
    <x v="1"/>
    <n v="35.28"/>
  </r>
  <r>
    <n v="18"/>
    <x v="1"/>
    <x v="1"/>
    <n v="98.9"/>
    <n v="1.58"/>
    <n v="181"/>
    <n v="126"/>
    <n v="68"/>
    <n v="1.48"/>
    <n v="1330"/>
    <x v="1"/>
    <x v="2"/>
    <n v="27.5"/>
    <n v="3.1"/>
    <n v="3"/>
    <x v="0"/>
    <x v="0"/>
    <n v="12.32"/>
  </r>
  <r>
    <n v="41"/>
    <x v="3"/>
    <x v="0"/>
    <n v="112.2"/>
    <n v="1.81"/>
    <n v="188"/>
    <n v="159"/>
    <n v="53"/>
    <n v="1.1599999999999999"/>
    <n v="995"/>
    <x v="3"/>
    <x v="1"/>
    <n v="30.3"/>
    <n v="3.3"/>
    <n v="3"/>
    <x v="0"/>
    <x v="0"/>
    <n v="18.28"/>
  </r>
  <r>
    <n v="30"/>
    <x v="0"/>
    <x v="1"/>
    <n v="101.6"/>
    <n v="1.73"/>
    <n v="190"/>
    <n v="133"/>
    <n v="56"/>
    <n v="1.38"/>
    <n v="1047"/>
    <x v="1"/>
    <x v="1"/>
    <n v="22.1"/>
    <n v="3.2"/>
    <n v="3"/>
    <x v="2"/>
    <x v="3"/>
    <n v="40.75"/>
  </r>
  <r>
    <n v="19"/>
    <x v="1"/>
    <x v="0"/>
    <n v="74.7"/>
    <n v="1.85"/>
    <n v="194"/>
    <n v="127"/>
    <n v="74"/>
    <n v="0.65"/>
    <n v="1105"/>
    <x v="1"/>
    <x v="0"/>
    <n v="19.399999999999999"/>
    <n v="3.6"/>
    <n v="2"/>
    <x v="0"/>
    <x v="0"/>
    <n v="16.46"/>
  </r>
  <r>
    <n v="22"/>
    <x v="1"/>
    <x v="1"/>
    <n v="68.400000000000006"/>
    <n v="1.86"/>
    <n v="175"/>
    <n v="129"/>
    <n v="66"/>
    <n v="1.99"/>
    <n v="895"/>
    <x v="1"/>
    <x v="1"/>
    <n v="20"/>
    <n v="3.6"/>
    <n v="5"/>
    <x v="1"/>
    <x v="0"/>
    <n v="16.16"/>
  </r>
  <r>
    <n v="22"/>
    <x v="1"/>
    <x v="0"/>
    <n v="86.2"/>
    <n v="1.93"/>
    <n v="167"/>
    <n v="145"/>
    <n v="62"/>
    <n v="1.74"/>
    <n v="640"/>
    <x v="0"/>
    <x v="0"/>
    <n v="18.600000000000001"/>
    <n v="3.3"/>
    <n v="3"/>
    <x v="1"/>
    <x v="4"/>
    <n v="29.48"/>
  </r>
  <r>
    <n v="51"/>
    <x v="2"/>
    <x v="1"/>
    <n v="98.9"/>
    <n v="1.85"/>
    <n v="181"/>
    <n v="138"/>
    <n v="70"/>
    <n v="1.49"/>
    <n v="859"/>
    <x v="1"/>
    <x v="2"/>
    <n v="25"/>
    <n v="1.5"/>
    <n v="2"/>
    <x v="0"/>
    <x v="4"/>
    <n v="25.3"/>
  </r>
  <r>
    <n v="27"/>
    <x v="0"/>
    <x v="0"/>
    <n v="50.6"/>
    <n v="2"/>
    <n v="174"/>
    <n v="129"/>
    <n v="68"/>
    <n v="1.34"/>
    <n v="1179"/>
    <x v="2"/>
    <x v="2"/>
    <n v="31"/>
    <n v="2"/>
    <n v="5"/>
    <x v="0"/>
    <x v="2"/>
    <n v="24.12"/>
  </r>
  <r>
    <n v="56"/>
    <x v="4"/>
    <x v="0"/>
    <n v="68.099999999999994"/>
    <n v="2"/>
    <n v="168"/>
    <n v="160"/>
    <n v="74"/>
    <n v="1.39"/>
    <n v="1350"/>
    <x v="3"/>
    <x v="3"/>
    <n v="23.8"/>
    <n v="3.3"/>
    <n v="5"/>
    <x v="0"/>
    <x v="0"/>
    <n v="17.05"/>
  </r>
  <r>
    <n v="22"/>
    <x v="1"/>
    <x v="0"/>
    <n v="53"/>
    <n v="1.83"/>
    <n v="199"/>
    <n v="129"/>
    <n v="74"/>
    <n v="0.88"/>
    <n v="540"/>
    <x v="0"/>
    <x v="0"/>
    <n v="11.9"/>
    <n v="3.1"/>
    <n v="4"/>
    <x v="0"/>
    <x v="0"/>
    <n v="15.29"/>
  </r>
  <r>
    <n v="28"/>
    <x v="0"/>
    <x v="1"/>
    <n v="59.2"/>
    <n v="1.68"/>
    <n v="187"/>
    <n v="127"/>
    <n v="54"/>
    <n v="1.53"/>
    <n v="466"/>
    <x v="0"/>
    <x v="2"/>
    <n v="27.3"/>
    <n v="2.9"/>
    <n v="2"/>
    <x v="2"/>
    <x v="0"/>
    <n v="12.32"/>
  </r>
  <r>
    <n v="35"/>
    <x v="3"/>
    <x v="1"/>
    <n v="40"/>
    <n v="2"/>
    <n v="169"/>
    <n v="138"/>
    <n v="72"/>
    <n v="1.08"/>
    <n v="576"/>
    <x v="0"/>
    <x v="2"/>
    <n v="31.2"/>
    <n v="2.9"/>
    <n v="2"/>
    <x v="2"/>
    <x v="2"/>
    <n v="20.21"/>
  </r>
  <r>
    <n v="48"/>
    <x v="2"/>
    <x v="1"/>
    <n v="90.4"/>
    <n v="2"/>
    <n v="193"/>
    <n v="156"/>
    <n v="59"/>
    <n v="1.78"/>
    <n v="1246"/>
    <x v="1"/>
    <x v="1"/>
    <n v="24.4"/>
    <n v="2.2999999999999998"/>
    <n v="3"/>
    <x v="0"/>
    <x v="0"/>
    <n v="13.35"/>
  </r>
  <r>
    <n v="25"/>
    <x v="0"/>
    <x v="0"/>
    <n v="74.599999999999994"/>
    <n v="1.63"/>
    <n v="182"/>
    <n v="160"/>
    <n v="60"/>
    <n v="0.93"/>
    <n v="1028"/>
    <x v="2"/>
    <x v="0"/>
    <n v="14.8"/>
    <n v="3.5"/>
    <n v="3"/>
    <x v="0"/>
    <x v="0"/>
    <n v="18.079999999999998"/>
  </r>
  <r>
    <n v="24"/>
    <x v="1"/>
    <x v="1"/>
    <n v="92.2"/>
    <n v="1.71"/>
    <n v="194"/>
    <n v="141"/>
    <n v="59"/>
    <n v="2"/>
    <n v="1580"/>
    <x v="2"/>
    <x v="2"/>
    <n v="32.9"/>
    <n v="2.4"/>
    <n v="4"/>
    <x v="0"/>
    <x v="0"/>
    <m/>
  </r>
  <r>
    <n v="35"/>
    <x v="3"/>
    <x v="0"/>
    <n v="56.2"/>
    <n v="1.74"/>
    <n v="170"/>
    <n v="151"/>
    <n v="66"/>
    <n v="0.99"/>
    <n v="1215"/>
    <x v="0"/>
    <x v="1"/>
    <n v="26.9"/>
    <n v="2.9"/>
    <n v="4"/>
    <x v="0"/>
    <x v="2"/>
    <n v="20.61"/>
  </r>
  <r>
    <n v="18"/>
    <x v="1"/>
    <x v="1"/>
    <n v="63"/>
    <n v="1.66"/>
    <n v="191"/>
    <n v="168"/>
    <n v="74"/>
    <n v="0.89"/>
    <n v="456"/>
    <x v="0"/>
    <x v="1"/>
    <n v="24.5"/>
    <n v="2.7"/>
    <n v="3"/>
    <x v="0"/>
    <x v="0"/>
    <n v="14.75"/>
  </r>
  <r>
    <n v="50"/>
    <x v="2"/>
    <x v="0"/>
    <n v="76.099999999999994"/>
    <n v="1.82"/>
    <n v="191"/>
    <n v="146"/>
    <n v="54"/>
    <n v="1.1200000000000001"/>
    <n v="817"/>
    <x v="1"/>
    <x v="1"/>
    <n v="25"/>
    <n v="3.2"/>
    <n v="2"/>
    <x v="1"/>
    <x v="0"/>
    <n v="14.5"/>
  </r>
  <r>
    <n v="52"/>
    <x v="2"/>
    <x v="1"/>
    <n v="66.599999999999994"/>
    <n v="1.56"/>
    <n v="175"/>
    <n v="152"/>
    <n v="60"/>
    <n v="1.04"/>
    <n v="1783"/>
    <x v="3"/>
    <x v="3"/>
    <n v="15.4"/>
    <n v="2.7"/>
    <n v="4"/>
    <x v="0"/>
    <x v="3"/>
    <n v="40"/>
  </r>
  <r>
    <n v="32"/>
    <x v="0"/>
    <x v="0"/>
    <n v="45.9"/>
    <n v="1.83"/>
    <n v="192"/>
    <n v="120"/>
    <n v="55"/>
    <n v="1.49"/>
    <n v="808"/>
    <x v="3"/>
    <x v="3"/>
    <n v="22.4"/>
    <n v="1.5"/>
    <n v="3"/>
    <x v="1"/>
    <x v="0"/>
    <n v="17.82"/>
  </r>
  <r>
    <n v="31"/>
    <x v="0"/>
    <x v="0"/>
    <n v="86.4"/>
    <n v="1.59"/>
    <n v="187"/>
    <n v="169"/>
    <n v="50"/>
    <n v="2"/>
    <n v="1336"/>
    <x v="3"/>
    <x v="1"/>
    <n v="27.6"/>
    <n v="1.6"/>
    <n v="4"/>
    <x v="1"/>
    <x v="0"/>
    <n v="14.57"/>
  </r>
  <r>
    <n v="30"/>
    <x v="0"/>
    <x v="0"/>
    <n v="54.9"/>
    <n v="1.93"/>
    <n v="187"/>
    <n v="165"/>
    <n v="70"/>
    <n v="0.94"/>
    <n v="836"/>
    <x v="1"/>
    <x v="1"/>
    <n v="26.7"/>
    <n v="3.7"/>
    <n v="4"/>
    <x v="0"/>
    <x v="0"/>
    <n v="13.37"/>
  </r>
  <r>
    <n v="21"/>
    <x v="1"/>
    <x v="1"/>
    <n v="91.2"/>
    <n v="1.7"/>
    <n v="194"/>
    <n v="142"/>
    <n v="62"/>
    <n v="0.91"/>
    <n v="1090"/>
    <x v="0"/>
    <x v="2"/>
    <n v="33.299999999999997"/>
    <n v="3.7"/>
    <n v="3"/>
    <x v="0"/>
    <x v="0"/>
    <n v="17.63"/>
  </r>
  <r>
    <n v="46"/>
    <x v="2"/>
    <x v="1"/>
    <n v="54.2"/>
    <n v="1.91"/>
    <n v="171"/>
    <n v="169"/>
    <n v="67"/>
    <n v="0.9"/>
    <n v="771"/>
    <x v="2"/>
    <x v="3"/>
    <n v="14"/>
    <n v="2.6"/>
    <n v="3"/>
    <x v="2"/>
    <x v="4"/>
    <n v="26.79"/>
  </r>
  <r>
    <n v="22"/>
    <x v="1"/>
    <x v="0"/>
    <n v="60.8"/>
    <n v="1.77"/>
    <n v="169"/>
    <n v="130"/>
    <n v="74"/>
    <n v="1.1000000000000001"/>
    <n v="1298"/>
    <x v="1"/>
    <x v="1"/>
    <n v="25.4"/>
    <n v="3.3"/>
    <n v="2"/>
    <x v="2"/>
    <x v="0"/>
    <n v="13.58"/>
  </r>
  <r>
    <n v="30"/>
    <x v="0"/>
    <x v="1"/>
    <n v="46.8"/>
    <n v="1.67"/>
    <n v="164"/>
    <n v="153"/>
    <n v="74"/>
    <n v="1.53"/>
    <n v="684"/>
    <x v="1"/>
    <x v="3"/>
    <n v="15.2"/>
    <n v="2.2999999999999998"/>
    <n v="4"/>
    <x v="0"/>
    <x v="0"/>
    <n v="12.32"/>
  </r>
  <r>
    <n v="31"/>
    <x v="0"/>
    <x v="0"/>
    <n v="48.1"/>
    <n v="1.58"/>
    <n v="181"/>
    <n v="125"/>
    <n v="70"/>
    <n v="1.88"/>
    <n v="695"/>
    <x v="2"/>
    <x v="3"/>
    <n v="23.1"/>
    <n v="3.3"/>
    <n v="3"/>
    <x v="0"/>
    <x v="4"/>
    <n v="26.69"/>
  </r>
  <r>
    <n v="36"/>
    <x v="3"/>
    <x v="1"/>
    <n v="56.5"/>
    <n v="1.61"/>
    <n v="189"/>
    <n v="123"/>
    <n v="58"/>
    <n v="2"/>
    <n v="1093"/>
    <x v="3"/>
    <x v="2"/>
    <n v="32.6"/>
    <n v="3.5"/>
    <n v="3"/>
    <x v="2"/>
    <x v="4"/>
    <n v="25.74"/>
  </r>
  <r>
    <n v="55"/>
    <x v="4"/>
    <x v="0"/>
    <n v="78.400000000000006"/>
    <n v="1.59"/>
    <n v="171"/>
    <n v="132"/>
    <n v="74"/>
    <n v="2"/>
    <n v="1182"/>
    <x v="2"/>
    <x v="0"/>
    <n v="13.6"/>
    <n v="3.7"/>
    <n v="3"/>
    <x v="1"/>
    <x v="0"/>
    <n v="12.32"/>
  </r>
  <r>
    <n v="44"/>
    <x v="3"/>
    <x v="1"/>
    <n v="78.2"/>
    <n v="1.8"/>
    <n v="171"/>
    <n v="169"/>
    <n v="59"/>
    <n v="1.79"/>
    <n v="1730"/>
    <x v="2"/>
    <x v="1"/>
    <n v="17"/>
    <n v="3.5"/>
    <n v="5"/>
    <x v="1"/>
    <x v="0"/>
    <n v="18.170000000000002"/>
  </r>
  <r>
    <n v="34"/>
    <x v="0"/>
    <x v="0"/>
    <n v="74.2"/>
    <n v="1.83"/>
    <n v="194"/>
    <n v="153"/>
    <n v="60"/>
    <n v="1.24"/>
    <n v="1632"/>
    <x v="0"/>
    <x v="1"/>
    <n v="27.3"/>
    <n v="3"/>
    <n v="4"/>
    <x v="0"/>
    <x v="2"/>
    <n v="20.18"/>
  </r>
  <r>
    <n v="57"/>
    <x v="4"/>
    <x v="0"/>
    <n v="84"/>
    <n v="1.95"/>
    <n v="199"/>
    <n v="142"/>
    <n v="51"/>
    <n v="1.66"/>
    <n v="872"/>
    <x v="0"/>
    <x v="0"/>
    <n v="17.5"/>
    <n v="3.4"/>
    <n v="4"/>
    <x v="1"/>
    <x v="2"/>
    <n v="21.88"/>
  </r>
  <r>
    <n v="47"/>
    <x v="2"/>
    <x v="0"/>
    <n v="79.2"/>
    <n v="1.81"/>
    <n v="160"/>
    <n v="169"/>
    <n v="74"/>
    <n v="1.28"/>
    <n v="595"/>
    <x v="3"/>
    <x v="0"/>
    <n v="19"/>
    <n v="3.3"/>
    <n v="2"/>
    <x v="0"/>
    <x v="2"/>
    <n v="20.55"/>
  </r>
  <r>
    <n v="20"/>
    <x v="1"/>
    <x v="0"/>
    <n v="102.9"/>
    <n v="1.61"/>
    <n v="172"/>
    <n v="146"/>
    <n v="70"/>
    <n v="1.57"/>
    <n v="1113"/>
    <x v="3"/>
    <x v="3"/>
    <n v="23.5"/>
    <n v="3.2"/>
    <n v="3"/>
    <x v="2"/>
    <x v="2"/>
    <n v="21.82"/>
  </r>
  <r>
    <n v="30"/>
    <x v="0"/>
    <x v="0"/>
    <n v="57.8"/>
    <n v="1.89"/>
    <n v="168"/>
    <n v="165"/>
    <n v="67"/>
    <n v="1.38"/>
    <n v="1099"/>
    <x v="0"/>
    <x v="1"/>
    <n v="25.6"/>
    <n v="1.5"/>
    <m/>
    <x v="1"/>
    <x v="0"/>
    <n v="15.3"/>
  </r>
  <r>
    <n v="37"/>
    <x v="3"/>
    <x v="0"/>
    <n v="94.5"/>
    <n v="1.73"/>
    <n v="198"/>
    <n v="135"/>
    <n v="74"/>
    <n v="1.1599999999999999"/>
    <n v="717"/>
    <x v="0"/>
    <x v="3"/>
    <n v="23.8"/>
    <n v="1.6"/>
    <n v="4"/>
    <x v="2"/>
    <x v="0"/>
    <n v="17.52"/>
  </r>
  <r>
    <n v="54"/>
    <x v="2"/>
    <x v="1"/>
    <n v="70.900000000000006"/>
    <n v="1.7"/>
    <s v="\n175"/>
    <n v="131"/>
    <n v="74"/>
    <n v="1.5"/>
    <n v="750"/>
    <x v="2"/>
    <x v="2"/>
    <n v="29.4"/>
    <n v="3.7"/>
    <n v="4"/>
    <x v="0"/>
    <x v="0"/>
    <n v="13.4"/>
  </r>
  <r>
    <n v="54"/>
    <x v="2"/>
    <x v="0"/>
    <n v="52.6"/>
    <n v="1.81"/>
    <n v="167"/>
    <n v="167"/>
    <n v="53"/>
    <n v="1.46"/>
    <n v="988"/>
    <x v="3"/>
    <x v="1"/>
    <n v="26.7"/>
    <n v="2.4"/>
    <n v="2"/>
    <x v="1"/>
    <x v="4"/>
    <n v="27.97"/>
  </r>
  <r>
    <n v="31"/>
    <x v="0"/>
    <x v="0"/>
    <n v="50.9"/>
    <n v="1.51"/>
    <n v="174"/>
    <n v="130"/>
    <n v="58"/>
    <n v="2"/>
    <n v="1743"/>
    <x v="0"/>
    <x v="1"/>
    <n v="26.9"/>
    <n v="3.5"/>
    <m/>
    <x v="1"/>
    <x v="2"/>
    <n v="22.5"/>
  </r>
  <r>
    <n v="43"/>
    <x v="3"/>
    <x v="2"/>
    <n v="58.9"/>
    <n v="1.85"/>
    <n v="174"/>
    <n v="139"/>
    <n v="67"/>
    <n v="1.41"/>
    <n v="1217"/>
    <x v="4"/>
    <x v="0"/>
    <n v="19.899999999999999"/>
    <n v="2"/>
    <n v="2"/>
    <x v="1"/>
    <x v="2"/>
    <n v="20.61"/>
  </r>
  <r>
    <n v="22"/>
    <x v="1"/>
    <x v="0"/>
    <n v="69.3"/>
    <n v="1.56"/>
    <n v="164"/>
    <n v="136"/>
    <n v="50"/>
    <n v="1.33"/>
    <n v="1084"/>
    <x v="3"/>
    <x v="1"/>
    <n v="30.7"/>
    <n v="3.4"/>
    <n v="3"/>
    <x v="3"/>
    <x v="2"/>
    <n v="23.56"/>
  </r>
  <r>
    <n v="18"/>
    <x v="1"/>
    <x v="0"/>
    <n v="93.3"/>
    <n v="1.71"/>
    <n v="199"/>
    <m/>
    <n v="50"/>
    <n v="1.59"/>
    <n v="1166"/>
    <x v="3"/>
    <x v="3"/>
    <n v="22.3"/>
    <n v="2.6"/>
    <n v="4"/>
    <x v="1"/>
    <x v="2"/>
    <n v="24.01"/>
  </r>
  <r>
    <n v="24"/>
    <x v="1"/>
    <x v="0"/>
    <n v="91.2"/>
    <n v="1.82"/>
    <n v="181"/>
    <n v="158"/>
    <n v="74"/>
    <n v="1.49"/>
    <n v="1263"/>
    <x v="4"/>
    <x v="1"/>
    <n v="26.9"/>
    <n v="1.8"/>
    <n v="2"/>
    <x v="0"/>
    <x v="0"/>
    <n v="12.74"/>
  </r>
  <r>
    <n v="45"/>
    <x v="2"/>
    <x v="0"/>
    <n v="40"/>
    <n v="1.59"/>
    <n v="199"/>
    <n v="144"/>
    <n v="70"/>
    <n v="1.2"/>
    <m/>
    <x v="2"/>
    <x v="0"/>
    <n v="15.3"/>
    <m/>
    <n v="3"/>
    <x v="2"/>
    <x v="2"/>
    <n v="19.329999999999998"/>
  </r>
  <r>
    <n v="34"/>
    <x v="0"/>
    <x v="2"/>
    <n v="80.599999999999994"/>
    <n v="1.76"/>
    <n v="177"/>
    <n v="163"/>
    <n v="18"/>
    <n v="2"/>
    <n v="1783"/>
    <x v="1"/>
    <x v="1"/>
    <n v="27.5"/>
    <n v="3.4"/>
    <n v="4"/>
    <x v="1"/>
    <x v="0"/>
    <n v="13.09"/>
  </r>
  <r>
    <n v="25"/>
    <x v="0"/>
    <x v="1"/>
    <n v="40"/>
    <n v="1.56"/>
    <n v="195"/>
    <n v="132"/>
    <n v="57"/>
    <n v="0.65"/>
    <n v="499"/>
    <x v="3"/>
    <x v="3"/>
    <n v="16.7"/>
    <n v="3.4"/>
    <n v="3"/>
    <x v="0"/>
    <x v="0"/>
    <n v="12.32"/>
  </r>
  <r>
    <n v="45"/>
    <x v="2"/>
    <x v="1"/>
    <n v="76.599999999999994"/>
    <n v="1.77"/>
    <n v="181"/>
    <n v="122"/>
    <n v="64"/>
    <n v="1.82"/>
    <n v="1186"/>
    <x v="1"/>
    <x v="1"/>
    <n v="19.100000000000001"/>
    <n v="3.5"/>
    <n v="2"/>
    <x v="1"/>
    <x v="2"/>
    <n v="20.79"/>
  </r>
  <r>
    <n v="25"/>
    <x v="0"/>
    <x v="0"/>
    <n v="61.1"/>
    <n v="1.72"/>
    <n v="176"/>
    <n v="162"/>
    <n v="53"/>
    <n v="0.92"/>
    <n v="1378"/>
    <x v="0"/>
    <x v="0"/>
    <n v="15"/>
    <n v="3.4"/>
    <n v="4"/>
    <x v="1"/>
    <x v="0"/>
    <n v="12.62"/>
  </r>
  <r>
    <n v="51"/>
    <x v="2"/>
    <x v="0"/>
    <n v="58.8"/>
    <n v="1.78"/>
    <n v="172"/>
    <n v="120"/>
    <n v="54"/>
    <n v="2"/>
    <n v="1113"/>
    <x v="2"/>
    <x v="2"/>
    <n v="31.5"/>
    <n v="2.2999999999999998"/>
    <n v="4"/>
    <x v="1"/>
    <x v="0"/>
    <m/>
  </r>
  <r>
    <n v="31"/>
    <x v="0"/>
    <x v="0"/>
    <n v="48.4"/>
    <n v="1.81"/>
    <n v="178"/>
    <n v="120"/>
    <n v="71"/>
    <n v="1.45"/>
    <n v="1004"/>
    <x v="0"/>
    <x v="3"/>
    <n v="23.1"/>
    <n v="1.5"/>
    <n v="3"/>
    <x v="1"/>
    <x v="1"/>
    <n v="31.33"/>
  </r>
  <r>
    <n v="28"/>
    <x v="0"/>
    <x v="0"/>
    <n v="77.8"/>
    <n v="1.62"/>
    <n v="164"/>
    <n v="161"/>
    <n v="70"/>
    <n v="1.52"/>
    <n v="1095"/>
    <x v="0"/>
    <x v="3"/>
    <n v="23.1"/>
    <n v="3.5"/>
    <n v="5"/>
    <x v="0"/>
    <x v="2"/>
    <n v="21.22"/>
  </r>
  <r>
    <n v="48"/>
    <x v="2"/>
    <x v="1"/>
    <n v="119.9"/>
    <n v="1.73"/>
    <n v="165"/>
    <n v="156"/>
    <n v="66"/>
    <n v="0.99"/>
    <n v="781"/>
    <x v="1"/>
    <x v="1"/>
    <n v="18.5"/>
    <n v="3.6"/>
    <n v="3"/>
    <x v="1"/>
    <x v="0"/>
    <n v="18.18"/>
  </r>
  <r>
    <n v="44"/>
    <x v="3"/>
    <x v="2"/>
    <n v="64.5"/>
    <n v="1.5"/>
    <n v="173"/>
    <n v="166"/>
    <n v="50"/>
    <n v="0.54"/>
    <n v="874"/>
    <x v="3"/>
    <x v="1"/>
    <n v="25.2"/>
    <n v="1.9"/>
    <n v="3"/>
    <x v="0"/>
    <x v="0"/>
    <n v="12.32"/>
  </r>
  <r>
    <n v="39"/>
    <x v="3"/>
    <x v="0"/>
    <n v="84"/>
    <n v="1.79"/>
    <n v="176"/>
    <n v="126"/>
    <n v="72"/>
    <n v="1.5"/>
    <n v="1057"/>
    <x v="2"/>
    <x v="1"/>
    <n v="28"/>
    <n v="3.3"/>
    <n v="3"/>
    <x v="1"/>
    <x v="1"/>
    <n v="30.44"/>
  </r>
  <r>
    <n v="34"/>
    <x v="0"/>
    <x v="1"/>
    <n v="80.7"/>
    <n v="1.8"/>
    <n v="193"/>
    <n v="153"/>
    <n v="57"/>
    <n v="1.18"/>
    <n v="930"/>
    <x v="3"/>
    <x v="2"/>
    <n v="27.2"/>
    <n v="2.2999999999999998"/>
    <n v="3"/>
    <x v="1"/>
    <x v="0"/>
    <n v="13.63"/>
  </r>
  <r>
    <n v="24"/>
    <x v="1"/>
    <x v="0"/>
    <n v="102.6"/>
    <n v="1.67"/>
    <n v="190"/>
    <n v="132"/>
    <n v="73"/>
    <n v="1.41"/>
    <n v="800"/>
    <x v="3"/>
    <x v="1"/>
    <n v="28.3"/>
    <n v="1.5"/>
    <n v="3"/>
    <x v="0"/>
    <x v="2"/>
    <n v="18.79"/>
  </r>
  <r>
    <n v="51"/>
    <x v="2"/>
    <x v="0"/>
    <n v="80.400000000000006"/>
    <n v="1.64"/>
    <n v="181"/>
    <m/>
    <n v="74"/>
    <n v="1.07"/>
    <n v="913"/>
    <x v="1"/>
    <x v="1"/>
    <n v="26.4"/>
    <n v="1.5"/>
    <n v="5"/>
    <x v="2"/>
    <x v="0"/>
    <n v="12.32"/>
  </r>
  <r>
    <n v="42"/>
    <x v="3"/>
    <x v="0"/>
    <n v="57.1"/>
    <n v="1.84"/>
    <n v="199"/>
    <n v="163"/>
    <n v="74"/>
    <n v="1.2"/>
    <n v="303"/>
    <x v="0"/>
    <x v="3"/>
    <n v="21.3"/>
    <n v="2.7"/>
    <n v="3"/>
    <x v="1"/>
    <x v="0"/>
    <n v="14.84"/>
  </r>
  <r>
    <n v="23"/>
    <x v="1"/>
    <x v="0"/>
    <n v="60.5"/>
    <n v="1.88"/>
    <n v="166"/>
    <n v="149"/>
    <n v="63"/>
    <m/>
    <n v="907"/>
    <x v="3"/>
    <x v="3"/>
    <n v="23.5"/>
    <n v="3.1"/>
    <n v="4"/>
    <x v="1"/>
    <x v="0"/>
    <n v="15.38"/>
  </r>
  <r>
    <n v="18"/>
    <x v="1"/>
    <x v="0"/>
    <n v="98.5"/>
    <n v="1.99"/>
    <n v="187"/>
    <n v="153"/>
    <n v="57"/>
    <n v="1.95"/>
    <n v="859"/>
    <x v="3"/>
    <x v="3"/>
    <n v="22.7"/>
    <n v="1.9"/>
    <n v="3"/>
    <x v="0"/>
    <x v="0"/>
    <n v="15.7"/>
  </r>
  <r>
    <n v="23"/>
    <x v="1"/>
    <x v="0"/>
    <n v="68"/>
    <n v="1.74"/>
    <n v="175"/>
    <n v="120"/>
    <n v="68"/>
    <n v="1.01"/>
    <n v="694"/>
    <x v="2"/>
    <x v="1"/>
    <n v="24.5"/>
    <n v="3.5"/>
    <n v="5"/>
    <x v="0"/>
    <x v="0"/>
    <n v="17.47"/>
  </r>
  <r>
    <n v="18"/>
    <x v="1"/>
    <x v="1"/>
    <n v="40"/>
    <n v="1.82"/>
    <n v="177"/>
    <n v="127"/>
    <n v="74"/>
    <n v="0.73"/>
    <n v="352"/>
    <x v="3"/>
    <x v="2"/>
    <n v="26"/>
    <n v="3.4"/>
    <n v="3"/>
    <x v="0"/>
    <x v="4"/>
    <n v="28.42"/>
  </r>
  <r>
    <n v="50"/>
    <x v="2"/>
    <x v="1"/>
    <n v="41.9"/>
    <n v="2"/>
    <n v="199"/>
    <n v="161"/>
    <n v="74"/>
    <n v="1.24"/>
    <n v="953"/>
    <x v="1"/>
    <x v="1"/>
    <n v="24.6"/>
    <n v="3.2"/>
    <n v="3"/>
    <x v="0"/>
    <x v="0"/>
    <n v="16.02"/>
  </r>
  <r>
    <n v="18"/>
    <x v="1"/>
    <x v="1"/>
    <n v="60.5"/>
    <n v="1.57"/>
    <n v="177"/>
    <n v="131"/>
    <n v="59"/>
    <n v="1.3"/>
    <n v="1286"/>
    <x v="2"/>
    <x v="2"/>
    <n v="28.1"/>
    <n v="2.6"/>
    <n v="3"/>
    <x v="0"/>
    <x v="2"/>
    <n v="19.420000000000002"/>
  </r>
  <r>
    <n v="32"/>
    <x v="0"/>
    <x v="1"/>
    <n v="40"/>
    <n v="1.61"/>
    <n v="176"/>
    <n v="156"/>
    <n v="59"/>
    <m/>
    <n v="582"/>
    <x v="3"/>
    <x v="3"/>
    <n v="15.1"/>
    <n v="3.4"/>
    <n v="4"/>
    <x v="1"/>
    <x v="4"/>
    <n v="25.61"/>
  </r>
  <r>
    <n v="46"/>
    <x v="2"/>
    <x v="1"/>
    <n v="40.700000000000003"/>
    <n v="1.66"/>
    <n v="190"/>
    <n v="169"/>
    <n v="58"/>
    <n v="0.92"/>
    <n v="760"/>
    <x v="2"/>
    <x v="2"/>
    <n v="27.2"/>
    <n v="3.5"/>
    <n v="5"/>
    <x v="0"/>
    <x v="2"/>
    <n v="18.760000000000002"/>
  </r>
  <r>
    <n v="18"/>
    <x v="1"/>
    <x v="0"/>
    <n v="53.8"/>
    <n v="1.7"/>
    <n v="197"/>
    <n v="120"/>
    <n v="69"/>
    <n v="1.01"/>
    <n v="1274"/>
    <x v="0"/>
    <x v="2"/>
    <n v="31.4"/>
    <n v="2.4"/>
    <n v="3"/>
    <x v="2"/>
    <x v="0"/>
    <n v="15.72"/>
  </r>
  <r>
    <n v="18"/>
    <x v="1"/>
    <x v="2"/>
    <n v="115.4"/>
    <n v="1.79"/>
    <n v="188"/>
    <n v="168"/>
    <n v="72"/>
    <n v="2"/>
    <n v="859"/>
    <x v="3"/>
    <x v="2"/>
    <n v="31.2"/>
    <n v="1.8"/>
    <n v="3"/>
    <x v="0"/>
    <x v="2"/>
    <n v="19.059999999999999"/>
  </r>
  <r>
    <n v="46"/>
    <x v="2"/>
    <x v="1"/>
    <n v="54"/>
    <n v="1.82"/>
    <n v="177"/>
    <n v="163"/>
    <n v="63"/>
    <n v="1.4"/>
    <n v="979"/>
    <x v="3"/>
    <x v="2"/>
    <n v="33.700000000000003"/>
    <n v="3.7"/>
    <n v="2"/>
    <x v="0"/>
    <x v="0"/>
    <n v="14.05"/>
  </r>
  <r>
    <n v="24"/>
    <x v="1"/>
    <x v="1"/>
    <n v="105.7"/>
    <n v="2"/>
    <n v="187"/>
    <n v="145"/>
    <n v="58"/>
    <n v="1.48"/>
    <n v="1002"/>
    <x v="0"/>
    <x v="2"/>
    <n v="25.9"/>
    <n v="2.5"/>
    <n v="3"/>
    <x v="1"/>
    <x v="3"/>
    <n v="43.01"/>
  </r>
  <r>
    <n v="31"/>
    <x v="0"/>
    <x v="1"/>
    <n v="87.3"/>
    <n v="1.65"/>
    <n v="176"/>
    <n v="137"/>
    <n v="74"/>
    <n v="0.91"/>
    <n v="1262"/>
    <x v="3"/>
    <x v="2"/>
    <n v="31.5"/>
    <m/>
    <n v="4"/>
    <x v="0"/>
    <x v="4"/>
    <n v="26.33"/>
  </r>
  <r>
    <n v="30"/>
    <x v="0"/>
    <x v="0"/>
    <n v="57.7"/>
    <n v="1.76"/>
    <n v="160"/>
    <n v="152"/>
    <n v="59"/>
    <n v="1.82"/>
    <n v="314"/>
    <x v="1"/>
    <x v="3"/>
    <n v="23.2"/>
    <n v="1.8"/>
    <n v="4"/>
    <x v="2"/>
    <x v="0"/>
    <n v="12.32"/>
  </r>
  <r>
    <n v="24"/>
    <x v="1"/>
    <x v="1"/>
    <n v="72.7"/>
    <n v="2"/>
    <n v="190"/>
    <n v="131"/>
    <n v="56"/>
    <n v="1.33"/>
    <n v="1126"/>
    <x v="1"/>
    <x v="0"/>
    <n v="12.6"/>
    <n v="3.6"/>
    <n v="2"/>
    <x v="0"/>
    <x v="2"/>
    <n v="23.15"/>
  </r>
  <r>
    <n v="25"/>
    <x v="0"/>
    <x v="2"/>
    <n v="102.4"/>
    <n v="1.68"/>
    <n v="188"/>
    <n v="141"/>
    <n v="56"/>
    <n v="1.66"/>
    <n v="1553"/>
    <x v="3"/>
    <x v="0"/>
    <n v="18.600000000000001"/>
    <n v="1.7"/>
    <n v="2"/>
    <x v="0"/>
    <x v="0"/>
    <n v="16.38"/>
  </r>
  <r>
    <n v="29"/>
    <x v="0"/>
    <x v="0"/>
    <n v="81.400000000000006"/>
    <n v="1.89"/>
    <n v="177"/>
    <n v="137"/>
    <n v="70"/>
    <n v="1.01"/>
    <n v="503"/>
    <x v="3"/>
    <x v="0"/>
    <n v="14.5"/>
    <n v="1.5"/>
    <m/>
    <x v="1"/>
    <x v="2"/>
    <n v="21.8"/>
  </r>
  <r>
    <n v="39"/>
    <x v="3"/>
    <x v="1"/>
    <n v="81.900000000000006"/>
    <n v="1.72"/>
    <n v="187"/>
    <n v="156"/>
    <n v="53"/>
    <n v="1.19"/>
    <n v="1329"/>
    <x v="3"/>
    <x v="1"/>
    <n v="24.2"/>
    <n v="3.4"/>
    <n v="4"/>
    <x v="0"/>
    <x v="0"/>
    <n v="12.91"/>
  </r>
  <r>
    <n v="48"/>
    <x v="2"/>
    <x v="0"/>
    <n v="65.099999999999994"/>
    <n v="1.79"/>
    <n v="189"/>
    <n v="120"/>
    <n v="74"/>
    <n v="1.26"/>
    <n v="325"/>
    <x v="0"/>
    <x v="3"/>
    <n v="23.5"/>
    <n v="2.1"/>
    <n v="5"/>
    <x v="2"/>
    <x v="4"/>
    <n v="28.56"/>
  </r>
  <r>
    <n v="28"/>
    <x v="0"/>
    <x v="0"/>
    <n v="67.8"/>
    <n v="1.57"/>
    <n v="198"/>
    <n v="135"/>
    <n v="67"/>
    <n v="2"/>
    <n v="1062"/>
    <x v="0"/>
    <x v="1"/>
    <n v="30.5"/>
    <n v="1.5"/>
    <n v="3"/>
    <x v="1"/>
    <x v="0"/>
    <n v="14.86"/>
  </r>
  <r>
    <n v="25"/>
    <x v="0"/>
    <x v="1"/>
    <n v="56.9"/>
    <n v="1.61"/>
    <n v="183"/>
    <n v="130"/>
    <n v="18"/>
    <n v="1.33"/>
    <n v="804"/>
    <x v="2"/>
    <x v="1"/>
    <n v="20.100000000000001"/>
    <n v="1.5"/>
    <n v="4"/>
    <x v="0"/>
    <x v="2"/>
    <n v="23.68"/>
  </r>
  <r>
    <n v="53"/>
    <x v="2"/>
    <x v="0"/>
    <n v="55"/>
    <n v="1.6"/>
    <n v="181"/>
    <n v="133"/>
    <n v="74"/>
    <n v="1.25"/>
    <n v="645"/>
    <x v="0"/>
    <x v="1"/>
    <n v="28.2"/>
    <n v="2.4"/>
    <n v="4"/>
    <x v="1"/>
    <x v="2"/>
    <n v="21.6"/>
  </r>
  <r>
    <n v="38"/>
    <x v="3"/>
    <x v="2"/>
    <n v="42.6"/>
    <n v="1.61"/>
    <n v="172"/>
    <n v="122"/>
    <n v="69"/>
    <n v="1.1299999999999999"/>
    <n v="462"/>
    <x v="3"/>
    <x v="0"/>
    <n v="14.9"/>
    <n v="2.5"/>
    <n v="2"/>
    <x v="3"/>
    <x v="0"/>
    <n v="15.67"/>
  </r>
  <r>
    <n v="50"/>
    <x v="2"/>
    <x v="0"/>
    <n v="61.5"/>
    <n v="1.57"/>
    <n v="199"/>
    <n v="139"/>
    <n v="71"/>
    <n v="0.95"/>
    <n v="798"/>
    <x v="1"/>
    <x v="3"/>
    <n v="22.5"/>
    <n v="3.5"/>
    <n v="4"/>
    <x v="0"/>
    <x v="0"/>
    <n v="17.3"/>
  </r>
  <r>
    <n v="27"/>
    <x v="0"/>
    <x v="1"/>
    <n v="64.2"/>
    <n v="1.89"/>
    <n v="188"/>
    <n v="143"/>
    <n v="51"/>
    <n v="2"/>
    <n v="1662"/>
    <x v="0"/>
    <x v="1"/>
    <n v="23"/>
    <n v="3.1"/>
    <n v="4"/>
    <x v="0"/>
    <x v="0"/>
    <n v="17.41"/>
  </r>
  <r>
    <n v="38"/>
    <x v="3"/>
    <x v="1"/>
    <n v="76.7"/>
    <n v="1.99"/>
    <n v="192"/>
    <n v="131"/>
    <n v="74"/>
    <n v="1.1399999999999999"/>
    <n v="1263"/>
    <x v="0"/>
    <x v="2"/>
    <n v="28.3"/>
    <n v="1.6"/>
    <n v="5"/>
    <x v="1"/>
    <x v="0"/>
    <n v="14.98"/>
  </r>
  <r>
    <n v="51"/>
    <x v="2"/>
    <x v="1"/>
    <n v="100.2"/>
    <m/>
    <n v="164"/>
    <n v="153"/>
    <n v="72"/>
    <n v="1.1599999999999999"/>
    <n v="1499"/>
    <x v="3"/>
    <x v="0"/>
    <n v="10"/>
    <n v="1.7"/>
    <n v="4"/>
    <x v="1"/>
    <x v="0"/>
    <n v="16.37"/>
  </r>
  <r>
    <n v="54"/>
    <x v="2"/>
    <x v="0"/>
    <n v="58.1"/>
    <n v="1.57"/>
    <n v="182"/>
    <n v="169"/>
    <n v="74"/>
    <n v="1.59"/>
    <n v="649"/>
    <x v="1"/>
    <x v="0"/>
    <n v="19.7"/>
    <n v="3.4"/>
    <n v="3"/>
    <x v="0"/>
    <x v="2"/>
    <n v="23.19"/>
  </r>
  <r>
    <n v="33"/>
    <x v="0"/>
    <x v="0"/>
    <n v="58.2"/>
    <n v="1.62"/>
    <n v="170"/>
    <n v="163"/>
    <n v="60"/>
    <n v="1.21"/>
    <n v="1524"/>
    <x v="1"/>
    <x v="1"/>
    <n v="26.5"/>
    <n v="2.8"/>
    <n v="3"/>
    <x v="0"/>
    <x v="0"/>
    <n v="12.32"/>
  </r>
  <r>
    <n v="30"/>
    <x v="0"/>
    <x v="1"/>
    <n v="80.099999999999994"/>
    <m/>
    <n v="192"/>
    <n v="153"/>
    <n v="50"/>
    <n v="0.55000000000000004"/>
    <n v="1222"/>
    <x v="0"/>
    <x v="2"/>
    <n v="31.7"/>
    <n v="1.5"/>
    <n v="3"/>
    <x v="1"/>
    <x v="2"/>
    <n v="19.510000000000002"/>
  </r>
  <r>
    <n v="46"/>
    <x v="2"/>
    <x v="1"/>
    <n v="55.1"/>
    <n v="1.62"/>
    <n v="170"/>
    <n v="166"/>
    <n v="52"/>
    <n v="1.03"/>
    <n v="1370"/>
    <x v="1"/>
    <x v="2"/>
    <n v="34.4"/>
    <n v="1.8"/>
    <n v="2"/>
    <x v="1"/>
    <x v="4"/>
    <n v="26.04"/>
  </r>
  <r>
    <n v="32"/>
    <x v="0"/>
    <x v="0"/>
    <n v="51.2"/>
    <n v="1.9"/>
    <n v="162"/>
    <n v="160"/>
    <n v="60"/>
    <n v="1.25"/>
    <n v="988"/>
    <x v="1"/>
    <x v="3"/>
    <n v="21.6"/>
    <n v="2.5"/>
    <n v="3"/>
    <x v="0"/>
    <x v="2"/>
    <n v="22.51"/>
  </r>
  <r>
    <n v="43"/>
    <x v="3"/>
    <x v="1"/>
    <n v="40"/>
    <n v="1.95"/>
    <n v="162"/>
    <n v="138"/>
    <n v="58"/>
    <n v="2"/>
    <n v="918"/>
    <x v="3"/>
    <x v="2"/>
    <n v="26.4"/>
    <n v="1.8"/>
    <n v="4"/>
    <x v="0"/>
    <x v="2"/>
    <n v="18.66"/>
  </r>
  <r>
    <n v="42"/>
    <x v="3"/>
    <x v="1"/>
    <n v="45.3"/>
    <n v="1.53"/>
    <n v="193"/>
    <n v="128"/>
    <n v="74"/>
    <n v="1.05"/>
    <n v="810"/>
    <x v="4"/>
    <x v="1"/>
    <n v="21.1"/>
    <n v="2.4"/>
    <n v="2"/>
    <x v="0"/>
    <x v="0"/>
    <n v="17.18"/>
  </r>
  <r>
    <n v="22"/>
    <x v="1"/>
    <x v="0"/>
    <n v="54.1"/>
    <n v="1.76"/>
    <n v="178"/>
    <n v="127"/>
    <n v="65"/>
    <n v="1.42"/>
    <n v="501"/>
    <x v="0"/>
    <x v="1"/>
    <n v="29.2"/>
    <n v="3.7"/>
    <n v="4"/>
    <x v="1"/>
    <x v="2"/>
    <n v="22.15"/>
  </r>
  <r>
    <n v="24"/>
    <x v="1"/>
    <x v="1"/>
    <n v="58.8"/>
    <n v="1.89"/>
    <n v="163"/>
    <n v="150"/>
    <n v="73"/>
    <n v="1.28"/>
    <n v="800"/>
    <x v="0"/>
    <x v="2"/>
    <n v="27.1"/>
    <n v="2.5"/>
    <n v="2"/>
    <x v="0"/>
    <x v="0"/>
    <n v="15.86"/>
  </r>
  <r>
    <n v="36"/>
    <x v="3"/>
    <x v="2"/>
    <n v="55.5"/>
    <n v="1.69"/>
    <n v="198"/>
    <n v="132"/>
    <n v="71"/>
    <n v="1.85"/>
    <n v="1590"/>
    <x v="1"/>
    <x v="0"/>
    <n v="15.3"/>
    <n v="2.2000000000000002"/>
    <n v="3"/>
    <x v="0"/>
    <x v="4"/>
    <n v="27.8"/>
  </r>
  <r>
    <n v="27"/>
    <x v="0"/>
    <x v="0"/>
    <n v="40"/>
    <n v="1.8"/>
    <n v="162"/>
    <n v="140"/>
    <n v="74"/>
    <n v="1.42"/>
    <n v="901"/>
    <x v="2"/>
    <x v="3"/>
    <n v="22.2"/>
    <n v="2.5"/>
    <n v="5"/>
    <x v="1"/>
    <x v="4"/>
    <n v="29.73"/>
  </r>
  <r>
    <n v="41"/>
    <x v="3"/>
    <x v="1"/>
    <n v="53"/>
    <n v="1.62"/>
    <n v="161"/>
    <n v="142"/>
    <n v="61"/>
    <n v="1.42"/>
    <n v="761"/>
    <x v="0"/>
    <x v="1"/>
    <n v="21"/>
    <n v="3.3"/>
    <n v="3"/>
    <x v="1"/>
    <x v="2"/>
    <n v="20.51"/>
  </r>
  <r>
    <n v="18"/>
    <x v="1"/>
    <x v="0"/>
    <n v="83.5"/>
    <n v="1.67"/>
    <n v="162"/>
    <n v="169"/>
    <n v="70"/>
    <n v="1.54"/>
    <n v="1389"/>
    <x v="1"/>
    <x v="0"/>
    <n v="12.1"/>
    <n v="1.7"/>
    <n v="2"/>
    <x v="1"/>
    <x v="1"/>
    <n v="33.799999999999997"/>
  </r>
  <r>
    <n v="51"/>
    <x v="2"/>
    <x v="0"/>
    <n v="58.6"/>
    <n v="2"/>
    <n v="162"/>
    <n v="150"/>
    <n v="55"/>
    <n v="1.28"/>
    <n v="1030"/>
    <x v="0"/>
    <x v="0"/>
    <n v="16.7"/>
    <n v="3.4"/>
    <n v="3"/>
    <x v="0"/>
    <x v="1"/>
    <n v="37.28"/>
  </r>
  <r>
    <n v="18"/>
    <x v="1"/>
    <x v="0"/>
    <n v="40"/>
    <n v="1.9"/>
    <n v="166"/>
    <n v="169"/>
    <n v="57"/>
    <n v="1.28"/>
    <n v="1556"/>
    <x v="0"/>
    <x v="0"/>
    <n v="17.399999999999999"/>
    <n v="2.1"/>
    <n v="2"/>
    <x v="2"/>
    <x v="2"/>
    <n v="19.510000000000002"/>
  </r>
  <r>
    <n v="44"/>
    <x v="3"/>
    <x v="0"/>
    <n v="91.2"/>
    <n v="1.87"/>
    <n v="194"/>
    <n v="141"/>
    <n v="66"/>
    <n v="1.66"/>
    <n v="1345"/>
    <x v="3"/>
    <x v="3"/>
    <n v="22.7"/>
    <n v="2.5"/>
    <n v="2"/>
    <x v="1"/>
    <x v="0"/>
    <n v="15.5"/>
  </r>
  <r>
    <n v="31"/>
    <x v="0"/>
    <x v="1"/>
    <n v="60.7"/>
    <n v="1.62"/>
    <n v="198"/>
    <n v="120"/>
    <n v="71"/>
    <n v="1.35"/>
    <n v="967"/>
    <x v="3"/>
    <x v="2"/>
    <n v="31.2"/>
    <n v="3.2"/>
    <n v="4"/>
    <x v="0"/>
    <x v="2"/>
    <n v="23.83"/>
  </r>
  <r>
    <n v="36"/>
    <x v="3"/>
    <x v="1"/>
    <n v="62.2"/>
    <n v="1.5"/>
    <n v="192"/>
    <n v="132"/>
    <n v="61"/>
    <n v="2"/>
    <n v="913"/>
    <x v="2"/>
    <x v="0"/>
    <n v="11.4"/>
    <n v="1.5"/>
    <n v="3"/>
    <x v="0"/>
    <x v="2"/>
    <n v="22.96"/>
  </r>
  <r>
    <n v="23"/>
    <x v="1"/>
    <x v="0"/>
    <n v="62.1"/>
    <n v="1.83"/>
    <n v="168"/>
    <n v="149"/>
    <n v="51"/>
    <n v="1.39"/>
    <n v="1135"/>
    <x v="3"/>
    <x v="1"/>
    <n v="26.1"/>
    <n v="2"/>
    <n v="3"/>
    <x v="0"/>
    <x v="2"/>
    <n v="21.35"/>
  </r>
  <r>
    <n v="24"/>
    <x v="1"/>
    <x v="1"/>
    <n v="79"/>
    <n v="1.62"/>
    <n v="177"/>
    <n v="169"/>
    <n v="73"/>
    <n v="1"/>
    <n v="887"/>
    <x v="3"/>
    <x v="2"/>
    <n v="25"/>
    <n v="3.5"/>
    <n v="2"/>
    <x v="2"/>
    <x v="0"/>
    <n v="12.32"/>
  </r>
  <r>
    <n v="38"/>
    <x v="3"/>
    <x v="1"/>
    <n v="58.4"/>
    <n v="1.65"/>
    <n v="169"/>
    <n v="141"/>
    <n v="53"/>
    <n v="2"/>
    <n v="1109"/>
    <x v="3"/>
    <x v="1"/>
    <n v="24"/>
    <n v="2.2999999999999998"/>
    <n v="2"/>
    <x v="1"/>
    <x v="1"/>
    <n v="35.49"/>
  </r>
  <r>
    <n v="31"/>
    <x v="0"/>
    <x v="0"/>
    <n v="75.8"/>
    <n v="1.7"/>
    <n v="199"/>
    <n v="129"/>
    <n v="60"/>
    <n v="0.87"/>
    <n v="922"/>
    <x v="2"/>
    <x v="1"/>
    <n v="24.2"/>
    <n v="1.9"/>
    <n v="2"/>
    <x v="1"/>
    <x v="0"/>
    <n v="15.58"/>
  </r>
  <r>
    <n v="55"/>
    <x v="4"/>
    <x v="0"/>
    <n v="65.5"/>
    <n v="1.94"/>
    <n v="170"/>
    <n v="123"/>
    <n v="74"/>
    <n v="1.37"/>
    <n v="787"/>
    <x v="2"/>
    <x v="1"/>
    <n v="28.7"/>
    <n v="3.1"/>
    <n v="3"/>
    <x v="1"/>
    <x v="0"/>
    <n v="17"/>
  </r>
  <r>
    <n v="52"/>
    <x v="2"/>
    <x v="0"/>
    <n v="81"/>
    <n v="1.62"/>
    <n v="178"/>
    <n v="146"/>
    <n v="53"/>
    <n v="1.44"/>
    <n v="1628"/>
    <x v="0"/>
    <x v="1"/>
    <n v="25.4"/>
    <n v="2.5"/>
    <n v="4"/>
    <x v="1"/>
    <x v="0"/>
    <n v="17.41"/>
  </r>
  <r>
    <n v="24"/>
    <x v="1"/>
    <x v="0"/>
    <n v="84.5"/>
    <n v="1.84"/>
    <n v="171"/>
    <n v="128"/>
    <n v="63"/>
    <n v="0.7"/>
    <n v="1067"/>
    <x v="4"/>
    <x v="2"/>
    <n v="32"/>
    <n v="2.4"/>
    <n v="2"/>
    <x v="1"/>
    <x v="0"/>
    <n v="12.32"/>
  </r>
  <r>
    <n v="18"/>
    <x v="1"/>
    <x v="1"/>
    <n v="48.7"/>
    <n v="1.75"/>
    <n v="187"/>
    <n v="141"/>
    <n v="70"/>
    <n v="2"/>
    <n v="1266"/>
    <x v="1"/>
    <x v="2"/>
    <n v="34.4"/>
    <n v="2.6"/>
    <n v="3"/>
    <x v="1"/>
    <x v="1"/>
    <n v="38.479999999999997"/>
  </r>
  <r>
    <n v="30"/>
    <x v="0"/>
    <x v="1"/>
    <n v="88.3"/>
    <n v="1.72"/>
    <n v="195"/>
    <n v="158"/>
    <n v="70"/>
    <m/>
    <n v="1327"/>
    <x v="4"/>
    <x v="0"/>
    <n v="12.3"/>
    <n v="3.6"/>
    <n v="3"/>
    <x v="0"/>
    <x v="1"/>
    <n v="33.99"/>
  </r>
  <r>
    <n v="53"/>
    <x v="2"/>
    <x v="0"/>
    <m/>
    <n v="1.55"/>
    <n v="190"/>
    <n v="150"/>
    <n v="71"/>
    <m/>
    <n v="1006"/>
    <x v="0"/>
    <x v="3"/>
    <n v="22.8"/>
    <n v="3.5"/>
    <n v="4"/>
    <x v="0"/>
    <x v="4"/>
    <n v="29.07"/>
  </r>
  <r>
    <n v="56"/>
    <x v="4"/>
    <x v="0"/>
    <n v="85.2"/>
    <n v="1.6"/>
    <n v="163"/>
    <n v="151"/>
    <n v="51"/>
    <n v="1.25"/>
    <n v="672"/>
    <x v="3"/>
    <x v="1"/>
    <n v="26.5"/>
    <n v="1.7"/>
    <n v="3"/>
    <x v="1"/>
    <x v="2"/>
    <n v="21.05"/>
  </r>
  <r>
    <n v="18"/>
    <x v="1"/>
    <x v="1"/>
    <n v="68.7"/>
    <n v="1.81"/>
    <n v="192"/>
    <n v="169"/>
    <n v="62"/>
    <n v="1.08"/>
    <n v="1783"/>
    <x v="0"/>
    <x v="0"/>
    <n v="10"/>
    <n v="3.4"/>
    <m/>
    <x v="1"/>
    <x v="1"/>
    <n v="32.200000000000003"/>
  </r>
  <r>
    <n v="40"/>
    <x v="3"/>
    <x v="1"/>
    <n v="97.4"/>
    <n v="1.66"/>
    <n v="166"/>
    <n v="149"/>
    <n v="60"/>
    <n v="1.1599999999999999"/>
    <n v="700"/>
    <x v="2"/>
    <x v="1"/>
    <n v="20.8"/>
    <m/>
    <n v="2"/>
    <x v="0"/>
    <x v="4"/>
    <n v="25.05"/>
  </r>
  <r>
    <n v="33"/>
    <x v="0"/>
    <x v="1"/>
    <n v="73.3"/>
    <n v="1.86"/>
    <n v="187"/>
    <n v="123"/>
    <n v="60"/>
    <n v="1.22"/>
    <n v="1254"/>
    <x v="1"/>
    <x v="2"/>
    <n v="35"/>
    <n v="1.9"/>
    <n v="4"/>
    <x v="1"/>
    <x v="0"/>
    <n v="15.26"/>
  </r>
  <r>
    <n v="33"/>
    <x v="0"/>
    <x v="0"/>
    <n v="44.9"/>
    <n v="1.73"/>
    <n v="176"/>
    <n v="158"/>
    <n v="74"/>
    <n v="2"/>
    <n v="905"/>
    <x v="0"/>
    <x v="1"/>
    <n v="27"/>
    <n v="2.1"/>
    <n v="3"/>
    <x v="0"/>
    <x v="2"/>
    <n v="23.8"/>
  </r>
  <r>
    <n v="39"/>
    <x v="3"/>
    <x v="1"/>
    <n v="59.9"/>
    <n v="1.71"/>
    <n v="174"/>
    <n v="131"/>
    <n v="50"/>
    <n v="1.41"/>
    <n v="733"/>
    <x v="3"/>
    <x v="1"/>
    <n v="24.7"/>
    <n v="2.9"/>
    <n v="2"/>
    <x v="0"/>
    <x v="2"/>
    <n v="19.739999999999998"/>
  </r>
  <r>
    <n v="40"/>
    <x v="3"/>
    <x v="1"/>
    <n v="43.9"/>
    <n v="1.92"/>
    <n v="186"/>
    <n v="143"/>
    <n v="74"/>
    <n v="0.83"/>
    <n v="1018"/>
    <x v="3"/>
    <x v="0"/>
    <n v="12"/>
    <n v="3.1"/>
    <n v="3"/>
    <x v="1"/>
    <x v="4"/>
    <n v="29.23"/>
  </r>
  <r>
    <n v="20"/>
    <x v="1"/>
    <x v="1"/>
    <n v="40"/>
    <n v="1.52"/>
    <n v="164"/>
    <n v="144"/>
    <n v="65"/>
    <n v="1.53"/>
    <n v="629"/>
    <x v="0"/>
    <x v="1"/>
    <n v="22.6"/>
    <n v="3.1"/>
    <n v="4"/>
    <x v="1"/>
    <x v="2"/>
    <n v="22.23"/>
  </r>
  <r>
    <n v="26"/>
    <x v="0"/>
    <x v="1"/>
    <n v="65.900000000000006"/>
    <n v="1.99"/>
    <n v="166"/>
    <n v="127"/>
    <n v="71"/>
    <n v="1.08"/>
    <n v="1218"/>
    <x v="1"/>
    <x v="1"/>
    <n v="22"/>
    <n v="2.6"/>
    <n v="4"/>
    <x v="0"/>
    <x v="0"/>
    <n v="13.91"/>
  </r>
  <r>
    <n v="21"/>
    <x v="1"/>
    <x v="0"/>
    <n v="59.8"/>
    <n v="1.65"/>
    <n v="162"/>
    <n v="169"/>
    <n v="74"/>
    <n v="1.5"/>
    <n v="1130"/>
    <x v="1"/>
    <x v="1"/>
    <n v="30.4"/>
    <n v="3.2"/>
    <n v="5"/>
    <x v="2"/>
    <x v="0"/>
    <n v="12.32"/>
  </r>
  <r>
    <n v="36"/>
    <x v="3"/>
    <x v="0"/>
    <n v="77.7"/>
    <n v="1.66"/>
    <n v="193"/>
    <n v="120"/>
    <n v="72"/>
    <n v="1.21"/>
    <n v="1115"/>
    <x v="0"/>
    <x v="0"/>
    <n v="11.3"/>
    <n v="2.2000000000000002"/>
    <n v="2"/>
    <x v="2"/>
    <x v="2"/>
    <n v="22.23"/>
  </r>
  <r>
    <n v="30"/>
    <x v="0"/>
    <x v="1"/>
    <n v="61.6"/>
    <n v="1.77"/>
    <n v="170"/>
    <n v="130"/>
    <n v="74"/>
    <n v="2"/>
    <n v="1068"/>
    <x v="3"/>
    <x v="1"/>
    <n v="24.3"/>
    <n v="1.5"/>
    <n v="5"/>
    <x v="0"/>
    <x v="2"/>
    <n v="24.78"/>
  </r>
  <r>
    <n v="18"/>
    <x v="1"/>
    <x v="0"/>
    <n v="44.2"/>
    <n v="1.64"/>
    <n v="171"/>
    <n v="164"/>
    <n v="66"/>
    <n v="1.1399999999999999"/>
    <n v="1083"/>
    <x v="3"/>
    <x v="0"/>
    <n v="16.100000000000001"/>
    <n v="2.2000000000000002"/>
    <n v="5"/>
    <x v="0"/>
    <x v="0"/>
    <n v="18.36"/>
  </r>
  <r>
    <n v="22"/>
    <x v="1"/>
    <x v="1"/>
    <n v="63.7"/>
    <n v="1.85"/>
    <n v="192"/>
    <n v="122"/>
    <n v="53"/>
    <n v="1.06"/>
    <n v="1032"/>
    <x v="3"/>
    <x v="1"/>
    <n v="24.4"/>
    <n v="2.5"/>
    <n v="3"/>
    <x v="2"/>
    <x v="0"/>
    <n v="13.95"/>
  </r>
  <r>
    <n v="45"/>
    <x v="2"/>
    <x v="1"/>
    <n v="54.4"/>
    <n v="1.55"/>
    <n v="182"/>
    <n v="139"/>
    <n v="74"/>
    <n v="2"/>
    <n v="1179"/>
    <x v="2"/>
    <x v="1"/>
    <n v="24.3"/>
    <n v="3.1"/>
    <n v="5"/>
    <x v="2"/>
    <x v="0"/>
    <n v="12.32"/>
  </r>
  <r>
    <n v="43"/>
    <x v="3"/>
    <x v="0"/>
    <n v="93.8"/>
    <n v="1.65"/>
    <n v="170"/>
    <n v="162"/>
    <n v="61"/>
    <n v="1.37"/>
    <n v="848"/>
    <x v="0"/>
    <x v="0"/>
    <m/>
    <n v="2.8"/>
    <n v="3"/>
    <x v="1"/>
    <x v="0"/>
    <n v="15.58"/>
  </r>
  <r>
    <n v="18"/>
    <x v="1"/>
    <x v="0"/>
    <n v="77.7"/>
    <n v="1.55"/>
    <n v="178"/>
    <n v="131"/>
    <n v="67"/>
    <n v="1.4"/>
    <n v="1259"/>
    <x v="0"/>
    <x v="0"/>
    <n v="14.8"/>
    <n v="2.4"/>
    <n v="3"/>
    <x v="0"/>
    <x v="0"/>
    <n v="12.32"/>
  </r>
  <r>
    <n v="18"/>
    <x v="1"/>
    <x v="1"/>
    <n v="57.6"/>
    <n v="1.74"/>
    <n v="172"/>
    <n v="120"/>
    <n v="74"/>
    <n v="1.46"/>
    <n v="635"/>
    <x v="0"/>
    <x v="3"/>
    <n v="15"/>
    <n v="3.2"/>
    <n v="2"/>
    <x v="2"/>
    <x v="0"/>
    <n v="12.8"/>
  </r>
  <r>
    <n v="20"/>
    <x v="1"/>
    <x v="1"/>
    <n v="75.599999999999994"/>
    <n v="1.74"/>
    <n v="192"/>
    <n v="128"/>
    <n v="72"/>
    <n v="1.86"/>
    <n v="906"/>
    <x v="1"/>
    <x v="1"/>
    <n v="21.4"/>
    <n v="3.3"/>
    <n v="4"/>
    <x v="0"/>
    <x v="1"/>
    <n v="34.729999999999997"/>
  </r>
  <r>
    <n v="47"/>
    <x v="2"/>
    <x v="1"/>
    <n v="85.5"/>
    <n v="1.84"/>
    <n v="172"/>
    <n v="152"/>
    <n v="68"/>
    <n v="0.98"/>
    <n v="773"/>
    <x v="1"/>
    <x v="1"/>
    <n v="24.1"/>
    <n v="2.6"/>
    <n v="2"/>
    <x v="0"/>
    <x v="2"/>
    <n v="19.61"/>
  </r>
  <r>
    <n v="25"/>
    <x v="0"/>
    <x v="1"/>
    <n v="62.4"/>
    <n v="1.59"/>
    <n v="166"/>
    <n v="151"/>
    <n v="66"/>
    <n v="1.27"/>
    <n v="903"/>
    <x v="4"/>
    <x v="0"/>
    <n v="11"/>
    <n v="3"/>
    <n v="4"/>
    <x v="1"/>
    <x v="1"/>
    <n v="32.630000000000003"/>
  </r>
  <r>
    <n v="31"/>
    <x v="0"/>
    <x v="0"/>
    <n v="53.5"/>
    <n v="1.68"/>
    <n v="180"/>
    <n v="155"/>
    <n v="57"/>
    <n v="0.86"/>
    <n v="875"/>
    <x v="0"/>
    <x v="3"/>
    <n v="22.6"/>
    <n v="3.3"/>
    <n v="2"/>
    <x v="1"/>
    <x v="2"/>
    <n v="20.61"/>
  </r>
  <r>
    <n v="47"/>
    <x v="2"/>
    <x v="1"/>
    <n v="78.8"/>
    <n v="1.82"/>
    <n v="167"/>
    <n v="144"/>
    <n v="66"/>
    <n v="1.66"/>
    <n v="1163"/>
    <x v="1"/>
    <x v="2"/>
    <n v="31.7"/>
    <n v="2.8"/>
    <n v="4"/>
    <x v="0"/>
    <x v="0"/>
    <n v="15.78"/>
  </r>
  <r>
    <n v="20"/>
    <x v="1"/>
    <x v="1"/>
    <n v="40"/>
    <n v="1.97"/>
    <n v="173"/>
    <n v="133"/>
    <n v="74"/>
    <n v="2"/>
    <n v="916"/>
    <x v="1"/>
    <x v="1"/>
    <n v="18.8"/>
    <n v="2.2999999999999998"/>
    <n v="2"/>
    <x v="1"/>
    <x v="0"/>
    <n v="13.57"/>
  </r>
  <r>
    <n v="56"/>
    <x v="4"/>
    <x v="1"/>
    <n v="51.5"/>
    <n v="1.66"/>
    <n v="198"/>
    <n v="167"/>
    <n v="70"/>
    <n v="2"/>
    <n v="843"/>
    <x v="0"/>
    <x v="1"/>
    <n v="24.2"/>
    <n v="2.4"/>
    <n v="3"/>
    <x v="2"/>
    <x v="4"/>
    <n v="25.65"/>
  </r>
  <r>
    <n v="24"/>
    <x v="1"/>
    <x v="1"/>
    <n v="80.900000000000006"/>
    <n v="1.74"/>
    <n v="181"/>
    <n v="128"/>
    <n v="61"/>
    <n v="1.19"/>
    <n v="1705"/>
    <x v="2"/>
    <x v="0"/>
    <n v="10"/>
    <n v="2.7"/>
    <n v="4"/>
    <x v="1"/>
    <x v="0"/>
    <n v="12.32"/>
  </r>
  <r>
    <n v="29"/>
    <x v="0"/>
    <x v="0"/>
    <n v="85.3"/>
    <n v="1.68"/>
    <n v="161"/>
    <n v="133"/>
    <n v="74"/>
    <n v="1.45"/>
    <n v="1269"/>
    <x v="1"/>
    <x v="1"/>
    <n v="26.1"/>
    <n v="2.5"/>
    <n v="4"/>
    <x v="2"/>
    <x v="0"/>
    <n v="15.99"/>
  </r>
  <r>
    <n v="18"/>
    <x v="1"/>
    <x v="0"/>
    <n v="47.8"/>
    <n v="1.73"/>
    <n v="162"/>
    <n v="136"/>
    <n v="56"/>
    <n v="1.42"/>
    <n v="562"/>
    <x v="1"/>
    <x v="3"/>
    <n v="23.9"/>
    <n v="3.4"/>
    <n v="3"/>
    <x v="1"/>
    <x v="0"/>
    <n v="14.48"/>
  </r>
  <r>
    <n v="36"/>
    <x v="3"/>
    <x v="0"/>
    <n v="87.9"/>
    <n v="1.54"/>
    <n v="177"/>
    <n v="129"/>
    <n v="58"/>
    <n v="1.93"/>
    <n v="1010"/>
    <x v="1"/>
    <x v="3"/>
    <n v="21.1"/>
    <n v="3.3"/>
    <n v="3"/>
    <x v="1"/>
    <x v="4"/>
    <n v="29.54"/>
  </r>
  <r>
    <n v="49"/>
    <x v="2"/>
    <x v="0"/>
    <n v="43.6"/>
    <n v="1.68"/>
    <n v="170"/>
    <n v="124"/>
    <n v="73"/>
    <n v="0.94"/>
    <n v="739"/>
    <x v="3"/>
    <x v="1"/>
    <n v="27.6"/>
    <n v="3.5"/>
    <n v="4"/>
    <x v="0"/>
    <x v="1"/>
    <n v="30.46"/>
  </r>
  <r>
    <n v="40"/>
    <x v="3"/>
    <x v="0"/>
    <n v="55.7"/>
    <n v="1.6"/>
    <n v="184"/>
    <n v="133"/>
    <n v="72"/>
    <n v="1.4"/>
    <n v="749"/>
    <x v="3"/>
    <x v="3"/>
    <n v="23.7"/>
    <n v="2.6"/>
    <n v="4"/>
    <x v="0"/>
    <x v="2"/>
    <n v="24.88"/>
  </r>
  <r>
    <n v="20"/>
    <x v="1"/>
    <x v="0"/>
    <n v="73.5"/>
    <n v="1.87"/>
    <n v="167"/>
    <n v="145"/>
    <n v="68"/>
    <n v="2"/>
    <n v="1338"/>
    <x v="2"/>
    <x v="3"/>
    <n v="21.9"/>
    <n v="3.5"/>
    <n v="3"/>
    <x v="3"/>
    <x v="2"/>
    <n v="22.35"/>
  </r>
  <r>
    <n v="31"/>
    <x v="0"/>
    <x v="0"/>
    <n v="52.7"/>
    <n v="1.65"/>
    <n v="199"/>
    <n v="138"/>
    <n v="74"/>
    <n v="1.92"/>
    <n v="1102"/>
    <x v="2"/>
    <x v="1"/>
    <n v="24"/>
    <n v="3.3"/>
    <n v="2"/>
    <x v="2"/>
    <x v="0"/>
    <n v="18.38"/>
  </r>
  <r>
    <n v="47"/>
    <x v="2"/>
    <x v="0"/>
    <n v="87.1"/>
    <n v="1.7"/>
    <n v="174"/>
    <n v="160"/>
    <n v="63"/>
    <n v="1.4"/>
    <n v="562"/>
    <x v="2"/>
    <x v="1"/>
    <n v="26"/>
    <n v="3.7"/>
    <n v="5"/>
    <x v="1"/>
    <x v="4"/>
    <n v="26.61"/>
  </r>
  <r>
    <n v="47"/>
    <x v="2"/>
    <x v="2"/>
    <n v="71.5"/>
    <n v="1.79"/>
    <n v="162"/>
    <n v="169"/>
    <n v="65"/>
    <n v="1.84"/>
    <n v="822"/>
    <x v="2"/>
    <x v="1"/>
    <n v="29.1"/>
    <n v="2.2999999999999998"/>
    <n v="5"/>
    <x v="0"/>
    <x v="4"/>
    <n v="25.83"/>
  </r>
  <r>
    <n v="48"/>
    <x v="2"/>
    <x v="0"/>
    <n v="57.3"/>
    <n v="1.9"/>
    <n v="172"/>
    <m/>
    <n v="55"/>
    <n v="1.62"/>
    <n v="877"/>
    <x v="3"/>
    <x v="0"/>
    <n v="10"/>
    <n v="2.8"/>
    <n v="2"/>
    <x v="0"/>
    <x v="1"/>
    <n v="38.130000000000003"/>
  </r>
  <r>
    <n v="54"/>
    <x v="2"/>
    <x v="2"/>
    <n v="40"/>
    <n v="1.75"/>
    <n v="174"/>
    <n v="166"/>
    <n v="66"/>
    <n v="1.58"/>
    <n v="409"/>
    <x v="1"/>
    <x v="1"/>
    <n v="27.9"/>
    <n v="3.5"/>
    <n v="5"/>
    <x v="0"/>
    <x v="0"/>
    <n v="17.72"/>
  </r>
  <r>
    <n v="44"/>
    <x v="3"/>
    <x v="1"/>
    <n v="94.4"/>
    <n v="1.82"/>
    <n v="182"/>
    <n v="140"/>
    <n v="57"/>
    <n v="1.38"/>
    <n v="1369"/>
    <x v="2"/>
    <x v="1"/>
    <n v="20.7"/>
    <n v="3.2"/>
    <n v="3"/>
    <x v="1"/>
    <x v="2"/>
    <n v="22.79"/>
  </r>
  <r>
    <n v="46"/>
    <x v="2"/>
    <x v="1"/>
    <n v="44.9"/>
    <n v="1.93"/>
    <n v="177"/>
    <n v="154"/>
    <n v="58"/>
    <n v="2"/>
    <n v="1434"/>
    <x v="2"/>
    <x v="2"/>
    <n v="31.4"/>
    <n v="3.5"/>
    <n v="4"/>
    <x v="0"/>
    <x v="0"/>
    <n v="12.32"/>
  </r>
  <r>
    <n v="55"/>
    <x v="4"/>
    <x v="1"/>
    <n v="61.9"/>
    <n v="1.74"/>
    <n v="163"/>
    <n v="140"/>
    <n v="73"/>
    <n v="0.97"/>
    <n v="598"/>
    <x v="0"/>
    <x v="1"/>
    <n v="23.6"/>
    <n v="3.1"/>
    <n v="2"/>
    <x v="1"/>
    <x v="4"/>
    <n v="27.13"/>
  </r>
  <r>
    <n v="24"/>
    <x v="1"/>
    <x v="1"/>
    <n v="83.4"/>
    <n v="1.7"/>
    <n v="162"/>
    <n v="169"/>
    <n v="51"/>
    <n v="1.87"/>
    <n v="879"/>
    <x v="3"/>
    <x v="2"/>
    <n v="26.4"/>
    <n v="3.3"/>
    <n v="4"/>
    <x v="1"/>
    <x v="2"/>
    <n v="21.68"/>
  </r>
  <r>
    <n v="18"/>
    <x v="1"/>
    <x v="0"/>
    <n v="83.6"/>
    <n v="1.84"/>
    <n v="186"/>
    <n v="137"/>
    <n v="73"/>
    <n v="1.33"/>
    <n v="1338"/>
    <x v="0"/>
    <x v="2"/>
    <n v="35"/>
    <n v="2.6"/>
    <n v="2"/>
    <x v="0"/>
    <x v="1"/>
    <n v="30.41"/>
  </r>
  <r>
    <n v="18"/>
    <x v="1"/>
    <x v="1"/>
    <n v="87.3"/>
    <n v="1.71"/>
    <n v="199"/>
    <n v="145"/>
    <n v="65"/>
    <n v="1.1599999999999999"/>
    <n v="1783"/>
    <x v="1"/>
    <x v="2"/>
    <n v="30"/>
    <n v="3.3"/>
    <n v="3"/>
    <x v="2"/>
    <x v="0"/>
    <n v="12.32"/>
  </r>
  <r>
    <n v="18"/>
    <x v="1"/>
    <x v="0"/>
    <n v="48.6"/>
    <n v="1.72"/>
    <n v="180"/>
    <n v="136"/>
    <n v="72"/>
    <n v="1.38"/>
    <n v="1185"/>
    <x v="0"/>
    <x v="3"/>
    <n v="23.5"/>
    <n v="1.8"/>
    <m/>
    <x v="0"/>
    <x v="2"/>
    <n v="21.68"/>
  </r>
  <r>
    <n v="18"/>
    <x v="1"/>
    <x v="0"/>
    <n v="80.7"/>
    <n v="2"/>
    <n v="184"/>
    <n v="142"/>
    <n v="74"/>
    <n v="0.72"/>
    <n v="1221"/>
    <x v="3"/>
    <x v="1"/>
    <n v="25.6"/>
    <n v="1.9"/>
    <n v="2"/>
    <x v="0"/>
    <x v="0"/>
    <n v="18.28"/>
  </r>
  <r>
    <n v="33"/>
    <x v="0"/>
    <x v="0"/>
    <n v="62.6"/>
    <n v="1.71"/>
    <n v="192"/>
    <n v="158"/>
    <n v="57"/>
    <n v="1.99"/>
    <n v="1081"/>
    <x v="3"/>
    <x v="2"/>
    <n v="31.3"/>
    <n v="3.5"/>
    <n v="2"/>
    <x v="0"/>
    <x v="1"/>
    <n v="31.79"/>
  </r>
  <r>
    <n v="19"/>
    <x v="1"/>
    <x v="1"/>
    <n v="41.9"/>
    <n v="1.69"/>
    <n v="176"/>
    <n v="138"/>
    <n v="74"/>
    <n v="1.89"/>
    <n v="1010"/>
    <x v="3"/>
    <x v="2"/>
    <n v="27.9"/>
    <n v="2.6"/>
    <n v="2"/>
    <x v="0"/>
    <x v="0"/>
    <n v="17.97"/>
  </r>
  <r>
    <n v="58"/>
    <x v="4"/>
    <x v="1"/>
    <n v="47.6"/>
    <n v="1.84"/>
    <n v="182"/>
    <n v="155"/>
    <n v="66"/>
    <n v="1.59"/>
    <n v="635"/>
    <x v="3"/>
    <x v="0"/>
    <n v="11.2"/>
    <n v="2.6"/>
    <n v="4"/>
    <x v="2"/>
    <x v="0"/>
    <n v="13.65"/>
  </r>
  <r>
    <n v="18"/>
    <x v="1"/>
    <x v="0"/>
    <n v="129.9"/>
    <n v="1.76"/>
    <n v="168"/>
    <n v="135"/>
    <n v="50"/>
    <n v="1.3"/>
    <n v="1208"/>
    <x v="2"/>
    <x v="1"/>
    <n v="25.1"/>
    <n v="2"/>
    <n v="3"/>
    <x v="0"/>
    <x v="0"/>
    <n v="13.89"/>
  </r>
  <r>
    <n v="58"/>
    <x v="4"/>
    <x v="0"/>
    <n v="73.3"/>
    <n v="1.69"/>
    <n v="180"/>
    <n v="156"/>
    <n v="72"/>
    <n v="1.6"/>
    <n v="1350"/>
    <x v="3"/>
    <x v="1"/>
    <n v="25.4"/>
    <n v="3"/>
    <n v="4"/>
    <x v="1"/>
    <x v="1"/>
    <n v="38.450000000000003"/>
  </r>
  <r>
    <n v="47"/>
    <x v="2"/>
    <x v="1"/>
    <n v="45.4"/>
    <n v="1.81"/>
    <n v="189"/>
    <n v="128"/>
    <n v="55"/>
    <n v="1.01"/>
    <n v="662"/>
    <x v="0"/>
    <x v="2"/>
    <n v="28.6"/>
    <n v="3.6"/>
    <n v="4"/>
    <x v="1"/>
    <x v="4"/>
    <n v="29.15"/>
  </r>
  <r>
    <n v="47"/>
    <x v="2"/>
    <x v="1"/>
    <n v="50.6"/>
    <n v="1.65"/>
    <n v="192"/>
    <n v="169"/>
    <n v="63"/>
    <n v="1.36"/>
    <n v="594"/>
    <x v="0"/>
    <x v="2"/>
    <n v="25.5"/>
    <n v="2.2000000000000002"/>
    <n v="5"/>
    <x v="0"/>
    <x v="4"/>
    <n v="28.24"/>
  </r>
  <r>
    <n v="56"/>
    <x v="4"/>
    <x v="1"/>
    <n v="54"/>
    <n v="1.92"/>
    <n v="190"/>
    <n v="129"/>
    <n v="73"/>
    <n v="0.61"/>
    <n v="985"/>
    <x v="2"/>
    <x v="1"/>
    <n v="21.6"/>
    <n v="2.5"/>
    <n v="3"/>
    <x v="0"/>
    <x v="0"/>
    <n v="12.32"/>
  </r>
  <r>
    <n v="34"/>
    <x v="0"/>
    <x v="0"/>
    <n v="73.099999999999994"/>
    <n v="1.73"/>
    <n v="166"/>
    <n v="161"/>
    <n v="69"/>
    <n v="1.64"/>
    <n v="765"/>
    <x v="3"/>
    <x v="1"/>
    <n v="27"/>
    <n v="3.3"/>
    <n v="4"/>
    <x v="0"/>
    <x v="2"/>
    <n v="21.47"/>
  </r>
  <r>
    <n v="36"/>
    <x v="3"/>
    <x v="1"/>
    <n v="47.2"/>
    <n v="1.83"/>
    <m/>
    <n v="146"/>
    <n v="54"/>
    <n v="1.3"/>
    <n v="775"/>
    <x v="2"/>
    <x v="2"/>
    <n v="29.9"/>
    <n v="3.4"/>
    <n v="4"/>
    <x v="1"/>
    <x v="0"/>
    <n v="13.01"/>
  </r>
  <r>
    <n v="21"/>
    <x v="1"/>
    <x v="0"/>
    <n v="48.7"/>
    <m/>
    <n v="198"/>
    <n v="162"/>
    <n v="56"/>
    <n v="1.06"/>
    <n v="1503"/>
    <x v="2"/>
    <x v="0"/>
    <n v="10.1"/>
    <n v="3.4"/>
    <n v="2"/>
    <x v="0"/>
    <x v="2"/>
    <n v="23.7"/>
  </r>
  <r>
    <n v="29"/>
    <x v="0"/>
    <x v="0"/>
    <n v="66.099999999999994"/>
    <n v="1.63"/>
    <n v="181"/>
    <n v="169"/>
    <n v="71"/>
    <n v="1.48"/>
    <n v="666"/>
    <x v="2"/>
    <x v="1"/>
    <n v="30.6"/>
    <n v="1.6"/>
    <n v="5"/>
    <x v="1"/>
    <x v="0"/>
    <n v="17.149999999999999"/>
  </r>
  <r>
    <n v="18"/>
    <x v="1"/>
    <x v="1"/>
    <n v="59"/>
    <n v="1.78"/>
    <n v="173"/>
    <n v="169"/>
    <n v="51"/>
    <n v="1.07"/>
    <n v="904"/>
    <x v="0"/>
    <x v="1"/>
    <n v="18.899999999999999"/>
    <n v="3.2"/>
    <n v="2"/>
    <x v="2"/>
    <x v="0"/>
    <n v="12.32"/>
  </r>
  <r>
    <n v="33"/>
    <x v="0"/>
    <x v="0"/>
    <n v="94.2"/>
    <n v="1.86"/>
    <n v="172"/>
    <n v="148"/>
    <n v="61"/>
    <n v="1.34"/>
    <n v="685"/>
    <x v="1"/>
    <x v="1"/>
    <n v="28.9"/>
    <n v="1.8"/>
    <n v="3"/>
    <x v="1"/>
    <x v="2"/>
    <n v="22.89"/>
  </r>
  <r>
    <n v="38"/>
    <x v="3"/>
    <x v="1"/>
    <n v="40"/>
    <n v="1.86"/>
    <n v="187"/>
    <n v="126"/>
    <n v="71"/>
    <n v="1.6"/>
    <n v="1059"/>
    <x v="1"/>
    <x v="3"/>
    <n v="14.7"/>
    <n v="3"/>
    <n v="2"/>
    <x v="0"/>
    <x v="0"/>
    <n v="12.32"/>
  </r>
  <r>
    <n v="18"/>
    <x v="1"/>
    <x v="0"/>
    <n v="73.599999999999994"/>
    <n v="1.53"/>
    <n v="186"/>
    <n v="128"/>
    <n v="50"/>
    <n v="1.46"/>
    <n v="1222"/>
    <x v="1"/>
    <x v="1"/>
    <n v="25.2"/>
    <n v="2.2999999999999998"/>
    <n v="3"/>
    <x v="1"/>
    <x v="0"/>
    <n v="14.92"/>
  </r>
  <r>
    <n v="50"/>
    <x v="2"/>
    <x v="1"/>
    <n v="69.099999999999994"/>
    <n v="1.88"/>
    <m/>
    <n v="131"/>
    <n v="55"/>
    <n v="0.99"/>
    <n v="777"/>
    <x v="3"/>
    <x v="1"/>
    <n v="19.899999999999999"/>
    <n v="3.7"/>
    <n v="3"/>
    <x v="1"/>
    <x v="0"/>
    <n v="17.62"/>
  </r>
  <r>
    <n v="31"/>
    <x v="0"/>
    <x v="0"/>
    <n v="60.2"/>
    <n v="1.75"/>
    <n v="166"/>
    <n v="155"/>
    <n v="57"/>
    <n v="0.92"/>
    <n v="819"/>
    <x v="1"/>
    <x v="0"/>
    <n v="10"/>
    <n v="3.2"/>
    <n v="5"/>
    <x v="1"/>
    <x v="0"/>
    <n v="12.32"/>
  </r>
  <r>
    <n v="40"/>
    <x v="3"/>
    <x v="1"/>
    <n v="73.8"/>
    <n v="1.85"/>
    <n v="185"/>
    <n v="165"/>
    <n v="59"/>
    <n v="1.99"/>
    <n v="1485"/>
    <x v="4"/>
    <x v="2"/>
    <n v="27.9"/>
    <n v="2"/>
    <n v="4"/>
    <x v="1"/>
    <x v="2"/>
    <n v="22.4"/>
  </r>
  <r>
    <n v="18"/>
    <x v="1"/>
    <x v="1"/>
    <n v="72.8"/>
    <n v="1.84"/>
    <n v="174"/>
    <n v="152"/>
    <n v="62"/>
    <n v="1.32"/>
    <n v="730"/>
    <x v="1"/>
    <x v="1"/>
    <n v="23.5"/>
    <n v="2.1"/>
    <n v="2"/>
    <x v="2"/>
    <x v="0"/>
    <n v="12.32"/>
  </r>
  <r>
    <n v="33"/>
    <x v="0"/>
    <x v="0"/>
    <n v="40"/>
    <n v="1.63"/>
    <n v="165"/>
    <n v="159"/>
    <n v="74"/>
    <n v="2"/>
    <n v="935"/>
    <x v="3"/>
    <x v="1"/>
    <n v="28.2"/>
    <n v="1.6"/>
    <n v="2"/>
    <x v="2"/>
    <x v="0"/>
    <n v="12.98"/>
  </r>
  <r>
    <n v="33"/>
    <x v="0"/>
    <x v="0"/>
    <n v="99.6"/>
    <n v="1.72"/>
    <n v="164"/>
    <n v="169"/>
    <n v="70"/>
    <n v="1.41"/>
    <n v="962"/>
    <x v="2"/>
    <x v="3"/>
    <n v="23.6"/>
    <n v="3.7"/>
    <n v="5"/>
    <x v="0"/>
    <x v="4"/>
    <n v="28.7"/>
  </r>
  <r>
    <n v="48"/>
    <x v="2"/>
    <x v="1"/>
    <n v="71.5"/>
    <n v="1.71"/>
    <n v="183"/>
    <n v="151"/>
    <n v="62"/>
    <n v="1.05"/>
    <m/>
    <x v="0"/>
    <x v="1"/>
    <n v="22"/>
    <n v="2.7"/>
    <n v="4"/>
    <x v="2"/>
    <x v="2"/>
    <n v="20.39"/>
  </r>
  <r>
    <n v="55"/>
    <x v="4"/>
    <x v="1"/>
    <n v="64.400000000000006"/>
    <n v="1.76"/>
    <n v="163"/>
    <n v="144"/>
    <n v="74"/>
    <n v="1.48"/>
    <n v="717"/>
    <x v="1"/>
    <x v="2"/>
    <n v="26.7"/>
    <n v="1.7"/>
    <n v="2"/>
    <x v="2"/>
    <x v="2"/>
    <n v="21.26"/>
  </r>
  <r>
    <n v="50"/>
    <x v="2"/>
    <x v="0"/>
    <n v="56.4"/>
    <n v="1.67"/>
    <n v="193"/>
    <n v="128"/>
    <n v="59"/>
    <n v="1.9"/>
    <n v="1190"/>
    <x v="2"/>
    <x v="0"/>
    <n v="17.5"/>
    <n v="3.7"/>
    <n v="2"/>
    <x v="0"/>
    <x v="0"/>
    <n v="12.32"/>
  </r>
  <r>
    <n v="21"/>
    <x v="1"/>
    <x v="1"/>
    <n v="45.2"/>
    <n v="1.73"/>
    <n v="198"/>
    <n v="156"/>
    <n v="59"/>
    <n v="1.07"/>
    <n v="1562"/>
    <x v="1"/>
    <x v="1"/>
    <n v="24.2"/>
    <n v="2.8"/>
    <n v="4"/>
    <x v="0"/>
    <x v="2"/>
    <n v="22.25"/>
  </r>
  <r>
    <n v="49"/>
    <x v="2"/>
    <x v="0"/>
    <n v="86"/>
    <n v="1.5"/>
    <n v="192"/>
    <n v="127"/>
    <n v="65"/>
    <n v="1.79"/>
    <n v="636"/>
    <x v="2"/>
    <x v="3"/>
    <n v="22.1"/>
    <n v="1.8"/>
    <n v="4"/>
    <x v="2"/>
    <x v="0"/>
    <m/>
  </r>
  <r>
    <n v="49"/>
    <x v="2"/>
    <x v="2"/>
    <n v="70"/>
    <n v="1.64"/>
    <n v="182"/>
    <n v="134"/>
    <n v="71"/>
    <n v="1.5"/>
    <n v="1132"/>
    <x v="1"/>
    <x v="1"/>
    <n v="29.2"/>
    <m/>
    <n v="4"/>
    <x v="2"/>
    <x v="0"/>
    <n v="18.38"/>
  </r>
  <r>
    <n v="33"/>
    <x v="0"/>
    <x v="0"/>
    <n v="60.7"/>
    <n v="2"/>
    <n v="188"/>
    <n v="169"/>
    <n v="74"/>
    <n v="1.42"/>
    <n v="705"/>
    <x v="1"/>
    <x v="3"/>
    <n v="23.3"/>
    <n v="3.2"/>
    <n v="4"/>
    <x v="0"/>
    <x v="2"/>
    <n v="21.91"/>
  </r>
  <r>
    <n v="42"/>
    <x v="3"/>
    <x v="1"/>
    <n v="53.6"/>
    <n v="1.86"/>
    <n v="199"/>
    <n v="167"/>
    <n v="62"/>
    <n v="2"/>
    <n v="1096"/>
    <x v="0"/>
    <x v="1"/>
    <n v="21.9"/>
    <n v="3.4"/>
    <n v="3"/>
    <x v="1"/>
    <x v="2"/>
    <n v="20.71"/>
  </r>
  <r>
    <n v="35"/>
    <x v="3"/>
    <x v="0"/>
    <n v="64.3"/>
    <n v="1.79"/>
    <n v="188"/>
    <n v="148"/>
    <n v="62"/>
    <n v="1.63"/>
    <n v="1192"/>
    <x v="2"/>
    <x v="0"/>
    <n v="16.3"/>
    <n v="2.2000000000000002"/>
    <n v="5"/>
    <x v="0"/>
    <x v="0"/>
    <n v="13.91"/>
  </r>
  <r>
    <n v="18"/>
    <x v="1"/>
    <x v="1"/>
    <n v="78"/>
    <n v="1.51"/>
    <n v="182"/>
    <n v="169"/>
    <n v="64"/>
    <n v="1.06"/>
    <n v="990"/>
    <x v="0"/>
    <x v="2"/>
    <n v="31.4"/>
    <n v="3.1"/>
    <n v="3"/>
    <x v="0"/>
    <x v="0"/>
    <n v="12.32"/>
  </r>
  <r>
    <n v="46"/>
    <x v="2"/>
    <x v="1"/>
    <n v="50.2"/>
    <n v="1.8"/>
    <n v="193"/>
    <n v="132"/>
    <n v="74"/>
    <n v="1.21"/>
    <n v="893"/>
    <x v="2"/>
    <x v="2"/>
    <n v="28.4"/>
    <n v="3.4"/>
    <n v="3"/>
    <x v="2"/>
    <x v="0"/>
    <n v="15.85"/>
  </r>
  <r>
    <n v="29"/>
    <x v="0"/>
    <x v="0"/>
    <n v="57"/>
    <n v="1.62"/>
    <n v="188"/>
    <n v="126"/>
    <n v="70"/>
    <n v="2"/>
    <n v="998"/>
    <x v="3"/>
    <x v="0"/>
    <n v="17.899999999999999"/>
    <n v="3.4"/>
    <n v="4"/>
    <x v="1"/>
    <x v="0"/>
    <n v="13.32"/>
  </r>
  <r>
    <n v="50"/>
    <x v="2"/>
    <x v="1"/>
    <n v="87.6"/>
    <n v="1.67"/>
    <n v="172"/>
    <n v="156"/>
    <n v="74"/>
    <n v="0.97"/>
    <n v="1005"/>
    <x v="4"/>
    <x v="1"/>
    <n v="23"/>
    <n v="2"/>
    <n v="4"/>
    <x v="0"/>
    <x v="2"/>
    <n v="23.76"/>
  </r>
  <r>
    <n v="20"/>
    <x v="1"/>
    <x v="0"/>
    <n v="86"/>
    <n v="1.69"/>
    <n v="183"/>
    <n v="136"/>
    <n v="58"/>
    <n v="1.1599999999999999"/>
    <n v="861"/>
    <x v="0"/>
    <x v="3"/>
    <n v="23.3"/>
    <n v="3.6"/>
    <n v="5"/>
    <x v="3"/>
    <x v="4"/>
    <n v="28.85"/>
  </r>
  <r>
    <n v="28"/>
    <x v="0"/>
    <x v="0"/>
    <n v="43.3"/>
    <n v="1.78"/>
    <n v="193"/>
    <n v="128"/>
    <n v="72"/>
    <n v="1.27"/>
    <n v="1479"/>
    <x v="2"/>
    <x v="1"/>
    <n v="26.3"/>
    <n v="3.4"/>
    <n v="3"/>
    <x v="1"/>
    <x v="1"/>
    <n v="31.04"/>
  </r>
  <r>
    <n v="18"/>
    <x v="1"/>
    <x v="1"/>
    <n v="65.900000000000006"/>
    <n v="1.78"/>
    <n v="170"/>
    <n v="135"/>
    <n v="69"/>
    <n v="2"/>
    <n v="1734"/>
    <x v="3"/>
    <x v="1"/>
    <n v="23.9"/>
    <n v="3.1"/>
    <n v="3"/>
    <x v="1"/>
    <x v="2"/>
    <n v="24.81"/>
  </r>
  <r>
    <n v="18"/>
    <x v="1"/>
    <x v="0"/>
    <n v="61"/>
    <n v="1.51"/>
    <n v="173"/>
    <n v="146"/>
    <n v="58"/>
    <n v="2"/>
    <n v="1403"/>
    <x v="1"/>
    <x v="3"/>
    <n v="21.7"/>
    <n v="2.1"/>
    <n v="2"/>
    <x v="0"/>
    <x v="0"/>
    <n v="12.32"/>
  </r>
  <r>
    <n v="22"/>
    <x v="1"/>
    <x v="1"/>
    <n v="71"/>
    <n v="1.72"/>
    <n v="192"/>
    <n v="128"/>
    <n v="59"/>
    <n v="1.44"/>
    <n v="1436"/>
    <x v="1"/>
    <x v="2"/>
    <n v="28.5"/>
    <n v="3.2"/>
    <n v="3"/>
    <x v="0"/>
    <x v="0"/>
    <n v="17.82"/>
  </r>
  <r>
    <n v="44"/>
    <x v="3"/>
    <x v="1"/>
    <n v="56.7"/>
    <n v="1.77"/>
    <n v="194"/>
    <n v="161"/>
    <n v="68"/>
    <n v="1.47"/>
    <m/>
    <x v="0"/>
    <x v="2"/>
    <n v="28"/>
    <n v="3.5"/>
    <n v="2"/>
    <x v="2"/>
    <x v="2"/>
    <n v="19.97"/>
  </r>
  <r>
    <n v="42"/>
    <x v="3"/>
    <x v="0"/>
    <n v="57.3"/>
    <n v="1.76"/>
    <n v="174"/>
    <n v="131"/>
    <n v="74"/>
    <n v="1.1299999999999999"/>
    <n v="841"/>
    <x v="3"/>
    <x v="3"/>
    <n v="22.1"/>
    <n v="1.9"/>
    <n v="4"/>
    <x v="2"/>
    <x v="0"/>
    <n v="12.46"/>
  </r>
  <r>
    <n v="26"/>
    <x v="0"/>
    <x v="1"/>
    <n v="95.2"/>
    <n v="1.68"/>
    <n v="163"/>
    <n v="142"/>
    <n v="68"/>
    <n v="0.71"/>
    <n v="1196"/>
    <x v="0"/>
    <x v="1"/>
    <n v="24.2"/>
    <n v="3.7"/>
    <n v="4"/>
    <x v="0"/>
    <x v="2"/>
    <n v="19.46"/>
  </r>
  <r>
    <n v="38"/>
    <x v="3"/>
    <x v="1"/>
    <n v="71.7"/>
    <n v="1.71"/>
    <n v="187"/>
    <m/>
    <n v="74"/>
    <n v="1.39"/>
    <n v="542"/>
    <x v="3"/>
    <x v="2"/>
    <n v="26.5"/>
    <n v="3.1"/>
    <n v="3"/>
    <x v="1"/>
    <x v="0"/>
    <n v="12.32"/>
  </r>
  <r>
    <n v="49"/>
    <x v="2"/>
    <x v="0"/>
    <n v="68.8"/>
    <n v="1.66"/>
    <n v="190"/>
    <n v="137"/>
    <n v="63"/>
    <n v="2"/>
    <n v="1023"/>
    <x v="3"/>
    <x v="1"/>
    <n v="26.2"/>
    <n v="2.6"/>
    <n v="2"/>
    <x v="1"/>
    <x v="0"/>
    <n v="15.5"/>
  </r>
  <r>
    <n v="43"/>
    <x v="3"/>
    <x v="0"/>
    <n v="69.7"/>
    <n v="1.75"/>
    <n v="193"/>
    <n v="162"/>
    <n v="53"/>
    <n v="0.52"/>
    <n v="1262"/>
    <x v="1"/>
    <x v="1"/>
    <n v="26.1"/>
    <n v="1.5"/>
    <n v="3"/>
    <x v="0"/>
    <x v="2"/>
    <n v="22.68"/>
  </r>
  <r>
    <n v="34"/>
    <x v="0"/>
    <x v="0"/>
    <n v="102.9"/>
    <n v="1.64"/>
    <n v="188"/>
    <n v="124"/>
    <n v="74"/>
    <n v="1.24"/>
    <n v="700"/>
    <x v="0"/>
    <x v="1"/>
    <n v="24.2"/>
    <n v="3.3"/>
    <n v="4"/>
    <x v="1"/>
    <x v="0"/>
    <n v="14.76"/>
  </r>
  <r>
    <n v="23"/>
    <x v="1"/>
    <x v="0"/>
    <n v="90.5"/>
    <n v="1.5"/>
    <n v="182"/>
    <n v="148"/>
    <n v="67"/>
    <n v="1.1599999999999999"/>
    <n v="1204"/>
    <x v="0"/>
    <x v="3"/>
    <n v="23.3"/>
    <n v="2.8"/>
    <n v="2"/>
    <x v="0"/>
    <x v="0"/>
    <n v="15.69"/>
  </r>
  <r>
    <n v="29"/>
    <x v="0"/>
    <x v="0"/>
    <n v="40"/>
    <n v="1.72"/>
    <n v="194"/>
    <n v="127"/>
    <n v="68"/>
    <n v="1.51"/>
    <n v="1005"/>
    <x v="2"/>
    <x v="1"/>
    <n v="27.1"/>
    <n v="2.1"/>
    <n v="2"/>
    <x v="1"/>
    <x v="2"/>
    <n v="21.98"/>
  </r>
  <r>
    <n v="31"/>
    <x v="0"/>
    <x v="1"/>
    <n v="81.900000000000006"/>
    <n v="1.63"/>
    <n v="168"/>
    <n v="126"/>
    <n v="56"/>
    <n v="1.17"/>
    <n v="760"/>
    <x v="1"/>
    <x v="1"/>
    <n v="23.1"/>
    <n v="2.1"/>
    <n v="4"/>
    <x v="0"/>
    <x v="0"/>
    <n v="12.32"/>
  </r>
  <r>
    <n v="38"/>
    <x v="3"/>
    <x v="1"/>
    <n v="99.6"/>
    <n v="1.6"/>
    <n v="173"/>
    <n v="132"/>
    <n v="56"/>
    <n v="1.01"/>
    <n v="1128"/>
    <x v="0"/>
    <x v="2"/>
    <n v="30.6"/>
    <n v="3.4"/>
    <n v="2"/>
    <x v="0"/>
    <x v="0"/>
    <n v="16.920000000000002"/>
  </r>
  <r>
    <n v="18"/>
    <x v="1"/>
    <x v="0"/>
    <n v="65.7"/>
    <n v="1.72"/>
    <n v="180"/>
    <n v="169"/>
    <n v="56"/>
    <n v="2"/>
    <n v="1005"/>
    <x v="2"/>
    <x v="1"/>
    <n v="27"/>
    <n v="3"/>
    <n v="3"/>
    <x v="0"/>
    <x v="2"/>
    <n v="21.61"/>
  </r>
  <r>
    <n v="18"/>
    <x v="1"/>
    <x v="1"/>
    <m/>
    <n v="1.84"/>
    <n v="179"/>
    <n v="136"/>
    <n v="74"/>
    <n v="1.52"/>
    <n v="1256"/>
    <x v="0"/>
    <x v="1"/>
    <n v="22.5"/>
    <n v="3.4"/>
    <n v="2"/>
    <x v="0"/>
    <x v="2"/>
    <n v="18.899999999999999"/>
  </r>
  <r>
    <n v="41"/>
    <x v="3"/>
    <x v="0"/>
    <n v="85.7"/>
    <n v="1.66"/>
    <n v="170"/>
    <n v="134"/>
    <n v="74"/>
    <n v="1.69"/>
    <n v="475"/>
    <x v="3"/>
    <x v="0"/>
    <n v="11.1"/>
    <n v="1.5"/>
    <n v="4"/>
    <x v="1"/>
    <x v="0"/>
    <n v="17.329999999999998"/>
  </r>
  <r>
    <n v="29"/>
    <x v="0"/>
    <x v="1"/>
    <n v="62"/>
    <n v="1.74"/>
    <n v="181"/>
    <n v="158"/>
    <n v="53"/>
    <n v="1.1499999999999999"/>
    <n v="549"/>
    <x v="3"/>
    <x v="1"/>
    <n v="22.5"/>
    <n v="2.2000000000000002"/>
    <m/>
    <x v="3"/>
    <x v="0"/>
    <n v="16.32"/>
  </r>
  <r>
    <n v="45"/>
    <x v="2"/>
    <x v="1"/>
    <n v="70.900000000000006"/>
    <n v="2"/>
    <n v="198"/>
    <n v="128"/>
    <n v="73"/>
    <n v="1.19"/>
    <n v="1064"/>
    <x v="2"/>
    <x v="2"/>
    <n v="27.8"/>
    <n v="1.5"/>
    <n v="3"/>
    <x v="1"/>
    <x v="4"/>
    <n v="27.46"/>
  </r>
  <r>
    <n v="49"/>
    <x v="2"/>
    <x v="0"/>
    <n v="59.2"/>
    <n v="1.55"/>
    <n v="185"/>
    <n v="169"/>
    <n v="63"/>
    <n v="1.32"/>
    <n v="1169"/>
    <x v="3"/>
    <x v="1"/>
    <n v="25.1"/>
    <n v="1.7"/>
    <n v="4"/>
    <x v="1"/>
    <x v="4"/>
    <n v="27.18"/>
  </r>
  <r>
    <n v="29"/>
    <x v="0"/>
    <x v="1"/>
    <n v="83.7"/>
    <n v="1.8"/>
    <n v="190"/>
    <n v="149"/>
    <n v="74"/>
    <n v="1.43"/>
    <n v="1157"/>
    <x v="1"/>
    <x v="3"/>
    <n v="16"/>
    <n v="3.5"/>
    <m/>
    <x v="1"/>
    <x v="0"/>
    <n v="13.59"/>
  </r>
  <r>
    <n v="55"/>
    <x v="4"/>
    <x v="0"/>
    <n v="53.8"/>
    <n v="1.52"/>
    <n v="191"/>
    <n v="136"/>
    <n v="55"/>
    <n v="1.17"/>
    <n v="1102"/>
    <x v="2"/>
    <x v="3"/>
    <n v="20.399999999999999"/>
    <n v="3.6"/>
    <n v="3"/>
    <x v="0"/>
    <x v="2"/>
    <n v="23.84"/>
  </r>
  <r>
    <n v="18"/>
    <x v="1"/>
    <x v="0"/>
    <n v="68.099999999999994"/>
    <n v="1.66"/>
    <n v="160"/>
    <n v="120"/>
    <n v="65"/>
    <n v="1.43"/>
    <n v="1343"/>
    <x v="1"/>
    <x v="1"/>
    <n v="27.2"/>
    <n v="3.3"/>
    <n v="4"/>
    <x v="1"/>
    <x v="4"/>
    <n v="25.77"/>
  </r>
  <r>
    <n v="41"/>
    <x v="3"/>
    <x v="0"/>
    <n v="105.1"/>
    <n v="1.67"/>
    <n v="194"/>
    <n v="127"/>
    <n v="68"/>
    <n v="1.3"/>
    <n v="1068"/>
    <x v="0"/>
    <x v="1"/>
    <n v="30.6"/>
    <n v="3.5"/>
    <n v="3"/>
    <x v="2"/>
    <x v="0"/>
    <n v="17.649999999999999"/>
  </r>
  <r>
    <n v="24"/>
    <x v="1"/>
    <x v="2"/>
    <n v="45.5"/>
    <n v="2"/>
    <n v="169"/>
    <n v="164"/>
    <n v="60"/>
    <n v="1.82"/>
    <n v="1297"/>
    <x v="2"/>
    <x v="1"/>
    <n v="24.9"/>
    <n v="2.2000000000000002"/>
    <n v="3"/>
    <x v="1"/>
    <x v="0"/>
    <n v="17.600000000000001"/>
  </r>
  <r>
    <n v="51"/>
    <x v="2"/>
    <x v="1"/>
    <n v="58.8"/>
    <n v="1.63"/>
    <n v="188"/>
    <n v="155"/>
    <n v="59"/>
    <n v="1.1000000000000001"/>
    <n v="897"/>
    <x v="1"/>
    <x v="1"/>
    <n v="24.7"/>
    <n v="3.3"/>
    <n v="2"/>
    <x v="1"/>
    <x v="2"/>
    <n v="21.73"/>
  </r>
  <r>
    <n v="20"/>
    <x v="1"/>
    <x v="1"/>
    <n v="52.9"/>
    <n v="1.8"/>
    <n v="163"/>
    <n v="159"/>
    <n v="57"/>
    <n v="1.45"/>
    <n v="1117"/>
    <x v="0"/>
    <x v="2"/>
    <n v="27.1"/>
    <n v="3.3"/>
    <n v="3"/>
    <x v="1"/>
    <x v="4"/>
    <n v="27.72"/>
  </r>
  <r>
    <n v="43"/>
    <x v="3"/>
    <x v="0"/>
    <n v="57.1"/>
    <n v="1.96"/>
    <n v="196"/>
    <n v="149"/>
    <n v="51"/>
    <n v="1.88"/>
    <n v="858"/>
    <x v="1"/>
    <x v="1"/>
    <n v="29.9"/>
    <n v="3.2"/>
    <n v="5"/>
    <x v="3"/>
    <x v="0"/>
    <n v="13.07"/>
  </r>
  <r>
    <n v="23"/>
    <x v="1"/>
    <x v="1"/>
    <n v="68.599999999999994"/>
    <n v="1.8"/>
    <n v="196"/>
    <n v="138"/>
    <n v="65"/>
    <n v="1.08"/>
    <n v="578"/>
    <x v="0"/>
    <x v="3"/>
    <n v="16.8"/>
    <n v="2.6"/>
    <n v="2"/>
    <x v="1"/>
    <x v="2"/>
    <n v="21.41"/>
  </r>
  <r>
    <n v="39"/>
    <x v="3"/>
    <x v="1"/>
    <n v="76.2"/>
    <n v="1.77"/>
    <n v="164"/>
    <n v="169"/>
    <n v="74"/>
    <n v="2"/>
    <n v="1196"/>
    <x v="2"/>
    <x v="2"/>
    <n v="28.7"/>
    <n v="3.3"/>
    <n v="2"/>
    <x v="1"/>
    <x v="0"/>
    <n v="17.38"/>
  </r>
  <r>
    <n v="47"/>
    <x v="2"/>
    <x v="1"/>
    <n v="68.2"/>
    <n v="1.58"/>
    <n v="164"/>
    <n v="140"/>
    <n v="72"/>
    <n v="1"/>
    <n v="1316"/>
    <x v="2"/>
    <x v="2"/>
    <n v="28.1"/>
    <n v="2.6"/>
    <n v="2"/>
    <x v="2"/>
    <x v="0"/>
    <n v="16.350000000000001"/>
  </r>
  <r>
    <n v="18"/>
    <x v="1"/>
    <x v="1"/>
    <n v="40"/>
    <n v="1.64"/>
    <n v="160"/>
    <n v="152"/>
    <n v="56"/>
    <n v="1.2"/>
    <n v="1317"/>
    <x v="1"/>
    <x v="1"/>
    <n v="19.2"/>
    <n v="1.8"/>
    <n v="3"/>
    <x v="1"/>
    <x v="4"/>
    <n v="28.02"/>
  </r>
  <r>
    <n v="28"/>
    <x v="0"/>
    <x v="1"/>
    <n v="82.4"/>
    <n v="1.57"/>
    <n v="171"/>
    <n v="169"/>
    <n v="55"/>
    <n v="1.07"/>
    <n v="1218"/>
    <x v="2"/>
    <x v="2"/>
    <n v="31"/>
    <n v="2.5"/>
    <n v="4"/>
    <x v="3"/>
    <x v="0"/>
    <n v="12.47"/>
  </r>
  <r>
    <n v="29"/>
    <x v="0"/>
    <x v="1"/>
    <n v="46.8"/>
    <n v="1.7"/>
    <n v="195"/>
    <n v="153"/>
    <n v="59"/>
    <n v="1.33"/>
    <n v="1178"/>
    <x v="1"/>
    <x v="1"/>
    <n v="24.7"/>
    <n v="3.4"/>
    <n v="3"/>
    <x v="0"/>
    <x v="4"/>
    <n v="26.27"/>
  </r>
  <r>
    <n v="21"/>
    <x v="1"/>
    <x v="1"/>
    <n v="62.2"/>
    <n v="1.71"/>
    <n v="190"/>
    <n v="142"/>
    <n v="58"/>
    <n v="2"/>
    <n v="1757"/>
    <x v="3"/>
    <x v="1"/>
    <n v="18.5"/>
    <n v="3.1"/>
    <m/>
    <x v="0"/>
    <x v="0"/>
    <n v="16.059999999999999"/>
  </r>
  <r>
    <n v="33"/>
    <x v="0"/>
    <x v="1"/>
    <n v="58.1"/>
    <n v="1.65"/>
    <n v="168"/>
    <n v="130"/>
    <n v="60"/>
    <n v="1.18"/>
    <n v="850"/>
    <x v="0"/>
    <x v="1"/>
    <n v="22.4"/>
    <n v="3.1"/>
    <n v="3"/>
    <x v="0"/>
    <x v="0"/>
    <n v="12.32"/>
  </r>
  <r>
    <n v="18"/>
    <x v="1"/>
    <x v="0"/>
    <n v="82.7"/>
    <n v="1.79"/>
    <n v="191"/>
    <n v="124"/>
    <n v="18"/>
    <n v="1.1499999999999999"/>
    <n v="823"/>
    <x v="2"/>
    <x v="2"/>
    <n v="31.8"/>
    <n v="1.8"/>
    <n v="3"/>
    <x v="1"/>
    <x v="0"/>
    <n v="12.32"/>
  </r>
  <r>
    <n v="45"/>
    <x v="2"/>
    <x v="0"/>
    <n v="55.2"/>
    <n v="1.9"/>
    <n v="175"/>
    <n v="156"/>
    <n v="67"/>
    <n v="1.39"/>
    <n v="854"/>
    <x v="0"/>
    <x v="1"/>
    <n v="24.5"/>
    <n v="2.5"/>
    <n v="5"/>
    <x v="1"/>
    <x v="0"/>
    <n v="12.32"/>
  </r>
  <r>
    <n v="18"/>
    <x v="1"/>
    <x v="0"/>
    <n v="65.5"/>
    <n v="1.69"/>
    <n v="178"/>
    <n v="134"/>
    <n v="53"/>
    <n v="1.29"/>
    <n v="405"/>
    <x v="1"/>
    <x v="1"/>
    <n v="24.4"/>
    <m/>
    <n v="4"/>
    <x v="0"/>
    <x v="0"/>
    <n v="12.32"/>
  </r>
  <r>
    <n v="22"/>
    <x v="1"/>
    <x v="1"/>
    <n v="52.3"/>
    <n v="1.66"/>
    <n v="190"/>
    <n v="146"/>
    <n v="59"/>
    <n v="0.76"/>
    <n v="1186"/>
    <x v="3"/>
    <x v="1"/>
    <n v="21.4"/>
    <n v="3.3"/>
    <n v="2"/>
    <x v="0"/>
    <x v="0"/>
    <n v="15.38"/>
  </r>
  <r>
    <n v="37"/>
    <x v="3"/>
    <x v="0"/>
    <n v="40"/>
    <n v="1.66"/>
    <n v="176"/>
    <n v="134"/>
    <n v="57"/>
    <n v="2"/>
    <n v="931"/>
    <x v="0"/>
    <x v="1"/>
    <n v="27.2"/>
    <n v="2.7"/>
    <n v="3"/>
    <x v="0"/>
    <x v="2"/>
    <n v="23.21"/>
  </r>
  <r>
    <n v="28"/>
    <x v="0"/>
    <x v="0"/>
    <n v="93.2"/>
    <n v="1.71"/>
    <n v="176"/>
    <n v="149"/>
    <n v="60"/>
    <n v="1.4"/>
    <n v="1348"/>
    <x v="2"/>
    <x v="1"/>
    <n v="27.2"/>
    <n v="2.1"/>
    <m/>
    <x v="0"/>
    <x v="0"/>
    <n v="14.12"/>
  </r>
  <r>
    <n v="18"/>
    <x v="1"/>
    <x v="0"/>
    <n v="53.9"/>
    <n v="1.73"/>
    <n v="177"/>
    <n v="157"/>
    <n v="73"/>
    <n v="1.24"/>
    <n v="1483"/>
    <x v="1"/>
    <x v="0"/>
    <n v="10"/>
    <n v="3.5"/>
    <n v="3"/>
    <x v="1"/>
    <x v="0"/>
    <n v="15.92"/>
  </r>
  <r>
    <n v="52"/>
    <x v="2"/>
    <x v="1"/>
    <n v="54.9"/>
    <n v="1.67"/>
    <n v="167"/>
    <n v="144"/>
    <n v="69"/>
    <n v="2"/>
    <n v="997"/>
    <x v="0"/>
    <x v="3"/>
    <n v="16.399999999999999"/>
    <n v="2.5"/>
    <n v="4"/>
    <x v="0"/>
    <x v="0"/>
    <n v="18.27"/>
  </r>
  <r>
    <n v="18"/>
    <x v="1"/>
    <x v="1"/>
    <n v="62.7"/>
    <n v="1.87"/>
    <n v="184"/>
    <n v="141"/>
    <n v="59"/>
    <n v="1.59"/>
    <n v="708"/>
    <x v="1"/>
    <x v="0"/>
    <n v="10.3"/>
    <n v="1.5"/>
    <n v="2"/>
    <x v="0"/>
    <x v="0"/>
    <n v="13.14"/>
  </r>
  <r>
    <n v="57"/>
    <x v="4"/>
    <x v="0"/>
    <n v="98.3"/>
    <n v="1.71"/>
    <n v="162"/>
    <n v="126"/>
    <n v="61"/>
    <n v="0.95"/>
    <n v="366"/>
    <x v="2"/>
    <x v="3"/>
    <n v="22.7"/>
    <n v="3.3"/>
    <n v="3"/>
    <x v="0"/>
    <x v="2"/>
    <n v="20.61"/>
  </r>
  <r>
    <n v="40"/>
    <x v="3"/>
    <x v="0"/>
    <n v="71.400000000000006"/>
    <n v="1.92"/>
    <n v="171"/>
    <n v="167"/>
    <n v="57"/>
    <n v="0.62"/>
    <n v="1412"/>
    <x v="0"/>
    <x v="0"/>
    <n v="10"/>
    <n v="1.8"/>
    <n v="3"/>
    <x v="1"/>
    <x v="0"/>
    <n v="18.190000000000001"/>
  </r>
  <r>
    <n v="33"/>
    <x v="0"/>
    <x v="1"/>
    <n v="74.599999999999994"/>
    <n v="1.58"/>
    <n v="172"/>
    <n v="165"/>
    <n v="68"/>
    <n v="1.4"/>
    <n v="1271"/>
    <x v="3"/>
    <x v="3"/>
    <n v="15.6"/>
    <n v="2.7"/>
    <n v="2"/>
    <x v="0"/>
    <x v="0"/>
    <n v="13.23"/>
  </r>
  <r>
    <n v="51"/>
    <x v="2"/>
    <x v="1"/>
    <n v="47.1"/>
    <n v="2"/>
    <n v="177"/>
    <n v="163"/>
    <n v="65"/>
    <n v="1.29"/>
    <n v="1140"/>
    <x v="3"/>
    <x v="1"/>
    <n v="21.9"/>
    <n v="2.8"/>
    <n v="5"/>
    <x v="1"/>
    <x v="0"/>
    <n v="14.85"/>
  </r>
  <r>
    <n v="46"/>
    <x v="2"/>
    <x v="0"/>
    <n v="49.2"/>
    <n v="1.5"/>
    <n v="184"/>
    <n v="120"/>
    <n v="73"/>
    <n v="2"/>
    <n v="832"/>
    <x v="3"/>
    <x v="1"/>
    <n v="25.9"/>
    <n v="3.3"/>
    <n v="3"/>
    <x v="1"/>
    <x v="0"/>
    <n v="15.31"/>
  </r>
  <r>
    <n v="36"/>
    <x v="3"/>
    <x v="1"/>
    <n v="80.8"/>
    <n v="1.91"/>
    <n v="184"/>
    <m/>
    <n v="59"/>
    <n v="0.99"/>
    <n v="780"/>
    <x v="2"/>
    <x v="1"/>
    <n v="23.6"/>
    <n v="3.3"/>
    <n v="4"/>
    <x v="0"/>
    <x v="2"/>
    <n v="18.61"/>
  </r>
  <r>
    <n v="51"/>
    <x v="2"/>
    <x v="1"/>
    <n v="80.8"/>
    <n v="2"/>
    <n v="167"/>
    <n v="129"/>
    <n v="55"/>
    <n v="1.52"/>
    <n v="1454"/>
    <x v="1"/>
    <x v="2"/>
    <n v="33.9"/>
    <n v="1.6"/>
    <n v="3"/>
    <x v="1"/>
    <x v="0"/>
    <n v="12.58"/>
  </r>
  <r>
    <n v="59"/>
    <x v="4"/>
    <x v="0"/>
    <n v="85.7"/>
    <n v="1.6"/>
    <n v="182"/>
    <n v="140"/>
    <n v="72"/>
    <n v="2"/>
    <n v="1243"/>
    <x v="3"/>
    <x v="2"/>
    <n v="33.4"/>
    <n v="1.5"/>
    <n v="4"/>
    <x v="2"/>
    <x v="2"/>
    <n v="24.01"/>
  </r>
  <r>
    <n v="18"/>
    <x v="1"/>
    <x v="1"/>
    <n v="42.3"/>
    <n v="1.64"/>
    <n v="198"/>
    <n v="169"/>
    <n v="65"/>
    <n v="1.55"/>
    <n v="1199"/>
    <x v="1"/>
    <x v="2"/>
    <n v="26.4"/>
    <n v="3.2"/>
    <n v="4"/>
    <x v="1"/>
    <x v="0"/>
    <n v="15.26"/>
  </r>
  <r>
    <n v="23"/>
    <x v="1"/>
    <x v="0"/>
    <n v="41.5"/>
    <n v="1.89"/>
    <n v="188"/>
    <n v="129"/>
    <n v="59"/>
    <n v="1.35"/>
    <n v="532"/>
    <x v="2"/>
    <x v="1"/>
    <n v="27.6"/>
    <n v="3.4"/>
    <n v="3"/>
    <x v="0"/>
    <x v="2"/>
    <n v="20.79"/>
  </r>
  <r>
    <n v="22"/>
    <x v="1"/>
    <x v="1"/>
    <n v="84.3"/>
    <n v="1.6"/>
    <n v="173"/>
    <n v="127"/>
    <n v="72"/>
    <n v="0.8"/>
    <n v="911"/>
    <x v="2"/>
    <x v="1"/>
    <n v="24"/>
    <n v="3.3"/>
    <n v="5"/>
    <x v="1"/>
    <x v="0"/>
    <n v="13.86"/>
  </r>
  <r>
    <n v="34"/>
    <x v="0"/>
    <x v="1"/>
    <n v="82.4"/>
    <n v="1.66"/>
    <n v="192"/>
    <n v="148"/>
    <n v="72"/>
    <n v="1.1100000000000001"/>
    <n v="1090"/>
    <x v="0"/>
    <x v="2"/>
    <n v="26.3"/>
    <n v="3.4"/>
    <n v="2"/>
    <x v="0"/>
    <x v="0"/>
    <n v="18.079999999999998"/>
  </r>
  <r>
    <n v="24"/>
    <x v="1"/>
    <x v="2"/>
    <n v="79.7"/>
    <n v="1.92"/>
    <n v="192"/>
    <m/>
    <n v="53"/>
    <n v="1.29"/>
    <n v="1187"/>
    <x v="3"/>
    <x v="1"/>
    <n v="25.3"/>
    <n v="3.5"/>
    <n v="5"/>
    <x v="2"/>
    <x v="3"/>
    <n v="45.54"/>
  </r>
  <r>
    <n v="32"/>
    <x v="0"/>
    <x v="1"/>
    <n v="40.6"/>
    <n v="1.92"/>
    <n v="166"/>
    <n v="169"/>
    <n v="57"/>
    <n v="1.33"/>
    <n v="1783"/>
    <x v="0"/>
    <x v="1"/>
    <n v="17.100000000000001"/>
    <n v="3.6"/>
    <n v="5"/>
    <x v="2"/>
    <x v="0"/>
    <n v="12.32"/>
  </r>
  <r>
    <n v="46"/>
    <x v="2"/>
    <x v="0"/>
    <n v="58.6"/>
    <n v="2"/>
    <n v="194"/>
    <n v="135"/>
    <n v="55"/>
    <n v="2"/>
    <n v="1162"/>
    <x v="2"/>
    <x v="1"/>
    <n v="27.1"/>
    <n v="3.6"/>
    <n v="2"/>
    <x v="1"/>
    <x v="2"/>
    <n v="24.38"/>
  </r>
  <r>
    <n v="20"/>
    <x v="1"/>
    <x v="1"/>
    <n v="40"/>
    <n v="1.81"/>
    <n v="176"/>
    <n v="138"/>
    <n v="66"/>
    <n v="1.44"/>
    <n v="1210"/>
    <x v="1"/>
    <x v="1"/>
    <n v="23"/>
    <n v="3.6"/>
    <n v="4"/>
    <x v="0"/>
    <x v="0"/>
    <n v="12.32"/>
  </r>
  <r>
    <n v="36"/>
    <x v="3"/>
    <x v="0"/>
    <n v="80.8"/>
    <n v="1.71"/>
    <n v="162"/>
    <n v="163"/>
    <n v="74"/>
    <n v="1.86"/>
    <n v="900"/>
    <x v="3"/>
    <x v="0"/>
    <n v="19.399999999999999"/>
    <n v="2"/>
    <n v="2"/>
    <x v="0"/>
    <x v="0"/>
    <n v="12.54"/>
  </r>
  <r>
    <n v="54"/>
    <x v="2"/>
    <x v="1"/>
    <n v="88.5"/>
    <n v="2"/>
    <n v="173"/>
    <n v="134"/>
    <n v="58"/>
    <n v="1.1100000000000001"/>
    <n v="1388"/>
    <x v="2"/>
    <x v="2"/>
    <n v="27.7"/>
    <n v="3.7"/>
    <n v="3"/>
    <x v="0"/>
    <x v="1"/>
    <n v="36.729999999999997"/>
  </r>
  <r>
    <n v="52"/>
    <x v="2"/>
    <x v="1"/>
    <n v="84.3"/>
    <n v="1.69"/>
    <n v="164"/>
    <n v="169"/>
    <n v="54"/>
    <n v="0.77"/>
    <n v="1367"/>
    <x v="2"/>
    <x v="2"/>
    <n v="32.6"/>
    <n v="2.9"/>
    <n v="3"/>
    <x v="0"/>
    <x v="0"/>
    <n v="15.11"/>
  </r>
  <r>
    <n v="47"/>
    <x v="2"/>
    <x v="1"/>
    <n v="70.099999999999994"/>
    <n v="1.84"/>
    <n v="188"/>
    <n v="129"/>
    <n v="67"/>
    <n v="1.2"/>
    <n v="1261"/>
    <x v="0"/>
    <x v="2"/>
    <n v="28.4"/>
    <n v="2.5"/>
    <n v="3"/>
    <x v="0"/>
    <x v="0"/>
    <n v="17.989999999999998"/>
  </r>
  <r>
    <n v="111"/>
    <x v="4"/>
    <x v="1"/>
    <n v="49.3"/>
    <n v="1.71"/>
    <n v="180"/>
    <n v="152"/>
    <n v="73"/>
    <n v="1.04"/>
    <n v="956"/>
    <x v="1"/>
    <x v="2"/>
    <n v="32.9"/>
    <n v="1.7"/>
    <n v="4"/>
    <x v="2"/>
    <x v="0"/>
    <n v="12.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85E163-47A7-4C0C-950D-915F93CB829B}" name="PivotTable4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27:S30" firstHeaderRow="1" firstDataRow="2" firstDataCol="1"/>
  <pivotFields count="18">
    <pivotField showAll="0"/>
    <pivotField showAll="0"/>
    <pivotField showAll="0">
      <items count="4">
        <item x="0"/>
        <item h="1" x="1"/>
        <item h="1" x="2"/>
        <item t="default"/>
      </items>
    </pivotField>
    <pivotField showAll="0"/>
    <pivotField showAll="0"/>
    <pivotField showAll="0"/>
    <pivotField showAll="0"/>
    <pivotField showAll="0"/>
    <pivotField showAll="0"/>
    <pivotField showAll="0"/>
    <pivotField axis="axisCol" showAll="0">
      <items count="6">
        <item x="1"/>
        <item x="2"/>
        <item x="4"/>
        <item x="0"/>
        <item x="3"/>
        <item t="default"/>
      </items>
    </pivotField>
    <pivotField dataField="1" showAll="0">
      <items count="5">
        <item h="1" x="1"/>
        <item h="1" x="0"/>
        <item x="3"/>
        <item h="1" x="2"/>
        <item t="default"/>
      </items>
    </pivotField>
    <pivotField showAll="0"/>
    <pivotField showAll="0"/>
    <pivotField showAll="0"/>
    <pivotField axis="axisRow" showAll="0" sortType="ascending">
      <items count="5">
        <item h="1" x="1"/>
        <item h="1" x="0"/>
        <item x="2"/>
        <item h="1" x="3"/>
        <item t="default"/>
      </items>
    </pivotField>
    <pivotField showAll="0"/>
    <pivotField showAll="0"/>
  </pivotFields>
  <rowFields count="1">
    <field x="15"/>
  </rowFields>
  <rowItems count="2">
    <i>
      <x v="2"/>
    </i>
    <i t="grand">
      <x/>
    </i>
  </rowItems>
  <colFields count="1">
    <field x="10"/>
  </colFields>
  <colItems count="5">
    <i>
      <x/>
    </i>
    <i>
      <x v="1"/>
    </i>
    <i>
      <x v="3"/>
    </i>
    <i>
      <x v="4"/>
    </i>
    <i t="grand">
      <x/>
    </i>
  </colItems>
  <dataFields count="1">
    <dataField name="Count of fitness level" fld="11" subtotal="count" baseField="0" baseItem="0"/>
  </dataFields>
  <chartFormats count="5">
    <chartFormat chart="5" format="67" series="1">
      <pivotArea type="data" outline="0" fieldPosition="0">
        <references count="2">
          <reference field="4294967294" count="1" selected="0">
            <x v="0"/>
          </reference>
          <reference field="10" count="1" selected="0">
            <x v="0"/>
          </reference>
        </references>
      </pivotArea>
    </chartFormat>
    <chartFormat chart="5" format="68" series="1">
      <pivotArea type="data" outline="0" fieldPosition="0">
        <references count="2">
          <reference field="4294967294" count="1" selected="0">
            <x v="0"/>
          </reference>
          <reference field="10" count="1" selected="0">
            <x v="1"/>
          </reference>
        </references>
      </pivotArea>
    </chartFormat>
    <chartFormat chart="5" format="69" series="1">
      <pivotArea type="data" outline="0" fieldPosition="0">
        <references count="2">
          <reference field="4294967294" count="1" selected="0">
            <x v="0"/>
          </reference>
          <reference field="10" count="1" selected="0">
            <x v="2"/>
          </reference>
        </references>
      </pivotArea>
    </chartFormat>
    <chartFormat chart="5" format="70" series="1">
      <pivotArea type="data" outline="0" fieldPosition="0">
        <references count="2">
          <reference field="4294967294" count="1" selected="0">
            <x v="0"/>
          </reference>
          <reference field="10" count="1" selected="0">
            <x v="3"/>
          </reference>
        </references>
      </pivotArea>
    </chartFormat>
    <chartFormat chart="5" format="71" series="1">
      <pivotArea type="data" outline="0" fieldPosition="0">
        <references count="2">
          <reference field="4294967294" count="1" selected="0">
            <x v="0"/>
          </reference>
          <reference field="10" count="1" selected="0">
            <x v="4"/>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43CC54-49A2-4169-8DCA-E95622751B67}" name="PivotTable3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D19:J21" firstHeaderRow="1" firstDataRow="2" firstDataCol="1"/>
  <pivotFields count="18">
    <pivotField dataField="1" compact="0" outline="0" showAll="0"/>
    <pivotField axis="axisCol" compact="0" outline="0" showAll="0">
      <items count="6">
        <item x="1"/>
        <item x="0"/>
        <item x="3"/>
        <item x="2"/>
        <item x="4"/>
        <item t="default"/>
      </items>
    </pivotField>
    <pivotField compact="0" outline="0" showAll="0">
      <items count="4">
        <item x="0"/>
        <item h="1" x="1"/>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h="1" x="2"/>
        <item h="1" x="4"/>
        <item h="1" x="0"/>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1"/>
  </colFields>
  <colItems count="6">
    <i>
      <x/>
    </i>
    <i>
      <x v="1"/>
    </i>
    <i>
      <x v="2"/>
    </i>
    <i>
      <x v="3"/>
    </i>
    <i>
      <x v="4"/>
    </i>
    <i t="grand">
      <x/>
    </i>
  </colItems>
  <dataFields count="1">
    <dataField name="Count of Age" fld="0" subtotal="count" baseField="1" baseItem="0"/>
  </dataFields>
  <chartFormats count="5">
    <chartFormat chart="7" format="11" series="1">
      <pivotArea type="data" outline="0" fieldPosition="0">
        <references count="2">
          <reference field="4294967294" count="1" selected="0">
            <x v="0"/>
          </reference>
          <reference field="1" count="1" selected="0">
            <x v="0"/>
          </reference>
        </references>
      </pivotArea>
    </chartFormat>
    <chartFormat chart="7" format="12" series="1">
      <pivotArea type="data" outline="0" fieldPosition="0">
        <references count="2">
          <reference field="4294967294" count="1" selected="0">
            <x v="0"/>
          </reference>
          <reference field="1" count="1" selected="0">
            <x v="1"/>
          </reference>
        </references>
      </pivotArea>
    </chartFormat>
    <chartFormat chart="7" format="13" series="1">
      <pivotArea type="data" outline="0" fieldPosition="0">
        <references count="2">
          <reference field="4294967294" count="1" selected="0">
            <x v="0"/>
          </reference>
          <reference field="1" count="1" selected="0">
            <x v="2"/>
          </reference>
        </references>
      </pivotArea>
    </chartFormat>
    <chartFormat chart="7" format="14" series="1">
      <pivotArea type="data" outline="0" fieldPosition="0">
        <references count="2">
          <reference field="4294967294" count="1" selected="0">
            <x v="0"/>
          </reference>
          <reference field="1" count="1" selected="0">
            <x v="3"/>
          </reference>
        </references>
      </pivotArea>
    </chartFormat>
    <chartFormat chart="7" format="15"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6F9CCF-ABC8-434E-81D7-303658FD9407}" name="PivotTable3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B24:G27" firstHeaderRow="1" firstDataRow="2" firstDataCol="1"/>
  <pivotFields count="18">
    <pivotField compact="0" outline="0" showAll="0"/>
    <pivotField dataField="1" compact="0" outline="0" showAll="0">
      <items count="6">
        <item x="1"/>
        <item x="0"/>
        <item x="3"/>
        <item x="2"/>
        <item x="4"/>
        <item t="default"/>
      </items>
    </pivotField>
    <pivotField compact="0" outline="0" showAll="0">
      <items count="4">
        <item x="0"/>
        <item h="1" x="1"/>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6">
        <item x="1"/>
        <item x="2"/>
        <item x="4"/>
        <item x="0"/>
        <item x="3"/>
        <item t="default"/>
      </items>
    </pivotField>
    <pivotField axis="axisRow" compact="0" outline="0" showAll="0">
      <items count="5">
        <item h="1" x="1"/>
        <item h="1" x="0"/>
        <item x="3"/>
        <item h="1" x="2"/>
        <item t="default"/>
      </items>
    </pivotField>
    <pivotField compact="0" outline="0" showAll="0"/>
    <pivotField compact="0" outline="0" showAll="0"/>
    <pivotField compact="0" outline="0" showAll="0"/>
    <pivotField compact="0" outline="0" showAll="0">
      <items count="5">
        <item h="1" x="1"/>
        <item h="1" x="0"/>
        <item x="2"/>
        <item h="1" x="3"/>
        <item t="default"/>
      </items>
    </pivotField>
    <pivotField compact="0" outline="0" showAll="0">
      <items count="6">
        <item x="2"/>
        <item x="1"/>
        <item x="4"/>
        <item x="3"/>
        <item x="0"/>
        <item t="default"/>
      </items>
    </pivotField>
    <pivotField compact="0" outline="0" showAll="0"/>
  </pivotFields>
  <rowFields count="1">
    <field x="11"/>
  </rowFields>
  <rowItems count="2">
    <i>
      <x v="2"/>
    </i>
    <i t="grand">
      <x/>
    </i>
  </rowItems>
  <colFields count="1">
    <field x="10"/>
  </colFields>
  <colItems count="5">
    <i>
      <x/>
    </i>
    <i>
      <x v="1"/>
    </i>
    <i>
      <x v="3"/>
    </i>
    <i>
      <x v="4"/>
    </i>
    <i t="grand">
      <x/>
    </i>
  </colItems>
  <dataFields count="1">
    <dataField name="Count of age range" fld="1" subtotal="count" baseField="0" baseItem="0"/>
  </dataFields>
  <chartFormats count="5">
    <chartFormat chart="2" format="10" series="1">
      <pivotArea type="data" outline="0" fieldPosition="0">
        <references count="2">
          <reference field="4294967294" count="1" selected="0">
            <x v="0"/>
          </reference>
          <reference field="10" count="1" selected="0">
            <x v="0"/>
          </reference>
        </references>
      </pivotArea>
    </chartFormat>
    <chartFormat chart="2" format="11" series="1">
      <pivotArea type="data" outline="0" fieldPosition="0">
        <references count="2">
          <reference field="4294967294" count="1" selected="0">
            <x v="0"/>
          </reference>
          <reference field="10" count="1" selected="0">
            <x v="1"/>
          </reference>
        </references>
      </pivotArea>
    </chartFormat>
    <chartFormat chart="2" format="12" series="1">
      <pivotArea type="data" outline="0" fieldPosition="0">
        <references count="2">
          <reference field="4294967294" count="1" selected="0">
            <x v="0"/>
          </reference>
          <reference field="10" count="1" selected="0">
            <x v="2"/>
          </reference>
        </references>
      </pivotArea>
    </chartFormat>
    <chartFormat chart="2" format="13" series="1">
      <pivotArea type="data" outline="0" fieldPosition="0">
        <references count="2">
          <reference field="4294967294" count="1" selected="0">
            <x v="0"/>
          </reference>
          <reference field="10" count="1" selected="0">
            <x v="3"/>
          </reference>
        </references>
      </pivotArea>
    </chartFormat>
    <chartFormat chart="2" format="14" series="1">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93700E-2607-41CE-8CB3-1AD2672CD08E}" name="PivotTable30"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D8:J11" firstHeaderRow="1" firstDataRow="2" firstDataCol="1"/>
  <pivotFields count="18">
    <pivotField dataField="1" compact="0" outline="0" showAll="0"/>
    <pivotField compact="0" outline="0" showAll="0"/>
    <pivotField compact="0" outline="0" showAll="0">
      <items count="4">
        <item x="0"/>
        <item h="1" x="1"/>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6">
        <item h="1" x="3"/>
        <item h="1" x="0"/>
        <item h="1" x="4"/>
        <item h="1" x="2"/>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axis="axisCol" compact="0" outline="0" showAll="0" sortType="descending">
      <items count="6">
        <item x="0"/>
        <item x="3"/>
        <item x="4"/>
        <item x="1"/>
        <item x="2"/>
        <item t="default"/>
      </items>
    </pivotField>
    <pivotField compact="0" outline="0" showAll="0"/>
  </pivotFields>
  <rowFields count="1">
    <field x="10"/>
  </rowFields>
  <rowItems count="2">
    <i>
      <x v="4"/>
    </i>
    <i t="grand">
      <x/>
    </i>
  </rowItems>
  <colFields count="1">
    <field x="16"/>
  </colFields>
  <colItems count="6">
    <i>
      <x/>
    </i>
    <i>
      <x v="1"/>
    </i>
    <i>
      <x v="2"/>
    </i>
    <i>
      <x v="3"/>
    </i>
    <i>
      <x v="4"/>
    </i>
    <i t="grand">
      <x/>
    </i>
  </colItems>
  <dataFields count="1">
    <dataField name="Count of Age" fld="0" subtotal="count" baseField="10" baseItem="0"/>
  </dataFields>
  <chartFormats count="5">
    <chartFormat chart="2" format="10" series="1">
      <pivotArea type="data" outline="0" fieldPosition="0">
        <references count="2">
          <reference field="4294967294" count="1" selected="0">
            <x v="0"/>
          </reference>
          <reference field="16" count="1" selected="0">
            <x v="4"/>
          </reference>
        </references>
      </pivotArea>
    </chartFormat>
    <chartFormat chart="2" format="11" series="1">
      <pivotArea type="data" outline="0" fieldPosition="0">
        <references count="2">
          <reference field="4294967294" count="1" selected="0">
            <x v="0"/>
          </reference>
          <reference field="16" count="1" selected="0">
            <x v="3"/>
          </reference>
        </references>
      </pivotArea>
    </chartFormat>
    <chartFormat chart="2" format="12" series="1">
      <pivotArea type="data" outline="0" fieldPosition="0">
        <references count="2">
          <reference field="4294967294" count="1" selected="0">
            <x v="0"/>
          </reference>
          <reference field="16" count="1" selected="0">
            <x v="2"/>
          </reference>
        </references>
      </pivotArea>
    </chartFormat>
    <chartFormat chart="2" format="13" series="1">
      <pivotArea type="data" outline="0" fieldPosition="0">
        <references count="2">
          <reference field="4294967294" count="1" selected="0">
            <x v="0"/>
          </reference>
          <reference field="16" count="1" selected="0">
            <x v="1"/>
          </reference>
        </references>
      </pivotArea>
    </chartFormat>
    <chartFormat chart="2" format="14" series="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64D792-6907-4B12-8528-81DC81E59F17}" name="PivotTable28"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2:H3" firstHeaderRow="0" firstDataRow="1" firstDataCol="0"/>
  <pivotFields count="18">
    <pivotField dataField="1" compact="0" outline="0" showAll="0"/>
    <pivotField compact="0" outline="0" showAll="0"/>
    <pivotField compact="0" outline="0" showAll="0">
      <items count="4">
        <item x="0"/>
        <item h="1" x="1"/>
        <item h="1" x="2"/>
        <item t="default"/>
      </items>
    </pivotField>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6">
        <item x="1"/>
        <item h="1" x="2"/>
        <item h="1" x="4"/>
        <item h="1" x="0"/>
        <item h="1" x="3"/>
        <item t="default"/>
      </items>
    </pivotField>
    <pivotField compact="0" outline="0" showAll="0"/>
    <pivotField dataField="1" compact="0" outline="0" showAll="0"/>
    <pivotField dataField="1" compact="0" outline="0" showAll="0"/>
    <pivotField dataField="1" compact="0" outline="0" showAll="0"/>
    <pivotField compact="0" outline="0" showAll="0"/>
    <pivotField compact="0" outline="0" showAll="0">
      <items count="6">
        <item x="2"/>
        <item x="1"/>
        <item x="4"/>
        <item x="3"/>
        <item x="0"/>
        <item t="default"/>
      </items>
    </pivotField>
    <pivotField dataField="1" compact="0" outline="0" showAll="0"/>
  </pivotFields>
  <rowItems count="1">
    <i/>
  </rowItems>
  <colFields count="1">
    <field x="-2"/>
  </colFields>
  <colItems count="7">
    <i>
      <x/>
    </i>
    <i i="1">
      <x v="1"/>
    </i>
    <i i="2">
      <x v="2"/>
    </i>
    <i i="3">
      <x v="3"/>
    </i>
    <i i="4">
      <x v="4"/>
    </i>
    <i i="5">
      <x v="5"/>
    </i>
    <i i="6">
      <x v="6"/>
    </i>
  </colItems>
  <dataFields count="7">
    <dataField name="Average of Weight (kg)" fld="3" subtotal="average" baseField="16" baseItem="0"/>
    <dataField name="Average of Height (m)" fld="4" subtotal="average" baseField="16" baseItem="0"/>
    <dataField name="Average of Fat_Percentage" fld="12" subtotal="average" baseField="16" baseItem="0"/>
    <dataField name="Average of Water_Intake (liters)" fld="13" subtotal="average" baseField="16" baseItem="0"/>
    <dataField name="Average of Workout_Frequency (days/week)" fld="14" subtotal="average" baseField="16" baseItem="0"/>
    <dataField name="Average of Age" fld="0" subtotal="average" baseField="0" baseItem="1"/>
    <dataField name="Average of BMI" fld="17" subtotal="average" baseField="0"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FE64F7E-AAB9-42E6-A71F-800B8839AFB7}" name="PivotTable4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32:F33" firstHeaderRow="0" firstDataRow="1" firstDataCol="0"/>
  <pivotFields count="18">
    <pivotField dataField="1" showAll="0"/>
    <pivotField showAll="0"/>
    <pivotField showAll="0">
      <items count="4">
        <item x="0"/>
        <item h="1" x="1"/>
        <item h="1" x="2"/>
        <item t="default"/>
      </items>
    </pivotField>
    <pivotField dataField="1" showAll="0"/>
    <pivotField dataField="1" showAll="0"/>
    <pivotField showAll="0"/>
    <pivotField showAll="0"/>
    <pivotField showAll="0"/>
    <pivotField showAll="0"/>
    <pivotField showAll="0"/>
    <pivotField showAll="0"/>
    <pivotField showAll="0">
      <items count="5">
        <item h="1" x="1"/>
        <item h="1" x="0"/>
        <item x="3"/>
        <item h="1" x="2"/>
        <item t="default"/>
      </items>
    </pivotField>
    <pivotField dataField="1" showAll="0"/>
    <pivotField showAll="0"/>
    <pivotField showAll="0"/>
    <pivotField showAll="0">
      <items count="5">
        <item h="1" x="1"/>
        <item h="1" x="0"/>
        <item x="2"/>
        <item h="1" x="3"/>
        <item t="default"/>
      </items>
    </pivotField>
    <pivotField showAll="0"/>
    <pivotField dataField="1" showAll="0"/>
  </pivotFields>
  <rowItems count="1">
    <i/>
  </rowItems>
  <colFields count="1">
    <field x="-2"/>
  </colFields>
  <colItems count="5">
    <i>
      <x/>
    </i>
    <i i="1">
      <x v="1"/>
    </i>
    <i i="2">
      <x v="2"/>
    </i>
    <i i="3">
      <x v="3"/>
    </i>
    <i i="4">
      <x v="4"/>
    </i>
  </colItems>
  <dataFields count="5">
    <dataField name="Average of Age" fld="0" subtotal="average" baseField="0" baseItem="1"/>
    <dataField name="Average of Height (m)" fld="4" subtotal="average" baseField="0" baseItem="1"/>
    <dataField name="Average of Weight (kg)" fld="3" subtotal="average" baseField="0" baseItem="1"/>
    <dataField name="Average of BMI" fld="17" subtotal="average" baseField="0" baseItem="1"/>
    <dataField name="Average of Fat_Percentage" fld="12" subtotal="average" baseField="0" baseItem="1"/>
  </dataFields>
  <chartFormats count="5">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0" format="4" series="1">
      <pivotArea type="data" outline="0" fieldPosition="0">
        <references count="1">
          <reference field="4294967294" count="1" selected="0">
            <x v="3"/>
          </reference>
        </references>
      </pivotArea>
    </chartFormat>
    <chartFormat chart="0" format="5"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E4665F-FB9A-4578-AAD3-32A830E81328}"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K6" firstHeaderRow="1" firstDataRow="1" firstDataCol="1"/>
  <pivotFields count="18">
    <pivotField dataField="1" showAll="0"/>
    <pivotField showAll="0">
      <items count="6">
        <item x="1"/>
        <item x="0"/>
        <item x="3"/>
        <item x="2"/>
        <item x="4"/>
        <item t="default"/>
      </items>
    </pivotField>
    <pivotField axis="axisRow" showAll="0">
      <items count="4">
        <item x="0"/>
        <item x="1"/>
        <item x="2"/>
        <item t="default"/>
      </items>
    </pivotField>
    <pivotField showAll="0"/>
    <pivotField showAll="0"/>
    <pivotField showAll="0"/>
    <pivotField showAll="0"/>
    <pivotField showAll="0"/>
    <pivotField showAll="0"/>
    <pivotField showAll="0"/>
    <pivotField showAll="0">
      <items count="6">
        <item x="1"/>
        <item h="1" x="2"/>
        <item h="1" x="4"/>
        <item h="1" x="0"/>
        <item h="1" x="3"/>
        <item t="default"/>
      </items>
    </pivotField>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Age" fld="0" subtotal="count" baseField="2" baseItem="0"/>
  </dataFields>
  <chartFormats count="4">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2" count="1" selected="0">
            <x v="0"/>
          </reference>
        </references>
      </pivotArea>
    </chartFormat>
    <chartFormat chart="4" format="15">
      <pivotArea type="data" outline="0" fieldPosition="0">
        <references count="2">
          <reference field="4294967294" count="1" selected="0">
            <x v="0"/>
          </reference>
          <reference field="2" count="1" selected="0">
            <x v="1"/>
          </reference>
        </references>
      </pivotArea>
    </chartFormat>
    <chartFormat chart="4"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174C171-36AE-49D4-9A0F-A06817EF2F52}" name="PivotTable4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2:M4" firstHeaderRow="1" firstDataRow="1" firstDataCol="1"/>
  <pivotFields count="18">
    <pivotField showAll="0"/>
    <pivotField dataField="1" showAll="0">
      <items count="6">
        <item x="1"/>
        <item x="0"/>
        <item x="3"/>
        <item x="2"/>
        <item x="4"/>
        <item t="default"/>
      </items>
    </pivotField>
    <pivotField axis="axisRow" showAll="0">
      <items count="4">
        <item h="1" x="1"/>
        <item h="1" x="2"/>
        <item x="0"/>
        <item t="default"/>
      </items>
    </pivotField>
    <pivotField showAll="0"/>
    <pivotField showAll="0"/>
    <pivotField showAll="0"/>
    <pivotField showAll="0"/>
    <pivotField showAll="0"/>
    <pivotField showAll="0"/>
    <pivotField showAll="0"/>
    <pivotField showAll="0"/>
    <pivotField showAll="0">
      <items count="5">
        <item h="1" x="1"/>
        <item h="1" x="0"/>
        <item x="3"/>
        <item h="1" x="2"/>
        <item t="default"/>
      </items>
    </pivotField>
    <pivotField showAll="0"/>
    <pivotField showAll="0"/>
    <pivotField showAll="0"/>
    <pivotField showAll="0">
      <items count="5">
        <item x="1"/>
        <item x="0"/>
        <item x="2"/>
        <item x="3"/>
        <item t="default"/>
      </items>
    </pivotField>
    <pivotField showAll="0"/>
    <pivotField showAll="0"/>
  </pivotFields>
  <rowFields count="1">
    <field x="2"/>
  </rowFields>
  <rowItems count="2">
    <i>
      <x v="2"/>
    </i>
    <i t="grand">
      <x/>
    </i>
  </rowItems>
  <colItems count="1">
    <i/>
  </colItems>
  <dataFields count="1">
    <dataField name="Count of age rang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E44E70-748E-4755-A356-C1BE6DA6666B}" sourceName="Gender">
  <pivotTables>
    <pivotTable tabId="1" name="PivotTable28"/>
    <pivotTable tabId="1" name="PivotTable30"/>
    <pivotTable tabId="1" name="PivotTable31"/>
  </pivotTables>
  <data>
    <tabular pivotCacheId="856215016">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out_Type" xr10:uid="{7BCE8ED5-5520-41BE-A334-F563DE0F1E2D}" sourceName="Workout_Type">
  <pivotTables>
    <pivotTable tabId="1" name="PivotTable29"/>
    <pivotTable tabId="1" name="PivotTable30"/>
    <pivotTable tabId="1" name="PivotTable28"/>
    <pivotTable tabId="1" name="PivotTable31"/>
  </pivotTables>
  <data>
    <tabular pivotCacheId="856215016">
      <items count="5">
        <i x="1" s="1"/>
        <i x="2"/>
        <i x="4"/>
        <i x="0"/>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tness_level" xr10:uid="{0D24AA88-ED38-4A81-9ECB-53B01E9739A0}" sourceName="fitness level">
  <pivotTables>
    <pivotTable tabId="1" name="PivotTable37"/>
    <pivotTable tabId="1" name="PivotTable41"/>
    <pivotTable tabId="1" name="PivotTable48"/>
    <pivotTable tabId="10" name="PivotTable49"/>
  </pivotTables>
  <data>
    <tabular pivotCacheId="1575893787">
      <items count="4">
        <i x="1"/>
        <i x="0"/>
        <i x="3"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E866D01A-4677-42C4-B027-18B24B9EAAE0}" sourceName="Gender">
  <pivotTables>
    <pivotTable tabId="1" name="PivotTable37"/>
    <pivotTable tabId="1" name="PivotTable48"/>
    <pivotTable tabId="10" name="PivotTable49"/>
  </pivotTables>
  <data>
    <tabular pivotCacheId="1575893787">
      <items count="3">
        <i x="0" s="1"/>
        <i x="1"/>
        <i x="2"/>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Level" xr10:uid="{614A26CB-8487-4E8E-A13C-6DB2DBBA3792}" sourceName="Experience_Level">
  <pivotTables>
    <pivotTable tabId="10" name="PivotTable49"/>
    <pivotTable tabId="1" name="PivotTable48"/>
    <pivotTable tabId="1" name="PivotTable37"/>
  </pivotTables>
  <data>
    <tabular pivotCacheId="1575893787">
      <items count="4">
        <i x="1"/>
        <i x="0"/>
        <i x="2"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D5FB6E4-B8E4-42DF-B72E-52B8352FEA93}" cache="Slicer_Gender" caption="Gender" style="SlicerStyleDark3 2" rowHeight="234950"/>
  <slicer name="Workout_Type" xr10:uid="{1DB706F9-7369-463E-A5A7-D105CA809A9E}" cache="Slicer_Workout_Type" caption="Workout_Type" style="SlicerStyleDark3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tness level" xr10:uid="{E9F31707-2D15-4D4F-BDFF-9AE6D7F37B61}" cache="Slicer_fitness_level" caption="fitness level" style="SlicerStyleDark3 2" rowHeight="234950"/>
  <slicer name="Gender 1" xr10:uid="{8AA0DC7D-C070-43BA-9FF0-96CACC854C87}" cache="Slicer_Gender1" caption="Gender" columnCount="3" style="SlicerStyleDark3 2" rowHeight="324000"/>
  <slicer name="Experience_Level" xr10:uid="{84950105-CE2F-4356-947A-3636F8360751}" cache="Slicer_Experience_Level" caption="Experience_Level" style="SlicerStyleDark3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1CCBC9-C3A7-447F-A542-8608E777A422}" name="Table13" displayName="Table13" ref="F7:W1807" totalsRowShown="0" headerRowDxfId="22" dataDxfId="20" headerRowBorderDxfId="21" tableBorderDxfId="19" totalsRowBorderDxfId="18">
  <autoFilter ref="F7:W1807" xr:uid="{C71CCBC9-C3A7-447F-A542-8608E777A422}"/>
  <tableColumns count="18">
    <tableColumn id="1" xr3:uid="{308C670D-B201-4B0F-82B3-608BEE213C9D}" name="Age" dataDxfId="17"/>
    <tableColumn id="16" xr3:uid="{325F3B1A-7F98-462A-8E79-587D6056CAA2}" name="age range" dataDxfId="16">
      <calculatedColumnFormula>IF(Table13[[#This Row],[Age]]&lt;25,"18-24",IF(Table13[[#This Row],[Age]]&lt;35,"25-34",IF(Table13[[#This Row],[Age]]&lt;45,"35-44",IF(Table13[[#This Row],[Age]]&lt;55,"45-54","55-64"))))</calculatedColumnFormula>
    </tableColumn>
    <tableColumn id="2" xr3:uid="{7FE05465-EC9B-47E3-AC1E-16C82AA82512}" name="Gender" dataDxfId="15"/>
    <tableColumn id="3" xr3:uid="{731E75FC-20E3-4D08-8652-F85ED56EFE4A}" name="Weight (kg)" dataDxfId="14"/>
    <tableColumn id="4" xr3:uid="{8CF427F0-0EA9-40E5-84E7-79F04C0B25D2}" name="Height (m)" dataDxfId="13"/>
    <tableColumn id="5" xr3:uid="{E1751C86-9537-483D-9501-FDEBD1BD063F}" name="Max_BPM" dataDxfId="12"/>
    <tableColumn id="6" xr3:uid="{E826E7D4-7CF5-415D-ABD7-B34F7FD12E6E}" name="Avg_BPM" dataDxfId="11"/>
    <tableColumn id="7" xr3:uid="{B8B9C85D-746F-4A8C-AE11-69204AC7412F}" name="Resting_BPM" dataDxfId="10"/>
    <tableColumn id="8" xr3:uid="{EE7962C0-92F2-4EA3-BC34-4E931C398C79}" name="Session_Duration (hours)" dataDxfId="9"/>
    <tableColumn id="9" xr3:uid="{D2A558CD-B2B1-4F75-9E8B-902025189690}" name="Calories_Burned" dataDxfId="8"/>
    <tableColumn id="10" xr3:uid="{466B420A-F580-4003-BC46-180FE23E8809}" name="Workout_Type" dataDxfId="7"/>
    <tableColumn id="17" xr3:uid="{B06B6391-3AFF-4225-8452-16A59992960E}" name="fitness level" dataDxfId="6">
      <calculatedColumnFormula>_xlfn.IFS(AND(Table13[[#This Row],[Gender]]="female",R8&lt;20),"Athletes",AND(Table13[[#This Row],[Gender]]="female",R8&lt;24),"Fitnesss",AND(Table13[[#This Row],[Gender]]="female",R8&lt;31),"Acceptable",AND(Table13[[#This Row],[Gender]]="female",R8&lt;40),"Obese",AND(Table13[[#This Row],[Gender]]="male",R8&lt;13),"Athletes",AND(Table13[[#This Row],[Gender]]="male",R8&lt;17),"Fitnesss",AND(Table13[[#This Row],[Gender]]="male",R8&lt;24.9),"Acceptable",AND(Table13[[#This Row],[Gender]]="male",R8&lt;40),"Obese",AND(Table13[[#This Row],[Gender]]="others",R8&lt;20),"Athletes",AND(Table13[[#This Row],[Gender]]="others",R8&lt;24),"Fitnesss",AND(Table13[[#This Row],[Gender]]="others",R8&lt;31),"Acceptable",AND(Table13[[#This Row],[Gender]]="others",R8&lt;40),"Obese")</calculatedColumnFormula>
    </tableColumn>
    <tableColumn id="11" xr3:uid="{927F06FF-F775-4F00-B37E-0C1ACB23E5C0}" name="Fat_Percentage" dataDxfId="5"/>
    <tableColumn id="12" xr3:uid="{8EE28B55-5E56-4763-9DD5-7282CD09FC3F}" name="Water_Intake (liters)" dataDxfId="4"/>
    <tableColumn id="13" xr3:uid="{20FAC796-85A0-47FA-991F-9F8266EC8268}" name="Workout_Frequency (days/week)" dataDxfId="3"/>
    <tableColumn id="14" xr3:uid="{1403BFB8-B529-40A8-855E-F9343BEB5C96}" name="Experience_Level" dataDxfId="2"/>
    <tableColumn id="18" xr3:uid="{3D8CADA8-3A31-4F5C-AF24-DEB709392039}" name="BMI LEVEL" dataDxfId="1">
      <calculatedColumnFormula>IF(Table13[[#This Row],[BMI]]&lt;=18.5,"Underweight",IF(Table13[[#This Row],[BMI]]&lt;=24.9,"Normal",IF(Table13[[#This Row],[BMI]]&lt;=29.9,"Overweight",IF(Table13[[#This Row],[BMI]]&lt;=39,"Obese","Severly Obese"))))</calculatedColumnFormula>
    </tableColumn>
    <tableColumn id="15" xr3:uid="{E05A9A15-BB8B-4B27-8799-41B374458F20}" name="BMI"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FE259-1284-4A22-B233-67F50EFB1627}">
  <dimension ref="A1"/>
  <sheetViews>
    <sheetView workbookViewId="0">
      <selection activeCell="A3" sqref="A3"/>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6C4DA-CABF-4F25-B5E4-D16AF1D2ECE5}">
  <dimension ref="A1"/>
  <sheetViews>
    <sheetView showGridLines="0" tabSelected="1" view="pageBreakPreview" zoomScale="98" zoomScaleNormal="297" zoomScaleSheetLayoutView="100" workbookViewId="0"/>
  </sheetViews>
  <sheetFormatPr defaultRowHeight="14.4" x14ac:dyDescent="0.3"/>
  <cols>
    <col min="1" max="16384" width="8.88671875" style="3"/>
  </cols>
  <sheetData>
    <row r="1" spans="1:1" x14ac:dyDescent="0.3">
      <c r="A1" s="22" t="s">
        <v>54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43A15-16CE-411E-B1BD-42DFF661A80E}">
  <dimension ref="N27:T33"/>
  <sheetViews>
    <sheetView showGridLines="0" zoomScaleNormal="100" workbookViewId="0"/>
  </sheetViews>
  <sheetFormatPr defaultRowHeight="14.4" x14ac:dyDescent="0.3"/>
  <cols>
    <col min="1" max="4" width="8.88671875" style="3"/>
    <col min="5" max="11" width="8.88671875" style="3" customWidth="1"/>
    <col min="12" max="12" width="8.88671875" style="3"/>
    <col min="13" max="13" width="8.88671875" style="3" customWidth="1"/>
    <col min="14" max="14" width="18.77734375" style="3" bestFit="1" customWidth="1"/>
    <col min="15" max="15" width="15" style="3" bestFit="1" customWidth="1"/>
    <col min="16" max="16" width="4.33203125" style="3" bestFit="1" customWidth="1"/>
    <col min="17" max="17" width="7.77734375" style="3" bestFit="1" customWidth="1"/>
    <col min="18" max="18" width="5" style="3" bestFit="1" customWidth="1"/>
    <col min="19" max="21" width="10.5546875" style="3" bestFit="1" customWidth="1"/>
    <col min="22" max="16384" width="8.88671875" style="3"/>
  </cols>
  <sheetData>
    <row r="27" spans="14:20" x14ac:dyDescent="0.3">
      <c r="N27" s="1" t="s">
        <v>37</v>
      </c>
      <c r="O27" s="1" t="s">
        <v>33</v>
      </c>
      <c r="P27"/>
      <c r="Q27"/>
      <c r="R27"/>
      <c r="S27"/>
      <c r="T27"/>
    </row>
    <row r="28" spans="14:20" x14ac:dyDescent="0.3">
      <c r="N28" s="1" t="s">
        <v>26</v>
      </c>
      <c r="O28" t="s">
        <v>20</v>
      </c>
      <c r="P28" t="s">
        <v>21</v>
      </c>
      <c r="Q28" t="s">
        <v>18</v>
      </c>
      <c r="R28" t="s">
        <v>22</v>
      </c>
      <c r="S28" t="s">
        <v>27</v>
      </c>
      <c r="T28"/>
    </row>
    <row r="29" spans="14:20" x14ac:dyDescent="0.3">
      <c r="N29" s="2">
        <v>3</v>
      </c>
      <c r="O29" s="23">
        <v>7</v>
      </c>
      <c r="P29" s="23">
        <v>7</v>
      </c>
      <c r="Q29" s="23">
        <v>10</v>
      </c>
      <c r="R29" s="23">
        <v>6</v>
      </c>
      <c r="S29" s="23">
        <v>30</v>
      </c>
      <c r="T29"/>
    </row>
    <row r="30" spans="14:20" x14ac:dyDescent="0.3">
      <c r="N30" s="2" t="s">
        <v>27</v>
      </c>
      <c r="O30" s="23">
        <v>7</v>
      </c>
      <c r="P30" s="23">
        <v>7</v>
      </c>
      <c r="Q30" s="23">
        <v>10</v>
      </c>
      <c r="R30" s="23">
        <v>6</v>
      </c>
      <c r="S30" s="23">
        <v>30</v>
      </c>
      <c r="T30"/>
    </row>
    <row r="31" spans="14:20" x14ac:dyDescent="0.3">
      <c r="N31"/>
      <c r="O31"/>
      <c r="P31"/>
      <c r="Q31"/>
      <c r="R31"/>
      <c r="S31"/>
      <c r="T31"/>
    </row>
    <row r="32" spans="14:20" x14ac:dyDescent="0.3">
      <c r="N32"/>
      <c r="O32"/>
      <c r="P32"/>
      <c r="Q32"/>
      <c r="R32"/>
      <c r="S32"/>
      <c r="T32"/>
    </row>
    <row r="33" spans="14:20" x14ac:dyDescent="0.3">
      <c r="N33"/>
      <c r="O33"/>
      <c r="P33"/>
      <c r="Q33"/>
      <c r="R33"/>
      <c r="S33"/>
      <c r="T3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DFBB5-E9C5-4942-9560-D06E6C4CEA41}">
  <dimension ref="F7:W1807"/>
  <sheetViews>
    <sheetView workbookViewId="0"/>
  </sheetViews>
  <sheetFormatPr defaultRowHeight="14.4" x14ac:dyDescent="0.3"/>
  <cols>
    <col min="1" max="4" width="8.88671875" style="4"/>
    <col min="5" max="5" width="6.44140625" style="4" bestFit="1" customWidth="1"/>
    <col min="6" max="6" width="11.44140625" style="4" bestFit="1" customWidth="1"/>
    <col min="7" max="7" width="9.33203125" style="4" bestFit="1" customWidth="1"/>
    <col min="8" max="8" width="13" style="4" bestFit="1" customWidth="1"/>
    <col min="9" max="9" width="12.109375" style="4" bestFit="1" customWidth="1"/>
    <col min="10" max="10" width="11.88671875" style="4" bestFit="1" customWidth="1"/>
    <col min="11" max="11" width="11.44140625" style="4" bestFit="1" customWidth="1"/>
    <col min="12" max="12" width="14.33203125" style="4" bestFit="1" customWidth="1"/>
    <col min="13" max="13" width="24.6640625" style="4" bestFit="1" customWidth="1"/>
    <col min="14" max="14" width="17" style="4" bestFit="1" customWidth="1"/>
    <col min="15" max="15" width="15.88671875" style="4" bestFit="1" customWidth="1"/>
    <col min="16" max="16" width="13" style="4" bestFit="1" customWidth="1"/>
    <col min="17" max="17" width="16.33203125" style="4" bestFit="1" customWidth="1"/>
    <col min="18" max="18" width="20.6640625" style="4" bestFit="1" customWidth="1"/>
    <col min="19" max="19" width="32" style="4" bestFit="1" customWidth="1"/>
    <col min="20" max="20" width="17.77734375" style="4" bestFit="1" customWidth="1"/>
    <col min="21" max="21" width="12.33203125" style="4" bestFit="1" customWidth="1"/>
    <col min="22" max="22" width="6.6640625" style="4" bestFit="1" customWidth="1"/>
    <col min="23" max="16384" width="8.88671875" style="4"/>
  </cols>
  <sheetData>
    <row r="7" spans="6:23" x14ac:dyDescent="0.3">
      <c r="F7" s="14" t="s">
        <v>0</v>
      </c>
      <c r="G7" s="15" t="s">
        <v>1</v>
      </c>
      <c r="H7" s="15" t="s">
        <v>2</v>
      </c>
      <c r="I7" s="15" t="s">
        <v>3</v>
      </c>
      <c r="J7" s="15" t="s">
        <v>4</v>
      </c>
      <c r="K7" s="15" t="s">
        <v>5</v>
      </c>
      <c r="L7" s="15" t="s">
        <v>6</v>
      </c>
      <c r="M7" s="15" t="s">
        <v>7</v>
      </c>
      <c r="N7" s="15" t="s">
        <v>8</v>
      </c>
      <c r="O7" s="15" t="s">
        <v>9</v>
      </c>
      <c r="P7" s="15" t="s">
        <v>10</v>
      </c>
      <c r="Q7" s="15" t="s">
        <v>11</v>
      </c>
      <c r="R7" s="15" t="s">
        <v>12</v>
      </c>
      <c r="S7" s="15" t="s">
        <v>13</v>
      </c>
      <c r="T7" s="15" t="s">
        <v>14</v>
      </c>
      <c r="U7" s="15" t="s">
        <v>15</v>
      </c>
      <c r="V7" s="15" t="s">
        <v>52</v>
      </c>
      <c r="W7" s="16" t="s">
        <v>16</v>
      </c>
    </row>
    <row r="8" spans="6:23" x14ac:dyDescent="0.3">
      <c r="F8" s="17">
        <v>34</v>
      </c>
      <c r="G8" s="8" t="str">
        <f>IF(Table13[[#This Row],[Age]]&lt;25,"18-24",IF(Table13[[#This Row],[Age]]&lt;35,"25-34",IF(Table13[[#This Row],[Age]]&lt;45,"35-44",IF(Table13[[#This Row],[Age]]&lt;55,"45-54","55-64"))))</f>
        <v>25-34</v>
      </c>
      <c r="H8" s="8" t="s">
        <v>17</v>
      </c>
      <c r="I8" s="8">
        <v>86.7</v>
      </c>
      <c r="J8" s="8">
        <v>1.86</v>
      </c>
      <c r="K8" s="8">
        <v>174</v>
      </c>
      <c r="L8" s="8">
        <v>152</v>
      </c>
      <c r="M8" s="8">
        <v>74</v>
      </c>
      <c r="N8" s="8">
        <v>1.1200000000000001</v>
      </c>
      <c r="O8" s="8">
        <v>712</v>
      </c>
      <c r="P8" s="8" t="s">
        <v>18</v>
      </c>
      <c r="Q8" s="8" t="str">
        <f>_xlfn.IFS(AND(Table13[[#This Row],[Gender]]="female",R8&lt;20),"Athletes",AND(Table13[[#This Row],[Gender]]="female",R8&lt;24),"Fitnesss",AND(Table13[[#This Row],[Gender]]="female",R8&lt;31),"Acceptable",AND(Table13[[#This Row],[Gender]]="female",R8&lt;40),"Obese",AND(Table13[[#This Row],[Gender]]="male",R8&lt;13),"Athletes",AND(Table13[[#This Row],[Gender]]="male",R8&lt;17),"Fitnesss",AND(Table13[[#This Row],[Gender]]="male",R8&lt;24.9),"Acceptable",AND(Table13[[#This Row],[Gender]]="male",R8&lt;40),"Obese",AND(Table13[[#This Row],[Gender]]="others",R8&lt;20),"Athletes",AND(Table13[[#This Row],[Gender]]="others",R8&lt;24),"Fitnesss",AND(Table13[[#This Row],[Gender]]="others",R8&lt;31),"Acceptable",AND(Table13[[#This Row],[Gender]]="others",R8&lt;40),"Obese")</f>
        <v>Athletes</v>
      </c>
      <c r="R8" s="8">
        <v>12.8</v>
      </c>
      <c r="S8" s="8">
        <v>2.4</v>
      </c>
      <c r="T8" s="8">
        <v>5</v>
      </c>
      <c r="U8" s="8">
        <v>2</v>
      </c>
      <c r="V8" s="8" t="str">
        <f>IF(Table13[[#This Row],[BMI]]&lt;=18.5,"Underweight",IF(Table13[[#This Row],[BMI]]&lt;=24.9,"Normal",IF(Table13[[#This Row],[BMI]]&lt;=29.9,"Overweight",IF(Table13[[#This Row],[BMI]]&lt;=39,"Obese","Severly Obese"))))</f>
        <v>Underweight</v>
      </c>
      <c r="W8" s="18">
        <v>14.31</v>
      </c>
    </row>
    <row r="9" spans="6:23" x14ac:dyDescent="0.3">
      <c r="F9" s="17">
        <v>26</v>
      </c>
      <c r="G9" s="8" t="str">
        <f>IF(Table13[[#This Row],[Age]]&lt;25,"18-24",IF(Table13[[#This Row],[Age]]&lt;35,"25-34",IF(Table13[[#This Row],[Age]]&lt;45,"35-44",IF(Table13[[#This Row],[Age]]&lt;55,"45-54","55-64"))))</f>
        <v>25-34</v>
      </c>
      <c r="H9" s="8" t="s">
        <v>17</v>
      </c>
      <c r="I9" s="8">
        <v>84.7</v>
      </c>
      <c r="J9" s="8">
        <v>1.83</v>
      </c>
      <c r="K9" s="8">
        <v>166</v>
      </c>
      <c r="L9" s="8">
        <v>156</v>
      </c>
      <c r="M9" s="8">
        <v>73</v>
      </c>
      <c r="N9" s="8">
        <v>1</v>
      </c>
      <c r="O9" s="8">
        <v>833</v>
      </c>
      <c r="P9" s="8" t="s">
        <v>18</v>
      </c>
      <c r="Q9" s="8" t="str">
        <f>_xlfn.IFS(AND(Table13[[#This Row],[Gender]]="female",R9&lt;20),"Athletes",AND(Table13[[#This Row],[Gender]]="female",R9&lt;24),"Fitnesss",AND(Table13[[#This Row],[Gender]]="female",R9&lt;31),"Acceptable",AND(Table13[[#This Row],[Gender]]="female",R9&lt;40),"Obese",AND(Table13[[#This Row],[Gender]]="male",R9&lt;13),"Athletes",AND(Table13[[#This Row],[Gender]]="male",R9&lt;17),"Fitnesss",AND(Table13[[#This Row],[Gender]]="male",R9&lt;24.9),"Acceptable",AND(Table13[[#This Row],[Gender]]="male",R9&lt;40),"Obese",AND(Table13[[#This Row],[Gender]]="others",R9&lt;20),"Athletes",AND(Table13[[#This Row],[Gender]]="others",R9&lt;24),"Fitnesss",AND(Table13[[#This Row],[Gender]]="others",R9&lt;31),"Acceptable",AND(Table13[[#This Row],[Gender]]="others",R9&lt;40),"Obese")</f>
        <v>Acceptable</v>
      </c>
      <c r="R9" s="8">
        <v>27.9</v>
      </c>
      <c r="S9" s="8">
        <v>2.8</v>
      </c>
      <c r="T9" s="8">
        <v>5</v>
      </c>
      <c r="U9" s="8">
        <v>2</v>
      </c>
      <c r="V9" s="8" t="str">
        <f>IF(Table13[[#This Row],[BMI]]&lt;=18.5,"Underweight",IF(Table13[[#This Row],[BMI]]&lt;=24.9,"Normal",IF(Table13[[#This Row],[BMI]]&lt;=29.9,"Overweight",IF(Table13[[#This Row],[BMI]]&lt;=39,"Obese","Severly Obese"))))</f>
        <v>Obese</v>
      </c>
      <c r="W9" s="18">
        <v>33.49</v>
      </c>
    </row>
    <row r="10" spans="6:23" x14ac:dyDescent="0.3">
      <c r="F10" s="17">
        <v>22</v>
      </c>
      <c r="G10" s="8" t="str">
        <f>IF(Table13[[#This Row],[Age]]&lt;25,"18-24",IF(Table13[[#This Row],[Age]]&lt;35,"25-34",IF(Table13[[#This Row],[Age]]&lt;45,"35-44",IF(Table13[[#This Row],[Age]]&lt;55,"45-54","55-64"))))</f>
        <v>18-24</v>
      </c>
      <c r="H10" s="8" t="s">
        <v>19</v>
      </c>
      <c r="I10" s="8">
        <v>64.8</v>
      </c>
      <c r="J10" s="8">
        <v>1.85</v>
      </c>
      <c r="K10" s="8">
        <v>187</v>
      </c>
      <c r="L10" s="8">
        <v>166</v>
      </c>
      <c r="M10" s="8">
        <v>64</v>
      </c>
      <c r="N10" s="8">
        <v>1.24</v>
      </c>
      <c r="O10" s="8">
        <v>1678</v>
      </c>
      <c r="P10" s="8" t="s">
        <v>20</v>
      </c>
      <c r="Q10" s="8" t="str">
        <f>_xlfn.IFS(AND(Table13[[#This Row],[Gender]]="female",R10&lt;20),"Athletes",AND(Table13[[#This Row],[Gender]]="female",R10&lt;24),"Fitnesss",AND(Table13[[#This Row],[Gender]]="female",R10&lt;31),"Acceptable",AND(Table13[[#This Row],[Gender]]="female",R10&lt;40),"Obese",AND(Table13[[#This Row],[Gender]]="male",R10&lt;13),"Athletes",AND(Table13[[#This Row],[Gender]]="male",R10&lt;17),"Fitnesss",AND(Table13[[#This Row],[Gender]]="male",R10&lt;24.9),"Acceptable",AND(Table13[[#This Row],[Gender]]="male",R10&lt;40),"Obese",AND(Table13[[#This Row],[Gender]]="others",R10&lt;20),"Athletes",AND(Table13[[#This Row],[Gender]]="others",R10&lt;24),"Fitnesss",AND(Table13[[#This Row],[Gender]]="others",R10&lt;31),"Acceptable",AND(Table13[[#This Row],[Gender]]="others",R10&lt;40),"Obese")</f>
        <v>Obese</v>
      </c>
      <c r="R10" s="8">
        <v>28.7</v>
      </c>
      <c r="S10" s="8">
        <v>1.9</v>
      </c>
      <c r="T10" s="8">
        <v>3</v>
      </c>
      <c r="U10" s="8">
        <v>2</v>
      </c>
      <c r="V10" s="8" t="str">
        <f>IF(Table13[[#This Row],[BMI]]&lt;=18.5,"Underweight",IF(Table13[[#This Row],[BMI]]&lt;=24.9,"Normal",IF(Table13[[#This Row],[BMI]]&lt;=29.9,"Overweight",IF(Table13[[#This Row],[BMI]]&lt;=39,"Obese","Severly Obese"))))</f>
        <v>Underweight</v>
      </c>
      <c r="W10" s="18">
        <v>12.73</v>
      </c>
    </row>
    <row r="11" spans="6:23" x14ac:dyDescent="0.3">
      <c r="F11" s="17">
        <v>54</v>
      </c>
      <c r="G11" s="8" t="str">
        <f>IF(Table13[[#This Row],[Age]]&lt;25,"18-24",IF(Table13[[#This Row],[Age]]&lt;35,"25-34",IF(Table13[[#This Row],[Age]]&lt;45,"35-44",IF(Table13[[#This Row],[Age]]&lt;55,"45-54","55-64"))))</f>
        <v>45-54</v>
      </c>
      <c r="H11" s="8" t="s">
        <v>17</v>
      </c>
      <c r="I11" s="8">
        <v>75.3</v>
      </c>
      <c r="J11" s="8">
        <v>1.82</v>
      </c>
      <c r="K11" s="8">
        <v>187</v>
      </c>
      <c r="L11" s="8">
        <v>169</v>
      </c>
      <c r="M11" s="8">
        <v>58</v>
      </c>
      <c r="N11" s="8">
        <v>1.45</v>
      </c>
      <c r="O11" s="8">
        <v>628</v>
      </c>
      <c r="P11" s="8" t="s">
        <v>20</v>
      </c>
      <c r="Q11" s="8" t="str">
        <f>_xlfn.IFS(AND(Table13[[#This Row],[Gender]]="female",R11&lt;20),"Athletes",AND(Table13[[#This Row],[Gender]]="female",R11&lt;24),"Fitnesss",AND(Table13[[#This Row],[Gender]]="female",R11&lt;31),"Acceptable",AND(Table13[[#This Row],[Gender]]="female",R11&lt;40),"Obese",AND(Table13[[#This Row],[Gender]]="male",R11&lt;13),"Athletes",AND(Table13[[#This Row],[Gender]]="male",R11&lt;17),"Fitnesss",AND(Table13[[#This Row],[Gender]]="male",R11&lt;24.9),"Acceptable",AND(Table13[[#This Row],[Gender]]="male",R11&lt;40),"Obese",AND(Table13[[#This Row],[Gender]]="others",R11&lt;20),"Athletes",AND(Table13[[#This Row],[Gender]]="others",R11&lt;24),"Fitnesss",AND(Table13[[#This Row],[Gender]]="others",R11&lt;31),"Acceptable",AND(Table13[[#This Row],[Gender]]="others",R11&lt;40),"Obese")</f>
        <v>Obese</v>
      </c>
      <c r="R11" s="8">
        <v>31.8</v>
      </c>
      <c r="S11" s="8">
        <v>2.4</v>
      </c>
      <c r="T11" s="8">
        <v>4</v>
      </c>
      <c r="U11" s="8">
        <v>1</v>
      </c>
      <c r="V11" s="8" t="str">
        <f>IF(Table13[[#This Row],[BMI]]&lt;=18.5,"Underweight",IF(Table13[[#This Row],[BMI]]&lt;=24.9,"Normal",IF(Table13[[#This Row],[BMI]]&lt;=29.9,"Overweight",IF(Table13[[#This Row],[BMI]]&lt;=39,"Obese","Severly Obese"))))</f>
        <v>Normal</v>
      </c>
      <c r="W11" s="18">
        <v>20.37</v>
      </c>
    </row>
    <row r="12" spans="6:23" x14ac:dyDescent="0.3">
      <c r="F12" s="17">
        <v>34</v>
      </c>
      <c r="G12" s="8" t="str">
        <f>IF(Table13[[#This Row],[Age]]&lt;25,"18-24",IF(Table13[[#This Row],[Age]]&lt;35,"25-34",IF(Table13[[#This Row],[Age]]&lt;45,"35-44",IF(Table13[[#This Row],[Age]]&lt;55,"45-54","55-64"))))</f>
        <v>25-34</v>
      </c>
      <c r="H12" s="8" t="s">
        <v>17</v>
      </c>
      <c r="I12" s="8">
        <v>52.8</v>
      </c>
      <c r="J12" s="8">
        <v>1.74</v>
      </c>
      <c r="K12" s="8">
        <v>177</v>
      </c>
      <c r="L12" s="8">
        <v>169</v>
      </c>
      <c r="M12" s="8">
        <v>66</v>
      </c>
      <c r="N12" s="8">
        <v>1.6</v>
      </c>
      <c r="O12" s="8">
        <v>1286</v>
      </c>
      <c r="P12" s="8" t="s">
        <v>18</v>
      </c>
      <c r="Q12" s="8" t="str">
        <f>_xlfn.IFS(AND(Table13[[#This Row],[Gender]]="female",R12&lt;20),"Athletes",AND(Table13[[#This Row],[Gender]]="female",R12&lt;24),"Fitnesss",AND(Table13[[#This Row],[Gender]]="female",R12&lt;31),"Acceptable",AND(Table13[[#This Row],[Gender]]="female",R12&lt;40),"Obese",AND(Table13[[#This Row],[Gender]]="male",R12&lt;13),"Athletes",AND(Table13[[#This Row],[Gender]]="male",R12&lt;17),"Fitnesss",AND(Table13[[#This Row],[Gender]]="male",R12&lt;24.9),"Acceptable",AND(Table13[[#This Row],[Gender]]="male",R12&lt;40),"Obese",AND(Table13[[#This Row],[Gender]]="others",R12&lt;20),"Athletes",AND(Table13[[#This Row],[Gender]]="others",R12&lt;24),"Fitnesss",AND(Table13[[#This Row],[Gender]]="others",R12&lt;31),"Acceptable",AND(Table13[[#This Row],[Gender]]="others",R12&lt;40),"Obese")</f>
        <v>Acceptable</v>
      </c>
      <c r="R12" s="8">
        <v>26.4</v>
      </c>
      <c r="S12" s="8">
        <v>3.2</v>
      </c>
      <c r="T12" s="8">
        <v>4</v>
      </c>
      <c r="U12" s="8">
        <v>2</v>
      </c>
      <c r="V12" s="8" t="str">
        <f>IF(Table13[[#This Row],[BMI]]&lt;=18.5,"Underweight",IF(Table13[[#This Row],[BMI]]&lt;=24.9,"Normal",IF(Table13[[#This Row],[BMI]]&lt;=29.9,"Overweight",IF(Table13[[#This Row],[BMI]]&lt;=39,"Obese","Severly Obese"))))</f>
        <v>Normal</v>
      </c>
      <c r="W12" s="18">
        <v>20.83</v>
      </c>
    </row>
    <row r="13" spans="6:23" x14ac:dyDescent="0.3">
      <c r="F13" s="17">
        <v>38</v>
      </c>
      <c r="G13" s="8" t="str">
        <f>IF(Table13[[#This Row],[Age]]&lt;25,"18-24",IF(Table13[[#This Row],[Age]]&lt;35,"25-34",IF(Table13[[#This Row],[Age]]&lt;45,"35-44",IF(Table13[[#This Row],[Age]]&lt;55,"45-54","55-64"))))</f>
        <v>35-44</v>
      </c>
      <c r="H13" s="8" t="s">
        <v>17</v>
      </c>
      <c r="I13" s="8">
        <v>53</v>
      </c>
      <c r="J13" s="8">
        <v>1.58</v>
      </c>
      <c r="K13" s="8">
        <v>161</v>
      </c>
      <c r="L13" s="8">
        <v>128</v>
      </c>
      <c r="M13" s="8">
        <v>74</v>
      </c>
      <c r="N13" s="8">
        <v>1.62</v>
      </c>
      <c r="O13" s="8">
        <v>953</v>
      </c>
      <c r="P13" s="8" t="s">
        <v>21</v>
      </c>
      <c r="Q13" s="8" t="str">
        <f>_xlfn.IFS(AND(Table13[[#This Row],[Gender]]="female",R13&lt;20),"Athletes",AND(Table13[[#This Row],[Gender]]="female",R13&lt;24),"Fitnesss",AND(Table13[[#This Row],[Gender]]="female",R13&lt;31),"Acceptable",AND(Table13[[#This Row],[Gender]]="female",R13&lt;40),"Obese",AND(Table13[[#This Row],[Gender]]="male",R13&lt;13),"Athletes",AND(Table13[[#This Row],[Gender]]="male",R13&lt;17),"Fitnesss",AND(Table13[[#This Row],[Gender]]="male",R13&lt;24.9),"Acceptable",AND(Table13[[#This Row],[Gender]]="male",R13&lt;40),"Obese",AND(Table13[[#This Row],[Gender]]="others",R13&lt;20),"Athletes",AND(Table13[[#This Row],[Gender]]="others",R13&lt;24),"Fitnesss",AND(Table13[[#This Row],[Gender]]="others",R13&lt;31),"Acceptable",AND(Table13[[#This Row],[Gender]]="others",R13&lt;40),"Obese")</f>
        <v>Fitnesss</v>
      </c>
      <c r="R13" s="8">
        <v>23.4</v>
      </c>
      <c r="S13" s="8">
        <v>2.5</v>
      </c>
      <c r="T13" s="8">
        <v>2</v>
      </c>
      <c r="U13" s="8">
        <v>2</v>
      </c>
      <c r="V13" s="8" t="str">
        <f>IF(Table13[[#This Row],[BMI]]&lt;=18.5,"Underweight",IF(Table13[[#This Row],[BMI]]&lt;=24.9,"Normal",IF(Table13[[#This Row],[BMI]]&lt;=29.9,"Overweight",IF(Table13[[#This Row],[BMI]]&lt;=39,"Obese","Severly Obese"))))</f>
        <v>Underweight</v>
      </c>
      <c r="W13" s="18">
        <v>13.02</v>
      </c>
    </row>
    <row r="14" spans="6:23" x14ac:dyDescent="0.3">
      <c r="F14" s="17">
        <v>44</v>
      </c>
      <c r="G14" s="8" t="str">
        <f>IF(Table13[[#This Row],[Age]]&lt;25,"18-24",IF(Table13[[#This Row],[Age]]&lt;35,"25-34",IF(Table13[[#This Row],[Age]]&lt;45,"35-44",IF(Table13[[#This Row],[Age]]&lt;55,"45-54","55-64"))))</f>
        <v>35-44</v>
      </c>
      <c r="H14" s="8" t="s">
        <v>17</v>
      </c>
      <c r="I14" s="8">
        <v>46.5</v>
      </c>
      <c r="J14" s="8">
        <v>1.81</v>
      </c>
      <c r="K14" s="8">
        <v>191</v>
      </c>
      <c r="L14" s="8">
        <v>142</v>
      </c>
      <c r="M14" s="8">
        <v>74</v>
      </c>
      <c r="N14" s="8">
        <v>1.46</v>
      </c>
      <c r="O14" s="8">
        <v>1238</v>
      </c>
      <c r="P14" s="8" t="s">
        <v>20</v>
      </c>
      <c r="Q14" s="8" t="str">
        <f>_xlfn.IFS(AND(Table13[[#This Row],[Gender]]="female",R14&lt;20),"Athletes",AND(Table13[[#This Row],[Gender]]="female",R14&lt;24),"Fitnesss",AND(Table13[[#This Row],[Gender]]="female",R14&lt;31),"Acceptable",AND(Table13[[#This Row],[Gender]]="female",R14&lt;40),"Obese",AND(Table13[[#This Row],[Gender]]="male",R14&lt;13),"Athletes",AND(Table13[[#This Row],[Gender]]="male",R14&lt;17),"Fitnesss",AND(Table13[[#This Row],[Gender]]="male",R14&lt;24.9),"Acceptable",AND(Table13[[#This Row],[Gender]]="male",R14&lt;40),"Obese",AND(Table13[[#This Row],[Gender]]="others",R14&lt;20),"Athletes",AND(Table13[[#This Row],[Gender]]="others",R14&lt;24),"Fitnesss",AND(Table13[[#This Row],[Gender]]="others",R14&lt;31),"Acceptable",AND(Table13[[#This Row],[Gender]]="others",R14&lt;40),"Obese")</f>
        <v>Athletes</v>
      </c>
      <c r="R14" s="8">
        <v>11.9</v>
      </c>
      <c r="S14" s="8">
        <v>3.7</v>
      </c>
      <c r="T14" s="8">
        <v>2</v>
      </c>
      <c r="U14" s="8">
        <v>2</v>
      </c>
      <c r="V14" s="8" t="str">
        <f>IF(Table13[[#This Row],[BMI]]&lt;=18.5,"Underweight",IF(Table13[[#This Row],[BMI]]&lt;=24.9,"Normal",IF(Table13[[#This Row],[BMI]]&lt;=29.9,"Overweight",IF(Table13[[#This Row],[BMI]]&lt;=39,"Obese","Severly Obese"))))</f>
        <v>Underweight</v>
      </c>
      <c r="W14" s="18">
        <v>18.12</v>
      </c>
    </row>
    <row r="15" spans="6:23" x14ac:dyDescent="0.3">
      <c r="F15" s="17">
        <v>50</v>
      </c>
      <c r="G15" s="8" t="str">
        <f>IF(Table13[[#This Row],[Age]]&lt;25,"18-24",IF(Table13[[#This Row],[Age]]&lt;35,"25-34",IF(Table13[[#This Row],[Age]]&lt;45,"35-44",IF(Table13[[#This Row],[Age]]&lt;55,"45-54","55-64"))))</f>
        <v>45-54</v>
      </c>
      <c r="H15" s="8" t="s">
        <v>17</v>
      </c>
      <c r="I15" s="8">
        <v>88.5</v>
      </c>
      <c r="J15" s="8">
        <v>1.63</v>
      </c>
      <c r="K15" s="8">
        <v>181</v>
      </c>
      <c r="L15" s="8">
        <v>136</v>
      </c>
      <c r="M15" s="8">
        <v>63</v>
      </c>
      <c r="N15" s="8">
        <v>1.63</v>
      </c>
      <c r="O15" s="8">
        <v>829</v>
      </c>
      <c r="P15" s="8" t="s">
        <v>18</v>
      </c>
      <c r="Q15" s="8" t="str">
        <f>_xlfn.IFS(AND(Table13[[#This Row],[Gender]]="female",R15&lt;20),"Athletes",AND(Table13[[#This Row],[Gender]]="female",R15&lt;24),"Fitnesss",AND(Table13[[#This Row],[Gender]]="female",R15&lt;31),"Acceptable",AND(Table13[[#This Row],[Gender]]="female",R15&lt;40),"Obese",AND(Table13[[#This Row],[Gender]]="male",R15&lt;13),"Athletes",AND(Table13[[#This Row],[Gender]]="male",R15&lt;17),"Fitnesss",AND(Table13[[#This Row],[Gender]]="male",R15&lt;24.9),"Acceptable",AND(Table13[[#This Row],[Gender]]="male",R15&lt;40),"Obese",AND(Table13[[#This Row],[Gender]]="others",R15&lt;20),"Athletes",AND(Table13[[#This Row],[Gender]]="others",R15&lt;24),"Fitnesss",AND(Table13[[#This Row],[Gender]]="others",R15&lt;31),"Acceptable",AND(Table13[[#This Row],[Gender]]="others",R15&lt;40),"Obese")</f>
        <v>Athletes</v>
      </c>
      <c r="R15" s="8">
        <v>11.6</v>
      </c>
      <c r="S15" s="8">
        <v>1.8</v>
      </c>
      <c r="T15" s="8">
        <v>4</v>
      </c>
      <c r="U15" s="8">
        <v>2</v>
      </c>
      <c r="V15" s="8" t="str">
        <f>IF(Table13[[#This Row],[BMI]]&lt;=18.5,"Underweight",IF(Table13[[#This Row],[BMI]]&lt;=24.9,"Normal",IF(Table13[[#This Row],[BMI]]&lt;=29.9,"Overweight",IF(Table13[[#This Row],[BMI]]&lt;=39,"Obese","Severly Obese"))))</f>
        <v>Normal</v>
      </c>
      <c r="W15" s="18">
        <v>19.16</v>
      </c>
    </row>
    <row r="16" spans="6:23" x14ac:dyDescent="0.3">
      <c r="F16" s="17">
        <v>18</v>
      </c>
      <c r="G16" s="8" t="str">
        <f>IF(Table13[[#This Row],[Age]]&lt;25,"18-24",IF(Table13[[#This Row],[Age]]&lt;35,"25-34",IF(Table13[[#This Row],[Age]]&lt;45,"35-44",IF(Table13[[#This Row],[Age]]&lt;55,"45-54","55-64"))))</f>
        <v>18-24</v>
      </c>
      <c r="H16" s="8" t="s">
        <v>17</v>
      </c>
      <c r="I16" s="8">
        <v>82.9</v>
      </c>
      <c r="J16" s="8">
        <v>1.54</v>
      </c>
      <c r="K16" s="8">
        <v>174</v>
      </c>
      <c r="L16" s="8">
        <v>169</v>
      </c>
      <c r="M16" s="8">
        <v>64</v>
      </c>
      <c r="N16" s="8">
        <v>0.77</v>
      </c>
      <c r="O16" s="8">
        <v>802</v>
      </c>
      <c r="P16" s="8" t="s">
        <v>21</v>
      </c>
      <c r="Q16" s="8" t="str">
        <f>_xlfn.IFS(AND(Table13[[#This Row],[Gender]]="female",R16&lt;20),"Athletes",AND(Table13[[#This Row],[Gender]]="female",R16&lt;24),"Fitnesss",AND(Table13[[#This Row],[Gender]]="female",R16&lt;31),"Acceptable",AND(Table13[[#This Row],[Gender]]="female",R16&lt;40),"Obese",AND(Table13[[#This Row],[Gender]]="male",R16&lt;13),"Athletes",AND(Table13[[#This Row],[Gender]]="male",R16&lt;17),"Fitnesss",AND(Table13[[#This Row],[Gender]]="male",R16&lt;24.9),"Acceptable",AND(Table13[[#This Row],[Gender]]="male",R16&lt;40),"Obese",AND(Table13[[#This Row],[Gender]]="others",R16&lt;20),"Athletes",AND(Table13[[#This Row],[Gender]]="others",R16&lt;24),"Fitnesss",AND(Table13[[#This Row],[Gender]]="others",R16&lt;31),"Acceptable",AND(Table13[[#This Row],[Gender]]="others",R16&lt;40),"Obese")</f>
        <v>Acceptable</v>
      </c>
      <c r="R16" s="8">
        <v>27.8</v>
      </c>
      <c r="S16" s="8">
        <v>2.2000000000000002</v>
      </c>
      <c r="T16" s="8">
        <v>3</v>
      </c>
      <c r="U16" s="8">
        <v>1</v>
      </c>
      <c r="V16" s="8" t="str">
        <f>IF(Table13[[#This Row],[BMI]]&lt;=18.5,"Underweight",IF(Table13[[#This Row],[BMI]]&lt;=24.9,"Normal",IF(Table13[[#This Row],[BMI]]&lt;=29.9,"Overweight",IF(Table13[[#This Row],[BMI]]&lt;=39,"Obese","Severly Obese"))))</f>
        <v>Severly Obese</v>
      </c>
      <c r="W16" s="18">
        <v>49.84</v>
      </c>
    </row>
    <row r="17" spans="6:23" x14ac:dyDescent="0.3">
      <c r="F17" s="17">
        <v>34</v>
      </c>
      <c r="G17" s="8" t="str">
        <f>IF(Table13[[#This Row],[Age]]&lt;25,"18-24",IF(Table13[[#This Row],[Age]]&lt;35,"25-34",IF(Table13[[#This Row],[Age]]&lt;45,"35-44",IF(Table13[[#This Row],[Age]]&lt;55,"45-54","55-64"))))</f>
        <v>25-34</v>
      </c>
      <c r="H17" s="8" t="s">
        <v>17</v>
      </c>
      <c r="I17" s="8">
        <v>65.900000000000006</v>
      </c>
      <c r="J17" s="8">
        <v>1.74</v>
      </c>
      <c r="K17" s="8">
        <v>195</v>
      </c>
      <c r="L17" s="8">
        <v>169</v>
      </c>
      <c r="M17" s="8">
        <v>73</v>
      </c>
      <c r="N17" s="8">
        <v>2</v>
      </c>
      <c r="O17" s="8">
        <v>1231</v>
      </c>
      <c r="P17" s="8" t="s">
        <v>22</v>
      </c>
      <c r="Q17" s="8" t="str">
        <f>_xlfn.IFS(AND(Table13[[#This Row],[Gender]]="female",R17&lt;20),"Athletes",AND(Table13[[#This Row],[Gender]]="female",R17&lt;24),"Fitnesss",AND(Table13[[#This Row],[Gender]]="female",R17&lt;31),"Acceptable",AND(Table13[[#This Row],[Gender]]="female",R17&lt;40),"Obese",AND(Table13[[#This Row],[Gender]]="male",R17&lt;13),"Athletes",AND(Table13[[#This Row],[Gender]]="male",R17&lt;17),"Fitnesss",AND(Table13[[#This Row],[Gender]]="male",R17&lt;24.9),"Acceptable",AND(Table13[[#This Row],[Gender]]="male",R17&lt;40),"Obese",AND(Table13[[#This Row],[Gender]]="others",R17&lt;20),"Athletes",AND(Table13[[#This Row],[Gender]]="others",R17&lt;24),"Fitnesss",AND(Table13[[#This Row],[Gender]]="others",R17&lt;31),"Acceptable",AND(Table13[[#This Row],[Gender]]="others",R17&lt;40),"Obese")</f>
        <v>Acceptable</v>
      </c>
      <c r="R17" s="8">
        <v>30.5</v>
      </c>
      <c r="S17" s="8">
        <v>3.2</v>
      </c>
      <c r="T17" s="8">
        <v>5</v>
      </c>
      <c r="U17" s="8">
        <v>2</v>
      </c>
      <c r="V17" s="8" t="str">
        <f>IF(Table13[[#This Row],[BMI]]&lt;=18.5,"Underweight",IF(Table13[[#This Row],[BMI]]&lt;=24.9,"Normal",IF(Table13[[#This Row],[BMI]]&lt;=29.9,"Overweight",IF(Table13[[#This Row],[BMI]]&lt;=39,"Obese","Severly Obese"))))</f>
        <v>Underweight</v>
      </c>
      <c r="W17" s="18">
        <v>12.32</v>
      </c>
    </row>
    <row r="18" spans="6:23" x14ac:dyDescent="0.3">
      <c r="F18" s="17">
        <v>39</v>
      </c>
      <c r="G18" s="8" t="str">
        <f>IF(Table13[[#This Row],[Age]]&lt;25,"18-24",IF(Table13[[#This Row],[Age]]&lt;35,"25-34",IF(Table13[[#This Row],[Age]]&lt;45,"35-44",IF(Table13[[#This Row],[Age]]&lt;55,"45-54","55-64"))))</f>
        <v>35-44</v>
      </c>
      <c r="H18" s="8" t="s">
        <v>17</v>
      </c>
      <c r="I18" s="8">
        <v>47</v>
      </c>
      <c r="J18" s="8">
        <v>1.78</v>
      </c>
      <c r="K18" s="8">
        <v>181</v>
      </c>
      <c r="L18" s="8">
        <v>155</v>
      </c>
      <c r="M18" s="8">
        <v>55</v>
      </c>
      <c r="N18" s="8">
        <v>1.89</v>
      </c>
      <c r="O18" s="8">
        <v>747</v>
      </c>
      <c r="P18" s="8" t="s">
        <v>22</v>
      </c>
      <c r="Q18" s="8" t="str">
        <f>_xlfn.IFS(AND(Table13[[#This Row],[Gender]]="female",R18&lt;20),"Athletes",AND(Table13[[#This Row],[Gender]]="female",R18&lt;24),"Fitnesss",AND(Table13[[#This Row],[Gender]]="female",R18&lt;31),"Acceptable",AND(Table13[[#This Row],[Gender]]="female",R18&lt;40),"Obese",AND(Table13[[#This Row],[Gender]]="male",R18&lt;13),"Athletes",AND(Table13[[#This Row],[Gender]]="male",R18&lt;17),"Fitnesss",AND(Table13[[#This Row],[Gender]]="male",R18&lt;24.9),"Acceptable",AND(Table13[[#This Row],[Gender]]="male",R18&lt;40),"Obese",AND(Table13[[#This Row],[Gender]]="others",R18&lt;20),"Athletes",AND(Table13[[#This Row],[Gender]]="others",R18&lt;24),"Fitnesss",AND(Table13[[#This Row],[Gender]]="others",R18&lt;31),"Acceptable",AND(Table13[[#This Row],[Gender]]="others",R18&lt;40),"Obese")</f>
        <v>Obese</v>
      </c>
      <c r="R18" s="8">
        <v>31.7</v>
      </c>
      <c r="S18" s="8">
        <v>2.2999999999999998</v>
      </c>
      <c r="T18" s="8">
        <v>3</v>
      </c>
      <c r="U18" s="8">
        <v>3</v>
      </c>
      <c r="V18" s="8" t="str">
        <f>IF(Table13[[#This Row],[BMI]]&lt;=18.5,"Underweight",IF(Table13[[#This Row],[BMI]]&lt;=24.9,"Normal",IF(Table13[[#This Row],[BMI]]&lt;=29.9,"Overweight",IF(Table13[[#This Row],[BMI]]&lt;=39,"Obese","Severly Obese"))))</f>
        <v>Overweight</v>
      </c>
      <c r="W18" s="18">
        <v>28.39</v>
      </c>
    </row>
    <row r="19" spans="6:23" x14ac:dyDescent="0.3">
      <c r="F19" s="17">
        <v>46</v>
      </c>
      <c r="G19" s="8" t="str">
        <f>IF(Table13[[#This Row],[Age]]&lt;25,"18-24",IF(Table13[[#This Row],[Age]]&lt;35,"25-34",IF(Table13[[#This Row],[Age]]&lt;45,"35-44",IF(Table13[[#This Row],[Age]]&lt;55,"45-54","55-64"))))</f>
        <v>45-54</v>
      </c>
      <c r="H19" s="8" t="s">
        <v>19</v>
      </c>
      <c r="I19" s="8">
        <v>40</v>
      </c>
      <c r="J19" s="8">
        <v>1.88</v>
      </c>
      <c r="K19" s="8">
        <v>168</v>
      </c>
      <c r="L19" s="8">
        <v>131</v>
      </c>
      <c r="M19" s="8">
        <v>69</v>
      </c>
      <c r="N19" s="8">
        <v>2</v>
      </c>
      <c r="O19" s="8">
        <v>672</v>
      </c>
      <c r="P19" s="8" t="s">
        <v>23</v>
      </c>
      <c r="Q19" s="8" t="str">
        <f>_xlfn.IFS(AND(Table13[[#This Row],[Gender]]="female",R19&lt;20),"Athletes",AND(Table13[[#This Row],[Gender]]="female",R19&lt;24),"Fitnesss",AND(Table13[[#This Row],[Gender]]="female",R19&lt;31),"Acceptable",AND(Table13[[#This Row],[Gender]]="female",R19&lt;40),"Obese",AND(Table13[[#This Row],[Gender]]="male",R19&lt;13),"Athletes",AND(Table13[[#This Row],[Gender]]="male",R19&lt;17),"Fitnesss",AND(Table13[[#This Row],[Gender]]="male",R19&lt;24.9),"Acceptable",AND(Table13[[#This Row],[Gender]]="male",R19&lt;40),"Obese",AND(Table13[[#This Row],[Gender]]="others",R19&lt;20),"Athletes",AND(Table13[[#This Row],[Gender]]="others",R19&lt;24),"Fitnesss",AND(Table13[[#This Row],[Gender]]="others",R19&lt;31),"Acceptable",AND(Table13[[#This Row],[Gender]]="others",R19&lt;40),"Obese")</f>
        <v>Obese</v>
      </c>
      <c r="R19" s="8">
        <v>25.4</v>
      </c>
      <c r="S19" s="8">
        <v>2.4</v>
      </c>
      <c r="T19" s="8">
        <v>2</v>
      </c>
      <c r="U19" s="8">
        <v>2</v>
      </c>
      <c r="V19" s="8" t="str">
        <f>IF(Table13[[#This Row],[BMI]]&lt;=18.5,"Underweight",IF(Table13[[#This Row],[BMI]]&lt;=24.9,"Normal",IF(Table13[[#This Row],[BMI]]&lt;=29.9,"Overweight",IF(Table13[[#This Row],[BMI]]&lt;=39,"Obese","Severly Obese"))))</f>
        <v>Underweight</v>
      </c>
      <c r="W19" s="18">
        <v>12.32</v>
      </c>
    </row>
    <row r="20" spans="6:23" x14ac:dyDescent="0.3">
      <c r="F20" s="17">
        <v>19</v>
      </c>
      <c r="G20" s="8" t="str">
        <f>IF(Table13[[#This Row],[Age]]&lt;25,"18-24",IF(Table13[[#This Row],[Age]]&lt;35,"25-34",IF(Table13[[#This Row],[Age]]&lt;45,"35-44",IF(Table13[[#This Row],[Age]]&lt;55,"45-54","55-64"))))</f>
        <v>18-24</v>
      </c>
      <c r="H20" s="8" t="s">
        <v>19</v>
      </c>
      <c r="I20" s="8">
        <v>87.7</v>
      </c>
      <c r="J20" s="8">
        <v>1.98</v>
      </c>
      <c r="K20" s="8">
        <v>186</v>
      </c>
      <c r="L20" s="8">
        <v>145</v>
      </c>
      <c r="M20" s="8">
        <v>50</v>
      </c>
      <c r="N20" s="8">
        <v>1.61</v>
      </c>
      <c r="O20" s="8">
        <v>1705</v>
      </c>
      <c r="P20" s="8" t="s">
        <v>18</v>
      </c>
      <c r="Q20" s="8" t="str">
        <f>_xlfn.IFS(AND(Table13[[#This Row],[Gender]]="female",R20&lt;20),"Athletes",AND(Table13[[#This Row],[Gender]]="female",R20&lt;24),"Fitnesss",AND(Table13[[#This Row],[Gender]]="female",R20&lt;31),"Acceptable",AND(Table13[[#This Row],[Gender]]="female",R20&lt;40),"Obese",AND(Table13[[#This Row],[Gender]]="male",R20&lt;13),"Athletes",AND(Table13[[#This Row],[Gender]]="male",R20&lt;17),"Fitnesss",AND(Table13[[#This Row],[Gender]]="male",R20&lt;24.9),"Acceptable",AND(Table13[[#This Row],[Gender]]="male",R20&lt;40),"Obese",AND(Table13[[#This Row],[Gender]]="others",R20&lt;20),"Athletes",AND(Table13[[#This Row],[Gender]]="others",R20&lt;24),"Fitnesss",AND(Table13[[#This Row],[Gender]]="others",R20&lt;31),"Acceptable",AND(Table13[[#This Row],[Gender]]="others",R20&lt;40),"Obese")</f>
        <v>Fitnesss</v>
      </c>
      <c r="R20" s="8">
        <v>14.1</v>
      </c>
      <c r="S20" s="8">
        <v>2.2999999999999998</v>
      </c>
      <c r="T20" s="8">
        <v>3</v>
      </c>
      <c r="U20" s="8">
        <v>2</v>
      </c>
      <c r="V20" s="8" t="str">
        <f>IF(Table13[[#This Row],[BMI]]&lt;=18.5,"Underweight",IF(Table13[[#This Row],[BMI]]&lt;=24.9,"Normal",IF(Table13[[#This Row],[BMI]]&lt;=29.9,"Overweight",IF(Table13[[#This Row],[BMI]]&lt;=39,"Obese","Severly Obese"))))</f>
        <v>Underweight</v>
      </c>
      <c r="W20" s="18">
        <v>15.99</v>
      </c>
    </row>
    <row r="21" spans="6:23" x14ac:dyDescent="0.3">
      <c r="F21" s="17">
        <v>56</v>
      </c>
      <c r="G21" s="8" t="str">
        <f>IF(Table13[[#This Row],[Age]]&lt;25,"18-24",IF(Table13[[#This Row],[Age]]&lt;35,"25-34",IF(Table13[[#This Row],[Age]]&lt;45,"35-44",IF(Table13[[#This Row],[Age]]&lt;55,"45-54","55-64"))))</f>
        <v>55-64</v>
      </c>
      <c r="H21" s="8" t="s">
        <v>17</v>
      </c>
      <c r="I21" s="8">
        <v>107.4</v>
      </c>
      <c r="J21" s="8">
        <v>1.73</v>
      </c>
      <c r="K21" s="8">
        <v>176</v>
      </c>
      <c r="L21" s="8">
        <v>141</v>
      </c>
      <c r="M21" s="8">
        <v>71</v>
      </c>
      <c r="N21" s="8">
        <v>0.65</v>
      </c>
      <c r="O21" s="8">
        <v>1564</v>
      </c>
      <c r="P21" s="8" t="s">
        <v>21</v>
      </c>
      <c r="Q21" s="8" t="str">
        <f>_xlfn.IFS(AND(Table13[[#This Row],[Gender]]="female",R21&lt;20),"Athletes",AND(Table13[[#This Row],[Gender]]="female",R21&lt;24),"Fitnesss",AND(Table13[[#This Row],[Gender]]="female",R21&lt;31),"Acceptable",AND(Table13[[#This Row],[Gender]]="female",R21&lt;40),"Obese",AND(Table13[[#This Row],[Gender]]="male",R21&lt;13),"Athletes",AND(Table13[[#This Row],[Gender]]="male",R21&lt;17),"Fitnesss",AND(Table13[[#This Row],[Gender]]="male",R21&lt;24.9),"Acceptable",AND(Table13[[#This Row],[Gender]]="male",R21&lt;40),"Obese",AND(Table13[[#This Row],[Gender]]="others",R21&lt;20),"Athletes",AND(Table13[[#This Row],[Gender]]="others",R21&lt;24),"Fitnesss",AND(Table13[[#This Row],[Gender]]="others",R21&lt;31),"Acceptable",AND(Table13[[#This Row],[Gender]]="others",R21&lt;40),"Obese")</f>
        <v>Acceptable</v>
      </c>
      <c r="R21" s="8">
        <v>26</v>
      </c>
      <c r="S21" s="8">
        <v>3</v>
      </c>
      <c r="T21" s="8">
        <v>2</v>
      </c>
      <c r="U21" s="8">
        <v>3</v>
      </c>
      <c r="V21" s="8" t="str">
        <f>IF(Table13[[#This Row],[BMI]]&lt;=18.5,"Underweight",IF(Table13[[#This Row],[BMI]]&lt;=24.9,"Normal",IF(Table13[[#This Row],[BMI]]&lt;=29.9,"Overweight",IF(Table13[[#This Row],[BMI]]&lt;=39,"Obese","Severly Obese"))))</f>
        <v>Underweight</v>
      </c>
      <c r="W21" s="18">
        <v>14.48</v>
      </c>
    </row>
    <row r="22" spans="6:23" x14ac:dyDescent="0.3">
      <c r="F22" s="17">
        <v>19</v>
      </c>
      <c r="G22" s="8" t="str">
        <f>IF(Table13[[#This Row],[Age]]&lt;25,"18-24",IF(Table13[[#This Row],[Age]]&lt;35,"25-34",IF(Table13[[#This Row],[Age]]&lt;45,"35-44",IF(Table13[[#This Row],[Age]]&lt;55,"45-54","55-64"))))</f>
        <v>18-24</v>
      </c>
      <c r="H22" s="8" t="s">
        <v>17</v>
      </c>
      <c r="I22" s="8">
        <v>71.7</v>
      </c>
      <c r="J22" s="8">
        <v>1.91</v>
      </c>
      <c r="K22" s="8">
        <v>197</v>
      </c>
      <c r="L22" s="8">
        <v>148</v>
      </c>
      <c r="M22" s="8">
        <v>74</v>
      </c>
      <c r="N22" s="8">
        <v>1.1499999999999999</v>
      </c>
      <c r="O22" s="8">
        <v>464</v>
      </c>
      <c r="P22" s="8" t="s">
        <v>20</v>
      </c>
      <c r="Q22" s="8" t="str">
        <f>_xlfn.IFS(AND(Table13[[#This Row],[Gender]]="female",R22&lt;20),"Athletes",AND(Table13[[#This Row],[Gender]]="female",R22&lt;24),"Fitnesss",AND(Table13[[#This Row],[Gender]]="female",R22&lt;31),"Acceptable",AND(Table13[[#This Row],[Gender]]="female",R22&lt;40),"Obese",AND(Table13[[#This Row],[Gender]]="male",R22&lt;13),"Athletes",AND(Table13[[#This Row],[Gender]]="male",R22&lt;17),"Fitnesss",AND(Table13[[#This Row],[Gender]]="male",R22&lt;24.9),"Acceptable",AND(Table13[[#This Row],[Gender]]="male",R22&lt;40),"Obese",AND(Table13[[#This Row],[Gender]]="others",R22&lt;20),"Athletes",AND(Table13[[#This Row],[Gender]]="others",R22&lt;24),"Fitnesss",AND(Table13[[#This Row],[Gender]]="others",R22&lt;31),"Acceptable",AND(Table13[[#This Row],[Gender]]="others",R22&lt;40),"Obese")</f>
        <v>Obese</v>
      </c>
      <c r="R22" s="8">
        <v>32.5</v>
      </c>
      <c r="S22" s="8">
        <v>2.7</v>
      </c>
      <c r="T22" s="8">
        <v>4</v>
      </c>
      <c r="U22" s="8">
        <v>2</v>
      </c>
      <c r="V22" s="8" t="str">
        <f>IF(Table13[[#This Row],[BMI]]&lt;=18.5,"Underweight",IF(Table13[[#This Row],[BMI]]&lt;=24.9,"Normal",IF(Table13[[#This Row],[BMI]]&lt;=29.9,"Overweight",IF(Table13[[#This Row],[BMI]]&lt;=39,"Obese","Severly Obese"))))</f>
        <v>Normal</v>
      </c>
      <c r="W22" s="18">
        <v>19.09</v>
      </c>
    </row>
    <row r="23" spans="6:23" x14ac:dyDescent="0.3">
      <c r="F23" s="17">
        <v>30</v>
      </c>
      <c r="G23" s="8" t="str">
        <f>IF(Table13[[#This Row],[Age]]&lt;25,"18-24",IF(Table13[[#This Row],[Age]]&lt;35,"25-34",IF(Table13[[#This Row],[Age]]&lt;45,"35-44",IF(Table13[[#This Row],[Age]]&lt;55,"45-54","55-64"))))</f>
        <v>25-34</v>
      </c>
      <c r="H23" s="8" t="s">
        <v>17</v>
      </c>
      <c r="I23" s="8">
        <v>90.6</v>
      </c>
      <c r="J23" s="8">
        <v>1.6</v>
      </c>
      <c r="K23" s="8">
        <v>161</v>
      </c>
      <c r="L23" s="8">
        <v>125</v>
      </c>
      <c r="M23" s="8">
        <v>52</v>
      </c>
      <c r="N23" s="8">
        <v>1.03</v>
      </c>
      <c r="O23" s="8">
        <v>1410</v>
      </c>
      <c r="P23" s="8" t="s">
        <v>22</v>
      </c>
      <c r="Q23" s="8" t="str">
        <f>_xlfn.IFS(AND(Table13[[#This Row],[Gender]]="female",R23&lt;20),"Athletes",AND(Table13[[#This Row],[Gender]]="female",R23&lt;24),"Fitnesss",AND(Table13[[#This Row],[Gender]]="female",R23&lt;31),"Acceptable",AND(Table13[[#This Row],[Gender]]="female",R23&lt;40),"Obese",AND(Table13[[#This Row],[Gender]]="male",R23&lt;13),"Athletes",AND(Table13[[#This Row],[Gender]]="male",R23&lt;17),"Fitnesss",AND(Table13[[#This Row],[Gender]]="male",R23&lt;24.9),"Acceptable",AND(Table13[[#This Row],[Gender]]="male",R23&lt;40),"Obese",AND(Table13[[#This Row],[Gender]]="others",R23&lt;20),"Athletes",AND(Table13[[#This Row],[Gender]]="others",R23&lt;24),"Fitnesss",AND(Table13[[#This Row],[Gender]]="others",R23&lt;31),"Acceptable",AND(Table13[[#This Row],[Gender]]="others",R23&lt;40),"Obese")</f>
        <v>Athletes</v>
      </c>
      <c r="R23" s="8">
        <v>16</v>
      </c>
      <c r="S23" s="8">
        <v>3.5</v>
      </c>
      <c r="T23" s="8">
        <v>4</v>
      </c>
      <c r="U23" s="8">
        <v>2</v>
      </c>
      <c r="V23" s="8" t="str">
        <f>IF(Table13[[#This Row],[BMI]]&lt;=18.5,"Underweight",IF(Table13[[#This Row],[BMI]]&lt;=24.9,"Normal",IF(Table13[[#This Row],[BMI]]&lt;=29.9,"Overweight",IF(Table13[[#This Row],[BMI]]&lt;=39,"Obese","Severly Obese"))))</f>
        <v>Underweight</v>
      </c>
      <c r="W23" s="18">
        <v>13.91</v>
      </c>
    </row>
    <row r="24" spans="6:23" x14ac:dyDescent="0.3">
      <c r="F24" s="17">
        <v>23</v>
      </c>
      <c r="G24" s="8" t="str">
        <f>IF(Table13[[#This Row],[Age]]&lt;25,"18-24",IF(Table13[[#This Row],[Age]]&lt;35,"25-34",IF(Table13[[#This Row],[Age]]&lt;45,"35-44",IF(Table13[[#This Row],[Age]]&lt;55,"45-54","55-64"))))</f>
        <v>18-24</v>
      </c>
      <c r="H24" s="8" t="s">
        <v>19</v>
      </c>
      <c r="I24" s="8">
        <v>56.2</v>
      </c>
      <c r="J24" s="8">
        <v>1.76</v>
      </c>
      <c r="K24" s="8">
        <v>195</v>
      </c>
      <c r="L24" s="8">
        <v>141</v>
      </c>
      <c r="M24" s="8">
        <v>55</v>
      </c>
      <c r="N24" s="8">
        <v>1.45</v>
      </c>
      <c r="O24" s="8">
        <v>1195</v>
      </c>
      <c r="P24" s="8" t="s">
        <v>21</v>
      </c>
      <c r="Q24" s="8" t="str">
        <f>_xlfn.IFS(AND(Table13[[#This Row],[Gender]]="female",R24&lt;20),"Athletes",AND(Table13[[#This Row],[Gender]]="female",R24&lt;24),"Fitnesss",AND(Table13[[#This Row],[Gender]]="female",R24&lt;31),"Acceptable",AND(Table13[[#This Row],[Gender]]="female",R24&lt;40),"Obese",AND(Table13[[#This Row],[Gender]]="male",R24&lt;13),"Athletes",AND(Table13[[#This Row],[Gender]]="male",R24&lt;17),"Fitnesss",AND(Table13[[#This Row],[Gender]]="male",R24&lt;24.9),"Acceptable",AND(Table13[[#This Row],[Gender]]="male",R24&lt;40),"Obese",AND(Table13[[#This Row],[Gender]]="others",R24&lt;20),"Athletes",AND(Table13[[#This Row],[Gender]]="others",R24&lt;24),"Fitnesss",AND(Table13[[#This Row],[Gender]]="others",R24&lt;31),"Acceptable",AND(Table13[[#This Row],[Gender]]="others",R24&lt;40),"Obese")</f>
        <v>Acceptable</v>
      </c>
      <c r="R24" s="8">
        <v>23.9</v>
      </c>
      <c r="S24" s="8">
        <v>3.2</v>
      </c>
      <c r="T24" s="8">
        <v>4</v>
      </c>
      <c r="U24" s="8">
        <v>1</v>
      </c>
      <c r="V24" s="8" t="str">
        <f>IF(Table13[[#This Row],[BMI]]&lt;=18.5,"Underweight",IF(Table13[[#This Row],[BMI]]&lt;=24.9,"Normal",IF(Table13[[#This Row],[BMI]]&lt;=29.9,"Overweight",IF(Table13[[#This Row],[BMI]]&lt;=39,"Obese","Severly Obese"))))</f>
        <v>Normal</v>
      </c>
      <c r="W24" s="18">
        <v>22.61</v>
      </c>
    </row>
    <row r="25" spans="6:23" x14ac:dyDescent="0.3">
      <c r="F25" s="17">
        <v>39</v>
      </c>
      <c r="G25" s="8" t="str">
        <f>IF(Table13[[#This Row],[Age]]&lt;25,"18-24",IF(Table13[[#This Row],[Age]]&lt;35,"25-34",IF(Table13[[#This Row],[Age]]&lt;45,"35-44",IF(Table13[[#This Row],[Age]]&lt;55,"45-54","55-64"))))</f>
        <v>35-44</v>
      </c>
      <c r="H25" s="8" t="s">
        <v>17</v>
      </c>
      <c r="I25" s="8">
        <v>71.3</v>
      </c>
      <c r="J25" s="8">
        <v>1.77</v>
      </c>
      <c r="K25" s="8">
        <v>171</v>
      </c>
      <c r="L25" s="8">
        <v>124</v>
      </c>
      <c r="M25" s="8">
        <v>74</v>
      </c>
      <c r="N25" s="8">
        <v>0.69</v>
      </c>
      <c r="O25" s="8">
        <v>871</v>
      </c>
      <c r="P25" s="8" t="s">
        <v>20</v>
      </c>
      <c r="Q25" s="8" t="str">
        <f>_xlfn.IFS(AND(Table13[[#This Row],[Gender]]="female",R25&lt;20),"Athletes",AND(Table13[[#This Row],[Gender]]="female",R25&lt;24),"Fitnesss",AND(Table13[[#This Row],[Gender]]="female",R25&lt;31),"Acceptable",AND(Table13[[#This Row],[Gender]]="female",R25&lt;40),"Obese",AND(Table13[[#This Row],[Gender]]="male",R25&lt;13),"Athletes",AND(Table13[[#This Row],[Gender]]="male",R25&lt;17),"Fitnesss",AND(Table13[[#This Row],[Gender]]="male",R25&lt;24.9),"Acceptable",AND(Table13[[#This Row],[Gender]]="male",R25&lt;40),"Obese",AND(Table13[[#This Row],[Gender]]="others",R25&lt;20),"Athletes",AND(Table13[[#This Row],[Gender]]="others",R25&lt;24),"Fitnesss",AND(Table13[[#This Row],[Gender]]="others",R25&lt;31),"Acceptable",AND(Table13[[#This Row],[Gender]]="others",R25&lt;40),"Obese")</f>
        <v>Fitnesss</v>
      </c>
      <c r="R25" s="8">
        <v>21.9</v>
      </c>
      <c r="S25" s="8">
        <v>2.1</v>
      </c>
      <c r="T25" s="8">
        <v>5</v>
      </c>
      <c r="U25" s="8">
        <v>1</v>
      </c>
      <c r="V25" s="8" t="str">
        <f>IF(Table13[[#This Row],[BMI]]&lt;=18.5,"Underweight",IF(Table13[[#This Row],[BMI]]&lt;=24.9,"Normal",IF(Table13[[#This Row],[BMI]]&lt;=29.9,"Overweight",IF(Table13[[#This Row],[BMI]]&lt;=39,"Obese","Severly Obese"))))</f>
        <v>Underweight</v>
      </c>
      <c r="W25" s="18">
        <v>14.31</v>
      </c>
    </row>
    <row r="26" spans="6:23" x14ac:dyDescent="0.3">
      <c r="F26" s="17">
        <v>54</v>
      </c>
      <c r="G26" s="8" t="str">
        <f>IF(Table13[[#This Row],[Age]]&lt;25,"18-24",IF(Table13[[#This Row],[Age]]&lt;35,"25-34",IF(Table13[[#This Row],[Age]]&lt;45,"35-44",IF(Table13[[#This Row],[Age]]&lt;55,"45-54","55-64"))))</f>
        <v>45-54</v>
      </c>
      <c r="H26" s="8" t="s">
        <v>17</v>
      </c>
      <c r="I26" s="8">
        <v>47.7</v>
      </c>
      <c r="J26" s="8">
        <v>1.56</v>
      </c>
      <c r="K26" s="8">
        <v>181</v>
      </c>
      <c r="L26" s="8">
        <v>128</v>
      </c>
      <c r="M26" s="8">
        <v>74</v>
      </c>
      <c r="N26" s="8">
        <v>1.5</v>
      </c>
      <c r="O26" s="8">
        <v>853</v>
      </c>
      <c r="P26" s="8" t="s">
        <v>22</v>
      </c>
      <c r="Q26" s="8" t="str">
        <f>_xlfn.IFS(AND(Table13[[#This Row],[Gender]]="female",R26&lt;20),"Athletes",AND(Table13[[#This Row],[Gender]]="female",R26&lt;24),"Fitnesss",AND(Table13[[#This Row],[Gender]]="female",R26&lt;31),"Acceptable",AND(Table13[[#This Row],[Gender]]="female",R26&lt;40),"Obese",AND(Table13[[#This Row],[Gender]]="male",R26&lt;13),"Athletes",AND(Table13[[#This Row],[Gender]]="male",R26&lt;17),"Fitnesss",AND(Table13[[#This Row],[Gender]]="male",R26&lt;24.9),"Acceptable",AND(Table13[[#This Row],[Gender]]="male",R26&lt;40),"Obese",AND(Table13[[#This Row],[Gender]]="others",R26&lt;20),"Athletes",AND(Table13[[#This Row],[Gender]]="others",R26&lt;24),"Fitnesss",AND(Table13[[#This Row],[Gender]]="others",R26&lt;31),"Acceptable",AND(Table13[[#This Row],[Gender]]="others",R26&lt;40),"Obese")</f>
        <v>Acceptable</v>
      </c>
      <c r="R26" s="8">
        <v>26.5</v>
      </c>
      <c r="S26" s="8">
        <v>1.5</v>
      </c>
      <c r="T26" s="8">
        <v>3</v>
      </c>
      <c r="U26" s="8">
        <v>1</v>
      </c>
      <c r="V26" s="8" t="str">
        <f>IF(Table13[[#This Row],[BMI]]&lt;=18.5,"Underweight",IF(Table13[[#This Row],[BMI]]&lt;=24.9,"Normal",IF(Table13[[#This Row],[BMI]]&lt;=29.9,"Overweight",IF(Table13[[#This Row],[BMI]]&lt;=39,"Obese","Severly Obese"))))</f>
        <v>Normal</v>
      </c>
      <c r="W26" s="18">
        <v>23.64</v>
      </c>
    </row>
    <row r="27" spans="6:23" x14ac:dyDescent="0.3">
      <c r="F27" s="17">
        <v>18</v>
      </c>
      <c r="G27" s="8" t="str">
        <f>IF(Table13[[#This Row],[Age]]&lt;25,"18-24",IF(Table13[[#This Row],[Age]]&lt;35,"25-34",IF(Table13[[#This Row],[Age]]&lt;45,"35-44",IF(Table13[[#This Row],[Age]]&lt;55,"45-54","55-64"))))</f>
        <v>18-24</v>
      </c>
      <c r="H27" s="8" t="s">
        <v>19</v>
      </c>
      <c r="I27" s="8">
        <v>63</v>
      </c>
      <c r="J27" s="8">
        <v>1.51</v>
      </c>
      <c r="K27" s="8">
        <v>184</v>
      </c>
      <c r="L27" s="8">
        <v>169</v>
      </c>
      <c r="M27" s="8">
        <v>71</v>
      </c>
      <c r="N27" s="8">
        <v>1.3</v>
      </c>
      <c r="O27" s="8">
        <v>1136</v>
      </c>
      <c r="P27" s="8" t="s">
        <v>20</v>
      </c>
      <c r="Q27" s="8" t="str">
        <f>_xlfn.IFS(AND(Table13[[#This Row],[Gender]]="female",R27&lt;20),"Athletes",AND(Table13[[#This Row],[Gender]]="female",R27&lt;24),"Fitnesss",AND(Table13[[#This Row],[Gender]]="female",R27&lt;31),"Acceptable",AND(Table13[[#This Row],[Gender]]="female",R27&lt;40),"Obese",AND(Table13[[#This Row],[Gender]]="male",R27&lt;13),"Athletes",AND(Table13[[#This Row],[Gender]]="male",R27&lt;17),"Fitnesss",AND(Table13[[#This Row],[Gender]]="male",R27&lt;24.9),"Acceptable",AND(Table13[[#This Row],[Gender]]="male",R27&lt;40),"Obese",AND(Table13[[#This Row],[Gender]]="others",R27&lt;20),"Athletes",AND(Table13[[#This Row],[Gender]]="others",R27&lt;24),"Fitnesss",AND(Table13[[#This Row],[Gender]]="others",R27&lt;31),"Acceptable",AND(Table13[[#This Row],[Gender]]="others",R27&lt;40),"Obese")</f>
        <v>Acceptable</v>
      </c>
      <c r="R27" s="8">
        <v>23.8</v>
      </c>
      <c r="S27" s="8">
        <v>2.2999999999999998</v>
      </c>
      <c r="T27" s="8">
        <v>3</v>
      </c>
      <c r="U27" s="8">
        <v>2</v>
      </c>
      <c r="V27" s="8" t="str">
        <f>IF(Table13[[#This Row],[BMI]]&lt;=18.5,"Underweight",IF(Table13[[#This Row],[BMI]]&lt;=24.9,"Normal",IF(Table13[[#This Row],[BMI]]&lt;=29.9,"Overweight",IF(Table13[[#This Row],[BMI]]&lt;=39,"Obese","Severly Obese"))))</f>
        <v>Normal</v>
      </c>
      <c r="W27" s="18">
        <v>22.69</v>
      </c>
    </row>
    <row r="28" spans="6:23" x14ac:dyDescent="0.3">
      <c r="F28" s="17">
        <v>26</v>
      </c>
      <c r="G28" s="8" t="str">
        <f>IF(Table13[[#This Row],[Age]]&lt;25,"18-24",IF(Table13[[#This Row],[Age]]&lt;35,"25-34",IF(Table13[[#This Row],[Age]]&lt;45,"35-44",IF(Table13[[#This Row],[Age]]&lt;55,"45-54","55-64"))))</f>
        <v>25-34</v>
      </c>
      <c r="H28" s="8" t="s">
        <v>19</v>
      </c>
      <c r="I28" s="8">
        <v>129.9</v>
      </c>
      <c r="J28" s="8">
        <v>1.71</v>
      </c>
      <c r="K28" s="8">
        <v>196</v>
      </c>
      <c r="L28" s="8">
        <v>136</v>
      </c>
      <c r="M28" s="8">
        <v>74</v>
      </c>
      <c r="N28" s="8">
        <v>1.27</v>
      </c>
      <c r="O28" s="8">
        <v>931</v>
      </c>
      <c r="P28" s="8" t="s">
        <v>22</v>
      </c>
      <c r="Q28" s="8" t="str">
        <f>_xlfn.IFS(AND(Table13[[#This Row],[Gender]]="female",R28&lt;20),"Athletes",AND(Table13[[#This Row],[Gender]]="female",R28&lt;24),"Fitnesss",AND(Table13[[#This Row],[Gender]]="female",R28&lt;31),"Acceptable",AND(Table13[[#This Row],[Gender]]="female",R28&lt;40),"Obese",AND(Table13[[#This Row],[Gender]]="male",R28&lt;13),"Athletes",AND(Table13[[#This Row],[Gender]]="male",R28&lt;17),"Fitnesss",AND(Table13[[#This Row],[Gender]]="male",R28&lt;24.9),"Acceptable",AND(Table13[[#This Row],[Gender]]="male",R28&lt;40),"Obese",AND(Table13[[#This Row],[Gender]]="others",R28&lt;20),"Athletes",AND(Table13[[#This Row],[Gender]]="others",R28&lt;24),"Fitnesss",AND(Table13[[#This Row],[Gender]]="others",R28&lt;31),"Acceptable",AND(Table13[[#This Row],[Gender]]="others",R28&lt;40),"Obese")</f>
        <v>Obese</v>
      </c>
      <c r="R28" s="8">
        <v>26.6</v>
      </c>
      <c r="S28" s="8">
        <v>1.8</v>
      </c>
      <c r="T28" s="8">
        <v>5</v>
      </c>
      <c r="U28" s="8">
        <v>1</v>
      </c>
      <c r="V28" s="8" t="str">
        <f>IF(Table13[[#This Row],[BMI]]&lt;=18.5,"Underweight",IF(Table13[[#This Row],[BMI]]&lt;=24.9,"Normal",IF(Table13[[#This Row],[BMI]]&lt;=29.9,"Overweight",IF(Table13[[#This Row],[BMI]]&lt;=39,"Obese","Severly Obese"))))</f>
        <v>Normal</v>
      </c>
      <c r="W28" s="18">
        <v>21.04</v>
      </c>
    </row>
    <row r="29" spans="6:23" x14ac:dyDescent="0.3">
      <c r="F29" s="17">
        <v>22</v>
      </c>
      <c r="G29" s="8" t="str">
        <f>IF(Table13[[#This Row],[Age]]&lt;25,"18-24",IF(Table13[[#This Row],[Age]]&lt;35,"25-34",IF(Table13[[#This Row],[Age]]&lt;45,"35-44",IF(Table13[[#This Row],[Age]]&lt;55,"45-54","55-64"))))</f>
        <v>18-24</v>
      </c>
      <c r="H29" s="8" t="s">
        <v>17</v>
      </c>
      <c r="I29" s="8">
        <v>102.4</v>
      </c>
      <c r="J29" s="8">
        <v>1.5</v>
      </c>
      <c r="K29" s="8">
        <v>173</v>
      </c>
      <c r="L29" s="8">
        <v>156</v>
      </c>
      <c r="M29" s="8">
        <v>55</v>
      </c>
      <c r="N29" s="8">
        <v>1.44</v>
      </c>
      <c r="O29" s="8">
        <v>453</v>
      </c>
      <c r="P29" s="8" t="s">
        <v>21</v>
      </c>
      <c r="Q29" s="8" t="str">
        <f>_xlfn.IFS(AND(Table13[[#This Row],[Gender]]="female",R29&lt;20),"Athletes",AND(Table13[[#This Row],[Gender]]="female",R29&lt;24),"Fitnesss",AND(Table13[[#This Row],[Gender]]="female",R29&lt;31),"Acceptable",AND(Table13[[#This Row],[Gender]]="female",R29&lt;40),"Obese",AND(Table13[[#This Row],[Gender]]="male",R29&lt;13),"Athletes",AND(Table13[[#This Row],[Gender]]="male",R29&lt;17),"Fitnesss",AND(Table13[[#This Row],[Gender]]="male",R29&lt;24.9),"Acceptable",AND(Table13[[#This Row],[Gender]]="male",R29&lt;40),"Obese",AND(Table13[[#This Row],[Gender]]="others",R29&lt;20),"Athletes",AND(Table13[[#This Row],[Gender]]="others",R29&lt;24),"Fitnesss",AND(Table13[[#This Row],[Gender]]="others",R29&lt;31),"Acceptable",AND(Table13[[#This Row],[Gender]]="others",R29&lt;40),"Obese")</f>
        <v>Athletes</v>
      </c>
      <c r="R29" s="8">
        <v>17.5</v>
      </c>
      <c r="S29" s="8">
        <v>1.6</v>
      </c>
      <c r="T29" s="8">
        <v>4</v>
      </c>
      <c r="U29" s="8">
        <v>3</v>
      </c>
      <c r="V29" s="8" t="str">
        <f>IF(Table13[[#This Row],[BMI]]&lt;=18.5,"Underweight",IF(Table13[[#This Row],[BMI]]&lt;=24.9,"Normal",IF(Table13[[#This Row],[BMI]]&lt;=29.9,"Overweight",IF(Table13[[#This Row],[BMI]]&lt;=39,"Obese","Severly Obese"))))</f>
        <v>Underweight</v>
      </c>
      <c r="W29" s="18">
        <v>18.23</v>
      </c>
    </row>
    <row r="30" spans="6:23" x14ac:dyDescent="0.3">
      <c r="F30" s="17">
        <v>36</v>
      </c>
      <c r="G30" s="8" t="str">
        <f>IF(Table13[[#This Row],[Age]]&lt;25,"18-24",IF(Table13[[#This Row],[Age]]&lt;35,"25-34",IF(Table13[[#This Row],[Age]]&lt;45,"35-44",IF(Table13[[#This Row],[Age]]&lt;55,"45-54","55-64"))))</f>
        <v>35-44</v>
      </c>
      <c r="H30" s="8" t="s">
        <v>17</v>
      </c>
      <c r="I30" s="8">
        <v>64.2</v>
      </c>
      <c r="J30" s="8">
        <v>1.78</v>
      </c>
      <c r="K30" s="8">
        <v>192</v>
      </c>
      <c r="L30" s="8">
        <v>130</v>
      </c>
      <c r="M30" s="8">
        <v>74</v>
      </c>
      <c r="N30" s="8">
        <v>1.38</v>
      </c>
      <c r="O30" s="8">
        <v>1708</v>
      </c>
      <c r="P30" s="8" t="s">
        <v>22</v>
      </c>
      <c r="Q30" s="8" t="str">
        <f>_xlfn.IFS(AND(Table13[[#This Row],[Gender]]="female",R30&lt;20),"Athletes",AND(Table13[[#This Row],[Gender]]="female",R30&lt;24),"Fitnesss",AND(Table13[[#This Row],[Gender]]="female",R30&lt;31),"Acceptable",AND(Table13[[#This Row],[Gender]]="female",R30&lt;40),"Obese",AND(Table13[[#This Row],[Gender]]="male",R30&lt;13),"Athletes",AND(Table13[[#This Row],[Gender]]="male",R30&lt;17),"Fitnesss",AND(Table13[[#This Row],[Gender]]="male",R30&lt;24.9),"Acceptable",AND(Table13[[#This Row],[Gender]]="male",R30&lt;40),"Obese",AND(Table13[[#This Row],[Gender]]="others",R30&lt;20),"Athletes",AND(Table13[[#This Row],[Gender]]="others",R30&lt;24),"Fitnesss",AND(Table13[[#This Row],[Gender]]="others",R30&lt;31),"Acceptable",AND(Table13[[#This Row],[Gender]]="others",R30&lt;40),"Obese")</f>
        <v>Obese</v>
      </c>
      <c r="R30" s="8">
        <v>31.9</v>
      </c>
      <c r="S30" s="8">
        <v>2.1</v>
      </c>
      <c r="T30" s="8"/>
      <c r="U30" s="8">
        <v>1</v>
      </c>
      <c r="V30" s="8" t="str">
        <f>IF(Table13[[#This Row],[BMI]]&lt;=18.5,"Underweight",IF(Table13[[#This Row],[BMI]]&lt;=24.9,"Normal",IF(Table13[[#This Row],[BMI]]&lt;=29.9,"Overweight",IF(Table13[[#This Row],[BMI]]&lt;=39,"Obese","Severly Obese"))))</f>
        <v>Overweight</v>
      </c>
      <c r="W30" s="18">
        <v>25.59</v>
      </c>
    </row>
    <row r="31" spans="6:23" x14ac:dyDescent="0.3">
      <c r="F31" s="17">
        <v>18</v>
      </c>
      <c r="G31" s="8" t="str">
        <f>IF(Table13[[#This Row],[Age]]&lt;25,"18-24",IF(Table13[[#This Row],[Age]]&lt;35,"25-34",IF(Table13[[#This Row],[Age]]&lt;45,"35-44",IF(Table13[[#This Row],[Age]]&lt;55,"45-54","55-64"))))</f>
        <v>18-24</v>
      </c>
      <c r="H31" s="8" t="s">
        <v>19</v>
      </c>
      <c r="I31" s="8">
        <v>129.4</v>
      </c>
      <c r="J31" s="8">
        <v>1.5</v>
      </c>
      <c r="K31" s="8">
        <v>177</v>
      </c>
      <c r="L31" s="8">
        <v>145</v>
      </c>
      <c r="M31" s="8">
        <v>71</v>
      </c>
      <c r="N31" s="8"/>
      <c r="O31" s="8">
        <v>772</v>
      </c>
      <c r="P31" s="8" t="s">
        <v>18</v>
      </c>
      <c r="Q31" s="8" t="str">
        <f>_xlfn.IFS(AND(Table13[[#This Row],[Gender]]="female",R31&lt;20),"Athletes",AND(Table13[[#This Row],[Gender]]="female",R31&lt;24),"Fitnesss",AND(Table13[[#This Row],[Gender]]="female",R31&lt;31),"Acceptable",AND(Table13[[#This Row],[Gender]]="female",R31&lt;40),"Obese",AND(Table13[[#This Row],[Gender]]="male",R31&lt;13),"Athletes",AND(Table13[[#This Row],[Gender]]="male",R31&lt;17),"Fitnesss",AND(Table13[[#This Row],[Gender]]="male",R31&lt;24.9),"Acceptable",AND(Table13[[#This Row],[Gender]]="male",R31&lt;40),"Obese",AND(Table13[[#This Row],[Gender]]="others",R31&lt;20),"Athletes",AND(Table13[[#This Row],[Gender]]="others",R31&lt;24),"Fitnesss",AND(Table13[[#This Row],[Gender]]="others",R31&lt;31),"Acceptable",AND(Table13[[#This Row],[Gender]]="others",R31&lt;40),"Obese")</f>
        <v>Acceptable</v>
      </c>
      <c r="R31" s="8">
        <v>22</v>
      </c>
      <c r="S31" s="8">
        <v>1.7</v>
      </c>
      <c r="T31" s="8">
        <v>5</v>
      </c>
      <c r="U31" s="8">
        <v>1</v>
      </c>
      <c r="V31" s="8" t="str">
        <f>IF(Table13[[#This Row],[BMI]]&lt;=18.5,"Underweight",IF(Table13[[#This Row],[BMI]]&lt;=24.9,"Normal",IF(Table13[[#This Row],[BMI]]&lt;=29.9,"Overweight",IF(Table13[[#This Row],[BMI]]&lt;=39,"Obese","Severly Obese"))))</f>
        <v>Underweight</v>
      </c>
      <c r="W31" s="18">
        <v>18.07</v>
      </c>
    </row>
    <row r="32" spans="6:23" x14ac:dyDescent="0.3">
      <c r="F32" s="17">
        <v>25</v>
      </c>
      <c r="G32" s="8" t="str">
        <f>IF(Table13[[#This Row],[Age]]&lt;25,"18-24",IF(Table13[[#This Row],[Age]]&lt;35,"25-34",IF(Table13[[#This Row],[Age]]&lt;45,"35-44",IF(Table13[[#This Row],[Age]]&lt;55,"45-54","55-64"))))</f>
        <v>25-34</v>
      </c>
      <c r="H32" s="8" t="s">
        <v>19</v>
      </c>
      <c r="I32" s="8">
        <v>57.2</v>
      </c>
      <c r="J32" s="8">
        <v>1.82</v>
      </c>
      <c r="K32" s="8">
        <v>184</v>
      </c>
      <c r="L32" s="8">
        <v>140</v>
      </c>
      <c r="M32" s="8">
        <v>74</v>
      </c>
      <c r="N32" s="8">
        <v>1.1499999999999999</v>
      </c>
      <c r="O32" s="8">
        <v>888</v>
      </c>
      <c r="P32" s="8" t="s">
        <v>18</v>
      </c>
      <c r="Q32" s="8" t="str">
        <f>_xlfn.IFS(AND(Table13[[#This Row],[Gender]]="female",R32&lt;20),"Athletes",AND(Table13[[#This Row],[Gender]]="female",R32&lt;24),"Fitnesss",AND(Table13[[#This Row],[Gender]]="female",R32&lt;31),"Acceptable",AND(Table13[[#This Row],[Gender]]="female",R32&lt;40),"Obese",AND(Table13[[#This Row],[Gender]]="male",R32&lt;13),"Athletes",AND(Table13[[#This Row],[Gender]]="male",R32&lt;17),"Fitnesss",AND(Table13[[#This Row],[Gender]]="male",R32&lt;24.9),"Acceptable",AND(Table13[[#This Row],[Gender]]="male",R32&lt;40),"Obese",AND(Table13[[#This Row],[Gender]]="others",R32&lt;20),"Athletes",AND(Table13[[#This Row],[Gender]]="others",R32&lt;24),"Fitnesss",AND(Table13[[#This Row],[Gender]]="others",R32&lt;31),"Acceptable",AND(Table13[[#This Row],[Gender]]="others",R32&lt;40),"Obese")</f>
        <v>Obese</v>
      </c>
      <c r="R32" s="8">
        <v>26.9</v>
      </c>
      <c r="S32" s="8">
        <v>2.6</v>
      </c>
      <c r="T32" s="8">
        <v>4</v>
      </c>
      <c r="U32" s="8">
        <v>2</v>
      </c>
      <c r="V32" s="8" t="str">
        <f>IF(Table13[[#This Row],[BMI]]&lt;=18.5,"Underweight",IF(Table13[[#This Row],[BMI]]&lt;=24.9,"Normal",IF(Table13[[#This Row],[BMI]]&lt;=29.9,"Overweight",IF(Table13[[#This Row],[BMI]]&lt;=39,"Obese","Severly Obese"))))</f>
        <v>Underweight</v>
      </c>
      <c r="W32" s="18">
        <v>15.23</v>
      </c>
    </row>
    <row r="33" spans="6:23" x14ac:dyDescent="0.3">
      <c r="F33" s="17">
        <v>59</v>
      </c>
      <c r="G33" s="8" t="str">
        <f>IF(Table13[[#This Row],[Age]]&lt;25,"18-24",IF(Table13[[#This Row],[Age]]&lt;35,"25-34",IF(Table13[[#This Row],[Age]]&lt;45,"35-44",IF(Table13[[#This Row],[Age]]&lt;55,"45-54","55-64"))))</f>
        <v>55-64</v>
      </c>
      <c r="H33" s="8" t="s">
        <v>19</v>
      </c>
      <c r="I33" s="8">
        <v>71.8</v>
      </c>
      <c r="J33" s="8">
        <v>1.5</v>
      </c>
      <c r="K33" s="8">
        <v>165</v>
      </c>
      <c r="L33" s="8">
        <v>152</v>
      </c>
      <c r="M33" s="8">
        <v>74</v>
      </c>
      <c r="N33" s="8">
        <v>1.94</v>
      </c>
      <c r="O33" s="8">
        <v>758</v>
      </c>
      <c r="P33" s="8" t="s">
        <v>22</v>
      </c>
      <c r="Q33" s="8" t="str">
        <f>_xlfn.IFS(AND(Table13[[#This Row],[Gender]]="female",R33&lt;20),"Athletes",AND(Table13[[#This Row],[Gender]]="female",R33&lt;24),"Fitnesss",AND(Table13[[#This Row],[Gender]]="female",R33&lt;31),"Acceptable",AND(Table13[[#This Row],[Gender]]="female",R33&lt;40),"Obese",AND(Table13[[#This Row],[Gender]]="male",R33&lt;13),"Athletes",AND(Table13[[#This Row],[Gender]]="male",R33&lt;17),"Fitnesss",AND(Table13[[#This Row],[Gender]]="male",R33&lt;24.9),"Acceptable",AND(Table13[[#This Row],[Gender]]="male",R33&lt;40),"Obese",AND(Table13[[#This Row],[Gender]]="others",R33&lt;20),"Athletes",AND(Table13[[#This Row],[Gender]]="others",R33&lt;24),"Fitnesss",AND(Table13[[#This Row],[Gender]]="others",R33&lt;31),"Acceptable",AND(Table13[[#This Row],[Gender]]="others",R33&lt;40),"Obese")</f>
        <v>Obese</v>
      </c>
      <c r="R33" s="8">
        <v>28.9</v>
      </c>
      <c r="S33" s="8">
        <v>3.3</v>
      </c>
      <c r="T33" s="8">
        <v>3</v>
      </c>
      <c r="U33" s="8">
        <v>1</v>
      </c>
      <c r="V33" s="8" t="str">
        <f>IF(Table13[[#This Row],[BMI]]&lt;=18.5,"Underweight",IF(Table13[[#This Row],[BMI]]&lt;=24.9,"Normal",IF(Table13[[#This Row],[BMI]]&lt;=29.9,"Overweight",IF(Table13[[#This Row],[BMI]]&lt;=39,"Obese","Severly Obese"))))</f>
        <v>Underweight</v>
      </c>
      <c r="W33" s="18">
        <v>16.87</v>
      </c>
    </row>
    <row r="34" spans="6:23" x14ac:dyDescent="0.3">
      <c r="F34" s="17">
        <v>18</v>
      </c>
      <c r="G34" s="8" t="str">
        <f>IF(Table13[[#This Row],[Age]]&lt;25,"18-24",IF(Table13[[#This Row],[Age]]&lt;35,"25-34",IF(Table13[[#This Row],[Age]]&lt;45,"35-44",IF(Table13[[#This Row],[Age]]&lt;55,"45-54","55-64"))))</f>
        <v>18-24</v>
      </c>
      <c r="H34" s="8" t="s">
        <v>19</v>
      </c>
      <c r="I34" s="8">
        <v>112.4</v>
      </c>
      <c r="J34" s="8">
        <v>1.71</v>
      </c>
      <c r="K34" s="8">
        <v>177</v>
      </c>
      <c r="L34" s="8">
        <v>165</v>
      </c>
      <c r="M34" s="8">
        <v>55</v>
      </c>
      <c r="N34" s="8">
        <v>1.56</v>
      </c>
      <c r="O34" s="8">
        <v>1044</v>
      </c>
      <c r="P34" s="8" t="s">
        <v>21</v>
      </c>
      <c r="Q34" s="8" t="str">
        <f>_xlfn.IFS(AND(Table13[[#This Row],[Gender]]="female",R34&lt;20),"Athletes",AND(Table13[[#This Row],[Gender]]="female",R34&lt;24),"Fitnesss",AND(Table13[[#This Row],[Gender]]="female",R34&lt;31),"Acceptable",AND(Table13[[#This Row],[Gender]]="female",R34&lt;40),"Obese",AND(Table13[[#This Row],[Gender]]="male",R34&lt;13),"Athletes",AND(Table13[[#This Row],[Gender]]="male",R34&lt;17),"Fitnesss",AND(Table13[[#This Row],[Gender]]="male",R34&lt;24.9),"Acceptable",AND(Table13[[#This Row],[Gender]]="male",R34&lt;40),"Obese",AND(Table13[[#This Row],[Gender]]="others",R34&lt;20),"Athletes",AND(Table13[[#This Row],[Gender]]="others",R34&lt;24),"Fitnesss",AND(Table13[[#This Row],[Gender]]="others",R34&lt;31),"Acceptable",AND(Table13[[#This Row],[Gender]]="others",R34&lt;40),"Obese")</f>
        <v>Obese</v>
      </c>
      <c r="R34" s="8">
        <v>33.5</v>
      </c>
      <c r="S34" s="8">
        <v>1.7</v>
      </c>
      <c r="T34" s="8">
        <v>2</v>
      </c>
      <c r="U34" s="8">
        <v>2</v>
      </c>
      <c r="V34" s="8" t="str">
        <f>IF(Table13[[#This Row],[BMI]]&lt;=18.5,"Underweight",IF(Table13[[#This Row],[BMI]]&lt;=24.9,"Normal",IF(Table13[[#This Row],[BMI]]&lt;=29.9,"Overweight",IF(Table13[[#This Row],[BMI]]&lt;=39,"Obese","Severly Obese"))))</f>
        <v>Normal</v>
      </c>
      <c r="W34" s="18">
        <v>24.43</v>
      </c>
    </row>
    <row r="35" spans="6:23" x14ac:dyDescent="0.3">
      <c r="F35" s="17">
        <v>18</v>
      </c>
      <c r="G35" s="8" t="str">
        <f>IF(Table13[[#This Row],[Age]]&lt;25,"18-24",IF(Table13[[#This Row],[Age]]&lt;35,"25-34",IF(Table13[[#This Row],[Age]]&lt;45,"35-44",IF(Table13[[#This Row],[Age]]&lt;55,"45-54","55-64"))))</f>
        <v>18-24</v>
      </c>
      <c r="H35" s="8" t="s">
        <v>19</v>
      </c>
      <c r="I35" s="8">
        <v>40</v>
      </c>
      <c r="J35" s="8">
        <v>1.72</v>
      </c>
      <c r="K35" s="8">
        <v>188</v>
      </c>
      <c r="L35" s="8">
        <v>155</v>
      </c>
      <c r="M35" s="8">
        <v>74</v>
      </c>
      <c r="N35" s="8">
        <v>1.51</v>
      </c>
      <c r="O35" s="8">
        <v>1266</v>
      </c>
      <c r="P35" s="8" t="s">
        <v>20</v>
      </c>
      <c r="Q35" s="8" t="str">
        <f>_xlfn.IFS(AND(Table13[[#This Row],[Gender]]="female",R35&lt;20),"Athletes",AND(Table13[[#This Row],[Gender]]="female",R35&lt;24),"Fitnesss",AND(Table13[[#This Row],[Gender]]="female",R35&lt;31),"Acceptable",AND(Table13[[#This Row],[Gender]]="female",R35&lt;40),"Obese",AND(Table13[[#This Row],[Gender]]="male",R35&lt;13),"Athletes",AND(Table13[[#This Row],[Gender]]="male",R35&lt;17),"Fitnesss",AND(Table13[[#This Row],[Gender]]="male",R35&lt;24.9),"Acceptable",AND(Table13[[#This Row],[Gender]]="male",R35&lt;40),"Obese",AND(Table13[[#This Row],[Gender]]="others",R35&lt;20),"Athletes",AND(Table13[[#This Row],[Gender]]="others",R35&lt;24),"Fitnesss",AND(Table13[[#This Row],[Gender]]="others",R35&lt;31),"Acceptable",AND(Table13[[#This Row],[Gender]]="others",R35&lt;40),"Obese")</f>
        <v>Obese</v>
      </c>
      <c r="R35" s="8">
        <v>26.4</v>
      </c>
      <c r="S35" s="8">
        <v>2.5</v>
      </c>
      <c r="T35" s="8">
        <v>2</v>
      </c>
      <c r="U35" s="8"/>
      <c r="V35" s="8" t="str">
        <f>IF(Table13[[#This Row],[BMI]]&lt;=18.5,"Underweight",IF(Table13[[#This Row],[BMI]]&lt;=24.9,"Normal",IF(Table13[[#This Row],[BMI]]&lt;=29.9,"Overweight",IF(Table13[[#This Row],[BMI]]&lt;=39,"Obese","Severly Obese"))))</f>
        <v>Underweight</v>
      </c>
      <c r="W35" s="18">
        <v>17.79</v>
      </c>
    </row>
    <row r="36" spans="6:23" x14ac:dyDescent="0.3">
      <c r="F36" s="17">
        <v>25</v>
      </c>
      <c r="G36" s="8" t="str">
        <f>IF(Table13[[#This Row],[Age]]&lt;25,"18-24",IF(Table13[[#This Row],[Age]]&lt;35,"25-34",IF(Table13[[#This Row],[Age]]&lt;45,"35-44",IF(Table13[[#This Row],[Age]]&lt;55,"45-54","55-64"))))</f>
        <v>25-34</v>
      </c>
      <c r="H36" s="8" t="s">
        <v>17</v>
      </c>
      <c r="I36" s="8">
        <v>64.3</v>
      </c>
      <c r="J36" s="8">
        <v>1.65</v>
      </c>
      <c r="K36" s="8">
        <v>183</v>
      </c>
      <c r="L36" s="8">
        <v>169</v>
      </c>
      <c r="M36" s="8">
        <v>67</v>
      </c>
      <c r="N36" s="8">
        <v>1.28</v>
      </c>
      <c r="O36" s="8">
        <v>1783</v>
      </c>
      <c r="P36" s="8" t="s">
        <v>20</v>
      </c>
      <c r="Q36" s="8" t="str">
        <f>_xlfn.IFS(AND(Table13[[#This Row],[Gender]]="female",R36&lt;20),"Athletes",AND(Table13[[#This Row],[Gender]]="female",R36&lt;24),"Fitnesss",AND(Table13[[#This Row],[Gender]]="female",R36&lt;31),"Acceptable",AND(Table13[[#This Row],[Gender]]="female",R36&lt;40),"Obese",AND(Table13[[#This Row],[Gender]]="male",R36&lt;13),"Athletes",AND(Table13[[#This Row],[Gender]]="male",R36&lt;17),"Fitnesss",AND(Table13[[#This Row],[Gender]]="male",R36&lt;24.9),"Acceptable",AND(Table13[[#This Row],[Gender]]="male",R36&lt;40),"Obese",AND(Table13[[#This Row],[Gender]]="others",R36&lt;20),"Athletes",AND(Table13[[#This Row],[Gender]]="others",R36&lt;24),"Fitnesss",AND(Table13[[#This Row],[Gender]]="others",R36&lt;31),"Acceptable",AND(Table13[[#This Row],[Gender]]="others",R36&lt;40),"Obese")</f>
        <v>Fitnesss</v>
      </c>
      <c r="R36" s="8">
        <v>20</v>
      </c>
      <c r="S36" s="8">
        <v>3.2</v>
      </c>
      <c r="T36" s="8">
        <v>2</v>
      </c>
      <c r="U36" s="8">
        <v>3</v>
      </c>
      <c r="V36" s="8" t="str">
        <f>IF(Table13[[#This Row],[BMI]]&lt;=18.5,"Underweight",IF(Table13[[#This Row],[BMI]]&lt;=24.9,"Normal",IF(Table13[[#This Row],[BMI]]&lt;=29.9,"Overweight",IF(Table13[[#This Row],[BMI]]&lt;=39,"Obese","Severly Obese"))))</f>
        <v>Normal</v>
      </c>
      <c r="W36" s="18">
        <v>20.59</v>
      </c>
    </row>
    <row r="37" spans="6:23" x14ac:dyDescent="0.3">
      <c r="F37" s="17">
        <v>32</v>
      </c>
      <c r="G37" s="8" t="str">
        <f>IF(Table13[[#This Row],[Age]]&lt;25,"18-24",IF(Table13[[#This Row],[Age]]&lt;35,"25-34",IF(Table13[[#This Row],[Age]]&lt;45,"35-44",IF(Table13[[#This Row],[Age]]&lt;55,"45-54","55-64"))))</f>
        <v>25-34</v>
      </c>
      <c r="H37" s="8" t="s">
        <v>19</v>
      </c>
      <c r="I37" s="8">
        <v>72.400000000000006</v>
      </c>
      <c r="J37" s="8">
        <v>1.74</v>
      </c>
      <c r="K37" s="8">
        <v>189</v>
      </c>
      <c r="L37" s="8">
        <v>127</v>
      </c>
      <c r="M37" s="8">
        <v>60</v>
      </c>
      <c r="N37" s="8">
        <v>1.4</v>
      </c>
      <c r="O37" s="8">
        <v>1090</v>
      </c>
      <c r="P37" s="8" t="s">
        <v>22</v>
      </c>
      <c r="Q37" s="8" t="str">
        <f>_xlfn.IFS(AND(Table13[[#This Row],[Gender]]="female",R37&lt;20),"Athletes",AND(Table13[[#This Row],[Gender]]="female",R37&lt;24),"Fitnesss",AND(Table13[[#This Row],[Gender]]="female",R37&lt;31),"Acceptable",AND(Table13[[#This Row],[Gender]]="female",R37&lt;40),"Obese",AND(Table13[[#This Row],[Gender]]="male",R37&lt;13),"Athletes",AND(Table13[[#This Row],[Gender]]="male",R37&lt;17),"Fitnesss",AND(Table13[[#This Row],[Gender]]="male",R37&lt;24.9),"Acceptable",AND(Table13[[#This Row],[Gender]]="male",R37&lt;40),"Obese",AND(Table13[[#This Row],[Gender]]="others",R37&lt;20),"Athletes",AND(Table13[[#This Row],[Gender]]="others",R37&lt;24),"Fitnesss",AND(Table13[[#This Row],[Gender]]="others",R37&lt;31),"Acceptable",AND(Table13[[#This Row],[Gender]]="others",R37&lt;40),"Obese")</f>
        <v>Fitnesss</v>
      </c>
      <c r="R37" s="8">
        <v>16.899999999999999</v>
      </c>
      <c r="S37" s="8">
        <v>1.6</v>
      </c>
      <c r="T37" s="8">
        <v>2</v>
      </c>
      <c r="U37" s="8">
        <v>1</v>
      </c>
      <c r="V37" s="8" t="str">
        <f>IF(Table13[[#This Row],[BMI]]&lt;=18.5,"Underweight",IF(Table13[[#This Row],[BMI]]&lt;=24.9,"Normal",IF(Table13[[#This Row],[BMI]]&lt;=29.9,"Overweight",IF(Table13[[#This Row],[BMI]]&lt;=39,"Obese","Severly Obese"))))</f>
        <v>Underweight</v>
      </c>
      <c r="W37" s="18">
        <v>17.68</v>
      </c>
    </row>
    <row r="38" spans="6:23" x14ac:dyDescent="0.3">
      <c r="F38" s="17">
        <v>28</v>
      </c>
      <c r="G38" s="8" t="str">
        <f>IF(Table13[[#This Row],[Age]]&lt;25,"18-24",IF(Table13[[#This Row],[Age]]&lt;35,"25-34",IF(Table13[[#This Row],[Age]]&lt;45,"35-44",IF(Table13[[#This Row],[Age]]&lt;55,"45-54","55-64"))))</f>
        <v>25-34</v>
      </c>
      <c r="H38" s="8" t="s">
        <v>19</v>
      </c>
      <c r="I38" s="8">
        <v>62.4</v>
      </c>
      <c r="J38" s="8">
        <v>1.56</v>
      </c>
      <c r="K38" s="8">
        <v>193</v>
      </c>
      <c r="L38" s="8">
        <v>141</v>
      </c>
      <c r="M38" s="8">
        <v>55</v>
      </c>
      <c r="N38" s="8">
        <v>2</v>
      </c>
      <c r="O38" s="8">
        <v>861</v>
      </c>
      <c r="P38" s="8" t="s">
        <v>20</v>
      </c>
      <c r="Q38" s="8" t="str">
        <f>_xlfn.IFS(AND(Table13[[#This Row],[Gender]]="female",R38&lt;20),"Athletes",AND(Table13[[#This Row],[Gender]]="female",R38&lt;24),"Fitnesss",AND(Table13[[#This Row],[Gender]]="female",R38&lt;31),"Acceptable",AND(Table13[[#This Row],[Gender]]="female",R38&lt;40),"Obese",AND(Table13[[#This Row],[Gender]]="male",R38&lt;13),"Athletes",AND(Table13[[#This Row],[Gender]]="male",R38&lt;17),"Fitnesss",AND(Table13[[#This Row],[Gender]]="male",R38&lt;24.9),"Acceptable",AND(Table13[[#This Row],[Gender]]="male",R38&lt;40),"Obese",AND(Table13[[#This Row],[Gender]]="others",R38&lt;20),"Athletes",AND(Table13[[#This Row],[Gender]]="others",R38&lt;24),"Fitnesss",AND(Table13[[#This Row],[Gender]]="others",R38&lt;31),"Acceptable",AND(Table13[[#This Row],[Gender]]="others",R38&lt;40),"Obese")</f>
        <v>Obese</v>
      </c>
      <c r="R38" s="8">
        <v>32.200000000000003</v>
      </c>
      <c r="S38" s="8">
        <v>3.6</v>
      </c>
      <c r="T38" s="8">
        <v>3</v>
      </c>
      <c r="U38" s="8">
        <v>1</v>
      </c>
      <c r="V38" s="8" t="str">
        <f>IF(Table13[[#This Row],[BMI]]&lt;=18.5,"Underweight",IF(Table13[[#This Row],[BMI]]&lt;=24.9,"Normal",IF(Table13[[#This Row],[BMI]]&lt;=29.9,"Overweight",IF(Table13[[#This Row],[BMI]]&lt;=39,"Obese","Severly Obese"))))</f>
        <v>Normal</v>
      </c>
      <c r="W38" s="18">
        <v>18.61</v>
      </c>
    </row>
    <row r="39" spans="6:23" x14ac:dyDescent="0.3">
      <c r="F39" s="17">
        <v>27</v>
      </c>
      <c r="G39" s="8" t="str">
        <f>IF(Table13[[#This Row],[Age]]&lt;25,"18-24",IF(Table13[[#This Row],[Age]]&lt;35,"25-34",IF(Table13[[#This Row],[Age]]&lt;45,"35-44",IF(Table13[[#This Row],[Age]]&lt;55,"45-54","55-64"))))</f>
        <v>25-34</v>
      </c>
      <c r="H39" s="8" t="s">
        <v>17</v>
      </c>
      <c r="I39" s="8">
        <v>78.599999999999994</v>
      </c>
      <c r="J39" s="8">
        <v>1.65</v>
      </c>
      <c r="K39" s="8">
        <v>198</v>
      </c>
      <c r="L39" s="8">
        <v>127</v>
      </c>
      <c r="M39" s="8">
        <v>66</v>
      </c>
      <c r="N39" s="8">
        <v>1.61</v>
      </c>
      <c r="O39" s="8">
        <v>938</v>
      </c>
      <c r="P39" s="8" t="s">
        <v>22</v>
      </c>
      <c r="Q39" s="8" t="str">
        <f>_xlfn.IFS(AND(Table13[[#This Row],[Gender]]="female",R39&lt;20),"Athletes",AND(Table13[[#This Row],[Gender]]="female",R39&lt;24),"Fitnesss",AND(Table13[[#This Row],[Gender]]="female",R39&lt;31),"Acceptable",AND(Table13[[#This Row],[Gender]]="female",R39&lt;40),"Obese",AND(Table13[[#This Row],[Gender]]="male",R39&lt;13),"Athletes",AND(Table13[[#This Row],[Gender]]="male",R39&lt;17),"Fitnesss",AND(Table13[[#This Row],[Gender]]="male",R39&lt;24.9),"Acceptable",AND(Table13[[#This Row],[Gender]]="male",R39&lt;40),"Obese",AND(Table13[[#This Row],[Gender]]="others",R39&lt;20),"Athletes",AND(Table13[[#This Row],[Gender]]="others",R39&lt;24),"Fitnesss",AND(Table13[[#This Row],[Gender]]="others",R39&lt;31),"Acceptable",AND(Table13[[#This Row],[Gender]]="others",R39&lt;40),"Obese")</f>
        <v>Acceptable</v>
      </c>
      <c r="R39" s="8">
        <v>26.8</v>
      </c>
      <c r="S39" s="8">
        <v>3.1</v>
      </c>
      <c r="T39" s="8">
        <v>3</v>
      </c>
      <c r="U39" s="8">
        <v>1</v>
      </c>
      <c r="V39" s="8" t="str">
        <f>IF(Table13[[#This Row],[BMI]]&lt;=18.5,"Underweight",IF(Table13[[#This Row],[BMI]]&lt;=24.9,"Normal",IF(Table13[[#This Row],[BMI]]&lt;=29.9,"Overweight",IF(Table13[[#This Row],[BMI]]&lt;=39,"Obese","Severly Obese"))))</f>
        <v>Underweight</v>
      </c>
      <c r="W39" s="18">
        <v>17.920000000000002</v>
      </c>
    </row>
    <row r="40" spans="6:23" x14ac:dyDescent="0.3">
      <c r="F40" s="17">
        <v>44</v>
      </c>
      <c r="G40" s="8" t="str">
        <f>IF(Table13[[#This Row],[Age]]&lt;25,"18-24",IF(Table13[[#This Row],[Age]]&lt;35,"25-34",IF(Table13[[#This Row],[Age]]&lt;45,"35-44",IF(Table13[[#This Row],[Age]]&lt;55,"45-54","55-64"))))</f>
        <v>35-44</v>
      </c>
      <c r="H40" s="8" t="s">
        <v>17</v>
      </c>
      <c r="I40" s="8">
        <v>45</v>
      </c>
      <c r="J40" s="8">
        <v>1.53</v>
      </c>
      <c r="K40" s="8">
        <v>199</v>
      </c>
      <c r="L40" s="8">
        <v>158</v>
      </c>
      <c r="M40" s="8">
        <v>50</v>
      </c>
      <c r="N40" s="8">
        <v>0.7</v>
      </c>
      <c r="O40" s="8">
        <v>930</v>
      </c>
      <c r="P40" s="8" t="s">
        <v>18</v>
      </c>
      <c r="Q40" s="8" t="str">
        <f>_xlfn.IFS(AND(Table13[[#This Row],[Gender]]="female",R40&lt;20),"Athletes",AND(Table13[[#This Row],[Gender]]="female",R40&lt;24),"Fitnesss",AND(Table13[[#This Row],[Gender]]="female",R40&lt;31),"Acceptable",AND(Table13[[#This Row],[Gender]]="female",R40&lt;40),"Obese",AND(Table13[[#This Row],[Gender]]="male",R40&lt;13),"Athletes",AND(Table13[[#This Row],[Gender]]="male",R40&lt;17),"Fitnesss",AND(Table13[[#This Row],[Gender]]="male",R40&lt;24.9),"Acceptable",AND(Table13[[#This Row],[Gender]]="male",R40&lt;40),"Obese",AND(Table13[[#This Row],[Gender]]="others",R40&lt;20),"Athletes",AND(Table13[[#This Row],[Gender]]="others",R40&lt;24),"Fitnesss",AND(Table13[[#This Row],[Gender]]="others",R40&lt;31),"Acceptable",AND(Table13[[#This Row],[Gender]]="others",R40&lt;40),"Obese")</f>
        <v>Fitnesss</v>
      </c>
      <c r="R40" s="8">
        <v>21.9</v>
      </c>
      <c r="S40" s="8">
        <v>3.6</v>
      </c>
      <c r="T40" s="8">
        <v>4</v>
      </c>
      <c r="U40" s="8">
        <v>1</v>
      </c>
      <c r="V40" s="8" t="str">
        <f>IF(Table13[[#This Row],[BMI]]&lt;=18.5,"Underweight",IF(Table13[[#This Row],[BMI]]&lt;=24.9,"Normal",IF(Table13[[#This Row],[BMI]]&lt;=29.9,"Overweight",IF(Table13[[#This Row],[BMI]]&lt;=39,"Obese","Severly Obese"))))</f>
        <v>Overweight</v>
      </c>
      <c r="W40" s="18">
        <v>27.74</v>
      </c>
    </row>
    <row r="41" spans="6:23" x14ac:dyDescent="0.3">
      <c r="F41" s="17">
        <v>20</v>
      </c>
      <c r="G41" s="8" t="str">
        <f>IF(Table13[[#This Row],[Age]]&lt;25,"18-24",IF(Table13[[#This Row],[Age]]&lt;35,"25-34",IF(Table13[[#This Row],[Age]]&lt;45,"35-44",IF(Table13[[#This Row],[Age]]&lt;55,"45-54","55-64"))))</f>
        <v>18-24</v>
      </c>
      <c r="H41" s="8" t="s">
        <v>17</v>
      </c>
      <c r="I41" s="8">
        <v>103.4</v>
      </c>
      <c r="J41" s="8">
        <v>1.53</v>
      </c>
      <c r="K41" s="8">
        <v>180</v>
      </c>
      <c r="L41" s="8">
        <v>166</v>
      </c>
      <c r="M41" s="8">
        <v>56</v>
      </c>
      <c r="N41" s="8">
        <v>1.28</v>
      </c>
      <c r="O41" s="8">
        <v>631</v>
      </c>
      <c r="P41" s="8" t="s">
        <v>21</v>
      </c>
      <c r="Q41" s="8" t="str">
        <f>_xlfn.IFS(AND(Table13[[#This Row],[Gender]]="female",R41&lt;20),"Athletes",AND(Table13[[#This Row],[Gender]]="female",R41&lt;24),"Fitnesss",AND(Table13[[#This Row],[Gender]]="female",R41&lt;31),"Acceptable",AND(Table13[[#This Row],[Gender]]="female",R41&lt;40),"Obese",AND(Table13[[#This Row],[Gender]]="male",R41&lt;13),"Athletes",AND(Table13[[#This Row],[Gender]]="male",R41&lt;17),"Fitnesss",AND(Table13[[#This Row],[Gender]]="male",R41&lt;24.9),"Acceptable",AND(Table13[[#This Row],[Gender]]="male",R41&lt;40),"Obese",AND(Table13[[#This Row],[Gender]]="others",R41&lt;20),"Athletes",AND(Table13[[#This Row],[Gender]]="others",R41&lt;24),"Fitnesss",AND(Table13[[#This Row],[Gender]]="others",R41&lt;31),"Acceptable",AND(Table13[[#This Row],[Gender]]="others",R41&lt;40),"Obese")</f>
        <v>Fitnesss</v>
      </c>
      <c r="R41" s="8">
        <v>23</v>
      </c>
      <c r="S41" s="8">
        <v>3</v>
      </c>
      <c r="T41" s="8">
        <v>4</v>
      </c>
      <c r="U41" s="8">
        <v>1</v>
      </c>
      <c r="V41" s="8" t="str">
        <f>IF(Table13[[#This Row],[BMI]]&lt;=18.5,"Underweight",IF(Table13[[#This Row],[BMI]]&lt;=24.9,"Normal",IF(Table13[[#This Row],[BMI]]&lt;=29.9,"Overweight",IF(Table13[[#This Row],[BMI]]&lt;=39,"Obese","Severly Obese"))))</f>
        <v>Normal</v>
      </c>
      <c r="W41" s="18">
        <v>19.18</v>
      </c>
    </row>
    <row r="42" spans="6:23" x14ac:dyDescent="0.3">
      <c r="F42" s="17">
        <v>51</v>
      </c>
      <c r="G42" s="8" t="str">
        <f>IF(Table13[[#This Row],[Age]]&lt;25,"18-24",IF(Table13[[#This Row],[Age]]&lt;35,"25-34",IF(Table13[[#This Row],[Age]]&lt;45,"35-44",IF(Table13[[#This Row],[Age]]&lt;55,"45-54","55-64"))))</f>
        <v>45-54</v>
      </c>
      <c r="H42" s="8" t="s">
        <v>19</v>
      </c>
      <c r="I42" s="8">
        <v>79.2</v>
      </c>
      <c r="J42" s="8">
        <v>1.85</v>
      </c>
      <c r="K42" s="8">
        <v>178</v>
      </c>
      <c r="L42" s="8">
        <v>147</v>
      </c>
      <c r="M42" s="8">
        <v>51</v>
      </c>
      <c r="N42" s="8">
        <v>1.52</v>
      </c>
      <c r="O42" s="8">
        <v>1355</v>
      </c>
      <c r="P42" s="8" t="s">
        <v>18</v>
      </c>
      <c r="Q42" s="8" t="str">
        <f>_xlfn.IFS(AND(Table13[[#This Row],[Gender]]="female",R42&lt;20),"Athletes",AND(Table13[[#This Row],[Gender]]="female",R42&lt;24),"Fitnesss",AND(Table13[[#This Row],[Gender]]="female",R42&lt;31),"Acceptable",AND(Table13[[#This Row],[Gender]]="female",R42&lt;40),"Obese",AND(Table13[[#This Row],[Gender]]="male",R42&lt;13),"Athletes",AND(Table13[[#This Row],[Gender]]="male",R42&lt;17),"Fitnesss",AND(Table13[[#This Row],[Gender]]="male",R42&lt;24.9),"Acceptable",AND(Table13[[#This Row],[Gender]]="male",R42&lt;40),"Obese",AND(Table13[[#This Row],[Gender]]="others",R42&lt;20),"Athletes",AND(Table13[[#This Row],[Gender]]="others",R42&lt;24),"Fitnesss",AND(Table13[[#This Row],[Gender]]="others",R42&lt;31),"Acceptable",AND(Table13[[#This Row],[Gender]]="others",R42&lt;40),"Obese")</f>
        <v>Acceptable</v>
      </c>
      <c r="R42" s="8">
        <v>23.2</v>
      </c>
      <c r="S42" s="8">
        <v>2</v>
      </c>
      <c r="T42" s="8">
        <v>4</v>
      </c>
      <c r="U42" s="8">
        <v>1</v>
      </c>
      <c r="V42" s="8" t="str">
        <f>IF(Table13[[#This Row],[BMI]]&lt;=18.5,"Underweight",IF(Table13[[#This Row],[BMI]]&lt;=24.9,"Normal",IF(Table13[[#This Row],[BMI]]&lt;=29.9,"Overweight",IF(Table13[[#This Row],[BMI]]&lt;=39,"Obese","Severly Obese"))))</f>
        <v>Normal</v>
      </c>
      <c r="W42" s="18">
        <v>18.95</v>
      </c>
    </row>
    <row r="43" spans="6:23" x14ac:dyDescent="0.3">
      <c r="F43" s="17">
        <v>52</v>
      </c>
      <c r="G43" s="8" t="str">
        <f>IF(Table13[[#This Row],[Age]]&lt;25,"18-24",IF(Table13[[#This Row],[Age]]&lt;35,"25-34",IF(Table13[[#This Row],[Age]]&lt;45,"35-44",IF(Table13[[#This Row],[Age]]&lt;55,"45-54","55-64"))))</f>
        <v>45-54</v>
      </c>
      <c r="H43" s="8" t="s">
        <v>17</v>
      </c>
      <c r="I43" s="8">
        <v>40</v>
      </c>
      <c r="J43" s="8">
        <v>1.84</v>
      </c>
      <c r="K43" s="8" t="s">
        <v>24</v>
      </c>
      <c r="L43" s="8">
        <v>156</v>
      </c>
      <c r="M43" s="8">
        <v>56</v>
      </c>
      <c r="N43" s="8">
        <v>1.2</v>
      </c>
      <c r="O43" s="8">
        <v>1258</v>
      </c>
      <c r="P43" s="8" t="s">
        <v>20</v>
      </c>
      <c r="Q43" s="8" t="str">
        <f>_xlfn.IFS(AND(Table13[[#This Row],[Gender]]="female",R43&lt;20),"Athletes",AND(Table13[[#This Row],[Gender]]="female",R43&lt;24),"Fitnesss",AND(Table13[[#This Row],[Gender]]="female",R43&lt;31),"Acceptable",AND(Table13[[#This Row],[Gender]]="female",R43&lt;40),"Obese",AND(Table13[[#This Row],[Gender]]="male",R43&lt;13),"Athletes",AND(Table13[[#This Row],[Gender]]="male",R43&lt;17),"Fitnesss",AND(Table13[[#This Row],[Gender]]="male",R43&lt;24.9),"Acceptable",AND(Table13[[#This Row],[Gender]]="male",R43&lt;40),"Obese",AND(Table13[[#This Row],[Gender]]="others",R43&lt;20),"Athletes",AND(Table13[[#This Row],[Gender]]="others",R43&lt;24),"Fitnesss",AND(Table13[[#This Row],[Gender]]="others",R43&lt;31),"Acceptable",AND(Table13[[#This Row],[Gender]]="others",R43&lt;40),"Obese")</f>
        <v>Acceptable</v>
      </c>
      <c r="R43" s="8">
        <v>25</v>
      </c>
      <c r="S43" s="8">
        <v>2</v>
      </c>
      <c r="T43" s="8">
        <v>4</v>
      </c>
      <c r="U43" s="8">
        <v>2</v>
      </c>
      <c r="V43" s="8" t="str">
        <f>IF(Table13[[#This Row],[BMI]]&lt;=18.5,"Underweight",IF(Table13[[#This Row],[BMI]]&lt;=24.9,"Normal",IF(Table13[[#This Row],[BMI]]&lt;=29.9,"Overweight",IF(Table13[[#This Row],[BMI]]&lt;=39,"Obese","Severly Obese"))))</f>
        <v>Underweight</v>
      </c>
      <c r="W43" s="18">
        <v>12.32</v>
      </c>
    </row>
    <row r="44" spans="6:23" x14ac:dyDescent="0.3">
      <c r="F44" s="17">
        <v>35</v>
      </c>
      <c r="G44" s="8" t="str">
        <f>IF(Table13[[#This Row],[Age]]&lt;25,"18-24",IF(Table13[[#This Row],[Age]]&lt;35,"25-34",IF(Table13[[#This Row],[Age]]&lt;45,"35-44",IF(Table13[[#This Row],[Age]]&lt;55,"45-54","55-64"))))</f>
        <v>35-44</v>
      </c>
      <c r="H44" s="8" t="s">
        <v>19</v>
      </c>
      <c r="I44" s="8">
        <v>75.7</v>
      </c>
      <c r="J44" s="8">
        <v>1.61</v>
      </c>
      <c r="K44" s="8">
        <v>192</v>
      </c>
      <c r="L44" s="8">
        <v>147</v>
      </c>
      <c r="M44" s="8">
        <v>52</v>
      </c>
      <c r="N44" s="8">
        <v>0.92</v>
      </c>
      <c r="O44" s="8">
        <v>1211</v>
      </c>
      <c r="P44" s="8" t="s">
        <v>18</v>
      </c>
      <c r="Q44" s="8" t="str">
        <f>_xlfn.IFS(AND(Table13[[#This Row],[Gender]]="female",R44&lt;20),"Athletes",AND(Table13[[#This Row],[Gender]]="female",R44&lt;24),"Fitnesss",AND(Table13[[#This Row],[Gender]]="female",R44&lt;31),"Acceptable",AND(Table13[[#This Row],[Gender]]="female",R44&lt;40),"Obese",AND(Table13[[#This Row],[Gender]]="male",R44&lt;13),"Athletes",AND(Table13[[#This Row],[Gender]]="male",R44&lt;17),"Fitnesss",AND(Table13[[#This Row],[Gender]]="male",R44&lt;24.9),"Acceptable",AND(Table13[[#This Row],[Gender]]="male",R44&lt;40),"Obese",AND(Table13[[#This Row],[Gender]]="others",R44&lt;20),"Athletes",AND(Table13[[#This Row],[Gender]]="others",R44&lt;24),"Fitnesss",AND(Table13[[#This Row],[Gender]]="others",R44&lt;31),"Acceptable",AND(Table13[[#This Row],[Gender]]="others",R44&lt;40),"Obese")</f>
        <v>Acceptable</v>
      </c>
      <c r="R44" s="8">
        <v>21.2</v>
      </c>
      <c r="S44" s="8">
        <v>2.4</v>
      </c>
      <c r="T44" s="8">
        <v>3</v>
      </c>
      <c r="U44" s="8">
        <v>2</v>
      </c>
      <c r="V44" s="8" t="str">
        <f>IF(Table13[[#This Row],[BMI]]&lt;=18.5,"Underweight",IF(Table13[[#This Row],[BMI]]&lt;=24.9,"Normal",IF(Table13[[#This Row],[BMI]]&lt;=29.9,"Overweight",IF(Table13[[#This Row],[BMI]]&lt;=39,"Obese","Severly Obese"))))</f>
        <v>Normal</v>
      </c>
      <c r="W44" s="18">
        <v>23.19</v>
      </c>
    </row>
    <row r="45" spans="6:23" x14ac:dyDescent="0.3">
      <c r="F45" s="17">
        <v>21</v>
      </c>
      <c r="G45" s="8" t="str">
        <f>IF(Table13[[#This Row],[Age]]&lt;25,"18-24",IF(Table13[[#This Row],[Age]]&lt;35,"25-34",IF(Table13[[#This Row],[Age]]&lt;45,"35-44",IF(Table13[[#This Row],[Age]]&lt;55,"45-54","55-64"))))</f>
        <v>18-24</v>
      </c>
      <c r="H45" s="8" t="s">
        <v>19</v>
      </c>
      <c r="I45" s="8">
        <v>76.8</v>
      </c>
      <c r="J45" s="8">
        <v>1.75</v>
      </c>
      <c r="K45" s="8">
        <v>166</v>
      </c>
      <c r="L45" s="8">
        <v>125</v>
      </c>
      <c r="M45" s="8">
        <v>74</v>
      </c>
      <c r="N45" s="8">
        <v>1.56</v>
      </c>
      <c r="O45" s="8">
        <v>1152</v>
      </c>
      <c r="P45" s="8" t="s">
        <v>18</v>
      </c>
      <c r="Q45" s="8" t="str">
        <f>_xlfn.IFS(AND(Table13[[#This Row],[Gender]]="female",R45&lt;20),"Athletes",AND(Table13[[#This Row],[Gender]]="female",R45&lt;24),"Fitnesss",AND(Table13[[#This Row],[Gender]]="female",R45&lt;31),"Acceptable",AND(Table13[[#This Row],[Gender]]="female",R45&lt;40),"Obese",AND(Table13[[#This Row],[Gender]]="male",R45&lt;13),"Athletes",AND(Table13[[#This Row],[Gender]]="male",R45&lt;17),"Fitnesss",AND(Table13[[#This Row],[Gender]]="male",R45&lt;24.9),"Acceptable",AND(Table13[[#This Row],[Gender]]="male",R45&lt;40),"Obese",AND(Table13[[#This Row],[Gender]]="others",R45&lt;20),"Athletes",AND(Table13[[#This Row],[Gender]]="others",R45&lt;24),"Fitnesss",AND(Table13[[#This Row],[Gender]]="others",R45&lt;31),"Acceptable",AND(Table13[[#This Row],[Gender]]="others",R45&lt;40),"Obese")</f>
        <v>Obese</v>
      </c>
      <c r="R45" s="8">
        <v>25.1</v>
      </c>
      <c r="S45" s="8">
        <v>2.7</v>
      </c>
      <c r="T45" s="8">
        <v>3</v>
      </c>
      <c r="U45" s="8">
        <v>1</v>
      </c>
      <c r="V45" s="8" t="str">
        <f>IF(Table13[[#This Row],[BMI]]&lt;=18.5,"Underweight",IF(Table13[[#This Row],[BMI]]&lt;=24.9,"Normal",IF(Table13[[#This Row],[BMI]]&lt;=29.9,"Overweight",IF(Table13[[#This Row],[BMI]]&lt;=39,"Obese","Severly Obese"))))</f>
        <v>Underweight</v>
      </c>
      <c r="W45" s="18">
        <v>16.66</v>
      </c>
    </row>
    <row r="46" spans="6:23" x14ac:dyDescent="0.3">
      <c r="F46" s="17">
        <v>48</v>
      </c>
      <c r="G46" s="8" t="str">
        <f>IF(Table13[[#This Row],[Age]]&lt;25,"18-24",IF(Table13[[#This Row],[Age]]&lt;35,"25-34",IF(Table13[[#This Row],[Age]]&lt;45,"35-44",IF(Table13[[#This Row],[Age]]&lt;55,"45-54","55-64"))))</f>
        <v>45-54</v>
      </c>
      <c r="H46" s="8" t="s">
        <v>17</v>
      </c>
      <c r="I46" s="8">
        <v>112.6</v>
      </c>
      <c r="J46" s="8">
        <v>1.69</v>
      </c>
      <c r="K46" s="8">
        <v>160</v>
      </c>
      <c r="L46" s="8">
        <v>162</v>
      </c>
      <c r="M46" s="8">
        <v>63</v>
      </c>
      <c r="N46" s="8">
        <v>0.89</v>
      </c>
      <c r="O46" s="8">
        <v>1482</v>
      </c>
      <c r="P46" s="8" t="s">
        <v>20</v>
      </c>
      <c r="Q46" s="8" t="str">
        <f>_xlfn.IFS(AND(Table13[[#This Row],[Gender]]="female",R46&lt;20),"Athletes",AND(Table13[[#This Row],[Gender]]="female",R46&lt;24),"Fitnesss",AND(Table13[[#This Row],[Gender]]="female",R46&lt;31),"Acceptable",AND(Table13[[#This Row],[Gender]]="female",R46&lt;40),"Obese",AND(Table13[[#This Row],[Gender]]="male",R46&lt;13),"Athletes",AND(Table13[[#This Row],[Gender]]="male",R46&lt;17),"Fitnesss",AND(Table13[[#This Row],[Gender]]="male",R46&lt;24.9),"Acceptable",AND(Table13[[#This Row],[Gender]]="male",R46&lt;40),"Obese",AND(Table13[[#This Row],[Gender]]="others",R46&lt;20),"Athletes",AND(Table13[[#This Row],[Gender]]="others",R46&lt;24),"Fitnesss",AND(Table13[[#This Row],[Gender]]="others",R46&lt;31),"Acceptable",AND(Table13[[#This Row],[Gender]]="others",R46&lt;40),"Obese")</f>
        <v>Fitnesss</v>
      </c>
      <c r="R46" s="8">
        <v>22.6</v>
      </c>
      <c r="S46" s="8">
        <v>2.5</v>
      </c>
      <c r="T46" s="8">
        <v>4</v>
      </c>
      <c r="U46" s="8">
        <v>2</v>
      </c>
      <c r="V46" s="8" t="str">
        <f>IF(Table13[[#This Row],[BMI]]&lt;=18.5,"Underweight",IF(Table13[[#This Row],[BMI]]&lt;=24.9,"Normal",IF(Table13[[#This Row],[BMI]]&lt;=29.9,"Overweight",IF(Table13[[#This Row],[BMI]]&lt;=39,"Obese","Severly Obese"))))</f>
        <v>Underweight</v>
      </c>
      <c r="W46" s="18">
        <v>12.32</v>
      </c>
    </row>
    <row r="47" spans="6:23" x14ac:dyDescent="0.3">
      <c r="F47" s="17">
        <v>18</v>
      </c>
      <c r="G47" s="8" t="str">
        <f>IF(Table13[[#This Row],[Age]]&lt;25,"18-24",IF(Table13[[#This Row],[Age]]&lt;35,"25-34",IF(Table13[[#This Row],[Age]]&lt;45,"35-44",IF(Table13[[#This Row],[Age]]&lt;55,"45-54","55-64"))))</f>
        <v>18-24</v>
      </c>
      <c r="H47" s="8" t="s">
        <v>19</v>
      </c>
      <c r="I47" s="8">
        <v>73.7</v>
      </c>
      <c r="J47" s="8">
        <v>1.78</v>
      </c>
      <c r="K47" s="8">
        <v>192</v>
      </c>
      <c r="L47" s="8">
        <v>154</v>
      </c>
      <c r="M47" s="8">
        <v>73</v>
      </c>
      <c r="N47" s="8">
        <v>1.18</v>
      </c>
      <c r="O47" s="8">
        <v>851</v>
      </c>
      <c r="P47" s="8" t="s">
        <v>18</v>
      </c>
      <c r="Q47" s="8" t="str">
        <f>_xlfn.IFS(AND(Table13[[#This Row],[Gender]]="female",R47&lt;20),"Athletes",AND(Table13[[#This Row],[Gender]]="female",R47&lt;24),"Fitnesss",AND(Table13[[#This Row],[Gender]]="female",R47&lt;31),"Acceptable",AND(Table13[[#This Row],[Gender]]="female",R47&lt;40),"Obese",AND(Table13[[#This Row],[Gender]]="male",R47&lt;13),"Athletes",AND(Table13[[#This Row],[Gender]]="male",R47&lt;17),"Fitnesss",AND(Table13[[#This Row],[Gender]]="male",R47&lt;24.9),"Acceptable",AND(Table13[[#This Row],[Gender]]="male",R47&lt;40),"Obese",AND(Table13[[#This Row],[Gender]]="others",R47&lt;20),"Athletes",AND(Table13[[#This Row],[Gender]]="others",R47&lt;24),"Fitnesss",AND(Table13[[#This Row],[Gender]]="others",R47&lt;31),"Acceptable",AND(Table13[[#This Row],[Gender]]="others",R47&lt;40),"Obese")</f>
        <v>Obese</v>
      </c>
      <c r="R47" s="8">
        <v>27.4</v>
      </c>
      <c r="S47" s="8">
        <v>2.6</v>
      </c>
      <c r="T47" s="8">
        <v>2</v>
      </c>
      <c r="U47" s="8">
        <v>2</v>
      </c>
      <c r="V47" s="8" t="str">
        <f>IF(Table13[[#This Row],[BMI]]&lt;=18.5,"Underweight",IF(Table13[[#This Row],[BMI]]&lt;=24.9,"Normal",IF(Table13[[#This Row],[BMI]]&lt;=29.9,"Overweight",IF(Table13[[#This Row],[BMI]]&lt;=39,"Obese","Severly Obese"))))</f>
        <v>Normal</v>
      </c>
      <c r="W47" s="18">
        <v>21.08</v>
      </c>
    </row>
    <row r="48" spans="6:23" x14ac:dyDescent="0.3">
      <c r="F48" s="17">
        <v>18</v>
      </c>
      <c r="G48" s="8" t="str">
        <f>IF(Table13[[#This Row],[Age]]&lt;25,"18-24",IF(Table13[[#This Row],[Age]]&lt;35,"25-34",IF(Table13[[#This Row],[Age]]&lt;45,"35-44",IF(Table13[[#This Row],[Age]]&lt;55,"45-54","55-64"))))</f>
        <v>18-24</v>
      </c>
      <c r="H48" s="8" t="s">
        <v>17</v>
      </c>
      <c r="I48" s="8">
        <v>84</v>
      </c>
      <c r="J48" s="8">
        <v>1.71</v>
      </c>
      <c r="K48" s="8">
        <v>194</v>
      </c>
      <c r="L48" s="8">
        <v>148</v>
      </c>
      <c r="M48" s="8">
        <v>52</v>
      </c>
      <c r="N48" s="8">
        <v>0.92</v>
      </c>
      <c r="O48" s="8">
        <v>621</v>
      </c>
      <c r="P48" s="8" t="s">
        <v>18</v>
      </c>
      <c r="Q48" s="8" t="str">
        <f>_xlfn.IFS(AND(Table13[[#This Row],[Gender]]="female",R48&lt;20),"Athletes",AND(Table13[[#This Row],[Gender]]="female",R48&lt;24),"Fitnesss",AND(Table13[[#This Row],[Gender]]="female",R48&lt;31),"Acceptable",AND(Table13[[#This Row],[Gender]]="female",R48&lt;40),"Obese",AND(Table13[[#This Row],[Gender]]="male",R48&lt;13),"Athletes",AND(Table13[[#This Row],[Gender]]="male",R48&lt;17),"Fitnesss",AND(Table13[[#This Row],[Gender]]="male",R48&lt;24.9),"Acceptable",AND(Table13[[#This Row],[Gender]]="male",R48&lt;40),"Obese",AND(Table13[[#This Row],[Gender]]="others",R48&lt;20),"Athletes",AND(Table13[[#This Row],[Gender]]="others",R48&lt;24),"Fitnesss",AND(Table13[[#This Row],[Gender]]="others",R48&lt;31),"Acceptable",AND(Table13[[#This Row],[Gender]]="others",R48&lt;40),"Obese")</f>
        <v>Acceptable</v>
      </c>
      <c r="R48" s="8">
        <v>28.3</v>
      </c>
      <c r="S48" s="8">
        <v>3.4</v>
      </c>
      <c r="T48" s="8">
        <v>3</v>
      </c>
      <c r="U48" s="8">
        <v>3</v>
      </c>
      <c r="V48" s="8" t="str">
        <f>IF(Table13[[#This Row],[BMI]]&lt;=18.5,"Underweight",IF(Table13[[#This Row],[BMI]]&lt;=24.9,"Normal",IF(Table13[[#This Row],[BMI]]&lt;=29.9,"Overweight",IF(Table13[[#This Row],[BMI]]&lt;=39,"Obese","Severly Obese"))))</f>
        <v>Underweight</v>
      </c>
      <c r="W48" s="18">
        <v>17.989999999999998</v>
      </c>
    </row>
    <row r="49" spans="6:23" x14ac:dyDescent="0.3">
      <c r="F49" s="17">
        <v>28</v>
      </c>
      <c r="G49" s="8" t="str">
        <f>IF(Table13[[#This Row],[Age]]&lt;25,"18-24",IF(Table13[[#This Row],[Age]]&lt;35,"25-34",IF(Table13[[#This Row],[Age]]&lt;45,"35-44",IF(Table13[[#This Row],[Age]]&lt;55,"45-54","55-64"))))</f>
        <v>25-34</v>
      </c>
      <c r="H49" s="8" t="s">
        <v>19</v>
      </c>
      <c r="I49" s="8">
        <v>68</v>
      </c>
      <c r="J49" s="8">
        <v>1.7</v>
      </c>
      <c r="K49" s="8">
        <v>174</v>
      </c>
      <c r="L49" s="8">
        <v>155</v>
      </c>
      <c r="M49" s="8">
        <v>68</v>
      </c>
      <c r="N49" s="8">
        <v>0.74</v>
      </c>
      <c r="O49" s="8">
        <v>1464</v>
      </c>
      <c r="P49" s="8" t="s">
        <v>22</v>
      </c>
      <c r="Q49" s="8" t="str">
        <f>_xlfn.IFS(AND(Table13[[#This Row],[Gender]]="female",R49&lt;20),"Athletes",AND(Table13[[#This Row],[Gender]]="female",R49&lt;24),"Fitnesss",AND(Table13[[#This Row],[Gender]]="female",R49&lt;31),"Acceptable",AND(Table13[[#This Row],[Gender]]="female",R49&lt;40),"Obese",AND(Table13[[#This Row],[Gender]]="male",R49&lt;13),"Athletes",AND(Table13[[#This Row],[Gender]]="male",R49&lt;17),"Fitnesss",AND(Table13[[#This Row],[Gender]]="male",R49&lt;24.9),"Acceptable",AND(Table13[[#This Row],[Gender]]="male",R49&lt;40),"Obese",AND(Table13[[#This Row],[Gender]]="others",R49&lt;20),"Athletes",AND(Table13[[#This Row],[Gender]]="others",R49&lt;24),"Fitnesss",AND(Table13[[#This Row],[Gender]]="others",R49&lt;31),"Acceptable",AND(Table13[[#This Row],[Gender]]="others",R49&lt;40),"Obese")</f>
        <v>Acceptable</v>
      </c>
      <c r="R49" s="8">
        <v>17</v>
      </c>
      <c r="S49" s="8">
        <v>2.2999999999999998</v>
      </c>
      <c r="T49" s="8">
        <v>3</v>
      </c>
      <c r="U49" s="8">
        <v>2</v>
      </c>
      <c r="V49" s="8" t="str">
        <f>IF(Table13[[#This Row],[BMI]]&lt;=18.5,"Underweight",IF(Table13[[#This Row],[BMI]]&lt;=24.9,"Normal",IF(Table13[[#This Row],[BMI]]&lt;=29.9,"Overweight",IF(Table13[[#This Row],[BMI]]&lt;=39,"Obese","Severly Obese"))))</f>
        <v>Normal</v>
      </c>
      <c r="W49" s="18">
        <v>21.67</v>
      </c>
    </row>
    <row r="50" spans="6:23" x14ac:dyDescent="0.3">
      <c r="F50" s="17">
        <v>23</v>
      </c>
      <c r="G50" s="8" t="str">
        <f>IF(Table13[[#This Row],[Age]]&lt;25,"18-24",IF(Table13[[#This Row],[Age]]&lt;35,"25-34",IF(Table13[[#This Row],[Age]]&lt;45,"35-44",IF(Table13[[#This Row],[Age]]&lt;55,"45-54","55-64"))))</f>
        <v>18-24</v>
      </c>
      <c r="H50" s="8" t="s">
        <v>19</v>
      </c>
      <c r="I50" s="8">
        <v>107.6</v>
      </c>
      <c r="J50" s="8">
        <v>1.5</v>
      </c>
      <c r="K50" s="8"/>
      <c r="L50" s="8">
        <v>136</v>
      </c>
      <c r="M50" s="8">
        <v>71</v>
      </c>
      <c r="N50" s="8">
        <v>1.53</v>
      </c>
      <c r="O50" s="8">
        <v>1062</v>
      </c>
      <c r="P50" s="8" t="s">
        <v>20</v>
      </c>
      <c r="Q50" s="8" t="str">
        <f>_xlfn.IFS(AND(Table13[[#This Row],[Gender]]="female",R50&lt;20),"Athletes",AND(Table13[[#This Row],[Gender]]="female",R50&lt;24),"Fitnesss",AND(Table13[[#This Row],[Gender]]="female",R50&lt;31),"Acceptable",AND(Table13[[#This Row],[Gender]]="female",R50&lt;40),"Obese",AND(Table13[[#This Row],[Gender]]="male",R50&lt;13),"Athletes",AND(Table13[[#This Row],[Gender]]="male",R50&lt;17),"Fitnesss",AND(Table13[[#This Row],[Gender]]="male",R50&lt;24.9),"Acceptable",AND(Table13[[#This Row],[Gender]]="male",R50&lt;40),"Obese",AND(Table13[[#This Row],[Gender]]="others",R50&lt;20),"Athletes",AND(Table13[[#This Row],[Gender]]="others",R50&lt;24),"Fitnesss",AND(Table13[[#This Row],[Gender]]="others",R50&lt;31),"Acceptable",AND(Table13[[#This Row],[Gender]]="others",R50&lt;40),"Obese")</f>
        <v>Athletes</v>
      </c>
      <c r="R50" s="8">
        <v>10</v>
      </c>
      <c r="S50" s="8">
        <v>2.2999999999999998</v>
      </c>
      <c r="T50" s="8">
        <v>5</v>
      </c>
      <c r="U50" s="8">
        <v>3</v>
      </c>
      <c r="V50" s="8" t="str">
        <f>IF(Table13[[#This Row],[BMI]]&lt;=18.5,"Underweight",IF(Table13[[#This Row],[BMI]]&lt;=24.9,"Normal",IF(Table13[[#This Row],[BMI]]&lt;=29.9,"Overweight",IF(Table13[[#This Row],[BMI]]&lt;=39,"Obese","Severly Obese"))))</f>
        <v>Normal</v>
      </c>
      <c r="W50" s="18">
        <v>23.77</v>
      </c>
    </row>
    <row r="51" spans="6:23" x14ac:dyDescent="0.3">
      <c r="F51" s="17">
        <v>30</v>
      </c>
      <c r="G51" s="8" t="str">
        <f>IF(Table13[[#This Row],[Age]]&lt;25,"18-24",IF(Table13[[#This Row],[Age]]&lt;35,"25-34",IF(Table13[[#This Row],[Age]]&lt;45,"35-44",IF(Table13[[#This Row],[Age]]&lt;55,"45-54","55-64"))))</f>
        <v>25-34</v>
      </c>
      <c r="H51" s="8" t="s">
        <v>17</v>
      </c>
      <c r="I51" s="8">
        <v>54.3</v>
      </c>
      <c r="J51" s="8">
        <v>1.82</v>
      </c>
      <c r="K51" s="8">
        <v>185</v>
      </c>
      <c r="L51" s="8">
        <v>168</v>
      </c>
      <c r="M51" s="8">
        <v>66</v>
      </c>
      <c r="N51" s="8">
        <v>1.4</v>
      </c>
      <c r="O51" s="8">
        <v>1415</v>
      </c>
      <c r="P51" s="8" t="s">
        <v>23</v>
      </c>
      <c r="Q51" s="8" t="str">
        <f>_xlfn.IFS(AND(Table13[[#This Row],[Gender]]="female",R51&lt;20),"Athletes",AND(Table13[[#This Row],[Gender]]="female",R51&lt;24),"Fitnesss",AND(Table13[[#This Row],[Gender]]="female",R51&lt;31),"Acceptable",AND(Table13[[#This Row],[Gender]]="female",R51&lt;40),"Obese",AND(Table13[[#This Row],[Gender]]="male",R51&lt;13),"Athletes",AND(Table13[[#This Row],[Gender]]="male",R51&lt;17),"Fitnesss",AND(Table13[[#This Row],[Gender]]="male",R51&lt;24.9),"Acceptable",AND(Table13[[#This Row],[Gender]]="male",R51&lt;40),"Obese",AND(Table13[[#This Row],[Gender]]="others",R51&lt;20),"Athletes",AND(Table13[[#This Row],[Gender]]="others",R51&lt;24),"Fitnesss",AND(Table13[[#This Row],[Gender]]="others",R51&lt;31),"Acceptable",AND(Table13[[#This Row],[Gender]]="others",R51&lt;40),"Obese")</f>
        <v>Acceptable</v>
      </c>
      <c r="R51" s="8">
        <v>25.4</v>
      </c>
      <c r="S51" s="8">
        <v>3.6</v>
      </c>
      <c r="T51" s="8">
        <v>3</v>
      </c>
      <c r="U51" s="8">
        <v>1</v>
      </c>
      <c r="V51" s="8" t="str">
        <f>IF(Table13[[#This Row],[BMI]]&lt;=18.5,"Underweight",IF(Table13[[#This Row],[BMI]]&lt;=24.9,"Normal",IF(Table13[[#This Row],[BMI]]&lt;=29.9,"Overweight",IF(Table13[[#This Row],[BMI]]&lt;=39,"Obese","Severly Obese"))))</f>
        <v>Overweight</v>
      </c>
      <c r="W51" s="18">
        <v>26.4</v>
      </c>
    </row>
    <row r="52" spans="6:23" x14ac:dyDescent="0.3">
      <c r="F52" s="17">
        <v>18</v>
      </c>
      <c r="G52" s="8" t="str">
        <f>IF(Table13[[#This Row],[Age]]&lt;25,"18-24",IF(Table13[[#This Row],[Age]]&lt;35,"25-34",IF(Table13[[#This Row],[Age]]&lt;45,"35-44",IF(Table13[[#This Row],[Age]]&lt;55,"45-54","55-64"))))</f>
        <v>18-24</v>
      </c>
      <c r="H52" s="8" t="s">
        <v>17</v>
      </c>
      <c r="I52" s="8">
        <v>42.8</v>
      </c>
      <c r="J52" s="8">
        <v>1.89</v>
      </c>
      <c r="K52" s="8">
        <v>194</v>
      </c>
      <c r="L52" s="8">
        <v>162</v>
      </c>
      <c r="M52" s="8">
        <v>73</v>
      </c>
      <c r="N52" s="8">
        <v>2</v>
      </c>
      <c r="O52" s="8">
        <v>736</v>
      </c>
      <c r="P52" s="8" t="s">
        <v>23</v>
      </c>
      <c r="Q52" s="8" t="str">
        <f>_xlfn.IFS(AND(Table13[[#This Row],[Gender]]="female",R52&lt;20),"Athletes",AND(Table13[[#This Row],[Gender]]="female",R52&lt;24),"Fitnesss",AND(Table13[[#This Row],[Gender]]="female",R52&lt;31),"Acceptable",AND(Table13[[#This Row],[Gender]]="female",R52&lt;40),"Obese",AND(Table13[[#This Row],[Gender]]="male",R52&lt;13),"Athletes",AND(Table13[[#This Row],[Gender]]="male",R52&lt;17),"Fitnesss",AND(Table13[[#This Row],[Gender]]="male",R52&lt;24.9),"Acceptable",AND(Table13[[#This Row],[Gender]]="male",R52&lt;40),"Obese",AND(Table13[[#This Row],[Gender]]="others",R52&lt;20),"Athletes",AND(Table13[[#This Row],[Gender]]="others",R52&lt;24),"Fitnesss",AND(Table13[[#This Row],[Gender]]="others",R52&lt;31),"Acceptable",AND(Table13[[#This Row],[Gender]]="others",R52&lt;40),"Obese")</f>
        <v>Fitnesss</v>
      </c>
      <c r="R52" s="8">
        <v>22.5</v>
      </c>
      <c r="S52" s="8">
        <v>1.5</v>
      </c>
      <c r="T52" s="8">
        <v>3</v>
      </c>
      <c r="U52" s="8">
        <v>2</v>
      </c>
      <c r="V52" s="8" t="str">
        <f>IF(Table13[[#This Row],[BMI]]&lt;=18.5,"Underweight",IF(Table13[[#This Row],[BMI]]&lt;=24.9,"Normal",IF(Table13[[#This Row],[BMI]]&lt;=29.9,"Overweight",IF(Table13[[#This Row],[BMI]]&lt;=39,"Obese","Severly Obese"))))</f>
        <v>Normal</v>
      </c>
      <c r="W52" s="18">
        <v>18.54</v>
      </c>
    </row>
    <row r="53" spans="6:23" x14ac:dyDescent="0.3">
      <c r="F53" s="17">
        <v>37</v>
      </c>
      <c r="G53" s="8" t="str">
        <f>IF(Table13[[#This Row],[Age]]&lt;25,"18-24",IF(Table13[[#This Row],[Age]]&lt;35,"25-34",IF(Table13[[#This Row],[Age]]&lt;45,"35-44",IF(Table13[[#This Row],[Age]]&lt;55,"45-54","55-64"))))</f>
        <v>35-44</v>
      </c>
      <c r="H53" s="8" t="s">
        <v>23</v>
      </c>
      <c r="I53" s="8">
        <v>55.4</v>
      </c>
      <c r="J53" s="8">
        <v>1.68</v>
      </c>
      <c r="K53" s="8">
        <v>197</v>
      </c>
      <c r="L53" s="8"/>
      <c r="M53" s="8">
        <v>52</v>
      </c>
      <c r="N53" s="8">
        <v>1.04</v>
      </c>
      <c r="O53" s="8">
        <v>338</v>
      </c>
      <c r="P53" s="8" t="s">
        <v>20</v>
      </c>
      <c r="Q53" s="8" t="str">
        <f>_xlfn.IFS(AND(Table13[[#This Row],[Gender]]="female",R53&lt;20),"Athletes",AND(Table13[[#This Row],[Gender]]="female",R53&lt;24),"Fitnesss",AND(Table13[[#This Row],[Gender]]="female",R53&lt;31),"Acceptable",AND(Table13[[#This Row],[Gender]]="female",R53&lt;40),"Obese",AND(Table13[[#This Row],[Gender]]="male",R53&lt;13),"Athletes",AND(Table13[[#This Row],[Gender]]="male",R53&lt;17),"Fitnesss",AND(Table13[[#This Row],[Gender]]="male",R53&lt;24.9),"Acceptable",AND(Table13[[#This Row],[Gender]]="male",R53&lt;40),"Obese",AND(Table13[[#This Row],[Gender]]="others",R53&lt;20),"Athletes",AND(Table13[[#This Row],[Gender]]="others",R53&lt;24),"Fitnesss",AND(Table13[[#This Row],[Gender]]="others",R53&lt;31),"Acceptable",AND(Table13[[#This Row],[Gender]]="others",R53&lt;40),"Obese")</f>
        <v>Acceptable</v>
      </c>
      <c r="R53" s="8">
        <v>27.4</v>
      </c>
      <c r="S53" s="8">
        <v>3.2</v>
      </c>
      <c r="T53" s="8"/>
      <c r="U53" s="8">
        <v>3</v>
      </c>
      <c r="V53" s="8" t="str">
        <f>IF(Table13[[#This Row],[BMI]]&lt;=18.5,"Underweight",IF(Table13[[#This Row],[BMI]]&lt;=24.9,"Normal",IF(Table13[[#This Row],[BMI]]&lt;=29.9,"Overweight",IF(Table13[[#This Row],[BMI]]&lt;=39,"Obese","Severly Obese"))))</f>
        <v>Underweight</v>
      </c>
      <c r="W53" s="18">
        <v>17.71</v>
      </c>
    </row>
    <row r="54" spans="6:23" x14ac:dyDescent="0.3">
      <c r="F54" s="17">
        <v>49</v>
      </c>
      <c r="G54" s="8" t="str">
        <f>IF(Table13[[#This Row],[Age]]&lt;25,"18-24",IF(Table13[[#This Row],[Age]]&lt;35,"25-34",IF(Table13[[#This Row],[Age]]&lt;45,"35-44",IF(Table13[[#This Row],[Age]]&lt;55,"45-54","55-64"))))</f>
        <v>45-54</v>
      </c>
      <c r="H54" s="8" t="s">
        <v>17</v>
      </c>
      <c r="I54" s="8">
        <v>102.4</v>
      </c>
      <c r="J54" s="8">
        <v>1.65</v>
      </c>
      <c r="K54" s="8">
        <v>185</v>
      </c>
      <c r="L54" s="8">
        <v>148</v>
      </c>
      <c r="M54" s="8">
        <v>68</v>
      </c>
      <c r="N54" s="8">
        <v>1.27</v>
      </c>
      <c r="O54" s="8">
        <v>980</v>
      </c>
      <c r="P54" s="8" t="s">
        <v>20</v>
      </c>
      <c r="Q54" s="8" t="str">
        <f>_xlfn.IFS(AND(Table13[[#This Row],[Gender]]="female",R54&lt;20),"Athletes",AND(Table13[[#This Row],[Gender]]="female",R54&lt;24),"Fitnesss",AND(Table13[[#This Row],[Gender]]="female",R54&lt;31),"Acceptable",AND(Table13[[#This Row],[Gender]]="female",R54&lt;40),"Obese",AND(Table13[[#This Row],[Gender]]="male",R54&lt;13),"Athletes",AND(Table13[[#This Row],[Gender]]="male",R54&lt;17),"Fitnesss",AND(Table13[[#This Row],[Gender]]="male",R54&lt;24.9),"Acceptable",AND(Table13[[#This Row],[Gender]]="male",R54&lt;40),"Obese",AND(Table13[[#This Row],[Gender]]="others",R54&lt;20),"Athletes",AND(Table13[[#This Row],[Gender]]="others",R54&lt;24),"Fitnesss",AND(Table13[[#This Row],[Gender]]="others",R54&lt;31),"Acceptable",AND(Table13[[#This Row],[Gender]]="others",R54&lt;40),"Obese")</f>
        <v>Obese</v>
      </c>
      <c r="R54" s="8">
        <v>34.799999999999997</v>
      </c>
      <c r="S54" s="8">
        <v>2</v>
      </c>
      <c r="T54" s="8">
        <v>5</v>
      </c>
      <c r="U54" s="8"/>
      <c r="V54" s="8" t="str">
        <f>IF(Table13[[#This Row],[BMI]]&lt;=18.5,"Underweight",IF(Table13[[#This Row],[BMI]]&lt;=24.9,"Normal",IF(Table13[[#This Row],[BMI]]&lt;=29.9,"Overweight",IF(Table13[[#This Row],[BMI]]&lt;=39,"Obese","Severly Obese"))))</f>
        <v>Underweight</v>
      </c>
      <c r="W54" s="18">
        <v>15.52</v>
      </c>
    </row>
    <row r="55" spans="6:23" x14ac:dyDescent="0.3">
      <c r="F55" s="17">
        <v>42</v>
      </c>
      <c r="G55" s="8" t="str">
        <f>IF(Table13[[#This Row],[Age]]&lt;25,"18-24",IF(Table13[[#This Row],[Age]]&lt;35,"25-34",IF(Table13[[#This Row],[Age]]&lt;45,"35-44",IF(Table13[[#This Row],[Age]]&lt;55,"45-54","55-64"))))</f>
        <v>35-44</v>
      </c>
      <c r="H55" s="8" t="s">
        <v>17</v>
      </c>
      <c r="I55" s="8">
        <v>95.5</v>
      </c>
      <c r="J55" s="8">
        <v>1.95</v>
      </c>
      <c r="K55" s="8">
        <v>168</v>
      </c>
      <c r="L55" s="8">
        <v>125</v>
      </c>
      <c r="M55" s="8">
        <v>72</v>
      </c>
      <c r="N55" s="8">
        <v>1.91</v>
      </c>
      <c r="O55" s="8">
        <v>632</v>
      </c>
      <c r="P55" s="8" t="s">
        <v>21</v>
      </c>
      <c r="Q55" s="8" t="str">
        <f>_xlfn.IFS(AND(Table13[[#This Row],[Gender]]="female",R55&lt;20),"Athletes",AND(Table13[[#This Row],[Gender]]="female",R55&lt;24),"Fitnesss",AND(Table13[[#This Row],[Gender]]="female",R55&lt;31),"Acceptable",AND(Table13[[#This Row],[Gender]]="female",R55&lt;40),"Obese",AND(Table13[[#This Row],[Gender]]="male",R55&lt;13),"Athletes",AND(Table13[[#This Row],[Gender]]="male",R55&lt;17),"Fitnesss",AND(Table13[[#This Row],[Gender]]="male",R55&lt;24.9),"Acceptable",AND(Table13[[#This Row],[Gender]]="male",R55&lt;40),"Obese",AND(Table13[[#This Row],[Gender]]="others",R55&lt;20),"Athletes",AND(Table13[[#This Row],[Gender]]="others",R55&lt;24),"Fitnesss",AND(Table13[[#This Row],[Gender]]="others",R55&lt;31),"Acceptable",AND(Table13[[#This Row],[Gender]]="others",R55&lt;40),"Obese")</f>
        <v>Acceptable</v>
      </c>
      <c r="R55" s="8">
        <v>26.1</v>
      </c>
      <c r="S55" s="8">
        <v>2</v>
      </c>
      <c r="T55" s="8">
        <v>4</v>
      </c>
      <c r="U55" s="8">
        <v>1</v>
      </c>
      <c r="V55" s="8" t="str">
        <f>IF(Table13[[#This Row],[BMI]]&lt;=18.5,"Underweight",IF(Table13[[#This Row],[BMI]]&lt;=24.9,"Normal",IF(Table13[[#This Row],[BMI]]&lt;=29.9,"Overweight",IF(Table13[[#This Row],[BMI]]&lt;=39,"Obese","Severly Obese"))))</f>
        <v>Underweight</v>
      </c>
      <c r="W55" s="18">
        <v>12.32</v>
      </c>
    </row>
    <row r="56" spans="6:23" x14ac:dyDescent="0.3">
      <c r="F56" s="17">
        <v>27</v>
      </c>
      <c r="G56" s="8" t="str">
        <f>IF(Table13[[#This Row],[Age]]&lt;25,"18-24",IF(Table13[[#This Row],[Age]]&lt;35,"25-34",IF(Table13[[#This Row],[Age]]&lt;45,"35-44",IF(Table13[[#This Row],[Age]]&lt;55,"45-54","55-64"))))</f>
        <v>25-34</v>
      </c>
      <c r="H56" s="8" t="s">
        <v>17</v>
      </c>
      <c r="I56" s="8">
        <v>58.7</v>
      </c>
      <c r="J56" s="8">
        <v>1.98</v>
      </c>
      <c r="K56" s="8">
        <v>199</v>
      </c>
      <c r="L56" s="8">
        <v>145</v>
      </c>
      <c r="M56" s="8">
        <v>52</v>
      </c>
      <c r="N56" s="8">
        <v>2</v>
      </c>
      <c r="O56" s="8">
        <v>1119</v>
      </c>
      <c r="P56" s="8" t="s">
        <v>20</v>
      </c>
      <c r="Q56" s="8" t="str">
        <f>_xlfn.IFS(AND(Table13[[#This Row],[Gender]]="female",R56&lt;20),"Athletes",AND(Table13[[#This Row],[Gender]]="female",R56&lt;24),"Fitnesss",AND(Table13[[#This Row],[Gender]]="female",R56&lt;31),"Acceptable",AND(Table13[[#This Row],[Gender]]="female",R56&lt;40),"Obese",AND(Table13[[#This Row],[Gender]]="male",R56&lt;13),"Athletes",AND(Table13[[#This Row],[Gender]]="male",R56&lt;17),"Fitnesss",AND(Table13[[#This Row],[Gender]]="male",R56&lt;24.9),"Acceptable",AND(Table13[[#This Row],[Gender]]="male",R56&lt;40),"Obese",AND(Table13[[#This Row],[Gender]]="others",R56&lt;20),"Athletes",AND(Table13[[#This Row],[Gender]]="others",R56&lt;24),"Fitnesss",AND(Table13[[#This Row],[Gender]]="others",R56&lt;31),"Acceptable",AND(Table13[[#This Row],[Gender]]="others",R56&lt;40),"Obese")</f>
        <v>Fitnesss</v>
      </c>
      <c r="R56" s="8">
        <v>23</v>
      </c>
      <c r="S56" s="8">
        <v>2.7</v>
      </c>
      <c r="T56" s="8">
        <v>2</v>
      </c>
      <c r="U56" s="8">
        <v>3</v>
      </c>
      <c r="V56" s="8" t="str">
        <f>IF(Table13[[#This Row],[BMI]]&lt;=18.5,"Underweight",IF(Table13[[#This Row],[BMI]]&lt;=24.9,"Normal",IF(Table13[[#This Row],[BMI]]&lt;=29.9,"Overweight",IF(Table13[[#This Row],[BMI]]&lt;=39,"Obese","Severly Obese"))))</f>
        <v>Normal</v>
      </c>
      <c r="W56" s="18">
        <v>18.989999999999998</v>
      </c>
    </row>
    <row r="57" spans="6:23" x14ac:dyDescent="0.3">
      <c r="F57" s="17">
        <v>35</v>
      </c>
      <c r="G57" s="8" t="str">
        <f>IF(Table13[[#This Row],[Age]]&lt;25,"18-24",IF(Table13[[#This Row],[Age]]&lt;35,"25-34",IF(Table13[[#This Row],[Age]]&lt;45,"35-44",IF(Table13[[#This Row],[Age]]&lt;55,"45-54","55-64"))))</f>
        <v>35-44</v>
      </c>
      <c r="H57" s="8" t="s">
        <v>17</v>
      </c>
      <c r="I57" s="8">
        <v>49.7</v>
      </c>
      <c r="J57" s="8">
        <v>1.86</v>
      </c>
      <c r="K57" s="8">
        <v>161</v>
      </c>
      <c r="L57" s="8"/>
      <c r="M57" s="8">
        <v>62</v>
      </c>
      <c r="N57" s="8">
        <v>1.1200000000000001</v>
      </c>
      <c r="O57" s="8">
        <v>867</v>
      </c>
      <c r="P57" s="8" t="s">
        <v>18</v>
      </c>
      <c r="Q57" s="8" t="str">
        <f>_xlfn.IFS(AND(Table13[[#This Row],[Gender]]="female",R57&lt;20),"Athletes",AND(Table13[[#This Row],[Gender]]="female",R57&lt;24),"Fitnesss",AND(Table13[[#This Row],[Gender]]="female",R57&lt;31),"Acceptable",AND(Table13[[#This Row],[Gender]]="female",R57&lt;40),"Obese",AND(Table13[[#This Row],[Gender]]="male",R57&lt;13),"Athletes",AND(Table13[[#This Row],[Gender]]="male",R57&lt;17),"Fitnesss",AND(Table13[[#This Row],[Gender]]="male",R57&lt;24.9),"Acceptable",AND(Table13[[#This Row],[Gender]]="male",R57&lt;40),"Obese",AND(Table13[[#This Row],[Gender]]="others",R57&lt;20),"Athletes",AND(Table13[[#This Row],[Gender]]="others",R57&lt;24),"Fitnesss",AND(Table13[[#This Row],[Gender]]="others",R57&lt;31),"Acceptable",AND(Table13[[#This Row],[Gender]]="others",R57&lt;40),"Obese")</f>
        <v>Athletes</v>
      </c>
      <c r="R57" s="8">
        <v>15.2</v>
      </c>
      <c r="S57" s="8">
        <v>1.8</v>
      </c>
      <c r="T57" s="8">
        <v>4</v>
      </c>
      <c r="U57" s="8">
        <v>3</v>
      </c>
      <c r="V57" s="8" t="str">
        <f>IF(Table13[[#This Row],[BMI]]&lt;=18.5,"Underweight",IF(Table13[[#This Row],[BMI]]&lt;=24.9,"Normal",IF(Table13[[#This Row],[BMI]]&lt;=29.9,"Overweight",IF(Table13[[#This Row],[BMI]]&lt;=39,"Obese","Severly Obese"))))</f>
        <v>Underweight</v>
      </c>
      <c r="W57" s="18">
        <v>12.32</v>
      </c>
    </row>
    <row r="58" spans="6:23" x14ac:dyDescent="0.3">
      <c r="F58" s="17">
        <v>24</v>
      </c>
      <c r="G58" s="8" t="str">
        <f>IF(Table13[[#This Row],[Age]]&lt;25,"18-24",IF(Table13[[#This Row],[Age]]&lt;35,"25-34",IF(Table13[[#This Row],[Age]]&lt;45,"35-44",IF(Table13[[#This Row],[Age]]&lt;55,"45-54","55-64"))))</f>
        <v>18-24</v>
      </c>
      <c r="H58" s="8" t="s">
        <v>17</v>
      </c>
      <c r="I58" s="8">
        <v>86.5</v>
      </c>
      <c r="J58" s="8">
        <v>1.65</v>
      </c>
      <c r="K58" s="8">
        <v>196</v>
      </c>
      <c r="L58" s="8">
        <v>169</v>
      </c>
      <c r="M58" s="8">
        <v>59</v>
      </c>
      <c r="N58" s="8">
        <v>1.08</v>
      </c>
      <c r="O58" s="8">
        <v>771</v>
      </c>
      <c r="P58" s="8" t="s">
        <v>20</v>
      </c>
      <c r="Q58" s="8" t="str">
        <f>_xlfn.IFS(AND(Table13[[#This Row],[Gender]]="female",R58&lt;20),"Athletes",AND(Table13[[#This Row],[Gender]]="female",R58&lt;24),"Fitnesss",AND(Table13[[#This Row],[Gender]]="female",R58&lt;31),"Acceptable",AND(Table13[[#This Row],[Gender]]="female",R58&lt;40),"Obese",AND(Table13[[#This Row],[Gender]]="male",R58&lt;13),"Athletes",AND(Table13[[#This Row],[Gender]]="male",R58&lt;17),"Fitnesss",AND(Table13[[#This Row],[Gender]]="male",R58&lt;24.9),"Acceptable",AND(Table13[[#This Row],[Gender]]="male",R58&lt;40),"Obese",AND(Table13[[#This Row],[Gender]]="others",R58&lt;20),"Athletes",AND(Table13[[#This Row],[Gender]]="others",R58&lt;24),"Fitnesss",AND(Table13[[#This Row],[Gender]]="others",R58&lt;31),"Acceptable",AND(Table13[[#This Row],[Gender]]="others",R58&lt;40),"Obese")</f>
        <v>Acceptable</v>
      </c>
      <c r="R58" s="8">
        <v>27.3</v>
      </c>
      <c r="S58" s="8">
        <v>2.1</v>
      </c>
      <c r="T58" s="8">
        <v>3</v>
      </c>
      <c r="U58" s="8">
        <v>1</v>
      </c>
      <c r="V58" s="8" t="str">
        <f>IF(Table13[[#This Row],[BMI]]&lt;=18.5,"Underweight",IF(Table13[[#This Row],[BMI]]&lt;=24.9,"Normal",IF(Table13[[#This Row],[BMI]]&lt;=29.9,"Overweight",IF(Table13[[#This Row],[BMI]]&lt;=39,"Obese","Severly Obese"))))</f>
        <v>Underweight</v>
      </c>
      <c r="W58" s="18">
        <v>12.9</v>
      </c>
    </row>
    <row r="59" spans="6:23" x14ac:dyDescent="0.3">
      <c r="F59" s="17">
        <v>44</v>
      </c>
      <c r="G59" s="8" t="str">
        <f>IF(Table13[[#This Row],[Age]]&lt;25,"18-24",IF(Table13[[#This Row],[Age]]&lt;35,"25-34",IF(Table13[[#This Row],[Age]]&lt;45,"35-44",IF(Table13[[#This Row],[Age]]&lt;55,"45-54","55-64"))))</f>
        <v>35-44</v>
      </c>
      <c r="H59" s="8" t="s">
        <v>17</v>
      </c>
      <c r="I59" s="8">
        <v>63.6</v>
      </c>
      <c r="J59" s="8">
        <v>1.78</v>
      </c>
      <c r="K59" s="8">
        <v>167</v>
      </c>
      <c r="L59" s="8">
        <v>129</v>
      </c>
      <c r="M59" s="8">
        <v>74</v>
      </c>
      <c r="N59" s="8">
        <v>1.34</v>
      </c>
      <c r="O59" s="8">
        <v>1165</v>
      </c>
      <c r="P59" s="8" t="s">
        <v>22</v>
      </c>
      <c r="Q59" s="8" t="str">
        <f>_xlfn.IFS(AND(Table13[[#This Row],[Gender]]="female",R59&lt;20),"Athletes",AND(Table13[[#This Row],[Gender]]="female",R59&lt;24),"Fitnesss",AND(Table13[[#This Row],[Gender]]="female",R59&lt;31),"Acceptable",AND(Table13[[#This Row],[Gender]]="female",R59&lt;40),"Obese",AND(Table13[[#This Row],[Gender]]="male",R59&lt;13),"Athletes",AND(Table13[[#This Row],[Gender]]="male",R59&lt;17),"Fitnesss",AND(Table13[[#This Row],[Gender]]="male",R59&lt;24.9),"Acceptable",AND(Table13[[#This Row],[Gender]]="male",R59&lt;40),"Obese",AND(Table13[[#This Row],[Gender]]="others",R59&lt;20),"Athletes",AND(Table13[[#This Row],[Gender]]="others",R59&lt;24),"Fitnesss",AND(Table13[[#This Row],[Gender]]="others",R59&lt;31),"Acceptable",AND(Table13[[#This Row],[Gender]]="others",R59&lt;40),"Obese")</f>
        <v>Athletes</v>
      </c>
      <c r="R59" s="8">
        <v>10.7</v>
      </c>
      <c r="S59" s="8">
        <v>3.4</v>
      </c>
      <c r="T59" s="8">
        <v>4</v>
      </c>
      <c r="U59" s="8">
        <v>1</v>
      </c>
      <c r="V59" s="8" t="str">
        <f>IF(Table13[[#This Row],[BMI]]&lt;=18.5,"Underweight",IF(Table13[[#This Row],[BMI]]&lt;=24.9,"Normal",IF(Table13[[#This Row],[BMI]]&lt;=29.9,"Overweight",IF(Table13[[#This Row],[BMI]]&lt;=39,"Obese","Severly Obese"))))</f>
        <v>Underweight</v>
      </c>
      <c r="W59" s="18">
        <v>15.73</v>
      </c>
    </row>
    <row r="60" spans="6:23" x14ac:dyDescent="0.3">
      <c r="F60" s="17">
        <v>52</v>
      </c>
      <c r="G60" s="8" t="str">
        <f>IF(Table13[[#This Row],[Age]]&lt;25,"18-24",IF(Table13[[#This Row],[Age]]&lt;35,"25-34",IF(Table13[[#This Row],[Age]]&lt;45,"35-44",IF(Table13[[#This Row],[Age]]&lt;55,"45-54","55-64"))))</f>
        <v>45-54</v>
      </c>
      <c r="H60" s="8" t="s">
        <v>19</v>
      </c>
      <c r="I60" s="8">
        <v>58.7</v>
      </c>
      <c r="J60" s="8">
        <v>1.58</v>
      </c>
      <c r="K60" s="8">
        <v>169</v>
      </c>
      <c r="L60" s="8">
        <v>131</v>
      </c>
      <c r="M60" s="8">
        <v>53</v>
      </c>
      <c r="N60" s="8">
        <v>1.1399999999999999</v>
      </c>
      <c r="O60" s="8">
        <v>900</v>
      </c>
      <c r="P60" s="8" t="s">
        <v>21</v>
      </c>
      <c r="Q60" s="8" t="str">
        <f>_xlfn.IFS(AND(Table13[[#This Row],[Gender]]="female",R60&lt;20),"Athletes",AND(Table13[[#This Row],[Gender]]="female",R60&lt;24),"Fitnesss",AND(Table13[[#This Row],[Gender]]="female",R60&lt;31),"Acceptable",AND(Table13[[#This Row],[Gender]]="female",R60&lt;40),"Obese",AND(Table13[[#This Row],[Gender]]="male",R60&lt;13),"Athletes",AND(Table13[[#This Row],[Gender]]="male",R60&lt;17),"Fitnesss",AND(Table13[[#This Row],[Gender]]="male",R60&lt;24.9),"Acceptable",AND(Table13[[#This Row],[Gender]]="male",R60&lt;40),"Obese",AND(Table13[[#This Row],[Gender]]="others",R60&lt;20),"Athletes",AND(Table13[[#This Row],[Gender]]="others",R60&lt;24),"Fitnesss",AND(Table13[[#This Row],[Gender]]="others",R60&lt;31),"Acceptable",AND(Table13[[#This Row],[Gender]]="others",R60&lt;40),"Obese")</f>
        <v>Obese</v>
      </c>
      <c r="R60" s="8">
        <v>28.5</v>
      </c>
      <c r="S60" s="8">
        <v>3.3</v>
      </c>
      <c r="T60" s="8">
        <v>3</v>
      </c>
      <c r="U60" s="8"/>
      <c r="V60" s="8" t="str">
        <f>IF(Table13[[#This Row],[BMI]]&lt;=18.5,"Underweight",IF(Table13[[#This Row],[BMI]]&lt;=24.9,"Normal",IF(Table13[[#This Row],[BMI]]&lt;=29.9,"Overweight",IF(Table13[[#This Row],[BMI]]&lt;=39,"Obese","Severly Obese"))))</f>
        <v>Normal</v>
      </c>
      <c r="W60" s="18">
        <v>19.62</v>
      </c>
    </row>
    <row r="61" spans="6:23" x14ac:dyDescent="0.3">
      <c r="F61" s="17">
        <v>49</v>
      </c>
      <c r="G61" s="8" t="str">
        <f>IF(Table13[[#This Row],[Age]]&lt;25,"18-24",IF(Table13[[#This Row],[Age]]&lt;35,"25-34",IF(Table13[[#This Row],[Age]]&lt;45,"35-44",IF(Table13[[#This Row],[Age]]&lt;55,"45-54","55-64"))))</f>
        <v>45-54</v>
      </c>
      <c r="H61" s="8" t="s">
        <v>17</v>
      </c>
      <c r="I61" s="8">
        <v>56.6</v>
      </c>
      <c r="J61" s="8">
        <v>1.75</v>
      </c>
      <c r="K61" s="8">
        <v>198</v>
      </c>
      <c r="L61" s="8">
        <v>120</v>
      </c>
      <c r="M61" s="8">
        <v>72</v>
      </c>
      <c r="N61" s="8">
        <v>1.1200000000000001</v>
      </c>
      <c r="O61" s="8">
        <v>1767</v>
      </c>
      <c r="P61" s="8" t="s">
        <v>22</v>
      </c>
      <c r="Q61" s="8" t="str">
        <f>_xlfn.IFS(AND(Table13[[#This Row],[Gender]]="female",R61&lt;20),"Athletes",AND(Table13[[#This Row],[Gender]]="female",R61&lt;24),"Fitnesss",AND(Table13[[#This Row],[Gender]]="female",R61&lt;31),"Acceptable",AND(Table13[[#This Row],[Gender]]="female",R61&lt;40),"Obese",AND(Table13[[#This Row],[Gender]]="male",R61&lt;13),"Athletes",AND(Table13[[#This Row],[Gender]]="male",R61&lt;17),"Fitnesss",AND(Table13[[#This Row],[Gender]]="male",R61&lt;24.9),"Acceptable",AND(Table13[[#This Row],[Gender]]="male",R61&lt;40),"Obese",AND(Table13[[#This Row],[Gender]]="others",R61&lt;20),"Athletes",AND(Table13[[#This Row],[Gender]]="others",R61&lt;24),"Fitnesss",AND(Table13[[#This Row],[Gender]]="others",R61&lt;31),"Acceptable",AND(Table13[[#This Row],[Gender]]="others",R61&lt;40),"Obese")</f>
        <v>Fitnesss</v>
      </c>
      <c r="R61" s="8">
        <v>23.6</v>
      </c>
      <c r="S61" s="8">
        <v>2.6</v>
      </c>
      <c r="T61" s="8">
        <v>2</v>
      </c>
      <c r="U61" s="8">
        <v>2</v>
      </c>
      <c r="V61" s="8" t="str">
        <f>IF(Table13[[#This Row],[BMI]]&lt;=18.5,"Underweight",IF(Table13[[#This Row],[BMI]]&lt;=24.9,"Normal",IF(Table13[[#This Row],[BMI]]&lt;=29.9,"Overweight",IF(Table13[[#This Row],[BMI]]&lt;=39,"Obese","Severly Obese"))))</f>
        <v>Obese</v>
      </c>
      <c r="W61" s="18">
        <v>34.369999999999997</v>
      </c>
    </row>
    <row r="62" spans="6:23" x14ac:dyDescent="0.3">
      <c r="F62" s="17">
        <v>36</v>
      </c>
      <c r="G62" s="8" t="str">
        <f>IF(Table13[[#This Row],[Age]]&lt;25,"18-24",IF(Table13[[#This Row],[Age]]&lt;35,"25-34",IF(Table13[[#This Row],[Age]]&lt;45,"35-44",IF(Table13[[#This Row],[Age]]&lt;55,"45-54","55-64"))))</f>
        <v>35-44</v>
      </c>
      <c r="H62" s="8" t="s">
        <v>17</v>
      </c>
      <c r="I62" s="8">
        <v>40</v>
      </c>
      <c r="J62" s="8">
        <v>1.71</v>
      </c>
      <c r="K62" s="8">
        <v>178</v>
      </c>
      <c r="L62" s="8">
        <v>169</v>
      </c>
      <c r="M62" s="8">
        <v>69</v>
      </c>
      <c r="N62" s="8">
        <v>1.3</v>
      </c>
      <c r="O62" s="8">
        <v>1519</v>
      </c>
      <c r="P62" s="8" t="s">
        <v>21</v>
      </c>
      <c r="Q62" s="8" t="str">
        <f>_xlfn.IFS(AND(Table13[[#This Row],[Gender]]="female",R62&lt;20),"Athletes",AND(Table13[[#This Row],[Gender]]="female",R62&lt;24),"Fitnesss",AND(Table13[[#This Row],[Gender]]="female",R62&lt;31),"Acceptable",AND(Table13[[#This Row],[Gender]]="female",R62&lt;40),"Obese",AND(Table13[[#This Row],[Gender]]="male",R62&lt;13),"Athletes",AND(Table13[[#This Row],[Gender]]="male",R62&lt;17),"Fitnesss",AND(Table13[[#This Row],[Gender]]="male",R62&lt;24.9),"Acceptable",AND(Table13[[#This Row],[Gender]]="male",R62&lt;40),"Obese",AND(Table13[[#This Row],[Gender]]="others",R62&lt;20),"Athletes",AND(Table13[[#This Row],[Gender]]="others",R62&lt;24),"Fitnesss",AND(Table13[[#This Row],[Gender]]="others",R62&lt;31),"Acceptable",AND(Table13[[#This Row],[Gender]]="others",R62&lt;40),"Obese")</f>
        <v>Acceptable</v>
      </c>
      <c r="R62" s="8">
        <v>27.5</v>
      </c>
      <c r="S62" s="8">
        <v>2.7</v>
      </c>
      <c r="T62" s="8">
        <v>4</v>
      </c>
      <c r="U62" s="8">
        <v>1</v>
      </c>
      <c r="V62" s="8" t="str">
        <f>IF(Table13[[#This Row],[BMI]]&lt;=18.5,"Underweight",IF(Table13[[#This Row],[BMI]]&lt;=24.9,"Normal",IF(Table13[[#This Row],[BMI]]&lt;=29.9,"Overweight",IF(Table13[[#This Row],[BMI]]&lt;=39,"Obese","Severly Obese"))))</f>
        <v>Severly Obese</v>
      </c>
      <c r="W62" s="18">
        <v>39.74</v>
      </c>
    </row>
    <row r="63" spans="6:23" x14ac:dyDescent="0.3">
      <c r="F63" s="17">
        <v>23</v>
      </c>
      <c r="G63" s="8" t="str">
        <f>IF(Table13[[#This Row],[Age]]&lt;25,"18-24",IF(Table13[[#This Row],[Age]]&lt;35,"25-34",IF(Table13[[#This Row],[Age]]&lt;45,"35-44",IF(Table13[[#This Row],[Age]]&lt;55,"45-54","55-64"))))</f>
        <v>18-24</v>
      </c>
      <c r="H63" s="8" t="s">
        <v>17</v>
      </c>
      <c r="I63" s="8">
        <v>67.7</v>
      </c>
      <c r="J63" s="8">
        <v>1.73</v>
      </c>
      <c r="K63" s="8">
        <v>188</v>
      </c>
      <c r="L63" s="8">
        <v>162</v>
      </c>
      <c r="M63" s="8">
        <v>54</v>
      </c>
      <c r="N63" s="8">
        <v>1.76</v>
      </c>
      <c r="O63" s="8">
        <v>954</v>
      </c>
      <c r="P63" s="8" t="s">
        <v>22</v>
      </c>
      <c r="Q63" s="8" t="str">
        <f>_xlfn.IFS(AND(Table13[[#This Row],[Gender]]="female",R63&lt;20),"Athletes",AND(Table13[[#This Row],[Gender]]="female",R63&lt;24),"Fitnesss",AND(Table13[[#This Row],[Gender]]="female",R63&lt;31),"Acceptable",AND(Table13[[#This Row],[Gender]]="female",R63&lt;40),"Obese",AND(Table13[[#This Row],[Gender]]="male",R63&lt;13),"Athletes",AND(Table13[[#This Row],[Gender]]="male",R63&lt;17),"Fitnesss",AND(Table13[[#This Row],[Gender]]="male",R63&lt;24.9),"Acceptable",AND(Table13[[#This Row],[Gender]]="male",R63&lt;40),"Obese",AND(Table13[[#This Row],[Gender]]="others",R63&lt;20),"Athletes",AND(Table13[[#This Row],[Gender]]="others",R63&lt;24),"Fitnesss",AND(Table13[[#This Row],[Gender]]="others",R63&lt;31),"Acceptable",AND(Table13[[#This Row],[Gender]]="others",R63&lt;40),"Obese")</f>
        <v>Athletes</v>
      </c>
      <c r="R63" s="8">
        <v>18</v>
      </c>
      <c r="S63" s="8">
        <v>3.2</v>
      </c>
      <c r="T63" s="8">
        <v>3</v>
      </c>
      <c r="U63" s="8">
        <v>1</v>
      </c>
      <c r="V63" s="8" t="str">
        <f>IF(Table13[[#This Row],[BMI]]&lt;=18.5,"Underweight",IF(Table13[[#This Row],[BMI]]&lt;=24.9,"Normal",IF(Table13[[#This Row],[BMI]]&lt;=29.9,"Overweight",IF(Table13[[#This Row],[BMI]]&lt;=39,"Obese","Severly Obese"))))</f>
        <v>Underweight</v>
      </c>
      <c r="W63" s="18">
        <v>16.07</v>
      </c>
    </row>
    <row r="64" spans="6:23" x14ac:dyDescent="0.3">
      <c r="F64" s="17">
        <v>56</v>
      </c>
      <c r="G64" s="8" t="str">
        <f>IF(Table13[[#This Row],[Age]]&lt;25,"18-24",IF(Table13[[#This Row],[Age]]&lt;35,"25-34",IF(Table13[[#This Row],[Age]]&lt;45,"35-44",IF(Table13[[#This Row],[Age]]&lt;55,"45-54","55-64"))))</f>
        <v>55-64</v>
      </c>
      <c r="H64" s="8" t="s">
        <v>17</v>
      </c>
      <c r="I64" s="8">
        <v>40</v>
      </c>
      <c r="J64" s="8">
        <v>1.74</v>
      </c>
      <c r="K64" s="8">
        <v>172</v>
      </c>
      <c r="L64" s="8">
        <v>146</v>
      </c>
      <c r="M64" s="8">
        <v>74</v>
      </c>
      <c r="N64" s="8">
        <v>1.43</v>
      </c>
      <c r="O64" s="8">
        <v>876</v>
      </c>
      <c r="P64" s="8" t="s">
        <v>22</v>
      </c>
      <c r="Q64" s="8" t="str">
        <f>_xlfn.IFS(AND(Table13[[#This Row],[Gender]]="female",R64&lt;20),"Athletes",AND(Table13[[#This Row],[Gender]]="female",R64&lt;24),"Fitnesss",AND(Table13[[#This Row],[Gender]]="female",R64&lt;31),"Acceptable",AND(Table13[[#This Row],[Gender]]="female",R64&lt;40),"Obese",AND(Table13[[#This Row],[Gender]]="male",R64&lt;13),"Athletes",AND(Table13[[#This Row],[Gender]]="male",R64&lt;17),"Fitnesss",AND(Table13[[#This Row],[Gender]]="male",R64&lt;24.9),"Acceptable",AND(Table13[[#This Row],[Gender]]="male",R64&lt;40),"Obese",AND(Table13[[#This Row],[Gender]]="others",R64&lt;20),"Athletes",AND(Table13[[#This Row],[Gender]]="others",R64&lt;24),"Fitnesss",AND(Table13[[#This Row],[Gender]]="others",R64&lt;31),"Acceptable",AND(Table13[[#This Row],[Gender]]="others",R64&lt;40),"Obese")</f>
        <v>Acceptable</v>
      </c>
      <c r="R64" s="8">
        <v>26</v>
      </c>
      <c r="S64" s="8">
        <v>3.4</v>
      </c>
      <c r="T64" s="8">
        <v>2</v>
      </c>
      <c r="U64" s="8">
        <v>1</v>
      </c>
      <c r="V64" s="8" t="str">
        <f>IF(Table13[[#This Row],[BMI]]&lt;=18.5,"Underweight",IF(Table13[[#This Row],[BMI]]&lt;=24.9,"Normal",IF(Table13[[#This Row],[BMI]]&lt;=29.9,"Overweight",IF(Table13[[#This Row],[BMI]]&lt;=39,"Obese","Severly Obese"))))</f>
        <v>Normal</v>
      </c>
      <c r="W64" s="18">
        <v>19.63</v>
      </c>
    </row>
    <row r="65" spans="6:23" x14ac:dyDescent="0.3">
      <c r="F65" s="17">
        <v>48</v>
      </c>
      <c r="G65" s="8" t="str">
        <f>IF(Table13[[#This Row],[Age]]&lt;25,"18-24",IF(Table13[[#This Row],[Age]]&lt;35,"25-34",IF(Table13[[#This Row],[Age]]&lt;45,"35-44",IF(Table13[[#This Row],[Age]]&lt;55,"45-54","55-64"))))</f>
        <v>45-54</v>
      </c>
      <c r="H65" s="8" t="s">
        <v>23</v>
      </c>
      <c r="I65" s="8">
        <v>68</v>
      </c>
      <c r="J65" s="8">
        <v>1.69</v>
      </c>
      <c r="K65" s="8">
        <v>185</v>
      </c>
      <c r="L65" s="8">
        <v>144</v>
      </c>
      <c r="M65" s="8">
        <v>68</v>
      </c>
      <c r="N65" s="8">
        <v>1.23</v>
      </c>
      <c r="O65" s="8">
        <v>695</v>
      </c>
      <c r="P65" s="8" t="s">
        <v>22</v>
      </c>
      <c r="Q65" s="8" t="str">
        <f>_xlfn.IFS(AND(Table13[[#This Row],[Gender]]="female",R65&lt;20),"Athletes",AND(Table13[[#This Row],[Gender]]="female",R65&lt;24),"Fitnesss",AND(Table13[[#This Row],[Gender]]="female",R65&lt;31),"Acceptable",AND(Table13[[#This Row],[Gender]]="female",R65&lt;40),"Obese",AND(Table13[[#This Row],[Gender]]="male",R65&lt;13),"Athletes",AND(Table13[[#This Row],[Gender]]="male",R65&lt;17),"Fitnesss",AND(Table13[[#This Row],[Gender]]="male",R65&lt;24.9),"Acceptable",AND(Table13[[#This Row],[Gender]]="male",R65&lt;40),"Obese",AND(Table13[[#This Row],[Gender]]="others",R65&lt;20),"Athletes",AND(Table13[[#This Row],[Gender]]="others",R65&lt;24),"Fitnesss",AND(Table13[[#This Row],[Gender]]="others",R65&lt;31),"Acceptable",AND(Table13[[#This Row],[Gender]]="others",R65&lt;40),"Obese")</f>
        <v>Athletes</v>
      </c>
      <c r="R65" s="8">
        <v>14.2</v>
      </c>
      <c r="S65" s="8">
        <v>2.6</v>
      </c>
      <c r="T65" s="8">
        <v>2</v>
      </c>
      <c r="U65" s="8">
        <v>1</v>
      </c>
      <c r="V65" s="8" t="str">
        <f>IF(Table13[[#This Row],[BMI]]&lt;=18.5,"Underweight",IF(Table13[[#This Row],[BMI]]&lt;=24.9,"Normal",IF(Table13[[#This Row],[BMI]]&lt;=29.9,"Overweight",IF(Table13[[#This Row],[BMI]]&lt;=39,"Obese","Severly Obese"))))</f>
        <v>Overweight</v>
      </c>
      <c r="W65" s="18">
        <v>28.93</v>
      </c>
    </row>
    <row r="66" spans="6:23" x14ac:dyDescent="0.3">
      <c r="F66" s="17">
        <v>24</v>
      </c>
      <c r="G66" s="8" t="str">
        <f>IF(Table13[[#This Row],[Age]]&lt;25,"18-24",IF(Table13[[#This Row],[Age]]&lt;35,"25-34",IF(Table13[[#This Row],[Age]]&lt;45,"35-44",IF(Table13[[#This Row],[Age]]&lt;55,"45-54","55-64"))))</f>
        <v>18-24</v>
      </c>
      <c r="H66" s="8" t="s">
        <v>19</v>
      </c>
      <c r="I66" s="8">
        <v>68.3</v>
      </c>
      <c r="J66" s="8">
        <v>1.74</v>
      </c>
      <c r="K66" s="8">
        <v>184</v>
      </c>
      <c r="L66" s="8">
        <v>161</v>
      </c>
      <c r="M66" s="8">
        <v>51</v>
      </c>
      <c r="N66" s="8">
        <v>1.9</v>
      </c>
      <c r="O66" s="8">
        <v>566</v>
      </c>
      <c r="P66" s="8" t="s">
        <v>20</v>
      </c>
      <c r="Q66" s="8" t="str">
        <f>_xlfn.IFS(AND(Table13[[#This Row],[Gender]]="female",R66&lt;20),"Athletes",AND(Table13[[#This Row],[Gender]]="female",R66&lt;24),"Fitnesss",AND(Table13[[#This Row],[Gender]]="female",R66&lt;31),"Acceptable",AND(Table13[[#This Row],[Gender]]="female",R66&lt;40),"Obese",AND(Table13[[#This Row],[Gender]]="male",R66&lt;13),"Athletes",AND(Table13[[#This Row],[Gender]]="male",R66&lt;17),"Fitnesss",AND(Table13[[#This Row],[Gender]]="male",R66&lt;24.9),"Acceptable",AND(Table13[[#This Row],[Gender]]="male",R66&lt;40),"Obese",AND(Table13[[#This Row],[Gender]]="others",R66&lt;20),"Athletes",AND(Table13[[#This Row],[Gender]]="others",R66&lt;24),"Fitnesss",AND(Table13[[#This Row],[Gender]]="others",R66&lt;31),"Acceptable",AND(Table13[[#This Row],[Gender]]="others",R66&lt;40),"Obese")</f>
        <v>Obese</v>
      </c>
      <c r="R66" s="8">
        <v>27.5</v>
      </c>
      <c r="S66" s="8">
        <v>3.5</v>
      </c>
      <c r="T66" s="8">
        <v>4</v>
      </c>
      <c r="U66" s="8"/>
      <c r="V66" s="8" t="str">
        <f>IF(Table13[[#This Row],[BMI]]&lt;=18.5,"Underweight",IF(Table13[[#This Row],[BMI]]&lt;=24.9,"Normal",IF(Table13[[#This Row],[BMI]]&lt;=29.9,"Overweight",IF(Table13[[#This Row],[BMI]]&lt;=39,"Obese","Severly Obese"))))</f>
        <v>Underweight</v>
      </c>
      <c r="W66" s="18">
        <v>16.260000000000002</v>
      </c>
    </row>
    <row r="67" spans="6:23" x14ac:dyDescent="0.3">
      <c r="F67" s="17">
        <v>22</v>
      </c>
      <c r="G67" s="8" t="str">
        <f>IF(Table13[[#This Row],[Age]]&lt;25,"18-24",IF(Table13[[#This Row],[Age]]&lt;35,"25-34",IF(Table13[[#This Row],[Age]]&lt;45,"35-44",IF(Table13[[#This Row],[Age]]&lt;55,"45-54","55-64"))))</f>
        <v>18-24</v>
      </c>
      <c r="H67" s="8" t="s">
        <v>17</v>
      </c>
      <c r="I67" s="8">
        <v>99.1</v>
      </c>
      <c r="J67" s="8">
        <v>1.72</v>
      </c>
      <c r="K67" s="8">
        <v>182</v>
      </c>
      <c r="L67" s="8">
        <v>169</v>
      </c>
      <c r="M67" s="8">
        <v>62</v>
      </c>
      <c r="N67" s="8">
        <v>1.1399999999999999</v>
      </c>
      <c r="O67" s="8">
        <v>1105</v>
      </c>
      <c r="P67" s="8" t="s">
        <v>22</v>
      </c>
      <c r="Q67" s="8" t="str">
        <f>_xlfn.IFS(AND(Table13[[#This Row],[Gender]]="female",R67&lt;20),"Athletes",AND(Table13[[#This Row],[Gender]]="female",R67&lt;24),"Fitnesss",AND(Table13[[#This Row],[Gender]]="female",R67&lt;31),"Acceptable",AND(Table13[[#This Row],[Gender]]="female",R67&lt;40),"Obese",AND(Table13[[#This Row],[Gender]]="male",R67&lt;13),"Athletes",AND(Table13[[#This Row],[Gender]]="male",R67&lt;17),"Fitnesss",AND(Table13[[#This Row],[Gender]]="male",R67&lt;24.9),"Acceptable",AND(Table13[[#This Row],[Gender]]="male",R67&lt;40),"Obese",AND(Table13[[#This Row],[Gender]]="others",R67&lt;20),"Athletes",AND(Table13[[#This Row],[Gender]]="others",R67&lt;24),"Fitnesss",AND(Table13[[#This Row],[Gender]]="others",R67&lt;31),"Acceptable",AND(Table13[[#This Row],[Gender]]="others",R67&lt;40),"Obese")</f>
        <v>Obese</v>
      </c>
      <c r="R67" s="8">
        <v>31.4</v>
      </c>
      <c r="S67" s="8">
        <v>3.6</v>
      </c>
      <c r="T67" s="8">
        <v>4</v>
      </c>
      <c r="U67" s="8">
        <v>1</v>
      </c>
      <c r="V67" s="8" t="str">
        <f>IF(Table13[[#This Row],[BMI]]&lt;=18.5,"Underweight",IF(Table13[[#This Row],[BMI]]&lt;=24.9,"Normal",IF(Table13[[#This Row],[BMI]]&lt;=29.9,"Overweight",IF(Table13[[#This Row],[BMI]]&lt;=39,"Obese","Severly Obese"))))</f>
        <v>Underweight</v>
      </c>
      <c r="W67" s="18">
        <v>16.91</v>
      </c>
    </row>
    <row r="68" spans="6:23" x14ac:dyDescent="0.3">
      <c r="F68" s="17">
        <v>20</v>
      </c>
      <c r="G68" s="8" t="str">
        <f>IF(Table13[[#This Row],[Age]]&lt;25,"18-24",IF(Table13[[#This Row],[Age]]&lt;35,"25-34",IF(Table13[[#This Row],[Age]]&lt;45,"35-44",IF(Table13[[#This Row],[Age]]&lt;55,"45-54","55-64"))))</f>
        <v>18-24</v>
      </c>
      <c r="H68" s="8" t="s">
        <v>17</v>
      </c>
      <c r="I68" s="8">
        <v>72.900000000000006</v>
      </c>
      <c r="J68" s="8">
        <v>1.63</v>
      </c>
      <c r="K68" s="8">
        <v>164</v>
      </c>
      <c r="L68" s="8">
        <v>156</v>
      </c>
      <c r="M68" s="8">
        <v>51</v>
      </c>
      <c r="N68" s="8">
        <v>1.1100000000000001</v>
      </c>
      <c r="O68" s="8">
        <v>582</v>
      </c>
      <c r="P68" s="8" t="s">
        <v>18</v>
      </c>
      <c r="Q68" s="8" t="str">
        <f>_xlfn.IFS(AND(Table13[[#This Row],[Gender]]="female",R68&lt;20),"Athletes",AND(Table13[[#This Row],[Gender]]="female",R68&lt;24),"Fitnesss",AND(Table13[[#This Row],[Gender]]="female",R68&lt;31),"Acceptable",AND(Table13[[#This Row],[Gender]]="female",R68&lt;40),"Obese",AND(Table13[[#This Row],[Gender]]="male",R68&lt;13),"Athletes",AND(Table13[[#This Row],[Gender]]="male",R68&lt;17),"Fitnesss",AND(Table13[[#This Row],[Gender]]="male",R68&lt;24.9),"Acceptable",AND(Table13[[#This Row],[Gender]]="male",R68&lt;40),"Obese",AND(Table13[[#This Row],[Gender]]="others",R68&lt;20),"Athletes",AND(Table13[[#This Row],[Gender]]="others",R68&lt;24),"Fitnesss",AND(Table13[[#This Row],[Gender]]="others",R68&lt;31),"Acceptable",AND(Table13[[#This Row],[Gender]]="others",R68&lt;40),"Obese")</f>
        <v>Acceptable</v>
      </c>
      <c r="R68" s="8">
        <v>27.1</v>
      </c>
      <c r="S68" s="8">
        <v>3.2</v>
      </c>
      <c r="T68" s="8">
        <v>3</v>
      </c>
      <c r="U68" s="8">
        <v>2</v>
      </c>
      <c r="V68" s="8" t="str">
        <f>IF(Table13[[#This Row],[BMI]]&lt;=18.5,"Underweight",IF(Table13[[#This Row],[BMI]]&lt;=24.9,"Normal",IF(Table13[[#This Row],[BMI]]&lt;=29.9,"Overweight",IF(Table13[[#This Row],[BMI]]&lt;=39,"Obese","Severly Obese"))))</f>
        <v>Normal</v>
      </c>
      <c r="W68" s="18">
        <v>19.829999999999998</v>
      </c>
    </row>
    <row r="69" spans="6:23" x14ac:dyDescent="0.3">
      <c r="F69" s="17">
        <v>44</v>
      </c>
      <c r="G69" s="8" t="str">
        <f>IF(Table13[[#This Row],[Age]]&lt;25,"18-24",IF(Table13[[#This Row],[Age]]&lt;35,"25-34",IF(Table13[[#This Row],[Age]]&lt;45,"35-44",IF(Table13[[#This Row],[Age]]&lt;55,"45-54","55-64"))))</f>
        <v>35-44</v>
      </c>
      <c r="H69" s="8" t="s">
        <v>17</v>
      </c>
      <c r="I69" s="8">
        <v>40</v>
      </c>
      <c r="J69" s="8">
        <v>1.68</v>
      </c>
      <c r="K69" s="8">
        <v>175</v>
      </c>
      <c r="L69" s="8">
        <v>156</v>
      </c>
      <c r="M69" s="8">
        <v>74</v>
      </c>
      <c r="N69" s="8">
        <v>1.04</v>
      </c>
      <c r="O69" s="8">
        <v>1010</v>
      </c>
      <c r="P69" s="8" t="s">
        <v>20</v>
      </c>
      <c r="Q69" s="8" t="str">
        <f>_xlfn.IFS(AND(Table13[[#This Row],[Gender]]="female",R69&lt;20),"Athletes",AND(Table13[[#This Row],[Gender]]="female",R69&lt;24),"Fitnesss",AND(Table13[[#This Row],[Gender]]="female",R69&lt;31),"Acceptable",AND(Table13[[#This Row],[Gender]]="female",R69&lt;40),"Obese",AND(Table13[[#This Row],[Gender]]="male",R69&lt;13),"Athletes",AND(Table13[[#This Row],[Gender]]="male",R69&lt;17),"Fitnesss",AND(Table13[[#This Row],[Gender]]="male",R69&lt;24.9),"Acceptable",AND(Table13[[#This Row],[Gender]]="male",R69&lt;40),"Obese",AND(Table13[[#This Row],[Gender]]="others",R69&lt;20),"Athletes",AND(Table13[[#This Row],[Gender]]="others",R69&lt;24),"Fitnesss",AND(Table13[[#This Row],[Gender]]="others",R69&lt;31),"Acceptable",AND(Table13[[#This Row],[Gender]]="others",R69&lt;40),"Obese")</f>
        <v>Acceptable</v>
      </c>
      <c r="R69" s="8">
        <v>28.1</v>
      </c>
      <c r="S69" s="8">
        <v>1.8</v>
      </c>
      <c r="T69" s="8">
        <v>3</v>
      </c>
      <c r="U69" s="8">
        <v>3</v>
      </c>
      <c r="V69" s="8" t="str">
        <f>IF(Table13[[#This Row],[BMI]]&lt;=18.5,"Underweight",IF(Table13[[#This Row],[BMI]]&lt;=24.9,"Normal",IF(Table13[[#This Row],[BMI]]&lt;=29.9,"Overweight",IF(Table13[[#This Row],[BMI]]&lt;=39,"Obese","Severly Obese"))))</f>
        <v>Underweight</v>
      </c>
      <c r="W69" s="18">
        <v>12.32</v>
      </c>
    </row>
    <row r="70" spans="6:23" x14ac:dyDescent="0.3">
      <c r="F70" s="17">
        <v>33</v>
      </c>
      <c r="G70" s="8" t="str">
        <f>IF(Table13[[#This Row],[Age]]&lt;25,"18-24",IF(Table13[[#This Row],[Age]]&lt;35,"25-34",IF(Table13[[#This Row],[Age]]&lt;45,"35-44",IF(Table13[[#This Row],[Age]]&lt;55,"45-54","55-64"))))</f>
        <v>25-34</v>
      </c>
      <c r="H70" s="8" t="s">
        <v>17</v>
      </c>
      <c r="I70" s="8">
        <v>58.3</v>
      </c>
      <c r="J70" s="8">
        <v>1.77</v>
      </c>
      <c r="K70" s="8">
        <v>167</v>
      </c>
      <c r="L70" s="8">
        <v>153</v>
      </c>
      <c r="M70" s="8">
        <v>74</v>
      </c>
      <c r="N70" s="8">
        <v>1.41</v>
      </c>
      <c r="O70" s="8">
        <v>969</v>
      </c>
      <c r="P70" s="8" t="s">
        <v>18</v>
      </c>
      <c r="Q70" s="8" t="str">
        <f>_xlfn.IFS(AND(Table13[[#This Row],[Gender]]="female",R70&lt;20),"Athletes",AND(Table13[[#This Row],[Gender]]="female",R70&lt;24),"Fitnesss",AND(Table13[[#This Row],[Gender]]="female",R70&lt;31),"Acceptable",AND(Table13[[#This Row],[Gender]]="female",R70&lt;40),"Obese",AND(Table13[[#This Row],[Gender]]="male",R70&lt;13),"Athletes",AND(Table13[[#This Row],[Gender]]="male",R70&lt;17),"Fitnesss",AND(Table13[[#This Row],[Gender]]="male",R70&lt;24.9),"Acceptable",AND(Table13[[#This Row],[Gender]]="male",R70&lt;40),"Obese",AND(Table13[[#This Row],[Gender]]="others",R70&lt;20),"Athletes",AND(Table13[[#This Row],[Gender]]="others",R70&lt;24),"Fitnesss",AND(Table13[[#This Row],[Gender]]="others",R70&lt;31),"Acceptable",AND(Table13[[#This Row],[Gender]]="others",R70&lt;40),"Obese")</f>
        <v>Acceptable</v>
      </c>
      <c r="R70" s="8">
        <v>29.5</v>
      </c>
      <c r="S70" s="8">
        <v>2.6</v>
      </c>
      <c r="T70" s="8">
        <v>2</v>
      </c>
      <c r="U70" s="8">
        <v>1</v>
      </c>
      <c r="V70" s="8" t="str">
        <f>IF(Table13[[#This Row],[BMI]]&lt;=18.5,"Underweight",IF(Table13[[#This Row],[BMI]]&lt;=24.9,"Normal",IF(Table13[[#This Row],[BMI]]&lt;=29.9,"Overweight",IF(Table13[[#This Row],[BMI]]&lt;=39,"Obese","Severly Obese"))))</f>
        <v>Normal</v>
      </c>
      <c r="W70" s="18">
        <v>20.47</v>
      </c>
    </row>
    <row r="71" spans="6:23" x14ac:dyDescent="0.3">
      <c r="F71" s="17">
        <v>18</v>
      </c>
      <c r="G71" s="8" t="str">
        <f>IF(Table13[[#This Row],[Age]]&lt;25,"18-24",IF(Table13[[#This Row],[Age]]&lt;35,"25-34",IF(Table13[[#This Row],[Age]]&lt;45,"35-44",IF(Table13[[#This Row],[Age]]&lt;55,"45-54","55-64"))))</f>
        <v>18-24</v>
      </c>
      <c r="H71" s="8" t="s">
        <v>19</v>
      </c>
      <c r="I71" s="8">
        <v>40</v>
      </c>
      <c r="J71" s="8">
        <v>1.64</v>
      </c>
      <c r="K71" s="8">
        <v>177</v>
      </c>
      <c r="L71" s="8">
        <v>134</v>
      </c>
      <c r="M71" s="8">
        <v>53</v>
      </c>
      <c r="N71" s="8">
        <v>0.98</v>
      </c>
      <c r="O71" s="8">
        <v>468</v>
      </c>
      <c r="P71" s="8" t="s">
        <v>18</v>
      </c>
      <c r="Q71" s="8" t="str">
        <f>_xlfn.IFS(AND(Table13[[#This Row],[Gender]]="female",R71&lt;20),"Athletes",AND(Table13[[#This Row],[Gender]]="female",R71&lt;24),"Fitnesss",AND(Table13[[#This Row],[Gender]]="female",R71&lt;31),"Acceptable",AND(Table13[[#This Row],[Gender]]="female",R71&lt;40),"Obese",AND(Table13[[#This Row],[Gender]]="male",R71&lt;13),"Athletes",AND(Table13[[#This Row],[Gender]]="male",R71&lt;17),"Fitnesss",AND(Table13[[#This Row],[Gender]]="male",R71&lt;24.9),"Acceptable",AND(Table13[[#This Row],[Gender]]="male",R71&lt;40),"Obese",AND(Table13[[#This Row],[Gender]]="others",R71&lt;20),"Athletes",AND(Table13[[#This Row],[Gender]]="others",R71&lt;24),"Fitnesss",AND(Table13[[#This Row],[Gender]]="others",R71&lt;31),"Acceptable",AND(Table13[[#This Row],[Gender]]="others",R71&lt;40),"Obese")</f>
        <v>Obese</v>
      </c>
      <c r="R71" s="8">
        <v>25.6</v>
      </c>
      <c r="S71" s="8">
        <v>2.1</v>
      </c>
      <c r="T71" s="8">
        <v>3</v>
      </c>
      <c r="U71" s="8">
        <v>3</v>
      </c>
      <c r="V71" s="8" t="str">
        <f>IF(Table13[[#This Row],[BMI]]&lt;=18.5,"Underweight",IF(Table13[[#This Row],[BMI]]&lt;=24.9,"Normal",IF(Table13[[#This Row],[BMI]]&lt;=29.9,"Overweight",IF(Table13[[#This Row],[BMI]]&lt;=39,"Obese","Severly Obese"))))</f>
        <v>Normal</v>
      </c>
      <c r="W71" s="18">
        <v>18.78</v>
      </c>
    </row>
    <row r="72" spans="6:23" x14ac:dyDescent="0.3">
      <c r="F72" s="17">
        <v>59</v>
      </c>
      <c r="G72" s="8" t="str">
        <f>IF(Table13[[#This Row],[Age]]&lt;25,"18-24",IF(Table13[[#This Row],[Age]]&lt;35,"25-34",IF(Table13[[#This Row],[Age]]&lt;45,"35-44",IF(Table13[[#This Row],[Age]]&lt;55,"45-54","55-64"))))</f>
        <v>55-64</v>
      </c>
      <c r="H72" s="8" t="s">
        <v>19</v>
      </c>
      <c r="I72" s="8">
        <v>45.8</v>
      </c>
      <c r="J72" s="8">
        <v>1.5</v>
      </c>
      <c r="K72" s="8">
        <v>163</v>
      </c>
      <c r="L72" s="8">
        <v>137</v>
      </c>
      <c r="M72" s="8">
        <v>55</v>
      </c>
      <c r="N72" s="8">
        <v>1.98</v>
      </c>
      <c r="O72" s="8">
        <v>1306</v>
      </c>
      <c r="P72" s="8" t="s">
        <v>20</v>
      </c>
      <c r="Q72" s="8" t="str">
        <f>_xlfn.IFS(AND(Table13[[#This Row],[Gender]]="female",R72&lt;20),"Athletes",AND(Table13[[#This Row],[Gender]]="female",R72&lt;24),"Fitnesss",AND(Table13[[#This Row],[Gender]]="female",R72&lt;31),"Acceptable",AND(Table13[[#This Row],[Gender]]="female",R72&lt;40),"Obese",AND(Table13[[#This Row],[Gender]]="male",R72&lt;13),"Athletes",AND(Table13[[#This Row],[Gender]]="male",R72&lt;17),"Fitnesss",AND(Table13[[#This Row],[Gender]]="male",R72&lt;24.9),"Acceptable",AND(Table13[[#This Row],[Gender]]="male",R72&lt;40),"Obese",AND(Table13[[#This Row],[Gender]]="others",R72&lt;20),"Athletes",AND(Table13[[#This Row],[Gender]]="others",R72&lt;24),"Fitnesss",AND(Table13[[#This Row],[Gender]]="others",R72&lt;31),"Acceptable",AND(Table13[[#This Row],[Gender]]="others",R72&lt;40),"Obese")</f>
        <v>Acceptable</v>
      </c>
      <c r="R72" s="8">
        <v>24</v>
      </c>
      <c r="S72" s="8">
        <v>2.9</v>
      </c>
      <c r="T72" s="8">
        <v>4</v>
      </c>
      <c r="U72" s="8">
        <v>2</v>
      </c>
      <c r="V72" s="8" t="str">
        <f>IF(Table13[[#This Row],[BMI]]&lt;=18.5,"Underweight",IF(Table13[[#This Row],[BMI]]&lt;=24.9,"Normal",IF(Table13[[#This Row],[BMI]]&lt;=29.9,"Overweight",IF(Table13[[#This Row],[BMI]]&lt;=39,"Obese","Severly Obese"))))</f>
        <v>Overweight</v>
      </c>
      <c r="W72" s="18">
        <v>26.25</v>
      </c>
    </row>
    <row r="73" spans="6:23" x14ac:dyDescent="0.3">
      <c r="F73" s="17">
        <v>27</v>
      </c>
      <c r="G73" s="8" t="str">
        <f>IF(Table13[[#This Row],[Age]]&lt;25,"18-24",IF(Table13[[#This Row],[Age]]&lt;35,"25-34",IF(Table13[[#This Row],[Age]]&lt;45,"35-44",IF(Table13[[#This Row],[Age]]&lt;55,"45-54","55-64"))))</f>
        <v>25-34</v>
      </c>
      <c r="H73" s="8" t="s">
        <v>19</v>
      </c>
      <c r="I73" s="8">
        <v>52.3</v>
      </c>
      <c r="J73" s="8">
        <v>1.75</v>
      </c>
      <c r="K73" s="8">
        <v>180</v>
      </c>
      <c r="L73" s="8">
        <v>128</v>
      </c>
      <c r="M73" s="8">
        <v>61</v>
      </c>
      <c r="N73" s="8">
        <v>1.92</v>
      </c>
      <c r="O73" s="8">
        <v>931</v>
      </c>
      <c r="P73" s="8" t="s">
        <v>18</v>
      </c>
      <c r="Q73" s="8" t="str">
        <f>_xlfn.IFS(AND(Table13[[#This Row],[Gender]]="female",R73&lt;20),"Athletes",AND(Table13[[#This Row],[Gender]]="female",R73&lt;24),"Fitnesss",AND(Table13[[#This Row],[Gender]]="female",R73&lt;31),"Acceptable",AND(Table13[[#This Row],[Gender]]="female",R73&lt;40),"Obese",AND(Table13[[#This Row],[Gender]]="male",R73&lt;13),"Athletes",AND(Table13[[#This Row],[Gender]]="male",R73&lt;17),"Fitnesss",AND(Table13[[#This Row],[Gender]]="male",R73&lt;24.9),"Acceptable",AND(Table13[[#This Row],[Gender]]="male",R73&lt;40),"Obese",AND(Table13[[#This Row],[Gender]]="others",R73&lt;20),"Athletes",AND(Table13[[#This Row],[Gender]]="others",R73&lt;24),"Fitnesss",AND(Table13[[#This Row],[Gender]]="others",R73&lt;31),"Acceptable",AND(Table13[[#This Row],[Gender]]="others",R73&lt;40),"Obese")</f>
        <v>Fitnesss</v>
      </c>
      <c r="R73" s="8">
        <v>15</v>
      </c>
      <c r="S73" s="8">
        <v>2.5</v>
      </c>
      <c r="T73" s="8">
        <v>4</v>
      </c>
      <c r="U73" s="8">
        <v>2</v>
      </c>
      <c r="V73" s="8" t="str">
        <f>IF(Table13[[#This Row],[BMI]]&lt;=18.5,"Underweight",IF(Table13[[#This Row],[BMI]]&lt;=24.9,"Normal",IF(Table13[[#This Row],[BMI]]&lt;=29.9,"Overweight",IF(Table13[[#This Row],[BMI]]&lt;=39,"Obese","Severly Obese"))))</f>
        <v>Normal</v>
      </c>
      <c r="W73" s="18">
        <v>23.23</v>
      </c>
    </row>
    <row r="74" spans="6:23" x14ac:dyDescent="0.3">
      <c r="F74" s="17">
        <v>33</v>
      </c>
      <c r="G74" s="8" t="str">
        <f>IF(Table13[[#This Row],[Age]]&lt;25,"18-24",IF(Table13[[#This Row],[Age]]&lt;35,"25-34",IF(Table13[[#This Row],[Age]]&lt;45,"35-44",IF(Table13[[#This Row],[Age]]&lt;55,"45-54","55-64"))))</f>
        <v>25-34</v>
      </c>
      <c r="H74" s="8" t="s">
        <v>17</v>
      </c>
      <c r="I74" s="8">
        <v>76.3</v>
      </c>
      <c r="J74" s="8">
        <v>1.95</v>
      </c>
      <c r="K74" s="8">
        <v>188</v>
      </c>
      <c r="L74" s="8">
        <v>125</v>
      </c>
      <c r="M74" s="8">
        <v>72</v>
      </c>
      <c r="N74" s="8">
        <v>0.95</v>
      </c>
      <c r="O74" s="8">
        <v>899</v>
      </c>
      <c r="P74" s="8" t="s">
        <v>18</v>
      </c>
      <c r="Q74" s="8" t="str">
        <f>_xlfn.IFS(AND(Table13[[#This Row],[Gender]]="female",R74&lt;20),"Athletes",AND(Table13[[#This Row],[Gender]]="female",R74&lt;24),"Fitnesss",AND(Table13[[#This Row],[Gender]]="female",R74&lt;31),"Acceptable",AND(Table13[[#This Row],[Gender]]="female",R74&lt;40),"Obese",AND(Table13[[#This Row],[Gender]]="male",R74&lt;13),"Athletes",AND(Table13[[#This Row],[Gender]]="male",R74&lt;17),"Fitnesss",AND(Table13[[#This Row],[Gender]]="male",R74&lt;24.9),"Acceptable",AND(Table13[[#This Row],[Gender]]="male",R74&lt;40),"Obese",AND(Table13[[#This Row],[Gender]]="others",R74&lt;20),"Athletes",AND(Table13[[#This Row],[Gender]]="others",R74&lt;24),"Fitnesss",AND(Table13[[#This Row],[Gender]]="others",R74&lt;31),"Acceptable",AND(Table13[[#This Row],[Gender]]="others",R74&lt;40),"Obese")</f>
        <v>Fitnesss</v>
      </c>
      <c r="R74" s="8">
        <v>21.7</v>
      </c>
      <c r="S74" s="8">
        <v>2.2999999999999998</v>
      </c>
      <c r="T74" s="8">
        <v>5</v>
      </c>
      <c r="U74" s="8">
        <v>1</v>
      </c>
      <c r="V74" s="8" t="str">
        <f>IF(Table13[[#This Row],[BMI]]&lt;=18.5,"Underweight",IF(Table13[[#This Row],[BMI]]&lt;=24.9,"Normal",IF(Table13[[#This Row],[BMI]]&lt;=29.9,"Overweight",IF(Table13[[#This Row],[BMI]]&lt;=39,"Obese","Severly Obese"))))</f>
        <v>Overweight</v>
      </c>
      <c r="W74" s="18">
        <v>26.08</v>
      </c>
    </row>
    <row r="75" spans="6:23" x14ac:dyDescent="0.3">
      <c r="F75" s="17">
        <v>47</v>
      </c>
      <c r="G75" s="8" t="str">
        <f>IF(Table13[[#This Row],[Age]]&lt;25,"18-24",IF(Table13[[#This Row],[Age]]&lt;35,"25-34",IF(Table13[[#This Row],[Age]]&lt;45,"35-44",IF(Table13[[#This Row],[Age]]&lt;55,"45-54","55-64"))))</f>
        <v>45-54</v>
      </c>
      <c r="H75" s="8" t="s">
        <v>19</v>
      </c>
      <c r="I75" s="8">
        <v>77.5</v>
      </c>
      <c r="J75" s="8">
        <v>1.72</v>
      </c>
      <c r="K75" s="8">
        <v>176</v>
      </c>
      <c r="L75" s="8">
        <v>151</v>
      </c>
      <c r="M75" s="8">
        <v>56</v>
      </c>
      <c r="N75" s="8">
        <v>1.39</v>
      </c>
      <c r="O75" s="8">
        <v>679</v>
      </c>
      <c r="P75" s="8" t="s">
        <v>20</v>
      </c>
      <c r="Q75" s="8" t="str">
        <f>_xlfn.IFS(AND(Table13[[#This Row],[Gender]]="female",R75&lt;20),"Athletes",AND(Table13[[#This Row],[Gender]]="female",R75&lt;24),"Fitnesss",AND(Table13[[#This Row],[Gender]]="female",R75&lt;31),"Acceptable",AND(Table13[[#This Row],[Gender]]="female",R75&lt;40),"Obese",AND(Table13[[#This Row],[Gender]]="male",R75&lt;13),"Athletes",AND(Table13[[#This Row],[Gender]]="male",R75&lt;17),"Fitnesss",AND(Table13[[#This Row],[Gender]]="male",R75&lt;24.9),"Acceptable",AND(Table13[[#This Row],[Gender]]="male",R75&lt;40),"Obese",AND(Table13[[#This Row],[Gender]]="others",R75&lt;20),"Athletes",AND(Table13[[#This Row],[Gender]]="others",R75&lt;24),"Fitnesss",AND(Table13[[#This Row],[Gender]]="others",R75&lt;31),"Acceptable",AND(Table13[[#This Row],[Gender]]="others",R75&lt;40),"Obese")</f>
        <v>Fitnesss</v>
      </c>
      <c r="R75" s="8">
        <v>13.3</v>
      </c>
      <c r="S75" s="8">
        <v>3.5</v>
      </c>
      <c r="T75" s="8">
        <v>2</v>
      </c>
      <c r="U75" s="8">
        <v>3</v>
      </c>
      <c r="V75" s="8" t="str">
        <f>IF(Table13[[#This Row],[BMI]]&lt;=18.5,"Underweight",IF(Table13[[#This Row],[BMI]]&lt;=24.9,"Normal",IF(Table13[[#This Row],[BMI]]&lt;=29.9,"Overweight",IF(Table13[[#This Row],[BMI]]&lt;=39,"Obese","Severly Obese"))))</f>
        <v>Normal</v>
      </c>
      <c r="W75" s="18">
        <v>24.32</v>
      </c>
    </row>
    <row r="76" spans="6:23" x14ac:dyDescent="0.3">
      <c r="F76" s="17">
        <v>18</v>
      </c>
      <c r="G76" s="8" t="str">
        <f>IF(Table13[[#This Row],[Age]]&lt;25,"18-24",IF(Table13[[#This Row],[Age]]&lt;35,"25-34",IF(Table13[[#This Row],[Age]]&lt;45,"35-44",IF(Table13[[#This Row],[Age]]&lt;55,"45-54","55-64"))))</f>
        <v>18-24</v>
      </c>
      <c r="H76" s="8" t="s">
        <v>19</v>
      </c>
      <c r="I76" s="8"/>
      <c r="J76" s="8">
        <v>1.8</v>
      </c>
      <c r="K76" s="8">
        <v>197</v>
      </c>
      <c r="L76" s="8">
        <v>165</v>
      </c>
      <c r="M76" s="8">
        <v>56</v>
      </c>
      <c r="N76" s="8">
        <v>0.74</v>
      </c>
      <c r="O76" s="8">
        <v>1208</v>
      </c>
      <c r="P76" s="8" t="s">
        <v>21</v>
      </c>
      <c r="Q76" s="8" t="str">
        <f>_xlfn.IFS(AND(Table13[[#This Row],[Gender]]="female",R76&lt;20),"Athletes",AND(Table13[[#This Row],[Gender]]="female",R76&lt;24),"Fitnesss",AND(Table13[[#This Row],[Gender]]="female",R76&lt;31),"Acceptable",AND(Table13[[#This Row],[Gender]]="female",R76&lt;40),"Obese",AND(Table13[[#This Row],[Gender]]="male",R76&lt;13),"Athletes",AND(Table13[[#This Row],[Gender]]="male",R76&lt;17),"Fitnesss",AND(Table13[[#This Row],[Gender]]="male",R76&lt;24.9),"Acceptable",AND(Table13[[#This Row],[Gender]]="male",R76&lt;40),"Obese",AND(Table13[[#This Row],[Gender]]="others",R76&lt;20),"Athletes",AND(Table13[[#This Row],[Gender]]="others",R76&lt;24),"Fitnesss",AND(Table13[[#This Row],[Gender]]="others",R76&lt;31),"Acceptable",AND(Table13[[#This Row],[Gender]]="others",R76&lt;40),"Obese")</f>
        <v>Obese</v>
      </c>
      <c r="R76" s="8">
        <v>26.1</v>
      </c>
      <c r="S76" s="8">
        <v>3.3</v>
      </c>
      <c r="T76" s="8">
        <v>3</v>
      </c>
      <c r="U76" s="8">
        <v>3</v>
      </c>
      <c r="V76" s="8" t="str">
        <f>IF(Table13[[#This Row],[BMI]]&lt;=18.5,"Underweight",IF(Table13[[#This Row],[BMI]]&lt;=24.9,"Normal",IF(Table13[[#This Row],[BMI]]&lt;=29.9,"Overweight",IF(Table13[[#This Row],[BMI]]&lt;=39,"Obese","Severly Obese"))))</f>
        <v>Underweight</v>
      </c>
      <c r="W76" s="18">
        <v>12.32</v>
      </c>
    </row>
    <row r="77" spans="6:23" x14ac:dyDescent="0.3">
      <c r="F77" s="17">
        <v>46</v>
      </c>
      <c r="G77" s="8" t="str">
        <f>IF(Table13[[#This Row],[Age]]&lt;25,"18-24",IF(Table13[[#This Row],[Age]]&lt;35,"25-34",IF(Table13[[#This Row],[Age]]&lt;45,"35-44",IF(Table13[[#This Row],[Age]]&lt;55,"45-54","55-64"))))</f>
        <v>45-54</v>
      </c>
      <c r="H77" s="8" t="s">
        <v>17</v>
      </c>
      <c r="I77" s="8">
        <v>40</v>
      </c>
      <c r="J77" s="8">
        <v>1.58</v>
      </c>
      <c r="K77" s="8">
        <v>177</v>
      </c>
      <c r="L77" s="8">
        <v>132</v>
      </c>
      <c r="M77" s="8">
        <v>58</v>
      </c>
      <c r="N77" s="8">
        <v>1.29</v>
      </c>
      <c r="O77" s="8">
        <v>1189</v>
      </c>
      <c r="P77" s="8" t="s">
        <v>18</v>
      </c>
      <c r="Q77" s="8" t="str">
        <f>_xlfn.IFS(AND(Table13[[#This Row],[Gender]]="female",R77&lt;20),"Athletes",AND(Table13[[#This Row],[Gender]]="female",R77&lt;24),"Fitnesss",AND(Table13[[#This Row],[Gender]]="female",R77&lt;31),"Acceptable",AND(Table13[[#This Row],[Gender]]="female",R77&lt;40),"Obese",AND(Table13[[#This Row],[Gender]]="male",R77&lt;13),"Athletes",AND(Table13[[#This Row],[Gender]]="male",R77&lt;17),"Fitnesss",AND(Table13[[#This Row],[Gender]]="male",R77&lt;24.9),"Acceptable",AND(Table13[[#This Row],[Gender]]="male",R77&lt;40),"Obese",AND(Table13[[#This Row],[Gender]]="others",R77&lt;20),"Athletes",AND(Table13[[#This Row],[Gender]]="others",R77&lt;24),"Fitnesss",AND(Table13[[#This Row],[Gender]]="others",R77&lt;31),"Acceptable",AND(Table13[[#This Row],[Gender]]="others",R77&lt;40),"Obese")</f>
        <v>Obese</v>
      </c>
      <c r="R77" s="8">
        <v>31.1</v>
      </c>
      <c r="S77" s="8">
        <v>2.5</v>
      </c>
      <c r="T77" s="8"/>
      <c r="U77" s="8">
        <v>2</v>
      </c>
      <c r="V77" s="8" t="str">
        <f>IF(Table13[[#This Row],[BMI]]&lt;=18.5,"Underweight",IF(Table13[[#This Row],[BMI]]&lt;=24.9,"Normal",IF(Table13[[#This Row],[BMI]]&lt;=29.9,"Overweight",IF(Table13[[#This Row],[BMI]]&lt;=39,"Obese","Severly Obese"))))</f>
        <v>Underweight</v>
      </c>
      <c r="W77" s="18">
        <v>12.73</v>
      </c>
    </row>
    <row r="78" spans="6:23" x14ac:dyDescent="0.3">
      <c r="F78" s="17">
        <v>27</v>
      </c>
      <c r="G78" s="8" t="str">
        <f>IF(Table13[[#This Row],[Age]]&lt;25,"18-24",IF(Table13[[#This Row],[Age]]&lt;35,"25-34",IF(Table13[[#This Row],[Age]]&lt;45,"35-44",IF(Table13[[#This Row],[Age]]&lt;55,"45-54","55-64"))))</f>
        <v>25-34</v>
      </c>
      <c r="H78" s="8" t="s">
        <v>19</v>
      </c>
      <c r="I78" s="8">
        <v>96.3</v>
      </c>
      <c r="J78" s="8">
        <v>1.61</v>
      </c>
      <c r="K78" s="8">
        <v>198</v>
      </c>
      <c r="L78" s="8">
        <v>159</v>
      </c>
      <c r="M78" s="8">
        <v>70</v>
      </c>
      <c r="N78" s="8">
        <v>1.1599999999999999</v>
      </c>
      <c r="O78" s="8">
        <v>1203</v>
      </c>
      <c r="P78" s="8" t="s">
        <v>20</v>
      </c>
      <c r="Q78" s="8" t="str">
        <f>_xlfn.IFS(AND(Table13[[#This Row],[Gender]]="female",R78&lt;20),"Athletes",AND(Table13[[#This Row],[Gender]]="female",R78&lt;24),"Fitnesss",AND(Table13[[#This Row],[Gender]]="female",R78&lt;31),"Acceptable",AND(Table13[[#This Row],[Gender]]="female",R78&lt;40),"Obese",AND(Table13[[#This Row],[Gender]]="male",R78&lt;13),"Athletes",AND(Table13[[#This Row],[Gender]]="male",R78&lt;17),"Fitnesss",AND(Table13[[#This Row],[Gender]]="male",R78&lt;24.9),"Acceptable",AND(Table13[[#This Row],[Gender]]="male",R78&lt;40),"Obese",AND(Table13[[#This Row],[Gender]]="others",R78&lt;20),"Athletes",AND(Table13[[#This Row],[Gender]]="others",R78&lt;24),"Fitnesss",AND(Table13[[#This Row],[Gender]]="others",R78&lt;31),"Acceptable",AND(Table13[[#This Row],[Gender]]="others",R78&lt;40),"Obese")</f>
        <v>Obese</v>
      </c>
      <c r="R78" s="8">
        <v>32.1</v>
      </c>
      <c r="S78" s="8">
        <v>3.1</v>
      </c>
      <c r="T78" s="8">
        <v>3</v>
      </c>
      <c r="U78" s="8">
        <v>1</v>
      </c>
      <c r="V78" s="8" t="str">
        <f>IF(Table13[[#This Row],[BMI]]&lt;=18.5,"Underweight",IF(Table13[[#This Row],[BMI]]&lt;=24.9,"Normal",IF(Table13[[#This Row],[BMI]]&lt;=29.9,"Overweight",IF(Table13[[#This Row],[BMI]]&lt;=39,"Obese","Severly Obese"))))</f>
        <v>Underweight</v>
      </c>
      <c r="W78" s="18">
        <v>12.32</v>
      </c>
    </row>
    <row r="79" spans="6:23" x14ac:dyDescent="0.3">
      <c r="F79" s="17">
        <v>34</v>
      </c>
      <c r="G79" s="8" t="str">
        <f>IF(Table13[[#This Row],[Age]]&lt;25,"18-24",IF(Table13[[#This Row],[Age]]&lt;35,"25-34",IF(Table13[[#This Row],[Age]]&lt;45,"35-44",IF(Table13[[#This Row],[Age]]&lt;55,"45-54","55-64"))))</f>
        <v>25-34</v>
      </c>
      <c r="H79" s="8" t="s">
        <v>17</v>
      </c>
      <c r="I79" s="8">
        <v>49.6</v>
      </c>
      <c r="J79" s="8">
        <v>1.52</v>
      </c>
      <c r="K79" s="8">
        <v>191</v>
      </c>
      <c r="L79" s="8"/>
      <c r="M79" s="8">
        <v>59</v>
      </c>
      <c r="N79" s="8">
        <v>1.59</v>
      </c>
      <c r="O79" s="8">
        <v>744</v>
      </c>
      <c r="P79" s="8" t="s">
        <v>21</v>
      </c>
      <c r="Q79" s="8" t="str">
        <f>_xlfn.IFS(AND(Table13[[#This Row],[Gender]]="female",R79&lt;20),"Athletes",AND(Table13[[#This Row],[Gender]]="female",R79&lt;24),"Fitnesss",AND(Table13[[#This Row],[Gender]]="female",R79&lt;31),"Acceptable",AND(Table13[[#This Row],[Gender]]="female",R79&lt;40),"Obese",AND(Table13[[#This Row],[Gender]]="male",R79&lt;13),"Athletes",AND(Table13[[#This Row],[Gender]]="male",R79&lt;17),"Fitnesss",AND(Table13[[#This Row],[Gender]]="male",R79&lt;24.9),"Acceptable",AND(Table13[[#This Row],[Gender]]="male",R79&lt;40),"Obese",AND(Table13[[#This Row],[Gender]]="others",R79&lt;20),"Athletes",AND(Table13[[#This Row],[Gender]]="others",R79&lt;24),"Fitnesss",AND(Table13[[#This Row],[Gender]]="others",R79&lt;31),"Acceptable",AND(Table13[[#This Row],[Gender]]="others",R79&lt;40),"Obese")</f>
        <v>Fitnesss</v>
      </c>
      <c r="R79" s="8">
        <v>22.2</v>
      </c>
      <c r="S79" s="8">
        <v>1.6</v>
      </c>
      <c r="T79" s="8">
        <v>3</v>
      </c>
      <c r="U79" s="8">
        <v>1</v>
      </c>
      <c r="V79" s="8" t="str">
        <f>IF(Table13[[#This Row],[BMI]]&lt;=18.5,"Underweight",IF(Table13[[#This Row],[BMI]]&lt;=24.9,"Normal",IF(Table13[[#This Row],[BMI]]&lt;=29.9,"Overweight",IF(Table13[[#This Row],[BMI]]&lt;=39,"Obese","Severly Obese"))))</f>
        <v>Normal</v>
      </c>
      <c r="W79" s="18">
        <v>20.97</v>
      </c>
    </row>
    <row r="80" spans="6:23" x14ac:dyDescent="0.3">
      <c r="F80" s="17">
        <v>45</v>
      </c>
      <c r="G80" s="8" t="str">
        <f>IF(Table13[[#This Row],[Age]]&lt;25,"18-24",IF(Table13[[#This Row],[Age]]&lt;35,"25-34",IF(Table13[[#This Row],[Age]]&lt;45,"35-44",IF(Table13[[#This Row],[Age]]&lt;55,"45-54","55-64"))))</f>
        <v>45-54</v>
      </c>
      <c r="H80" s="8" t="s">
        <v>19</v>
      </c>
      <c r="I80" s="8">
        <v>86.4</v>
      </c>
      <c r="J80" s="8">
        <v>1.51</v>
      </c>
      <c r="K80" s="8"/>
      <c r="L80" s="8">
        <v>159</v>
      </c>
      <c r="M80" s="8">
        <v>69</v>
      </c>
      <c r="N80" s="8">
        <v>1.23</v>
      </c>
      <c r="O80" s="8">
        <v>1313</v>
      </c>
      <c r="P80" s="8" t="s">
        <v>20</v>
      </c>
      <c r="Q80" s="8" t="str">
        <f>_xlfn.IFS(AND(Table13[[#This Row],[Gender]]="female",R80&lt;20),"Athletes",AND(Table13[[#This Row],[Gender]]="female",R80&lt;24),"Fitnesss",AND(Table13[[#This Row],[Gender]]="female",R80&lt;31),"Acceptable",AND(Table13[[#This Row],[Gender]]="female",R80&lt;40),"Obese",AND(Table13[[#This Row],[Gender]]="male",R80&lt;13),"Athletes",AND(Table13[[#This Row],[Gender]]="male",R80&lt;17),"Fitnesss",AND(Table13[[#This Row],[Gender]]="male",R80&lt;24.9),"Acceptable",AND(Table13[[#This Row],[Gender]]="male",R80&lt;40),"Obese",AND(Table13[[#This Row],[Gender]]="others",R80&lt;20),"Athletes",AND(Table13[[#This Row],[Gender]]="others",R80&lt;24),"Fitnesss",AND(Table13[[#This Row],[Gender]]="others",R80&lt;31),"Acceptable",AND(Table13[[#This Row],[Gender]]="others",R80&lt;40),"Obese")</f>
        <v>Obese</v>
      </c>
      <c r="R80" s="8">
        <v>35</v>
      </c>
      <c r="S80" s="8">
        <v>3.3</v>
      </c>
      <c r="T80" s="8">
        <v>3</v>
      </c>
      <c r="U80" s="8">
        <v>3</v>
      </c>
      <c r="V80" s="8" t="str">
        <f>IF(Table13[[#This Row],[BMI]]&lt;=18.5,"Underweight",IF(Table13[[#This Row],[BMI]]&lt;=24.9,"Normal",IF(Table13[[#This Row],[BMI]]&lt;=29.9,"Overweight",IF(Table13[[#This Row],[BMI]]&lt;=39,"Obese","Severly Obese"))))</f>
        <v>Underweight</v>
      </c>
      <c r="W80" s="18">
        <v>16.059999999999999</v>
      </c>
    </row>
    <row r="81" spans="6:23" x14ac:dyDescent="0.3">
      <c r="F81" s="17">
        <v>55</v>
      </c>
      <c r="G81" s="8" t="str">
        <f>IF(Table13[[#This Row],[Age]]&lt;25,"18-24",IF(Table13[[#This Row],[Age]]&lt;35,"25-34",IF(Table13[[#This Row],[Age]]&lt;45,"35-44",IF(Table13[[#This Row],[Age]]&lt;55,"45-54","55-64"))))</f>
        <v>55-64</v>
      </c>
      <c r="H81" s="8" t="s">
        <v>17</v>
      </c>
      <c r="I81" s="8">
        <v>68.400000000000006</v>
      </c>
      <c r="J81" s="8">
        <v>1.85</v>
      </c>
      <c r="K81" s="8">
        <v>175</v>
      </c>
      <c r="L81" s="8">
        <v>150</v>
      </c>
      <c r="M81" s="8">
        <v>58</v>
      </c>
      <c r="N81" s="8">
        <v>1.1599999999999999</v>
      </c>
      <c r="O81" s="8">
        <v>1020</v>
      </c>
      <c r="P81" s="8" t="s">
        <v>20</v>
      </c>
      <c r="Q81" s="8" t="str">
        <f>_xlfn.IFS(AND(Table13[[#This Row],[Gender]]="female",R81&lt;20),"Athletes",AND(Table13[[#This Row],[Gender]]="female",R81&lt;24),"Fitnesss",AND(Table13[[#This Row],[Gender]]="female",R81&lt;31),"Acceptable",AND(Table13[[#This Row],[Gender]]="female",R81&lt;40),"Obese",AND(Table13[[#This Row],[Gender]]="male",R81&lt;13),"Athletes",AND(Table13[[#This Row],[Gender]]="male",R81&lt;17),"Fitnesss",AND(Table13[[#This Row],[Gender]]="male",R81&lt;24.9),"Acceptable",AND(Table13[[#This Row],[Gender]]="male",R81&lt;40),"Obese",AND(Table13[[#This Row],[Gender]]="others",R81&lt;20),"Athletes",AND(Table13[[#This Row],[Gender]]="others",R81&lt;24),"Fitnesss",AND(Table13[[#This Row],[Gender]]="others",R81&lt;31),"Acceptable",AND(Table13[[#This Row],[Gender]]="others",R81&lt;40),"Obese")</f>
        <v>Acceptable</v>
      </c>
      <c r="R81" s="8">
        <v>29.2</v>
      </c>
      <c r="S81" s="8">
        <v>2.5</v>
      </c>
      <c r="T81" s="8">
        <v>4</v>
      </c>
      <c r="U81" s="8">
        <v>2</v>
      </c>
      <c r="V81" s="8" t="str">
        <f>IF(Table13[[#This Row],[BMI]]&lt;=18.5,"Underweight",IF(Table13[[#This Row],[BMI]]&lt;=24.9,"Normal",IF(Table13[[#This Row],[BMI]]&lt;=29.9,"Overweight",IF(Table13[[#This Row],[BMI]]&lt;=39,"Obese","Severly Obese"))))</f>
        <v>Normal</v>
      </c>
      <c r="W81" s="18">
        <v>22.87</v>
      </c>
    </row>
    <row r="82" spans="6:23" x14ac:dyDescent="0.3">
      <c r="F82" s="17">
        <v>18</v>
      </c>
      <c r="G82" s="8" t="str">
        <f>IF(Table13[[#This Row],[Age]]&lt;25,"18-24",IF(Table13[[#This Row],[Age]]&lt;35,"25-34",IF(Table13[[#This Row],[Age]]&lt;45,"35-44",IF(Table13[[#This Row],[Age]]&lt;55,"45-54","55-64"))))</f>
        <v>18-24</v>
      </c>
      <c r="H82" s="8" t="s">
        <v>17</v>
      </c>
      <c r="I82" s="8">
        <v>56.9</v>
      </c>
      <c r="J82" s="8">
        <v>1.77</v>
      </c>
      <c r="K82" s="8">
        <v>183</v>
      </c>
      <c r="L82" s="8">
        <v>131</v>
      </c>
      <c r="M82" s="8">
        <v>57</v>
      </c>
      <c r="N82" s="8">
        <v>1.28</v>
      </c>
      <c r="O82" s="8">
        <v>1052</v>
      </c>
      <c r="P82" s="8" t="s">
        <v>20</v>
      </c>
      <c r="Q82" s="8" t="str">
        <f>_xlfn.IFS(AND(Table13[[#This Row],[Gender]]="female",R82&lt;20),"Athletes",AND(Table13[[#This Row],[Gender]]="female",R82&lt;24),"Fitnesss",AND(Table13[[#This Row],[Gender]]="female",R82&lt;31),"Acceptable",AND(Table13[[#This Row],[Gender]]="female",R82&lt;40),"Obese",AND(Table13[[#This Row],[Gender]]="male",R82&lt;13),"Athletes",AND(Table13[[#This Row],[Gender]]="male",R82&lt;17),"Fitnesss",AND(Table13[[#This Row],[Gender]]="male",R82&lt;24.9),"Acceptable",AND(Table13[[#This Row],[Gender]]="male",R82&lt;40),"Obese",AND(Table13[[#This Row],[Gender]]="others",R82&lt;20),"Athletes",AND(Table13[[#This Row],[Gender]]="others",R82&lt;24),"Fitnesss",AND(Table13[[#This Row],[Gender]]="others",R82&lt;31),"Acceptable",AND(Table13[[#This Row],[Gender]]="others",R82&lt;40),"Obese")</f>
        <v>Fitnesss</v>
      </c>
      <c r="R82" s="8">
        <v>20.7</v>
      </c>
      <c r="S82" s="8">
        <v>3.5</v>
      </c>
      <c r="T82" s="8">
        <v>4</v>
      </c>
      <c r="U82" s="8">
        <v>2</v>
      </c>
      <c r="V82" s="8" t="str">
        <f>IF(Table13[[#This Row],[BMI]]&lt;=18.5,"Underweight",IF(Table13[[#This Row],[BMI]]&lt;=24.9,"Normal",IF(Table13[[#This Row],[BMI]]&lt;=29.9,"Overweight",IF(Table13[[#This Row],[BMI]]&lt;=39,"Obese","Severly Obese"))))</f>
        <v>Normal</v>
      </c>
      <c r="W82" s="18">
        <v>18.57</v>
      </c>
    </row>
    <row r="83" spans="6:23" x14ac:dyDescent="0.3">
      <c r="F83" s="17">
        <v>41</v>
      </c>
      <c r="G83" s="8" t="str">
        <f>IF(Table13[[#This Row],[Age]]&lt;25,"18-24",IF(Table13[[#This Row],[Age]]&lt;35,"25-34",IF(Table13[[#This Row],[Age]]&lt;45,"35-44",IF(Table13[[#This Row],[Age]]&lt;55,"45-54","55-64"))))</f>
        <v>35-44</v>
      </c>
      <c r="H83" s="8" t="s">
        <v>17</v>
      </c>
      <c r="I83" s="8">
        <v>51.1</v>
      </c>
      <c r="J83" s="8">
        <v>1.94</v>
      </c>
      <c r="K83" s="8"/>
      <c r="L83" s="8">
        <v>137</v>
      </c>
      <c r="M83" s="8">
        <v>72</v>
      </c>
      <c r="N83" s="8">
        <v>1.23</v>
      </c>
      <c r="O83" s="8">
        <v>1084</v>
      </c>
      <c r="P83" s="8" t="s">
        <v>23</v>
      </c>
      <c r="Q83" s="8" t="str">
        <f>_xlfn.IFS(AND(Table13[[#This Row],[Gender]]="female",R83&lt;20),"Athletes",AND(Table13[[#This Row],[Gender]]="female",R83&lt;24),"Fitnesss",AND(Table13[[#This Row],[Gender]]="female",R83&lt;31),"Acceptable",AND(Table13[[#This Row],[Gender]]="female",R83&lt;40),"Obese",AND(Table13[[#This Row],[Gender]]="male",R83&lt;13),"Athletes",AND(Table13[[#This Row],[Gender]]="male",R83&lt;17),"Fitnesss",AND(Table13[[#This Row],[Gender]]="male",R83&lt;24.9),"Acceptable",AND(Table13[[#This Row],[Gender]]="male",R83&lt;40),"Obese",AND(Table13[[#This Row],[Gender]]="others",R83&lt;20),"Athletes",AND(Table13[[#This Row],[Gender]]="others",R83&lt;24),"Fitnesss",AND(Table13[[#This Row],[Gender]]="others",R83&lt;31),"Acceptable",AND(Table13[[#This Row],[Gender]]="others",R83&lt;40),"Obese")</f>
        <v>Athletes</v>
      </c>
      <c r="R83" s="8">
        <v>16.399999999999999</v>
      </c>
      <c r="S83" s="8">
        <v>2.2999999999999998</v>
      </c>
      <c r="T83" s="8">
        <v>3</v>
      </c>
      <c r="U83" s="8">
        <v>2</v>
      </c>
      <c r="V83" s="8" t="str">
        <f>IF(Table13[[#This Row],[BMI]]&lt;=18.5,"Underweight",IF(Table13[[#This Row],[BMI]]&lt;=24.9,"Normal",IF(Table13[[#This Row],[BMI]]&lt;=29.9,"Overweight",IF(Table13[[#This Row],[BMI]]&lt;=39,"Obese","Severly Obese"))))</f>
        <v>Underweight</v>
      </c>
      <c r="W83" s="18">
        <v>16.41</v>
      </c>
    </row>
    <row r="84" spans="6:23" x14ac:dyDescent="0.3">
      <c r="F84" s="17">
        <v>24</v>
      </c>
      <c r="G84" s="8" t="str">
        <f>IF(Table13[[#This Row],[Age]]&lt;25,"18-24",IF(Table13[[#This Row],[Age]]&lt;35,"25-34",IF(Table13[[#This Row],[Age]]&lt;45,"35-44",IF(Table13[[#This Row],[Age]]&lt;55,"45-54","55-64"))))</f>
        <v>18-24</v>
      </c>
      <c r="H84" s="8" t="s">
        <v>19</v>
      </c>
      <c r="I84" s="8">
        <v>47.6</v>
      </c>
      <c r="J84" s="8">
        <v>1.51</v>
      </c>
      <c r="K84" s="8">
        <v>175</v>
      </c>
      <c r="L84" s="8">
        <v>120</v>
      </c>
      <c r="M84" s="8">
        <v>70</v>
      </c>
      <c r="N84" s="8">
        <v>0.78</v>
      </c>
      <c r="O84" s="8">
        <v>583</v>
      </c>
      <c r="P84" s="8" t="s">
        <v>18</v>
      </c>
      <c r="Q84" s="8" t="str">
        <f>_xlfn.IFS(AND(Table13[[#This Row],[Gender]]="female",R84&lt;20),"Athletes",AND(Table13[[#This Row],[Gender]]="female",R84&lt;24),"Fitnesss",AND(Table13[[#This Row],[Gender]]="female",R84&lt;31),"Acceptable",AND(Table13[[#This Row],[Gender]]="female",R84&lt;40),"Obese",AND(Table13[[#This Row],[Gender]]="male",R84&lt;13),"Athletes",AND(Table13[[#This Row],[Gender]]="male",R84&lt;17),"Fitnesss",AND(Table13[[#This Row],[Gender]]="male",R84&lt;24.9),"Acceptable",AND(Table13[[#This Row],[Gender]]="male",R84&lt;40),"Obese",AND(Table13[[#This Row],[Gender]]="others",R84&lt;20),"Athletes",AND(Table13[[#This Row],[Gender]]="others",R84&lt;24),"Fitnesss",AND(Table13[[#This Row],[Gender]]="others",R84&lt;31),"Acceptable",AND(Table13[[#This Row],[Gender]]="others",R84&lt;40),"Obese")</f>
        <v>Acceptable</v>
      </c>
      <c r="R84" s="8">
        <v>22.6</v>
      </c>
      <c r="S84" s="8">
        <v>1.7</v>
      </c>
      <c r="T84" s="8">
        <v>5</v>
      </c>
      <c r="U84" s="8">
        <v>1</v>
      </c>
      <c r="V84" s="8" t="str">
        <f>IF(Table13[[#This Row],[BMI]]&lt;=18.5,"Underweight",IF(Table13[[#This Row],[BMI]]&lt;=24.9,"Normal",IF(Table13[[#This Row],[BMI]]&lt;=29.9,"Overweight",IF(Table13[[#This Row],[BMI]]&lt;=39,"Obese","Severly Obese"))))</f>
        <v>Underweight</v>
      </c>
      <c r="W84" s="18">
        <v>13.71</v>
      </c>
    </row>
    <row r="85" spans="6:23" x14ac:dyDescent="0.3">
      <c r="F85" s="17">
        <v>26</v>
      </c>
      <c r="G85" s="8" t="str">
        <f>IF(Table13[[#This Row],[Age]]&lt;25,"18-24",IF(Table13[[#This Row],[Age]]&lt;35,"25-34",IF(Table13[[#This Row],[Age]]&lt;45,"35-44",IF(Table13[[#This Row],[Age]]&lt;55,"45-54","55-64"))))</f>
        <v>25-34</v>
      </c>
      <c r="H85" s="8" t="s">
        <v>17</v>
      </c>
      <c r="I85" s="8">
        <v>88.8</v>
      </c>
      <c r="J85" s="8">
        <v>1.7</v>
      </c>
      <c r="K85" s="8">
        <v>193</v>
      </c>
      <c r="L85" s="8">
        <v>169</v>
      </c>
      <c r="M85" s="8">
        <v>68</v>
      </c>
      <c r="N85" s="8">
        <v>1.91</v>
      </c>
      <c r="O85" s="8">
        <v>1145</v>
      </c>
      <c r="P85" s="8" t="s">
        <v>18</v>
      </c>
      <c r="Q85" s="8" t="str">
        <f>_xlfn.IFS(AND(Table13[[#This Row],[Gender]]="female",R85&lt;20),"Athletes",AND(Table13[[#This Row],[Gender]]="female",R85&lt;24),"Fitnesss",AND(Table13[[#This Row],[Gender]]="female",R85&lt;31),"Acceptable",AND(Table13[[#This Row],[Gender]]="female",R85&lt;40),"Obese",AND(Table13[[#This Row],[Gender]]="male",R85&lt;13),"Athletes",AND(Table13[[#This Row],[Gender]]="male",R85&lt;17),"Fitnesss",AND(Table13[[#This Row],[Gender]]="male",R85&lt;24.9),"Acceptable",AND(Table13[[#This Row],[Gender]]="male",R85&lt;40),"Obese",AND(Table13[[#This Row],[Gender]]="others",R85&lt;20),"Athletes",AND(Table13[[#This Row],[Gender]]="others",R85&lt;24),"Fitnesss",AND(Table13[[#This Row],[Gender]]="others",R85&lt;31),"Acceptable",AND(Table13[[#This Row],[Gender]]="others",R85&lt;40),"Obese")</f>
        <v>Athletes</v>
      </c>
      <c r="R85" s="8">
        <v>18.100000000000001</v>
      </c>
      <c r="S85" s="8">
        <v>3.7</v>
      </c>
      <c r="T85" s="8">
        <v>2</v>
      </c>
      <c r="U85" s="8">
        <v>2</v>
      </c>
      <c r="V85" s="8" t="str">
        <f>IF(Table13[[#This Row],[BMI]]&lt;=18.5,"Underweight",IF(Table13[[#This Row],[BMI]]&lt;=24.9,"Normal",IF(Table13[[#This Row],[BMI]]&lt;=29.9,"Overweight",IF(Table13[[#This Row],[BMI]]&lt;=39,"Obese","Severly Obese"))))</f>
        <v>Obese</v>
      </c>
      <c r="W85" s="18">
        <v>30.34</v>
      </c>
    </row>
    <row r="86" spans="6:23" x14ac:dyDescent="0.3">
      <c r="F86" s="17">
        <v>18</v>
      </c>
      <c r="G86" s="8" t="str">
        <f>IF(Table13[[#This Row],[Age]]&lt;25,"18-24",IF(Table13[[#This Row],[Age]]&lt;35,"25-34",IF(Table13[[#This Row],[Age]]&lt;45,"35-44",IF(Table13[[#This Row],[Age]]&lt;55,"45-54","55-64"))))</f>
        <v>18-24</v>
      </c>
      <c r="H86" s="8" t="s">
        <v>23</v>
      </c>
      <c r="I86" s="8">
        <v>67.5</v>
      </c>
      <c r="J86" s="8">
        <v>1.69</v>
      </c>
      <c r="K86" s="8">
        <v>177</v>
      </c>
      <c r="L86" s="8">
        <v>169</v>
      </c>
      <c r="M86" s="8">
        <v>72</v>
      </c>
      <c r="N86" s="8">
        <v>1.07</v>
      </c>
      <c r="O86" s="8">
        <v>975</v>
      </c>
      <c r="P86" s="8" t="s">
        <v>23</v>
      </c>
      <c r="Q86" s="8" t="str">
        <f>_xlfn.IFS(AND(Table13[[#This Row],[Gender]]="female",R86&lt;20),"Athletes",AND(Table13[[#This Row],[Gender]]="female",R86&lt;24),"Fitnesss",AND(Table13[[#This Row],[Gender]]="female",R86&lt;31),"Acceptable",AND(Table13[[#This Row],[Gender]]="female",R86&lt;40),"Obese",AND(Table13[[#This Row],[Gender]]="male",R86&lt;13),"Athletes",AND(Table13[[#This Row],[Gender]]="male",R86&lt;17),"Fitnesss",AND(Table13[[#This Row],[Gender]]="male",R86&lt;24.9),"Acceptable",AND(Table13[[#This Row],[Gender]]="male",R86&lt;40),"Obese",AND(Table13[[#This Row],[Gender]]="others",R86&lt;20),"Athletes",AND(Table13[[#This Row],[Gender]]="others",R86&lt;24),"Fitnesss",AND(Table13[[#This Row],[Gender]]="others",R86&lt;31),"Acceptable",AND(Table13[[#This Row],[Gender]]="others",R86&lt;40),"Obese")</f>
        <v>Acceptable</v>
      </c>
      <c r="R86" s="8">
        <v>26.2</v>
      </c>
      <c r="S86" s="8">
        <v>1.6</v>
      </c>
      <c r="T86" s="8">
        <v>4</v>
      </c>
      <c r="U86" s="8">
        <v>3</v>
      </c>
      <c r="V86" s="8" t="str">
        <f>IF(Table13[[#This Row],[BMI]]&lt;=18.5,"Underweight",IF(Table13[[#This Row],[BMI]]&lt;=24.9,"Normal",IF(Table13[[#This Row],[BMI]]&lt;=29.9,"Overweight",IF(Table13[[#This Row],[BMI]]&lt;=39,"Obese","Severly Obese"))))</f>
        <v>Underweight</v>
      </c>
      <c r="W86" s="18">
        <v>14.08</v>
      </c>
    </row>
    <row r="87" spans="6:23" x14ac:dyDescent="0.3">
      <c r="F87" s="17">
        <v>29</v>
      </c>
      <c r="G87" s="8" t="str">
        <f>IF(Table13[[#This Row],[Age]]&lt;25,"18-24",IF(Table13[[#This Row],[Age]]&lt;35,"25-34",IF(Table13[[#This Row],[Age]]&lt;45,"35-44",IF(Table13[[#This Row],[Age]]&lt;55,"45-54","55-64"))))</f>
        <v>25-34</v>
      </c>
      <c r="H87" s="8" t="s">
        <v>19</v>
      </c>
      <c r="I87" s="8">
        <v>96.7</v>
      </c>
      <c r="J87" s="8">
        <v>1.7</v>
      </c>
      <c r="K87" s="8">
        <v>175</v>
      </c>
      <c r="L87" s="8">
        <v>141</v>
      </c>
      <c r="M87" s="8">
        <v>54</v>
      </c>
      <c r="N87" s="8">
        <v>2</v>
      </c>
      <c r="O87" s="8">
        <v>880</v>
      </c>
      <c r="P87" s="8" t="s">
        <v>22</v>
      </c>
      <c r="Q87" s="8" t="str">
        <f>_xlfn.IFS(AND(Table13[[#This Row],[Gender]]="female",R87&lt;20),"Athletes",AND(Table13[[#This Row],[Gender]]="female",R87&lt;24),"Fitnesss",AND(Table13[[#This Row],[Gender]]="female",R87&lt;31),"Acceptable",AND(Table13[[#This Row],[Gender]]="female",R87&lt;40),"Obese",AND(Table13[[#This Row],[Gender]]="male",R87&lt;13),"Athletes",AND(Table13[[#This Row],[Gender]]="male",R87&lt;17),"Fitnesss",AND(Table13[[#This Row],[Gender]]="male",R87&lt;24.9),"Acceptable",AND(Table13[[#This Row],[Gender]]="male",R87&lt;40),"Obese",AND(Table13[[#This Row],[Gender]]="others",R87&lt;20),"Athletes",AND(Table13[[#This Row],[Gender]]="others",R87&lt;24),"Fitnesss",AND(Table13[[#This Row],[Gender]]="others",R87&lt;31),"Acceptable",AND(Table13[[#This Row],[Gender]]="others",R87&lt;40),"Obese")</f>
        <v>Obese</v>
      </c>
      <c r="R87" s="8">
        <v>32.9</v>
      </c>
      <c r="S87" s="8">
        <v>2.2999999999999998</v>
      </c>
      <c r="T87" s="8">
        <v>2</v>
      </c>
      <c r="U87" s="8">
        <v>3</v>
      </c>
      <c r="V87" s="8" t="str">
        <f>IF(Table13[[#This Row],[BMI]]&lt;=18.5,"Underweight",IF(Table13[[#This Row],[BMI]]&lt;=24.9,"Normal",IF(Table13[[#This Row],[BMI]]&lt;=29.9,"Overweight",IF(Table13[[#This Row],[BMI]]&lt;=39,"Obese","Severly Obese"))))</f>
        <v>Underweight</v>
      </c>
      <c r="W87" s="18">
        <v>13.16</v>
      </c>
    </row>
    <row r="88" spans="6:23" x14ac:dyDescent="0.3">
      <c r="F88" s="17">
        <v>26</v>
      </c>
      <c r="G88" s="8" t="str">
        <f>IF(Table13[[#This Row],[Age]]&lt;25,"18-24",IF(Table13[[#This Row],[Age]]&lt;35,"25-34",IF(Table13[[#This Row],[Age]]&lt;45,"35-44",IF(Table13[[#This Row],[Age]]&lt;55,"45-54","55-64"))))</f>
        <v>25-34</v>
      </c>
      <c r="H88" s="8" t="s">
        <v>23</v>
      </c>
      <c r="I88" s="8">
        <v>55.7</v>
      </c>
      <c r="J88" s="8">
        <v>1.99</v>
      </c>
      <c r="K88" s="8">
        <v>172</v>
      </c>
      <c r="L88" s="8">
        <v>142</v>
      </c>
      <c r="M88" s="8">
        <v>68</v>
      </c>
      <c r="N88" s="8">
        <v>2</v>
      </c>
      <c r="O88" s="8">
        <v>1583</v>
      </c>
      <c r="P88" s="8" t="s">
        <v>18</v>
      </c>
      <c r="Q88" s="8" t="str">
        <f>_xlfn.IFS(AND(Table13[[#This Row],[Gender]]="female",R88&lt;20),"Athletes",AND(Table13[[#This Row],[Gender]]="female",R88&lt;24),"Fitnesss",AND(Table13[[#This Row],[Gender]]="female",R88&lt;31),"Acceptable",AND(Table13[[#This Row],[Gender]]="female",R88&lt;40),"Obese",AND(Table13[[#This Row],[Gender]]="male",R88&lt;13),"Athletes",AND(Table13[[#This Row],[Gender]]="male",R88&lt;17),"Fitnesss",AND(Table13[[#This Row],[Gender]]="male",R88&lt;24.9),"Acceptable",AND(Table13[[#This Row],[Gender]]="male",R88&lt;40),"Obese",AND(Table13[[#This Row],[Gender]]="others",R88&lt;20),"Athletes",AND(Table13[[#This Row],[Gender]]="others",R88&lt;24),"Fitnesss",AND(Table13[[#This Row],[Gender]]="others",R88&lt;31),"Acceptable",AND(Table13[[#This Row],[Gender]]="others",R88&lt;40),"Obese")</f>
        <v>Athletes</v>
      </c>
      <c r="R88" s="8">
        <v>18.899999999999999</v>
      </c>
      <c r="S88" s="8">
        <v>3.2</v>
      </c>
      <c r="T88" s="8">
        <v>4</v>
      </c>
      <c r="U88" s="8">
        <v>1</v>
      </c>
      <c r="V88" s="8" t="str">
        <f>IF(Table13[[#This Row],[BMI]]&lt;=18.5,"Underweight",IF(Table13[[#This Row],[BMI]]&lt;=24.9,"Normal",IF(Table13[[#This Row],[BMI]]&lt;=29.9,"Overweight",IF(Table13[[#This Row],[BMI]]&lt;=39,"Obese","Severly Obese"))))</f>
        <v>Underweight</v>
      </c>
      <c r="W88" s="18">
        <v>12.32</v>
      </c>
    </row>
    <row r="89" spans="6:23" x14ac:dyDescent="0.3">
      <c r="F89" s="17">
        <v>43</v>
      </c>
      <c r="G89" s="8" t="str">
        <f>IF(Table13[[#This Row],[Age]]&lt;25,"18-24",IF(Table13[[#This Row],[Age]]&lt;35,"25-34",IF(Table13[[#This Row],[Age]]&lt;45,"35-44",IF(Table13[[#This Row],[Age]]&lt;55,"45-54","55-64"))))</f>
        <v>35-44</v>
      </c>
      <c r="H89" s="8" t="s">
        <v>19</v>
      </c>
      <c r="I89" s="8">
        <v>112</v>
      </c>
      <c r="J89" s="8">
        <v>1.71</v>
      </c>
      <c r="K89" s="8">
        <v>166</v>
      </c>
      <c r="L89" s="8">
        <v>146</v>
      </c>
      <c r="M89" s="8">
        <v>58</v>
      </c>
      <c r="N89" s="8">
        <v>1.62</v>
      </c>
      <c r="O89" s="8">
        <v>815</v>
      </c>
      <c r="P89" s="8" t="s">
        <v>21</v>
      </c>
      <c r="Q89" s="8" t="str">
        <f>_xlfn.IFS(AND(Table13[[#This Row],[Gender]]="female",R89&lt;20),"Athletes",AND(Table13[[#This Row],[Gender]]="female",R89&lt;24),"Fitnesss",AND(Table13[[#This Row],[Gender]]="female",R89&lt;31),"Acceptable",AND(Table13[[#This Row],[Gender]]="female",R89&lt;40),"Obese",AND(Table13[[#This Row],[Gender]]="male",R89&lt;13),"Athletes",AND(Table13[[#This Row],[Gender]]="male",R89&lt;17),"Fitnesss",AND(Table13[[#This Row],[Gender]]="male",R89&lt;24.9),"Acceptable",AND(Table13[[#This Row],[Gender]]="male",R89&lt;40),"Obese",AND(Table13[[#This Row],[Gender]]="others",R89&lt;20),"Athletes",AND(Table13[[#This Row],[Gender]]="others",R89&lt;24),"Fitnesss",AND(Table13[[#This Row],[Gender]]="others",R89&lt;31),"Acceptable",AND(Table13[[#This Row],[Gender]]="others",R89&lt;40),"Obese")</f>
        <v>Obese</v>
      </c>
      <c r="R89" s="8">
        <v>31.2</v>
      </c>
      <c r="S89" s="8">
        <v>2.6</v>
      </c>
      <c r="T89" s="8">
        <v>3</v>
      </c>
      <c r="U89" s="8">
        <v>1</v>
      </c>
      <c r="V89" s="8" t="str">
        <f>IF(Table13[[#This Row],[BMI]]&lt;=18.5,"Underweight",IF(Table13[[#This Row],[BMI]]&lt;=24.9,"Normal",IF(Table13[[#This Row],[BMI]]&lt;=29.9,"Overweight",IF(Table13[[#This Row],[BMI]]&lt;=39,"Obese","Severly Obese"))))</f>
        <v>Normal</v>
      </c>
      <c r="W89" s="18">
        <v>21.1</v>
      </c>
    </row>
    <row r="90" spans="6:23" x14ac:dyDescent="0.3">
      <c r="F90" s="17">
        <v>48</v>
      </c>
      <c r="G90" s="8" t="str">
        <f>IF(Table13[[#This Row],[Age]]&lt;25,"18-24",IF(Table13[[#This Row],[Age]]&lt;35,"25-34",IF(Table13[[#This Row],[Age]]&lt;45,"35-44",IF(Table13[[#This Row],[Age]]&lt;55,"45-54","55-64"))))</f>
        <v>45-54</v>
      </c>
      <c r="H90" s="8" t="s">
        <v>19</v>
      </c>
      <c r="I90" s="8">
        <v>75.2</v>
      </c>
      <c r="J90" s="8">
        <v>1.72</v>
      </c>
      <c r="K90" s="8">
        <v>193</v>
      </c>
      <c r="L90" s="8">
        <v>169</v>
      </c>
      <c r="M90" s="8">
        <v>59</v>
      </c>
      <c r="N90" s="8">
        <v>1.54</v>
      </c>
      <c r="O90" s="8">
        <v>1726</v>
      </c>
      <c r="P90" s="8" t="s">
        <v>20</v>
      </c>
      <c r="Q90" s="8" t="str">
        <f>_xlfn.IFS(AND(Table13[[#This Row],[Gender]]="female",R90&lt;20),"Athletes",AND(Table13[[#This Row],[Gender]]="female",R90&lt;24),"Fitnesss",AND(Table13[[#This Row],[Gender]]="female",R90&lt;31),"Acceptable",AND(Table13[[#This Row],[Gender]]="female",R90&lt;40),"Obese",AND(Table13[[#This Row],[Gender]]="male",R90&lt;13),"Athletes",AND(Table13[[#This Row],[Gender]]="male",R90&lt;17),"Fitnesss",AND(Table13[[#This Row],[Gender]]="male",R90&lt;24.9),"Acceptable",AND(Table13[[#This Row],[Gender]]="male",R90&lt;40),"Obese",AND(Table13[[#This Row],[Gender]]="others",R90&lt;20),"Athletes",AND(Table13[[#This Row],[Gender]]="others",R90&lt;24),"Fitnesss",AND(Table13[[#This Row],[Gender]]="others",R90&lt;31),"Acceptable",AND(Table13[[#This Row],[Gender]]="others",R90&lt;40),"Obese")</f>
        <v>Obese</v>
      </c>
      <c r="R90" s="8">
        <v>30.9</v>
      </c>
      <c r="S90" s="8">
        <v>1.9</v>
      </c>
      <c r="T90" s="8">
        <v>2</v>
      </c>
      <c r="U90" s="8"/>
      <c r="V90" s="8" t="str">
        <f>IF(Table13[[#This Row],[BMI]]&lt;=18.5,"Underweight",IF(Table13[[#This Row],[BMI]]&lt;=24.9,"Normal",IF(Table13[[#This Row],[BMI]]&lt;=29.9,"Overweight",IF(Table13[[#This Row],[BMI]]&lt;=39,"Obese","Severly Obese"))))</f>
        <v>Normal</v>
      </c>
      <c r="W90" s="18">
        <v>18.64</v>
      </c>
    </row>
    <row r="91" spans="6:23" x14ac:dyDescent="0.3">
      <c r="F91" s="17">
        <v>29</v>
      </c>
      <c r="G91" s="8" t="str">
        <f>IF(Table13[[#This Row],[Age]]&lt;25,"18-24",IF(Table13[[#This Row],[Age]]&lt;35,"25-34",IF(Table13[[#This Row],[Age]]&lt;45,"35-44",IF(Table13[[#This Row],[Age]]&lt;55,"45-54","55-64"))))</f>
        <v>25-34</v>
      </c>
      <c r="H91" s="8" t="s">
        <v>17</v>
      </c>
      <c r="I91" s="8">
        <v>72</v>
      </c>
      <c r="J91" s="8">
        <v>1.66</v>
      </c>
      <c r="K91" s="8">
        <v>167</v>
      </c>
      <c r="L91" s="8">
        <v>144</v>
      </c>
      <c r="M91" s="8">
        <v>68</v>
      </c>
      <c r="N91" s="8">
        <v>0.87</v>
      </c>
      <c r="O91" s="8">
        <v>1248</v>
      </c>
      <c r="P91" s="8" t="s">
        <v>21</v>
      </c>
      <c r="Q91" s="8" t="str">
        <f>_xlfn.IFS(AND(Table13[[#This Row],[Gender]]="female",R91&lt;20),"Athletes",AND(Table13[[#This Row],[Gender]]="female",R91&lt;24),"Fitnesss",AND(Table13[[#This Row],[Gender]]="female",R91&lt;31),"Acceptable",AND(Table13[[#This Row],[Gender]]="female",R91&lt;40),"Obese",AND(Table13[[#This Row],[Gender]]="male",R91&lt;13),"Athletes",AND(Table13[[#This Row],[Gender]]="male",R91&lt;17),"Fitnesss",AND(Table13[[#This Row],[Gender]]="male",R91&lt;24.9),"Acceptable",AND(Table13[[#This Row],[Gender]]="male",R91&lt;40),"Obese",AND(Table13[[#This Row],[Gender]]="others",R91&lt;20),"Athletes",AND(Table13[[#This Row],[Gender]]="others",R91&lt;24),"Fitnesss",AND(Table13[[#This Row],[Gender]]="others",R91&lt;31),"Acceptable",AND(Table13[[#This Row],[Gender]]="others",R91&lt;40),"Obese")</f>
        <v>Athletes</v>
      </c>
      <c r="R91" s="8">
        <v>10</v>
      </c>
      <c r="S91" s="8">
        <v>3.6</v>
      </c>
      <c r="T91" s="8">
        <v>4</v>
      </c>
      <c r="U91" s="8">
        <v>3</v>
      </c>
      <c r="V91" s="8" t="str">
        <f>IF(Table13[[#This Row],[BMI]]&lt;=18.5,"Underweight",IF(Table13[[#This Row],[BMI]]&lt;=24.9,"Normal",IF(Table13[[#This Row],[BMI]]&lt;=29.9,"Overweight",IF(Table13[[#This Row],[BMI]]&lt;=39,"Obese","Severly Obese"))))</f>
        <v>Underweight</v>
      </c>
      <c r="W91" s="18">
        <v>17.55</v>
      </c>
    </row>
    <row r="92" spans="6:23" x14ac:dyDescent="0.3">
      <c r="F92" s="17">
        <v>57</v>
      </c>
      <c r="G92" s="8" t="str">
        <f>IF(Table13[[#This Row],[Age]]&lt;25,"18-24",IF(Table13[[#This Row],[Age]]&lt;35,"25-34",IF(Table13[[#This Row],[Age]]&lt;45,"35-44",IF(Table13[[#This Row],[Age]]&lt;55,"45-54","55-64"))))</f>
        <v>55-64</v>
      </c>
      <c r="H92" s="8" t="s">
        <v>17</v>
      </c>
      <c r="I92" s="8">
        <v>63.6</v>
      </c>
      <c r="J92" s="8">
        <v>1.87</v>
      </c>
      <c r="K92" s="8">
        <v>170</v>
      </c>
      <c r="L92" s="8">
        <v>158</v>
      </c>
      <c r="M92" s="8">
        <v>18</v>
      </c>
      <c r="N92" s="8">
        <v>1.56</v>
      </c>
      <c r="O92" s="8">
        <v>840</v>
      </c>
      <c r="P92" s="8" t="s">
        <v>18</v>
      </c>
      <c r="Q92" s="8" t="str">
        <f>_xlfn.IFS(AND(Table13[[#This Row],[Gender]]="female",R92&lt;20),"Athletes",AND(Table13[[#This Row],[Gender]]="female",R92&lt;24),"Fitnesss",AND(Table13[[#This Row],[Gender]]="female",R92&lt;31),"Acceptable",AND(Table13[[#This Row],[Gender]]="female",R92&lt;40),"Obese",AND(Table13[[#This Row],[Gender]]="male",R92&lt;13),"Athletes",AND(Table13[[#This Row],[Gender]]="male",R92&lt;17),"Fitnesss",AND(Table13[[#This Row],[Gender]]="male",R92&lt;24.9),"Acceptable",AND(Table13[[#This Row],[Gender]]="male",R92&lt;40),"Obese",AND(Table13[[#This Row],[Gender]]="others",R92&lt;20),"Athletes",AND(Table13[[#This Row],[Gender]]="others",R92&lt;24),"Fitnesss",AND(Table13[[#This Row],[Gender]]="others",R92&lt;31),"Acceptable",AND(Table13[[#This Row],[Gender]]="others",R92&lt;40),"Obese")</f>
        <v>Fitnesss</v>
      </c>
      <c r="R92" s="8">
        <v>23.7</v>
      </c>
      <c r="S92" s="8">
        <v>3.6</v>
      </c>
      <c r="T92" s="8">
        <v>4</v>
      </c>
      <c r="U92" s="8">
        <v>1</v>
      </c>
      <c r="V92" s="8" t="str">
        <f>IF(Table13[[#This Row],[BMI]]&lt;=18.5,"Underweight",IF(Table13[[#This Row],[BMI]]&lt;=24.9,"Normal",IF(Table13[[#This Row],[BMI]]&lt;=29.9,"Overweight",IF(Table13[[#This Row],[BMI]]&lt;=39,"Obese","Severly Obese"))))</f>
        <v>Underweight</v>
      </c>
      <c r="W92" s="18">
        <v>12.32</v>
      </c>
    </row>
    <row r="93" spans="6:23" x14ac:dyDescent="0.3">
      <c r="F93" s="17">
        <v>22</v>
      </c>
      <c r="G93" s="8" t="str">
        <f>IF(Table13[[#This Row],[Age]]&lt;25,"18-24",IF(Table13[[#This Row],[Age]]&lt;35,"25-34",IF(Table13[[#This Row],[Age]]&lt;45,"35-44",IF(Table13[[#This Row],[Age]]&lt;55,"45-54","55-64"))))</f>
        <v>18-24</v>
      </c>
      <c r="H93" s="8" t="s">
        <v>17</v>
      </c>
      <c r="I93" s="8">
        <v>75.7</v>
      </c>
      <c r="J93" s="8">
        <v>1.56</v>
      </c>
      <c r="K93" s="8">
        <v>194</v>
      </c>
      <c r="L93" s="8">
        <v>142</v>
      </c>
      <c r="M93" s="8">
        <v>61</v>
      </c>
      <c r="N93" s="8">
        <v>1.23</v>
      </c>
      <c r="O93" s="8">
        <v>643</v>
      </c>
      <c r="P93" s="8" t="s">
        <v>18</v>
      </c>
      <c r="Q93" s="8" t="str">
        <f>_xlfn.IFS(AND(Table13[[#This Row],[Gender]]="female",R93&lt;20),"Athletes",AND(Table13[[#This Row],[Gender]]="female",R93&lt;24),"Fitnesss",AND(Table13[[#This Row],[Gender]]="female",R93&lt;31),"Acceptable",AND(Table13[[#This Row],[Gender]]="female",R93&lt;40),"Obese",AND(Table13[[#This Row],[Gender]]="male",R93&lt;13),"Athletes",AND(Table13[[#This Row],[Gender]]="male",R93&lt;17),"Fitnesss",AND(Table13[[#This Row],[Gender]]="male",R93&lt;24.9),"Acceptable",AND(Table13[[#This Row],[Gender]]="male",R93&lt;40),"Obese",AND(Table13[[#This Row],[Gender]]="others",R93&lt;20),"Athletes",AND(Table13[[#This Row],[Gender]]="others",R93&lt;24),"Fitnesss",AND(Table13[[#This Row],[Gender]]="others",R93&lt;31),"Acceptable",AND(Table13[[#This Row],[Gender]]="others",R93&lt;40),"Obese")</f>
        <v>Acceptable</v>
      </c>
      <c r="R93" s="8">
        <v>28.8</v>
      </c>
      <c r="S93" s="8">
        <v>2.2999999999999998</v>
      </c>
      <c r="T93" s="8">
        <v>3</v>
      </c>
      <c r="U93" s="8">
        <v>3</v>
      </c>
      <c r="V93" s="8" t="str">
        <f>IF(Table13[[#This Row],[BMI]]&lt;=18.5,"Underweight",IF(Table13[[#This Row],[BMI]]&lt;=24.9,"Normal",IF(Table13[[#This Row],[BMI]]&lt;=29.9,"Overweight",IF(Table13[[#This Row],[BMI]]&lt;=39,"Obese","Severly Obese"))))</f>
        <v>Underweight</v>
      </c>
      <c r="W93" s="18">
        <v>13.93</v>
      </c>
    </row>
    <row r="94" spans="6:23" x14ac:dyDescent="0.3">
      <c r="F94" s="17">
        <v>20</v>
      </c>
      <c r="G94" s="8" t="str">
        <f>IF(Table13[[#This Row],[Age]]&lt;25,"18-24",IF(Table13[[#This Row],[Age]]&lt;35,"25-34",IF(Table13[[#This Row],[Age]]&lt;45,"35-44",IF(Table13[[#This Row],[Age]]&lt;55,"45-54","55-64"))))</f>
        <v>18-24</v>
      </c>
      <c r="H94" s="8" t="s">
        <v>19</v>
      </c>
      <c r="I94" s="8">
        <v>59.1</v>
      </c>
      <c r="J94" s="8">
        <v>1.62</v>
      </c>
      <c r="K94" s="8">
        <v>191</v>
      </c>
      <c r="L94" s="8">
        <v>127</v>
      </c>
      <c r="M94" s="8">
        <v>54</v>
      </c>
      <c r="N94" s="8">
        <v>1.02</v>
      </c>
      <c r="O94" s="8">
        <v>995</v>
      </c>
      <c r="P94" s="8" t="s">
        <v>23</v>
      </c>
      <c r="Q94" s="8" t="str">
        <f>_xlfn.IFS(AND(Table13[[#This Row],[Gender]]="female",R94&lt;20),"Athletes",AND(Table13[[#This Row],[Gender]]="female",R94&lt;24),"Fitnesss",AND(Table13[[#This Row],[Gender]]="female",R94&lt;31),"Acceptable",AND(Table13[[#This Row],[Gender]]="female",R94&lt;40),"Obese",AND(Table13[[#This Row],[Gender]]="male",R94&lt;13),"Athletes",AND(Table13[[#This Row],[Gender]]="male",R94&lt;17),"Fitnesss",AND(Table13[[#This Row],[Gender]]="male",R94&lt;24.9),"Acceptable",AND(Table13[[#This Row],[Gender]]="male",R94&lt;40),"Obese",AND(Table13[[#This Row],[Gender]]="others",R94&lt;20),"Athletes",AND(Table13[[#This Row],[Gender]]="others",R94&lt;24),"Fitnesss",AND(Table13[[#This Row],[Gender]]="others",R94&lt;31),"Acceptable",AND(Table13[[#This Row],[Gender]]="others",R94&lt;40),"Obese")</f>
        <v>Obese</v>
      </c>
      <c r="R94" s="8">
        <v>26.2</v>
      </c>
      <c r="S94" s="8">
        <v>3.4</v>
      </c>
      <c r="T94" s="8">
        <v>3</v>
      </c>
      <c r="U94" s="8"/>
      <c r="V94" s="8" t="str">
        <f>IF(Table13[[#This Row],[BMI]]&lt;=18.5,"Underweight",IF(Table13[[#This Row],[BMI]]&lt;=24.9,"Normal",IF(Table13[[#This Row],[BMI]]&lt;=29.9,"Overweight",IF(Table13[[#This Row],[BMI]]&lt;=39,"Obese","Severly Obese"))))</f>
        <v>Underweight</v>
      </c>
      <c r="W94" s="18">
        <v>12.46</v>
      </c>
    </row>
    <row r="95" spans="6:23" x14ac:dyDescent="0.3">
      <c r="F95" s="17">
        <v>39</v>
      </c>
      <c r="G95" s="8" t="str">
        <f>IF(Table13[[#This Row],[Age]]&lt;25,"18-24",IF(Table13[[#This Row],[Age]]&lt;35,"25-34",IF(Table13[[#This Row],[Age]]&lt;45,"35-44",IF(Table13[[#This Row],[Age]]&lt;55,"45-54","55-64"))))</f>
        <v>35-44</v>
      </c>
      <c r="H95" s="8" t="s">
        <v>17</v>
      </c>
      <c r="I95" s="8">
        <v>41.3</v>
      </c>
      <c r="J95" s="8">
        <v>1.76</v>
      </c>
      <c r="K95" s="8">
        <v>175</v>
      </c>
      <c r="L95" s="8">
        <v>136</v>
      </c>
      <c r="M95" s="8">
        <v>69</v>
      </c>
      <c r="N95" s="8">
        <v>1.42</v>
      </c>
      <c r="O95" s="8">
        <v>1096</v>
      </c>
      <c r="P95" s="8" t="s">
        <v>22</v>
      </c>
      <c r="Q95" s="8" t="str">
        <f>_xlfn.IFS(AND(Table13[[#This Row],[Gender]]="female",R95&lt;20),"Athletes",AND(Table13[[#This Row],[Gender]]="female",R95&lt;24),"Fitnesss",AND(Table13[[#This Row],[Gender]]="female",R95&lt;31),"Acceptable",AND(Table13[[#This Row],[Gender]]="female",R95&lt;40),"Obese",AND(Table13[[#This Row],[Gender]]="male",R95&lt;13),"Athletes",AND(Table13[[#This Row],[Gender]]="male",R95&lt;17),"Fitnesss",AND(Table13[[#This Row],[Gender]]="male",R95&lt;24.9),"Acceptable",AND(Table13[[#This Row],[Gender]]="male",R95&lt;40),"Obese",AND(Table13[[#This Row],[Gender]]="others",R95&lt;20),"Athletes",AND(Table13[[#This Row],[Gender]]="others",R95&lt;24),"Fitnesss",AND(Table13[[#This Row],[Gender]]="others",R95&lt;31),"Acceptable",AND(Table13[[#This Row],[Gender]]="others",R95&lt;40),"Obese")</f>
        <v>Acceptable</v>
      </c>
      <c r="R95" s="8">
        <v>24.3</v>
      </c>
      <c r="S95" s="8">
        <v>3.2</v>
      </c>
      <c r="T95" s="8">
        <v>3</v>
      </c>
      <c r="U95" s="8">
        <v>2</v>
      </c>
      <c r="V95" s="8" t="str">
        <f>IF(Table13[[#This Row],[BMI]]&lt;=18.5,"Underweight",IF(Table13[[#This Row],[BMI]]&lt;=24.9,"Normal",IF(Table13[[#This Row],[BMI]]&lt;=29.9,"Overweight",IF(Table13[[#This Row],[BMI]]&lt;=39,"Obese","Severly Obese"))))</f>
        <v>Underweight</v>
      </c>
      <c r="W95" s="18">
        <v>15.36</v>
      </c>
    </row>
    <row r="96" spans="6:23" x14ac:dyDescent="0.3">
      <c r="F96" s="17">
        <v>41</v>
      </c>
      <c r="G96" s="8" t="str">
        <f>IF(Table13[[#This Row],[Age]]&lt;25,"18-24",IF(Table13[[#This Row],[Age]]&lt;35,"25-34",IF(Table13[[#This Row],[Age]]&lt;45,"35-44",IF(Table13[[#This Row],[Age]]&lt;55,"45-54","55-64"))))</f>
        <v>35-44</v>
      </c>
      <c r="H96" s="8" t="s">
        <v>19</v>
      </c>
      <c r="I96" s="8">
        <v>40</v>
      </c>
      <c r="J96" s="8">
        <v>1.77</v>
      </c>
      <c r="K96" s="8">
        <v>176</v>
      </c>
      <c r="L96" s="8">
        <v>148</v>
      </c>
      <c r="M96" s="8">
        <v>65</v>
      </c>
      <c r="N96" s="8">
        <v>1.03</v>
      </c>
      <c r="O96" s="8">
        <v>1238</v>
      </c>
      <c r="P96" s="8" t="s">
        <v>22</v>
      </c>
      <c r="Q96" s="8" t="str">
        <f>_xlfn.IFS(AND(Table13[[#This Row],[Gender]]="female",R96&lt;20),"Athletes",AND(Table13[[#This Row],[Gender]]="female",R96&lt;24),"Fitnesss",AND(Table13[[#This Row],[Gender]]="female",R96&lt;31),"Acceptable",AND(Table13[[#This Row],[Gender]]="female",R96&lt;40),"Obese",AND(Table13[[#This Row],[Gender]]="male",R96&lt;13),"Athletes",AND(Table13[[#This Row],[Gender]]="male",R96&lt;17),"Fitnesss",AND(Table13[[#This Row],[Gender]]="male",R96&lt;24.9),"Acceptable",AND(Table13[[#This Row],[Gender]]="male",R96&lt;40),"Obese",AND(Table13[[#This Row],[Gender]]="others",R96&lt;20),"Athletes",AND(Table13[[#This Row],[Gender]]="others",R96&lt;24),"Fitnesss",AND(Table13[[#This Row],[Gender]]="others",R96&lt;31),"Acceptable",AND(Table13[[#This Row],[Gender]]="others",R96&lt;40),"Obese")</f>
        <v>Athletes</v>
      </c>
      <c r="R96" s="8">
        <v>11.6</v>
      </c>
      <c r="S96" s="8">
        <v>1.9</v>
      </c>
      <c r="T96" s="8">
        <v>5</v>
      </c>
      <c r="U96" s="8">
        <v>1</v>
      </c>
      <c r="V96" s="8" t="str">
        <f>IF(Table13[[#This Row],[BMI]]&lt;=18.5,"Underweight",IF(Table13[[#This Row],[BMI]]&lt;=24.9,"Normal",IF(Table13[[#This Row],[BMI]]&lt;=29.9,"Overweight",IF(Table13[[#This Row],[BMI]]&lt;=39,"Obese","Severly Obese"))))</f>
        <v>Normal</v>
      </c>
      <c r="W96" s="18">
        <v>22.98</v>
      </c>
    </row>
    <row r="97" spans="6:23" x14ac:dyDescent="0.3">
      <c r="F97" s="17">
        <v>41</v>
      </c>
      <c r="G97" s="8" t="str">
        <f>IF(Table13[[#This Row],[Age]]&lt;25,"18-24",IF(Table13[[#This Row],[Age]]&lt;35,"25-34",IF(Table13[[#This Row],[Age]]&lt;45,"35-44",IF(Table13[[#This Row],[Age]]&lt;55,"45-54","55-64"))))</f>
        <v>35-44</v>
      </c>
      <c r="H97" s="8" t="s">
        <v>17</v>
      </c>
      <c r="I97" s="8">
        <v>63.7</v>
      </c>
      <c r="J97" s="8">
        <v>1.93</v>
      </c>
      <c r="K97" s="8">
        <v>195</v>
      </c>
      <c r="L97" s="8">
        <v>155</v>
      </c>
      <c r="M97" s="8">
        <v>61</v>
      </c>
      <c r="N97" s="8">
        <v>1.18</v>
      </c>
      <c r="O97" s="8">
        <v>1064</v>
      </c>
      <c r="P97" s="8" t="s">
        <v>21</v>
      </c>
      <c r="Q97" s="8" t="str">
        <f>_xlfn.IFS(AND(Table13[[#This Row],[Gender]]="female",R97&lt;20),"Athletes",AND(Table13[[#This Row],[Gender]]="female",R97&lt;24),"Fitnesss",AND(Table13[[#This Row],[Gender]]="female",R97&lt;31),"Acceptable",AND(Table13[[#This Row],[Gender]]="female",R97&lt;40),"Obese",AND(Table13[[#This Row],[Gender]]="male",R97&lt;13),"Athletes",AND(Table13[[#This Row],[Gender]]="male",R97&lt;17),"Fitnesss",AND(Table13[[#This Row],[Gender]]="male",R97&lt;24.9),"Acceptable",AND(Table13[[#This Row],[Gender]]="male",R97&lt;40),"Obese",AND(Table13[[#This Row],[Gender]]="others",R97&lt;20),"Athletes",AND(Table13[[#This Row],[Gender]]="others",R97&lt;24),"Fitnesss",AND(Table13[[#This Row],[Gender]]="others",R97&lt;31),"Acceptable",AND(Table13[[#This Row],[Gender]]="others",R97&lt;40),"Obese")</f>
        <v>Fitnesss</v>
      </c>
      <c r="R97" s="8">
        <v>21.2</v>
      </c>
      <c r="S97" s="8">
        <v>3.4</v>
      </c>
      <c r="T97" s="8">
        <v>4</v>
      </c>
      <c r="U97" s="8">
        <v>1</v>
      </c>
      <c r="V97" s="8" t="str">
        <f>IF(Table13[[#This Row],[BMI]]&lt;=18.5,"Underweight",IF(Table13[[#This Row],[BMI]]&lt;=24.9,"Normal",IF(Table13[[#This Row],[BMI]]&lt;=29.9,"Overweight",IF(Table13[[#This Row],[BMI]]&lt;=39,"Obese","Severly Obese"))))</f>
        <v>Underweight</v>
      </c>
      <c r="W97" s="18">
        <v>15.76</v>
      </c>
    </row>
    <row r="98" spans="6:23" x14ac:dyDescent="0.3">
      <c r="F98" s="17">
        <v>31</v>
      </c>
      <c r="G98" s="8" t="str">
        <f>IF(Table13[[#This Row],[Age]]&lt;25,"18-24",IF(Table13[[#This Row],[Age]]&lt;35,"25-34",IF(Table13[[#This Row],[Age]]&lt;45,"35-44",IF(Table13[[#This Row],[Age]]&lt;55,"45-54","55-64"))))</f>
        <v>25-34</v>
      </c>
      <c r="H98" s="8" t="s">
        <v>17</v>
      </c>
      <c r="I98" s="8">
        <v>100</v>
      </c>
      <c r="J98" s="8">
        <v>1.75</v>
      </c>
      <c r="K98" s="8">
        <v>190</v>
      </c>
      <c r="L98" s="8">
        <v>169</v>
      </c>
      <c r="M98" s="8">
        <v>67</v>
      </c>
      <c r="N98" s="8">
        <v>1.46</v>
      </c>
      <c r="O98" s="8">
        <v>1573</v>
      </c>
      <c r="P98" s="8" t="s">
        <v>21</v>
      </c>
      <c r="Q98" s="8" t="str">
        <f>_xlfn.IFS(AND(Table13[[#This Row],[Gender]]="female",R98&lt;20),"Athletes",AND(Table13[[#This Row],[Gender]]="female",R98&lt;24),"Fitnesss",AND(Table13[[#This Row],[Gender]]="female",R98&lt;31),"Acceptable",AND(Table13[[#This Row],[Gender]]="female",R98&lt;40),"Obese",AND(Table13[[#This Row],[Gender]]="male",R98&lt;13),"Athletes",AND(Table13[[#This Row],[Gender]]="male",R98&lt;17),"Fitnesss",AND(Table13[[#This Row],[Gender]]="male",R98&lt;24.9),"Acceptable",AND(Table13[[#This Row],[Gender]]="male",R98&lt;40),"Obese",AND(Table13[[#This Row],[Gender]]="others",R98&lt;20),"Athletes",AND(Table13[[#This Row],[Gender]]="others",R98&lt;24),"Fitnesss",AND(Table13[[#This Row],[Gender]]="others",R98&lt;31),"Acceptable",AND(Table13[[#This Row],[Gender]]="others",R98&lt;40),"Obese")</f>
        <v>Fitnesss</v>
      </c>
      <c r="R98" s="8">
        <v>20.8</v>
      </c>
      <c r="S98" s="8">
        <v>3.4</v>
      </c>
      <c r="T98" s="8">
        <v>4</v>
      </c>
      <c r="U98" s="8">
        <v>2</v>
      </c>
      <c r="V98" s="8" t="str">
        <f>IF(Table13[[#This Row],[BMI]]&lt;=18.5,"Underweight",IF(Table13[[#This Row],[BMI]]&lt;=24.9,"Normal",IF(Table13[[#This Row],[BMI]]&lt;=29.9,"Overweight",IF(Table13[[#This Row],[BMI]]&lt;=39,"Obese","Severly Obese"))))</f>
        <v>Underweight</v>
      </c>
      <c r="W98" s="18"/>
    </row>
    <row r="99" spans="6:23" x14ac:dyDescent="0.3">
      <c r="F99" s="17">
        <v>20</v>
      </c>
      <c r="G99" s="8" t="str">
        <f>IF(Table13[[#This Row],[Age]]&lt;25,"18-24",IF(Table13[[#This Row],[Age]]&lt;35,"25-34",IF(Table13[[#This Row],[Age]]&lt;45,"35-44",IF(Table13[[#This Row],[Age]]&lt;55,"45-54","55-64"))))</f>
        <v>18-24</v>
      </c>
      <c r="H99" s="8" t="s">
        <v>19</v>
      </c>
      <c r="I99" s="8">
        <v>45</v>
      </c>
      <c r="J99" s="8">
        <v>1.68</v>
      </c>
      <c r="K99" s="8">
        <v>171</v>
      </c>
      <c r="L99" s="8">
        <v>154</v>
      </c>
      <c r="M99" s="8">
        <v>74</v>
      </c>
      <c r="N99" s="8">
        <v>1.5</v>
      </c>
      <c r="O99" s="8">
        <v>1692</v>
      </c>
      <c r="P99" s="8" t="s">
        <v>22</v>
      </c>
      <c r="Q99" s="8" t="str">
        <f>_xlfn.IFS(AND(Table13[[#This Row],[Gender]]="female",R99&lt;20),"Athletes",AND(Table13[[#This Row],[Gender]]="female",R99&lt;24),"Fitnesss",AND(Table13[[#This Row],[Gender]]="female",R99&lt;31),"Acceptable",AND(Table13[[#This Row],[Gender]]="female",R99&lt;40),"Obese",AND(Table13[[#This Row],[Gender]]="male",R99&lt;13),"Athletes",AND(Table13[[#This Row],[Gender]]="male",R99&lt;17),"Fitnesss",AND(Table13[[#This Row],[Gender]]="male",R99&lt;24.9),"Acceptable",AND(Table13[[#This Row],[Gender]]="male",R99&lt;40),"Obese",AND(Table13[[#This Row],[Gender]]="others",R99&lt;20),"Athletes",AND(Table13[[#This Row],[Gender]]="others",R99&lt;24),"Fitnesss",AND(Table13[[#This Row],[Gender]]="others",R99&lt;31),"Acceptable",AND(Table13[[#This Row],[Gender]]="others",R99&lt;40),"Obese")</f>
        <v>Athletes</v>
      </c>
      <c r="R99" s="8">
        <v>10</v>
      </c>
      <c r="S99" s="8">
        <v>2.4</v>
      </c>
      <c r="T99" s="8">
        <v>4</v>
      </c>
      <c r="U99" s="8">
        <v>1</v>
      </c>
      <c r="V99" s="8" t="str">
        <f>IF(Table13[[#This Row],[BMI]]&lt;=18.5,"Underweight",IF(Table13[[#This Row],[BMI]]&lt;=24.9,"Normal",IF(Table13[[#This Row],[BMI]]&lt;=29.9,"Overweight",IF(Table13[[#This Row],[BMI]]&lt;=39,"Obese","Severly Obese"))))</f>
        <v>Underweight</v>
      </c>
      <c r="W99" s="18">
        <v>12.32</v>
      </c>
    </row>
    <row r="100" spans="6:23" x14ac:dyDescent="0.3">
      <c r="F100" s="17">
        <v>26</v>
      </c>
      <c r="G100" s="8" t="str">
        <f>IF(Table13[[#This Row],[Age]]&lt;25,"18-24",IF(Table13[[#This Row],[Age]]&lt;35,"25-34",IF(Table13[[#This Row],[Age]]&lt;45,"35-44",IF(Table13[[#This Row],[Age]]&lt;55,"45-54","55-64"))))</f>
        <v>25-34</v>
      </c>
      <c r="H100" s="8" t="s">
        <v>19</v>
      </c>
      <c r="I100" s="8">
        <v>47.1</v>
      </c>
      <c r="J100" s="8">
        <v>1.61</v>
      </c>
      <c r="K100" s="8">
        <v>189</v>
      </c>
      <c r="L100" s="8">
        <v>138</v>
      </c>
      <c r="M100" s="8">
        <v>52</v>
      </c>
      <c r="N100" s="8">
        <v>1.26</v>
      </c>
      <c r="O100" s="8">
        <v>1095</v>
      </c>
      <c r="P100" s="8" t="s">
        <v>22</v>
      </c>
      <c r="Q100" s="8" t="str">
        <f>_xlfn.IFS(AND(Table13[[#This Row],[Gender]]="female",R100&lt;20),"Athletes",AND(Table13[[#This Row],[Gender]]="female",R100&lt;24),"Fitnesss",AND(Table13[[#This Row],[Gender]]="female",R100&lt;31),"Acceptable",AND(Table13[[#This Row],[Gender]]="female",R100&lt;40),"Obese",AND(Table13[[#This Row],[Gender]]="male",R100&lt;13),"Athletes",AND(Table13[[#This Row],[Gender]]="male",R100&lt;17),"Fitnesss",AND(Table13[[#This Row],[Gender]]="male",R100&lt;24.9),"Acceptable",AND(Table13[[#This Row],[Gender]]="male",R100&lt;40),"Obese",AND(Table13[[#This Row],[Gender]]="others",R100&lt;20),"Athletes",AND(Table13[[#This Row],[Gender]]="others",R100&lt;24),"Fitnesss",AND(Table13[[#This Row],[Gender]]="others",R100&lt;31),"Acceptable",AND(Table13[[#This Row],[Gender]]="others",R100&lt;40),"Obese")</f>
        <v>Acceptable</v>
      </c>
      <c r="R100" s="8">
        <v>19.3</v>
      </c>
      <c r="S100" s="8">
        <v>3.6</v>
      </c>
      <c r="T100" s="8">
        <v>3</v>
      </c>
      <c r="U100" s="8">
        <v>3</v>
      </c>
      <c r="V100" s="8" t="str">
        <f>IF(Table13[[#This Row],[BMI]]&lt;=18.5,"Underweight",IF(Table13[[#This Row],[BMI]]&lt;=24.9,"Normal",IF(Table13[[#This Row],[BMI]]&lt;=29.9,"Overweight",IF(Table13[[#This Row],[BMI]]&lt;=39,"Obese","Severly Obese"))))</f>
        <v>Obese</v>
      </c>
      <c r="W100" s="18">
        <v>29.91</v>
      </c>
    </row>
    <row r="101" spans="6:23" x14ac:dyDescent="0.3">
      <c r="F101" s="17">
        <v>37</v>
      </c>
      <c r="G101" s="8" t="str">
        <f>IF(Table13[[#This Row],[Age]]&lt;25,"18-24",IF(Table13[[#This Row],[Age]]&lt;35,"25-34",IF(Table13[[#This Row],[Age]]&lt;45,"35-44",IF(Table13[[#This Row],[Age]]&lt;55,"45-54","55-64"))))</f>
        <v>35-44</v>
      </c>
      <c r="H101" s="8" t="s">
        <v>17</v>
      </c>
      <c r="I101" s="8">
        <v>72.099999999999994</v>
      </c>
      <c r="J101" s="8">
        <v>1.83</v>
      </c>
      <c r="K101" s="8">
        <v>164</v>
      </c>
      <c r="L101" s="8">
        <v>152</v>
      </c>
      <c r="M101" s="8">
        <v>58</v>
      </c>
      <c r="N101" s="8">
        <v>1.58</v>
      </c>
      <c r="O101" s="8">
        <v>1091</v>
      </c>
      <c r="P101" s="8" t="s">
        <v>20</v>
      </c>
      <c r="Q101" s="8" t="str">
        <f>_xlfn.IFS(AND(Table13[[#This Row],[Gender]]="female",R101&lt;20),"Athletes",AND(Table13[[#This Row],[Gender]]="female",R101&lt;24),"Fitnesss",AND(Table13[[#This Row],[Gender]]="female",R101&lt;31),"Acceptable",AND(Table13[[#This Row],[Gender]]="female",R101&lt;40),"Obese",AND(Table13[[#This Row],[Gender]]="male",R101&lt;13),"Athletes",AND(Table13[[#This Row],[Gender]]="male",R101&lt;17),"Fitnesss",AND(Table13[[#This Row],[Gender]]="male",R101&lt;24.9),"Acceptable",AND(Table13[[#This Row],[Gender]]="male",R101&lt;40),"Obese",AND(Table13[[#This Row],[Gender]]="others",R101&lt;20),"Athletes",AND(Table13[[#This Row],[Gender]]="others",R101&lt;24),"Fitnesss",AND(Table13[[#This Row],[Gender]]="others",R101&lt;31),"Acceptable",AND(Table13[[#This Row],[Gender]]="others",R101&lt;40),"Obese")</f>
        <v>Obese</v>
      </c>
      <c r="R101" s="8">
        <v>34.4</v>
      </c>
      <c r="S101" s="8">
        <v>3.3</v>
      </c>
      <c r="T101" s="8">
        <v>4</v>
      </c>
      <c r="U101" s="8">
        <v>2</v>
      </c>
      <c r="V101" s="8" t="str">
        <f>IF(Table13[[#This Row],[BMI]]&lt;=18.5,"Underweight",IF(Table13[[#This Row],[BMI]]&lt;=24.9,"Normal",IF(Table13[[#This Row],[BMI]]&lt;=29.9,"Overweight",IF(Table13[[#This Row],[BMI]]&lt;=39,"Obese","Severly Obese"))))</f>
        <v>Underweight</v>
      </c>
      <c r="W101" s="18">
        <v>16.920000000000002</v>
      </c>
    </row>
    <row r="102" spans="6:23" x14ac:dyDescent="0.3">
      <c r="F102" s="17">
        <v>59</v>
      </c>
      <c r="G102" s="8" t="str">
        <f>IF(Table13[[#This Row],[Age]]&lt;25,"18-24",IF(Table13[[#This Row],[Age]]&lt;35,"25-34",IF(Table13[[#This Row],[Age]]&lt;45,"35-44",IF(Table13[[#This Row],[Age]]&lt;55,"45-54","55-64"))))</f>
        <v>55-64</v>
      </c>
      <c r="H102" s="8" t="s">
        <v>19</v>
      </c>
      <c r="I102" s="8">
        <v>57.5</v>
      </c>
      <c r="J102" s="8">
        <v>1.81</v>
      </c>
      <c r="K102" s="8">
        <v>175</v>
      </c>
      <c r="L102" s="8">
        <v>169</v>
      </c>
      <c r="M102" s="8">
        <v>58</v>
      </c>
      <c r="N102" s="8">
        <v>1.47</v>
      </c>
      <c r="O102" s="8">
        <v>1349</v>
      </c>
      <c r="P102" s="8" t="s">
        <v>20</v>
      </c>
      <c r="Q102" s="8" t="str">
        <f>_xlfn.IFS(AND(Table13[[#This Row],[Gender]]="female",R102&lt;20),"Athletes",AND(Table13[[#This Row],[Gender]]="female",R102&lt;24),"Fitnesss",AND(Table13[[#This Row],[Gender]]="female",R102&lt;31),"Acceptable",AND(Table13[[#This Row],[Gender]]="female",R102&lt;40),"Obese",AND(Table13[[#This Row],[Gender]]="male",R102&lt;13),"Athletes",AND(Table13[[#This Row],[Gender]]="male",R102&lt;17),"Fitnesss",AND(Table13[[#This Row],[Gender]]="male",R102&lt;24.9),"Acceptable",AND(Table13[[#This Row],[Gender]]="male",R102&lt;40),"Obese",AND(Table13[[#This Row],[Gender]]="others",R102&lt;20),"Athletes",AND(Table13[[#This Row],[Gender]]="others",R102&lt;24),"Fitnesss",AND(Table13[[#This Row],[Gender]]="others",R102&lt;31),"Acceptable",AND(Table13[[#This Row],[Gender]]="others",R102&lt;40),"Obese")</f>
        <v>Acceptable</v>
      </c>
      <c r="R102" s="8">
        <v>24.7</v>
      </c>
      <c r="S102" s="8">
        <v>2.5</v>
      </c>
      <c r="T102" s="8">
        <v>5</v>
      </c>
      <c r="U102" s="8">
        <v>2</v>
      </c>
      <c r="V102" s="8" t="str">
        <f>IF(Table13[[#This Row],[BMI]]&lt;=18.5,"Underweight",IF(Table13[[#This Row],[BMI]]&lt;=24.9,"Normal",IF(Table13[[#This Row],[BMI]]&lt;=29.9,"Overweight",IF(Table13[[#This Row],[BMI]]&lt;=39,"Obese","Severly Obese"))))</f>
        <v>Underweight</v>
      </c>
      <c r="W102" s="18">
        <v>12.32</v>
      </c>
    </row>
    <row r="103" spans="6:23" x14ac:dyDescent="0.3">
      <c r="F103" s="17">
        <v>22</v>
      </c>
      <c r="G103" s="8" t="str">
        <f>IF(Table13[[#This Row],[Age]]&lt;25,"18-24",IF(Table13[[#This Row],[Age]]&lt;35,"25-34",IF(Table13[[#This Row],[Age]]&lt;45,"35-44",IF(Table13[[#This Row],[Age]]&lt;55,"45-54","55-64"))))</f>
        <v>18-24</v>
      </c>
      <c r="H103" s="8" t="s">
        <v>19</v>
      </c>
      <c r="I103" s="8">
        <v>54.3</v>
      </c>
      <c r="J103" s="8">
        <v>1.85</v>
      </c>
      <c r="K103" s="8">
        <v>165</v>
      </c>
      <c r="L103" s="8">
        <v>144</v>
      </c>
      <c r="M103" s="8">
        <v>53</v>
      </c>
      <c r="N103" s="8">
        <v>2</v>
      </c>
      <c r="O103" s="8">
        <v>1740</v>
      </c>
      <c r="P103" s="8" t="s">
        <v>20</v>
      </c>
      <c r="Q103" s="8" t="str">
        <f>_xlfn.IFS(AND(Table13[[#This Row],[Gender]]="female",R103&lt;20),"Athletes",AND(Table13[[#This Row],[Gender]]="female",R103&lt;24),"Fitnesss",AND(Table13[[#This Row],[Gender]]="female",R103&lt;31),"Acceptable",AND(Table13[[#This Row],[Gender]]="female",R103&lt;40),"Obese",AND(Table13[[#This Row],[Gender]]="male",R103&lt;13),"Athletes",AND(Table13[[#This Row],[Gender]]="male",R103&lt;17),"Fitnesss",AND(Table13[[#This Row],[Gender]]="male",R103&lt;24.9),"Acceptable",AND(Table13[[#This Row],[Gender]]="male",R103&lt;40),"Obese",AND(Table13[[#This Row],[Gender]]="others",R103&lt;20),"Athletes",AND(Table13[[#This Row],[Gender]]="others",R103&lt;24),"Fitnesss",AND(Table13[[#This Row],[Gender]]="others",R103&lt;31),"Acceptable",AND(Table13[[#This Row],[Gender]]="others",R103&lt;40),"Obese")</f>
        <v>Obese</v>
      </c>
      <c r="R103" s="8">
        <v>26.6</v>
      </c>
      <c r="S103" s="8">
        <v>3.7</v>
      </c>
      <c r="T103" s="8">
        <v>4</v>
      </c>
      <c r="U103" s="8">
        <v>2</v>
      </c>
      <c r="V103" s="8" t="str">
        <f>IF(Table13[[#This Row],[BMI]]&lt;=18.5,"Underweight",IF(Table13[[#This Row],[BMI]]&lt;=24.9,"Normal",IF(Table13[[#This Row],[BMI]]&lt;=29.9,"Overweight",IF(Table13[[#This Row],[BMI]]&lt;=39,"Obese","Severly Obese"))))</f>
        <v>Normal</v>
      </c>
      <c r="W103" s="18">
        <v>20.04</v>
      </c>
    </row>
    <row r="104" spans="6:23" x14ac:dyDescent="0.3">
      <c r="F104" s="17">
        <v>25</v>
      </c>
      <c r="G104" s="8" t="str">
        <f>IF(Table13[[#This Row],[Age]]&lt;25,"18-24",IF(Table13[[#This Row],[Age]]&lt;35,"25-34",IF(Table13[[#This Row],[Age]]&lt;45,"35-44",IF(Table13[[#This Row],[Age]]&lt;55,"45-54","55-64"))))</f>
        <v>25-34</v>
      </c>
      <c r="H104" s="8" t="s">
        <v>19</v>
      </c>
      <c r="I104" s="8">
        <v>63.9</v>
      </c>
      <c r="J104" s="8">
        <v>1.67</v>
      </c>
      <c r="K104" s="8">
        <v>178</v>
      </c>
      <c r="L104" s="8">
        <v>144</v>
      </c>
      <c r="M104" s="8">
        <v>61</v>
      </c>
      <c r="N104" s="8">
        <v>1.56</v>
      </c>
      <c r="O104" s="8">
        <v>868</v>
      </c>
      <c r="P104" s="8" t="s">
        <v>18</v>
      </c>
      <c r="Q104" s="8" t="str">
        <f>_xlfn.IFS(AND(Table13[[#This Row],[Gender]]="female",R104&lt;20),"Athletes",AND(Table13[[#This Row],[Gender]]="female",R104&lt;24),"Fitnesss",AND(Table13[[#This Row],[Gender]]="female",R104&lt;31),"Acceptable",AND(Table13[[#This Row],[Gender]]="female",R104&lt;40),"Obese",AND(Table13[[#This Row],[Gender]]="male",R104&lt;13),"Athletes",AND(Table13[[#This Row],[Gender]]="male",R104&lt;17),"Fitnesss",AND(Table13[[#This Row],[Gender]]="male",R104&lt;24.9),"Acceptable",AND(Table13[[#This Row],[Gender]]="male",R104&lt;40),"Obese",AND(Table13[[#This Row],[Gender]]="others",R104&lt;20),"Athletes",AND(Table13[[#This Row],[Gender]]="others",R104&lt;24),"Fitnesss",AND(Table13[[#This Row],[Gender]]="others",R104&lt;31),"Acceptable",AND(Table13[[#This Row],[Gender]]="others",R104&lt;40),"Obese")</f>
        <v>Acceptable</v>
      </c>
      <c r="R104" s="8">
        <v>24.8</v>
      </c>
      <c r="S104" s="8">
        <v>2.4</v>
      </c>
      <c r="T104" s="8">
        <v>3</v>
      </c>
      <c r="U104" s="8">
        <v>2</v>
      </c>
      <c r="V104" s="8" t="str">
        <f>IF(Table13[[#This Row],[BMI]]&lt;=18.5,"Underweight",IF(Table13[[#This Row],[BMI]]&lt;=24.9,"Normal",IF(Table13[[#This Row],[BMI]]&lt;=29.9,"Overweight",IF(Table13[[#This Row],[BMI]]&lt;=39,"Obese","Severly Obese"))))</f>
        <v>Normal</v>
      </c>
      <c r="W104" s="18">
        <v>24.51</v>
      </c>
    </row>
    <row r="105" spans="6:23" x14ac:dyDescent="0.3">
      <c r="F105" s="17">
        <v>32</v>
      </c>
      <c r="G105" s="8" t="str">
        <f>IF(Table13[[#This Row],[Age]]&lt;25,"18-24",IF(Table13[[#This Row],[Age]]&lt;35,"25-34",IF(Table13[[#This Row],[Age]]&lt;45,"35-44",IF(Table13[[#This Row],[Age]]&lt;55,"45-54","55-64"))))</f>
        <v>25-34</v>
      </c>
      <c r="H105" s="8" t="s">
        <v>19</v>
      </c>
      <c r="I105" s="8">
        <v>56.6</v>
      </c>
      <c r="J105" s="8">
        <v>2</v>
      </c>
      <c r="K105" s="8">
        <v>190</v>
      </c>
      <c r="L105" s="8">
        <v>123</v>
      </c>
      <c r="M105" s="8">
        <v>65</v>
      </c>
      <c r="N105" s="8">
        <v>1.25</v>
      </c>
      <c r="O105" s="8">
        <v>1309</v>
      </c>
      <c r="P105" s="8" t="s">
        <v>21</v>
      </c>
      <c r="Q105" s="8" t="str">
        <f>_xlfn.IFS(AND(Table13[[#This Row],[Gender]]="female",R105&lt;20),"Athletes",AND(Table13[[#This Row],[Gender]]="female",R105&lt;24),"Fitnesss",AND(Table13[[#This Row],[Gender]]="female",R105&lt;31),"Acceptable",AND(Table13[[#This Row],[Gender]]="female",R105&lt;40),"Obese",AND(Table13[[#This Row],[Gender]]="male",R105&lt;13),"Athletes",AND(Table13[[#This Row],[Gender]]="male",R105&lt;17),"Fitnesss",AND(Table13[[#This Row],[Gender]]="male",R105&lt;24.9),"Acceptable",AND(Table13[[#This Row],[Gender]]="male",R105&lt;40),"Obese",AND(Table13[[#This Row],[Gender]]="others",R105&lt;20),"Athletes",AND(Table13[[#This Row],[Gender]]="others",R105&lt;24),"Fitnesss",AND(Table13[[#This Row],[Gender]]="others",R105&lt;31),"Acceptable",AND(Table13[[#This Row],[Gender]]="others",R105&lt;40),"Obese")</f>
        <v>Fitnesss</v>
      </c>
      <c r="R105" s="8">
        <v>14.7</v>
      </c>
      <c r="S105" s="8">
        <v>3.5</v>
      </c>
      <c r="T105" s="8">
        <v>4</v>
      </c>
      <c r="U105" s="8">
        <v>3</v>
      </c>
      <c r="V105" s="8" t="str">
        <f>IF(Table13[[#This Row],[BMI]]&lt;=18.5,"Underweight",IF(Table13[[#This Row],[BMI]]&lt;=24.9,"Normal",IF(Table13[[#This Row],[BMI]]&lt;=29.9,"Overweight",IF(Table13[[#This Row],[BMI]]&lt;=39,"Obese","Severly Obese"))))</f>
        <v>Underweight</v>
      </c>
      <c r="W105" s="18">
        <v>17.829999999999998</v>
      </c>
    </row>
    <row r="106" spans="6:23" x14ac:dyDescent="0.3">
      <c r="F106" s="17">
        <v>37</v>
      </c>
      <c r="G106" s="8" t="str">
        <f>IF(Table13[[#This Row],[Age]]&lt;25,"18-24",IF(Table13[[#This Row],[Age]]&lt;35,"25-34",IF(Table13[[#This Row],[Age]]&lt;45,"35-44",IF(Table13[[#This Row],[Age]]&lt;55,"45-54","55-64"))))</f>
        <v>35-44</v>
      </c>
      <c r="H106" s="8" t="s">
        <v>17</v>
      </c>
      <c r="I106" s="8">
        <v>68.900000000000006</v>
      </c>
      <c r="J106" s="8">
        <v>1.65</v>
      </c>
      <c r="K106" s="8">
        <v>171</v>
      </c>
      <c r="L106" s="8">
        <v>132</v>
      </c>
      <c r="M106" s="8">
        <v>50</v>
      </c>
      <c r="N106" s="8">
        <v>1.19</v>
      </c>
      <c r="O106" s="8">
        <v>767</v>
      </c>
      <c r="P106" s="8" t="s">
        <v>18</v>
      </c>
      <c r="Q106" s="8" t="str">
        <f>_xlfn.IFS(AND(Table13[[#This Row],[Gender]]="female",R106&lt;20),"Athletes",AND(Table13[[#This Row],[Gender]]="female",R106&lt;24),"Fitnesss",AND(Table13[[#This Row],[Gender]]="female",R106&lt;31),"Acceptable",AND(Table13[[#This Row],[Gender]]="female",R106&lt;40),"Obese",AND(Table13[[#This Row],[Gender]]="male",R106&lt;13),"Athletes",AND(Table13[[#This Row],[Gender]]="male",R106&lt;17),"Fitnesss",AND(Table13[[#This Row],[Gender]]="male",R106&lt;24.9),"Acceptable",AND(Table13[[#This Row],[Gender]]="male",R106&lt;40),"Obese",AND(Table13[[#This Row],[Gender]]="others",R106&lt;20),"Athletes",AND(Table13[[#This Row],[Gender]]="others",R106&lt;24),"Fitnesss",AND(Table13[[#This Row],[Gender]]="others",R106&lt;31),"Acceptable",AND(Table13[[#This Row],[Gender]]="others",R106&lt;40),"Obese")</f>
        <v>Fitnesss</v>
      </c>
      <c r="R106" s="8">
        <v>23</v>
      </c>
      <c r="S106" s="8"/>
      <c r="T106" s="8">
        <v>3</v>
      </c>
      <c r="U106" s="8">
        <v>3</v>
      </c>
      <c r="V106" s="8" t="str">
        <f>IF(Table13[[#This Row],[BMI]]&lt;=18.5,"Underweight",IF(Table13[[#This Row],[BMI]]&lt;=24.9,"Normal",IF(Table13[[#This Row],[BMI]]&lt;=29.9,"Overweight",IF(Table13[[#This Row],[BMI]]&lt;=39,"Obese","Severly Obese"))))</f>
        <v>Normal</v>
      </c>
      <c r="W106" s="18">
        <v>20.71</v>
      </c>
    </row>
    <row r="107" spans="6:23" x14ac:dyDescent="0.3">
      <c r="F107" s="17">
        <v>29</v>
      </c>
      <c r="G107" s="8" t="str">
        <f>IF(Table13[[#This Row],[Age]]&lt;25,"18-24",IF(Table13[[#This Row],[Age]]&lt;35,"25-34",IF(Table13[[#This Row],[Age]]&lt;45,"35-44",IF(Table13[[#This Row],[Age]]&lt;55,"45-54","55-64"))))</f>
        <v>25-34</v>
      </c>
      <c r="H107" s="8" t="s">
        <v>17</v>
      </c>
      <c r="I107" s="8">
        <v>95.3</v>
      </c>
      <c r="J107" s="8">
        <v>1.72</v>
      </c>
      <c r="K107" s="8">
        <v>190</v>
      </c>
      <c r="L107" s="8">
        <v>169</v>
      </c>
      <c r="M107" s="8">
        <v>74</v>
      </c>
      <c r="N107" s="8">
        <v>1.49</v>
      </c>
      <c r="O107" s="8">
        <v>733</v>
      </c>
      <c r="P107" s="8" t="s">
        <v>21</v>
      </c>
      <c r="Q107" s="8" t="str">
        <f>_xlfn.IFS(AND(Table13[[#This Row],[Gender]]="female",R107&lt;20),"Athletes",AND(Table13[[#This Row],[Gender]]="female",R107&lt;24),"Fitnesss",AND(Table13[[#This Row],[Gender]]="female",R107&lt;31),"Acceptable",AND(Table13[[#This Row],[Gender]]="female",R107&lt;40),"Obese",AND(Table13[[#This Row],[Gender]]="male",R107&lt;13),"Athletes",AND(Table13[[#This Row],[Gender]]="male",R107&lt;17),"Fitnesss",AND(Table13[[#This Row],[Gender]]="male",R107&lt;24.9),"Acceptable",AND(Table13[[#This Row],[Gender]]="male",R107&lt;40),"Obese",AND(Table13[[#This Row],[Gender]]="others",R107&lt;20),"Athletes",AND(Table13[[#This Row],[Gender]]="others",R107&lt;24),"Fitnesss",AND(Table13[[#This Row],[Gender]]="others",R107&lt;31),"Acceptable",AND(Table13[[#This Row],[Gender]]="others",R107&lt;40),"Obese")</f>
        <v>Acceptable</v>
      </c>
      <c r="R107" s="8">
        <v>29.2</v>
      </c>
      <c r="S107" s="8">
        <v>3.7</v>
      </c>
      <c r="T107" s="8">
        <v>5</v>
      </c>
      <c r="U107" s="8">
        <v>3</v>
      </c>
      <c r="V107" s="8" t="str">
        <f>IF(Table13[[#This Row],[BMI]]&lt;=18.5,"Underweight",IF(Table13[[#This Row],[BMI]]&lt;=24.9,"Normal",IF(Table13[[#This Row],[BMI]]&lt;=29.9,"Overweight",IF(Table13[[#This Row],[BMI]]&lt;=39,"Obese","Severly Obese"))))</f>
        <v>Normal</v>
      </c>
      <c r="W107" s="18">
        <v>20.059999999999999</v>
      </c>
    </row>
    <row r="108" spans="6:23" x14ac:dyDescent="0.3">
      <c r="F108" s="17">
        <v>30</v>
      </c>
      <c r="G108" s="8" t="str">
        <f>IF(Table13[[#This Row],[Age]]&lt;25,"18-24",IF(Table13[[#This Row],[Age]]&lt;35,"25-34",IF(Table13[[#This Row],[Age]]&lt;45,"35-44",IF(Table13[[#This Row],[Age]]&lt;55,"45-54","55-64"))))</f>
        <v>25-34</v>
      </c>
      <c r="H108" s="8" t="s">
        <v>17</v>
      </c>
      <c r="I108" s="8">
        <v>96.3</v>
      </c>
      <c r="J108" s="8">
        <v>2</v>
      </c>
      <c r="K108" s="8">
        <v>173</v>
      </c>
      <c r="L108" s="8">
        <v>136</v>
      </c>
      <c r="M108" s="8">
        <v>74</v>
      </c>
      <c r="N108" s="8">
        <v>2</v>
      </c>
      <c r="O108" s="8">
        <v>1095</v>
      </c>
      <c r="P108" s="8" t="s">
        <v>21</v>
      </c>
      <c r="Q108" s="8" t="str">
        <f>_xlfn.IFS(AND(Table13[[#This Row],[Gender]]="female",R108&lt;20),"Athletes",AND(Table13[[#This Row],[Gender]]="female",R108&lt;24),"Fitnesss",AND(Table13[[#This Row],[Gender]]="female",R108&lt;31),"Acceptable",AND(Table13[[#This Row],[Gender]]="female",R108&lt;40),"Obese",AND(Table13[[#This Row],[Gender]]="male",R108&lt;13),"Athletes",AND(Table13[[#This Row],[Gender]]="male",R108&lt;17),"Fitnesss",AND(Table13[[#This Row],[Gender]]="male",R108&lt;24.9),"Acceptable",AND(Table13[[#This Row],[Gender]]="male",R108&lt;40),"Obese",AND(Table13[[#This Row],[Gender]]="others",R108&lt;20),"Athletes",AND(Table13[[#This Row],[Gender]]="others",R108&lt;24),"Fitnesss",AND(Table13[[#This Row],[Gender]]="others",R108&lt;31),"Acceptable",AND(Table13[[#This Row],[Gender]]="others",R108&lt;40),"Obese")</f>
        <v>Fitnesss</v>
      </c>
      <c r="R108" s="8">
        <v>20.399999999999999</v>
      </c>
      <c r="S108" s="8">
        <v>1.5</v>
      </c>
      <c r="T108" s="8">
        <v>5</v>
      </c>
      <c r="U108" s="8">
        <v>2</v>
      </c>
      <c r="V108" s="8" t="str">
        <f>IF(Table13[[#This Row],[BMI]]&lt;=18.5,"Underweight",IF(Table13[[#This Row],[BMI]]&lt;=24.9,"Normal",IF(Table13[[#This Row],[BMI]]&lt;=29.9,"Overweight",IF(Table13[[#This Row],[BMI]]&lt;=39,"Obese","Severly Obese"))))</f>
        <v>Overweight</v>
      </c>
      <c r="W108" s="18">
        <v>25.83</v>
      </c>
    </row>
    <row r="109" spans="6:23" x14ac:dyDescent="0.3">
      <c r="F109" s="17">
        <v>28</v>
      </c>
      <c r="G109" s="8" t="str">
        <f>IF(Table13[[#This Row],[Age]]&lt;25,"18-24",IF(Table13[[#This Row],[Age]]&lt;35,"25-34",IF(Table13[[#This Row],[Age]]&lt;45,"35-44",IF(Table13[[#This Row],[Age]]&lt;55,"45-54","55-64"))))</f>
        <v>25-34</v>
      </c>
      <c r="H109" s="8" t="s">
        <v>19</v>
      </c>
      <c r="I109" s="8">
        <v>84.4</v>
      </c>
      <c r="J109" s="8">
        <v>1.74</v>
      </c>
      <c r="K109" s="8" t="s">
        <v>24</v>
      </c>
      <c r="L109" s="8">
        <v>142</v>
      </c>
      <c r="M109" s="8">
        <v>52</v>
      </c>
      <c r="N109" s="8">
        <v>1.45</v>
      </c>
      <c r="O109" s="8">
        <v>1392</v>
      </c>
      <c r="P109" s="8" t="s">
        <v>18</v>
      </c>
      <c r="Q109" s="8" t="str">
        <f>_xlfn.IFS(AND(Table13[[#This Row],[Gender]]="female",R109&lt;20),"Athletes",AND(Table13[[#This Row],[Gender]]="female",R109&lt;24),"Fitnesss",AND(Table13[[#This Row],[Gender]]="female",R109&lt;31),"Acceptable",AND(Table13[[#This Row],[Gender]]="female",R109&lt;40),"Obese",AND(Table13[[#This Row],[Gender]]="male",R109&lt;13),"Athletes",AND(Table13[[#This Row],[Gender]]="male",R109&lt;17),"Fitnesss",AND(Table13[[#This Row],[Gender]]="male",R109&lt;24.9),"Acceptable",AND(Table13[[#This Row],[Gender]]="male",R109&lt;40),"Obese",AND(Table13[[#This Row],[Gender]]="others",R109&lt;20),"Athletes",AND(Table13[[#This Row],[Gender]]="others",R109&lt;24),"Fitnesss",AND(Table13[[#This Row],[Gender]]="others",R109&lt;31),"Acceptable",AND(Table13[[#This Row],[Gender]]="others",R109&lt;40),"Obese")</f>
        <v>Acceptable</v>
      </c>
      <c r="R109" s="8">
        <v>22</v>
      </c>
      <c r="S109" s="8">
        <v>2.6</v>
      </c>
      <c r="T109" s="8">
        <v>2</v>
      </c>
      <c r="U109" s="8">
        <v>1</v>
      </c>
      <c r="V109" s="8" t="str">
        <f>IF(Table13[[#This Row],[BMI]]&lt;=18.5,"Underweight",IF(Table13[[#This Row],[BMI]]&lt;=24.9,"Normal",IF(Table13[[#This Row],[BMI]]&lt;=29.9,"Overweight",IF(Table13[[#This Row],[BMI]]&lt;=39,"Obese","Severly Obese"))))</f>
        <v>Obese</v>
      </c>
      <c r="W109" s="18">
        <v>34.01</v>
      </c>
    </row>
    <row r="110" spans="6:23" x14ac:dyDescent="0.3">
      <c r="F110" s="17">
        <v>33</v>
      </c>
      <c r="G110" s="8" t="str">
        <f>IF(Table13[[#This Row],[Age]]&lt;25,"18-24",IF(Table13[[#This Row],[Age]]&lt;35,"25-34",IF(Table13[[#This Row],[Age]]&lt;45,"35-44",IF(Table13[[#This Row],[Age]]&lt;55,"45-54","55-64"))))</f>
        <v>25-34</v>
      </c>
      <c r="H110" s="8" t="s">
        <v>19</v>
      </c>
      <c r="I110" s="8">
        <v>60.5</v>
      </c>
      <c r="J110" s="8">
        <v>1.54</v>
      </c>
      <c r="K110" s="8">
        <v>195</v>
      </c>
      <c r="L110" s="8">
        <v>126</v>
      </c>
      <c r="M110" s="8">
        <v>56</v>
      </c>
      <c r="N110" s="8">
        <v>1.27</v>
      </c>
      <c r="O110" s="8">
        <v>1237</v>
      </c>
      <c r="P110" s="8" t="s">
        <v>20</v>
      </c>
      <c r="Q110" s="8" t="str">
        <f>_xlfn.IFS(AND(Table13[[#This Row],[Gender]]="female",R110&lt;20),"Athletes",AND(Table13[[#This Row],[Gender]]="female",R110&lt;24),"Fitnesss",AND(Table13[[#This Row],[Gender]]="female",R110&lt;31),"Acceptable",AND(Table13[[#This Row],[Gender]]="female",R110&lt;40),"Obese",AND(Table13[[#This Row],[Gender]]="male",R110&lt;13),"Athletes",AND(Table13[[#This Row],[Gender]]="male",R110&lt;17),"Fitnesss",AND(Table13[[#This Row],[Gender]]="male",R110&lt;24.9),"Acceptable",AND(Table13[[#This Row],[Gender]]="male",R110&lt;40),"Obese",AND(Table13[[#This Row],[Gender]]="others",R110&lt;20),"Athletes",AND(Table13[[#This Row],[Gender]]="others",R110&lt;24),"Fitnesss",AND(Table13[[#This Row],[Gender]]="others",R110&lt;31),"Acceptable",AND(Table13[[#This Row],[Gender]]="others",R110&lt;40),"Obese")</f>
        <v>Obese</v>
      </c>
      <c r="R110" s="8">
        <v>29.1</v>
      </c>
      <c r="S110" s="8">
        <v>3.7</v>
      </c>
      <c r="T110" s="8">
        <v>4</v>
      </c>
      <c r="U110" s="8">
        <v>2</v>
      </c>
      <c r="V110" s="8" t="str">
        <f>IF(Table13[[#This Row],[BMI]]&lt;=18.5,"Underweight",IF(Table13[[#This Row],[BMI]]&lt;=24.9,"Normal",IF(Table13[[#This Row],[BMI]]&lt;=29.9,"Overweight",IF(Table13[[#This Row],[BMI]]&lt;=39,"Obese","Severly Obese"))))</f>
        <v>Normal</v>
      </c>
      <c r="W110" s="18">
        <v>21.23</v>
      </c>
    </row>
    <row r="111" spans="6:23" x14ac:dyDescent="0.3">
      <c r="F111" s="17">
        <v>48</v>
      </c>
      <c r="G111" s="8" t="str">
        <f>IF(Table13[[#This Row],[Age]]&lt;25,"18-24",IF(Table13[[#This Row],[Age]]&lt;35,"25-34",IF(Table13[[#This Row],[Age]]&lt;45,"35-44",IF(Table13[[#This Row],[Age]]&lt;55,"45-54","55-64"))))</f>
        <v>45-54</v>
      </c>
      <c r="H111" s="8" t="s">
        <v>17</v>
      </c>
      <c r="I111" s="8">
        <v>49.8</v>
      </c>
      <c r="J111" s="8">
        <v>1.69</v>
      </c>
      <c r="K111" s="8">
        <v>184</v>
      </c>
      <c r="L111" s="8">
        <v>143</v>
      </c>
      <c r="M111" s="8">
        <v>56</v>
      </c>
      <c r="N111" s="8">
        <v>1.37</v>
      </c>
      <c r="O111" s="8"/>
      <c r="P111" s="8" t="s">
        <v>18</v>
      </c>
      <c r="Q111" s="8" t="str">
        <f>_xlfn.IFS(AND(Table13[[#This Row],[Gender]]="female",R111&lt;20),"Athletes",AND(Table13[[#This Row],[Gender]]="female",R111&lt;24),"Fitnesss",AND(Table13[[#This Row],[Gender]]="female",R111&lt;31),"Acceptable",AND(Table13[[#This Row],[Gender]]="female",R111&lt;40),"Obese",AND(Table13[[#This Row],[Gender]]="male",R111&lt;13),"Athletes",AND(Table13[[#This Row],[Gender]]="male",R111&lt;17),"Fitnesss",AND(Table13[[#This Row],[Gender]]="male",R111&lt;24.9),"Acceptable",AND(Table13[[#This Row],[Gender]]="male",R111&lt;40),"Obese",AND(Table13[[#This Row],[Gender]]="others",R111&lt;20),"Athletes",AND(Table13[[#This Row],[Gender]]="others",R111&lt;24),"Fitnesss",AND(Table13[[#This Row],[Gender]]="others",R111&lt;31),"Acceptable",AND(Table13[[#This Row],[Gender]]="others",R111&lt;40),"Obese")</f>
        <v>Athletes</v>
      </c>
      <c r="R111" s="8">
        <v>17.7</v>
      </c>
      <c r="S111" s="8">
        <v>2.7</v>
      </c>
      <c r="T111" s="8">
        <v>3</v>
      </c>
      <c r="U111" s="8">
        <v>3</v>
      </c>
      <c r="V111" s="8" t="str">
        <f>IF(Table13[[#This Row],[BMI]]&lt;=18.5,"Underweight",IF(Table13[[#This Row],[BMI]]&lt;=24.9,"Normal",IF(Table13[[#This Row],[BMI]]&lt;=29.9,"Overweight",IF(Table13[[#This Row],[BMI]]&lt;=39,"Obese","Severly Obese"))))</f>
        <v>Overweight</v>
      </c>
      <c r="W111" s="18">
        <v>25.57</v>
      </c>
    </row>
    <row r="112" spans="6:23" x14ac:dyDescent="0.3">
      <c r="F112" s="17">
        <v>32</v>
      </c>
      <c r="G112" s="8" t="str">
        <f>IF(Table13[[#This Row],[Age]]&lt;25,"18-24",IF(Table13[[#This Row],[Age]]&lt;35,"25-34",IF(Table13[[#This Row],[Age]]&lt;45,"35-44",IF(Table13[[#This Row],[Age]]&lt;55,"45-54","55-64"))))</f>
        <v>25-34</v>
      </c>
      <c r="H112" s="8" t="s">
        <v>19</v>
      </c>
      <c r="I112" s="8">
        <v>47.2</v>
      </c>
      <c r="J112" s="8">
        <v>1.81</v>
      </c>
      <c r="K112" s="8">
        <v>187</v>
      </c>
      <c r="L112" s="8">
        <v>129</v>
      </c>
      <c r="M112" s="8">
        <v>18</v>
      </c>
      <c r="N112" s="8">
        <v>1.19</v>
      </c>
      <c r="O112" s="8">
        <v>919</v>
      </c>
      <c r="P112" s="8" t="s">
        <v>21</v>
      </c>
      <c r="Q112" s="8" t="str">
        <f>_xlfn.IFS(AND(Table13[[#This Row],[Gender]]="female",R112&lt;20),"Athletes",AND(Table13[[#This Row],[Gender]]="female",R112&lt;24),"Fitnesss",AND(Table13[[#This Row],[Gender]]="female",R112&lt;31),"Acceptable",AND(Table13[[#This Row],[Gender]]="female",R112&lt;40),"Obese",AND(Table13[[#This Row],[Gender]]="male",R112&lt;13),"Athletes",AND(Table13[[#This Row],[Gender]]="male",R112&lt;17),"Fitnesss",AND(Table13[[#This Row],[Gender]]="male",R112&lt;24.9),"Acceptable",AND(Table13[[#This Row],[Gender]]="male",R112&lt;40),"Obese",AND(Table13[[#This Row],[Gender]]="others",R112&lt;20),"Athletes",AND(Table13[[#This Row],[Gender]]="others",R112&lt;24),"Fitnesss",AND(Table13[[#This Row],[Gender]]="others",R112&lt;31),"Acceptable",AND(Table13[[#This Row],[Gender]]="others",R112&lt;40),"Obese")</f>
        <v>Obese</v>
      </c>
      <c r="R112" s="8">
        <v>30.5</v>
      </c>
      <c r="S112" s="8">
        <v>1.9</v>
      </c>
      <c r="T112" s="8">
        <v>4</v>
      </c>
      <c r="U112" s="8">
        <v>2</v>
      </c>
      <c r="V112" s="8" t="str">
        <f>IF(Table13[[#This Row],[BMI]]&lt;=18.5,"Underweight",IF(Table13[[#This Row],[BMI]]&lt;=24.9,"Normal",IF(Table13[[#This Row],[BMI]]&lt;=29.9,"Overweight",IF(Table13[[#This Row],[BMI]]&lt;=39,"Obese","Severly Obese"))))</f>
        <v>Obese</v>
      </c>
      <c r="W112" s="18">
        <v>31.5</v>
      </c>
    </row>
    <row r="113" spans="6:23" x14ac:dyDescent="0.3">
      <c r="F113" s="17">
        <v>54</v>
      </c>
      <c r="G113" s="8" t="str">
        <f>IF(Table13[[#This Row],[Age]]&lt;25,"18-24",IF(Table13[[#This Row],[Age]]&lt;35,"25-34",IF(Table13[[#This Row],[Age]]&lt;45,"35-44",IF(Table13[[#This Row],[Age]]&lt;55,"45-54","55-64"))))</f>
        <v>45-54</v>
      </c>
      <c r="H113" s="8" t="s">
        <v>23</v>
      </c>
      <c r="I113" s="8">
        <v>56.3</v>
      </c>
      <c r="J113" s="8">
        <v>1.59</v>
      </c>
      <c r="K113" s="8">
        <v>172</v>
      </c>
      <c r="L113" s="8">
        <v>169</v>
      </c>
      <c r="M113" s="8">
        <v>68</v>
      </c>
      <c r="N113" s="8">
        <v>1.47</v>
      </c>
      <c r="O113" s="8">
        <v>936</v>
      </c>
      <c r="P113" s="8" t="s">
        <v>20</v>
      </c>
      <c r="Q113" s="8" t="str">
        <f>_xlfn.IFS(AND(Table13[[#This Row],[Gender]]="female",R113&lt;20),"Athletes",AND(Table13[[#This Row],[Gender]]="female",R113&lt;24),"Fitnesss",AND(Table13[[#This Row],[Gender]]="female",R113&lt;31),"Acceptable",AND(Table13[[#This Row],[Gender]]="female",R113&lt;40),"Obese",AND(Table13[[#This Row],[Gender]]="male",R113&lt;13),"Athletes",AND(Table13[[#This Row],[Gender]]="male",R113&lt;17),"Fitnesss",AND(Table13[[#This Row],[Gender]]="male",R113&lt;24.9),"Acceptable",AND(Table13[[#This Row],[Gender]]="male",R113&lt;40),"Obese",AND(Table13[[#This Row],[Gender]]="others",R113&lt;20),"Athletes",AND(Table13[[#This Row],[Gender]]="others",R113&lt;24),"Fitnesss",AND(Table13[[#This Row],[Gender]]="others",R113&lt;31),"Acceptable",AND(Table13[[#This Row],[Gender]]="others",R113&lt;40),"Obese")</f>
        <v>Athletes</v>
      </c>
      <c r="R113" s="8">
        <v>19.600000000000001</v>
      </c>
      <c r="S113" s="8">
        <v>3.1</v>
      </c>
      <c r="T113" s="8">
        <v>4</v>
      </c>
      <c r="U113" s="8">
        <v>2</v>
      </c>
      <c r="V113" s="8" t="str">
        <f>IF(Table13[[#This Row],[BMI]]&lt;=18.5,"Underweight",IF(Table13[[#This Row],[BMI]]&lt;=24.9,"Normal",IF(Table13[[#This Row],[BMI]]&lt;=29.9,"Overweight",IF(Table13[[#This Row],[BMI]]&lt;=39,"Obese","Severly Obese"))))</f>
        <v>Normal</v>
      </c>
      <c r="W113" s="18">
        <v>18.7</v>
      </c>
    </row>
    <row r="114" spans="6:23" x14ac:dyDescent="0.3">
      <c r="F114" s="17">
        <v>49</v>
      </c>
      <c r="G114" s="8" t="str">
        <f>IF(Table13[[#This Row],[Age]]&lt;25,"18-24",IF(Table13[[#This Row],[Age]]&lt;35,"25-34",IF(Table13[[#This Row],[Age]]&lt;45,"35-44",IF(Table13[[#This Row],[Age]]&lt;55,"45-54","55-64"))))</f>
        <v>45-54</v>
      </c>
      <c r="H114" s="8" t="s">
        <v>19</v>
      </c>
      <c r="I114" s="8">
        <v>45</v>
      </c>
      <c r="J114" s="8">
        <v>1.84</v>
      </c>
      <c r="K114" s="8">
        <v>190</v>
      </c>
      <c r="L114" s="8">
        <v>159</v>
      </c>
      <c r="M114" s="8">
        <v>53</v>
      </c>
      <c r="N114" s="8">
        <v>1.3</v>
      </c>
      <c r="O114" s="8">
        <v>864</v>
      </c>
      <c r="P114" s="8" t="s">
        <v>21</v>
      </c>
      <c r="Q114" s="8" t="str">
        <f>_xlfn.IFS(AND(Table13[[#This Row],[Gender]]="female",R114&lt;20),"Athletes",AND(Table13[[#This Row],[Gender]]="female",R114&lt;24),"Fitnesss",AND(Table13[[#This Row],[Gender]]="female",R114&lt;31),"Acceptable",AND(Table13[[#This Row],[Gender]]="female",R114&lt;40),"Obese",AND(Table13[[#This Row],[Gender]]="male",R114&lt;13),"Athletes",AND(Table13[[#This Row],[Gender]]="male",R114&lt;17),"Fitnesss",AND(Table13[[#This Row],[Gender]]="male",R114&lt;24.9),"Acceptable",AND(Table13[[#This Row],[Gender]]="male",R114&lt;40),"Obese",AND(Table13[[#This Row],[Gender]]="others",R114&lt;20),"Athletes",AND(Table13[[#This Row],[Gender]]="others",R114&lt;24),"Fitnesss",AND(Table13[[#This Row],[Gender]]="others",R114&lt;31),"Acceptable",AND(Table13[[#This Row],[Gender]]="others",R114&lt;40),"Obese")</f>
        <v>Obese</v>
      </c>
      <c r="R114" s="8">
        <v>26.5</v>
      </c>
      <c r="S114" s="8">
        <v>1.5</v>
      </c>
      <c r="T114" s="8">
        <v>4</v>
      </c>
      <c r="U114" s="8">
        <v>2</v>
      </c>
      <c r="V114" s="8" t="str">
        <f>IF(Table13[[#This Row],[BMI]]&lt;=18.5,"Underweight",IF(Table13[[#This Row],[BMI]]&lt;=24.9,"Normal",IF(Table13[[#This Row],[BMI]]&lt;=29.9,"Overweight",IF(Table13[[#This Row],[BMI]]&lt;=39,"Obese","Severly Obese"))))</f>
        <v>Underweight</v>
      </c>
      <c r="W114" s="18">
        <v>17.11</v>
      </c>
    </row>
    <row r="115" spans="6:23" x14ac:dyDescent="0.3">
      <c r="F115" s="17">
        <v>53</v>
      </c>
      <c r="G115" s="8" t="str">
        <f>IF(Table13[[#This Row],[Age]]&lt;25,"18-24",IF(Table13[[#This Row],[Age]]&lt;35,"25-34",IF(Table13[[#This Row],[Age]]&lt;45,"35-44",IF(Table13[[#This Row],[Age]]&lt;55,"45-54","55-64"))))</f>
        <v>45-54</v>
      </c>
      <c r="H115" s="8" t="s">
        <v>19</v>
      </c>
      <c r="I115" s="8">
        <v>87.7</v>
      </c>
      <c r="J115" s="8">
        <v>1.84</v>
      </c>
      <c r="K115" s="8">
        <v>164</v>
      </c>
      <c r="L115" s="8">
        <v>152</v>
      </c>
      <c r="M115" s="8">
        <v>53</v>
      </c>
      <c r="N115" s="8">
        <v>1.37</v>
      </c>
      <c r="O115" s="8">
        <v>1066</v>
      </c>
      <c r="P115" s="8" t="s">
        <v>20</v>
      </c>
      <c r="Q115" s="8" t="str">
        <f>_xlfn.IFS(AND(Table13[[#This Row],[Gender]]="female",R115&lt;20),"Athletes",AND(Table13[[#This Row],[Gender]]="female",R115&lt;24),"Fitnesss",AND(Table13[[#This Row],[Gender]]="female",R115&lt;31),"Acceptable",AND(Table13[[#This Row],[Gender]]="female",R115&lt;40),"Obese",AND(Table13[[#This Row],[Gender]]="male",R115&lt;13),"Athletes",AND(Table13[[#This Row],[Gender]]="male",R115&lt;17),"Fitnesss",AND(Table13[[#This Row],[Gender]]="male",R115&lt;24.9),"Acceptable",AND(Table13[[#This Row],[Gender]]="male",R115&lt;40),"Obese",AND(Table13[[#This Row],[Gender]]="others",R115&lt;20),"Athletes",AND(Table13[[#This Row],[Gender]]="others",R115&lt;24),"Fitnesss",AND(Table13[[#This Row],[Gender]]="others",R115&lt;31),"Acceptable",AND(Table13[[#This Row],[Gender]]="others",R115&lt;40),"Obese")</f>
        <v>Acceptable</v>
      </c>
      <c r="R115" s="8">
        <v>24.7</v>
      </c>
      <c r="S115" s="8">
        <v>2.6</v>
      </c>
      <c r="T115" s="8">
        <v>5</v>
      </c>
      <c r="U115" s="8">
        <v>2</v>
      </c>
      <c r="V115" s="8" t="str">
        <f>IF(Table13[[#This Row],[BMI]]&lt;=18.5,"Underweight",IF(Table13[[#This Row],[BMI]]&lt;=24.9,"Normal",IF(Table13[[#This Row],[BMI]]&lt;=29.9,"Overweight",IF(Table13[[#This Row],[BMI]]&lt;=39,"Obese","Severly Obese"))))</f>
        <v>Overweight</v>
      </c>
      <c r="W115" s="18">
        <v>25.16</v>
      </c>
    </row>
    <row r="116" spans="6:23" x14ac:dyDescent="0.3">
      <c r="F116" s="17">
        <v>54</v>
      </c>
      <c r="G116" s="8" t="str">
        <f>IF(Table13[[#This Row],[Age]]&lt;25,"18-24",IF(Table13[[#This Row],[Age]]&lt;35,"25-34",IF(Table13[[#This Row],[Age]]&lt;45,"35-44",IF(Table13[[#This Row],[Age]]&lt;55,"45-54","55-64"))))</f>
        <v>45-54</v>
      </c>
      <c r="H116" s="8" t="s">
        <v>17</v>
      </c>
      <c r="I116" s="8">
        <v>46.1</v>
      </c>
      <c r="J116" s="8">
        <v>1.85</v>
      </c>
      <c r="K116" s="8">
        <v>187</v>
      </c>
      <c r="L116" s="8">
        <v>162</v>
      </c>
      <c r="M116" s="8">
        <v>63</v>
      </c>
      <c r="N116" s="8">
        <v>1.35</v>
      </c>
      <c r="O116" s="8">
        <v>772</v>
      </c>
      <c r="P116" s="8" t="s">
        <v>18</v>
      </c>
      <c r="Q116" s="8" t="str">
        <f>_xlfn.IFS(AND(Table13[[#This Row],[Gender]]="female",R116&lt;20),"Athletes",AND(Table13[[#This Row],[Gender]]="female",R116&lt;24),"Fitnesss",AND(Table13[[#This Row],[Gender]]="female",R116&lt;31),"Acceptable",AND(Table13[[#This Row],[Gender]]="female",R116&lt;40),"Obese",AND(Table13[[#This Row],[Gender]]="male",R116&lt;13),"Athletes",AND(Table13[[#This Row],[Gender]]="male",R116&lt;17),"Fitnesss",AND(Table13[[#This Row],[Gender]]="male",R116&lt;24.9),"Acceptable",AND(Table13[[#This Row],[Gender]]="male",R116&lt;40),"Obese",AND(Table13[[#This Row],[Gender]]="others",R116&lt;20),"Athletes",AND(Table13[[#This Row],[Gender]]="others",R116&lt;24),"Fitnesss",AND(Table13[[#This Row],[Gender]]="others",R116&lt;31),"Acceptable",AND(Table13[[#This Row],[Gender]]="others",R116&lt;40),"Obese")</f>
        <v>Acceptable</v>
      </c>
      <c r="R116" s="8">
        <v>25.7</v>
      </c>
      <c r="S116" s="8">
        <v>3.6</v>
      </c>
      <c r="T116" s="8">
        <v>4</v>
      </c>
      <c r="U116" s="8">
        <v>1</v>
      </c>
      <c r="V116" s="8" t="str">
        <f>IF(Table13[[#This Row],[BMI]]&lt;=18.5,"Underweight",IF(Table13[[#This Row],[BMI]]&lt;=24.9,"Normal",IF(Table13[[#This Row],[BMI]]&lt;=29.9,"Overweight",IF(Table13[[#This Row],[BMI]]&lt;=39,"Obese","Severly Obese"))))</f>
        <v>Normal</v>
      </c>
      <c r="W116" s="18">
        <v>20.62</v>
      </c>
    </row>
    <row r="117" spans="6:23" x14ac:dyDescent="0.3">
      <c r="F117" s="17">
        <v>18</v>
      </c>
      <c r="G117" s="8" t="str">
        <f>IF(Table13[[#This Row],[Age]]&lt;25,"18-24",IF(Table13[[#This Row],[Age]]&lt;35,"25-34",IF(Table13[[#This Row],[Age]]&lt;45,"35-44",IF(Table13[[#This Row],[Age]]&lt;55,"45-54","55-64"))))</f>
        <v>18-24</v>
      </c>
      <c r="H117" s="8" t="s">
        <v>17</v>
      </c>
      <c r="I117" s="8">
        <v>69.8</v>
      </c>
      <c r="J117" s="8">
        <v>1.82</v>
      </c>
      <c r="K117" s="8">
        <v>178</v>
      </c>
      <c r="L117" s="8">
        <v>168</v>
      </c>
      <c r="M117" s="8">
        <v>58</v>
      </c>
      <c r="N117" s="8">
        <v>1.9</v>
      </c>
      <c r="O117" s="8">
        <v>963</v>
      </c>
      <c r="P117" s="8" t="s">
        <v>21</v>
      </c>
      <c r="Q117" s="8" t="str">
        <f>_xlfn.IFS(AND(Table13[[#This Row],[Gender]]="female",R117&lt;20),"Athletes",AND(Table13[[#This Row],[Gender]]="female",R117&lt;24),"Fitnesss",AND(Table13[[#This Row],[Gender]]="female",R117&lt;31),"Acceptable",AND(Table13[[#This Row],[Gender]]="female",R117&lt;40),"Obese",AND(Table13[[#This Row],[Gender]]="male",R117&lt;13),"Athletes",AND(Table13[[#This Row],[Gender]]="male",R117&lt;17),"Fitnesss",AND(Table13[[#This Row],[Gender]]="male",R117&lt;24.9),"Acceptable",AND(Table13[[#This Row],[Gender]]="male",R117&lt;40),"Obese",AND(Table13[[#This Row],[Gender]]="others",R117&lt;20),"Athletes",AND(Table13[[#This Row],[Gender]]="others",R117&lt;24),"Fitnesss",AND(Table13[[#This Row],[Gender]]="others",R117&lt;31),"Acceptable",AND(Table13[[#This Row],[Gender]]="others",R117&lt;40),"Obese")</f>
        <v>Obese</v>
      </c>
      <c r="R117" s="8">
        <v>31.4</v>
      </c>
      <c r="S117" s="8">
        <v>3.7</v>
      </c>
      <c r="T117" s="8">
        <v>5</v>
      </c>
      <c r="U117" s="8">
        <v>2</v>
      </c>
      <c r="V117" s="8" t="str">
        <f>IF(Table13[[#This Row],[BMI]]&lt;=18.5,"Underweight",IF(Table13[[#This Row],[BMI]]&lt;=24.9,"Normal",IF(Table13[[#This Row],[BMI]]&lt;=29.9,"Overweight",IF(Table13[[#This Row],[BMI]]&lt;=39,"Obese","Severly Obese"))))</f>
        <v>Obese</v>
      </c>
      <c r="W117" s="18">
        <v>34.21</v>
      </c>
    </row>
    <row r="118" spans="6:23" x14ac:dyDescent="0.3">
      <c r="F118" s="17">
        <v>18</v>
      </c>
      <c r="G118" s="8" t="str">
        <f>IF(Table13[[#This Row],[Age]]&lt;25,"18-24",IF(Table13[[#This Row],[Age]]&lt;35,"25-34",IF(Table13[[#This Row],[Age]]&lt;45,"35-44",IF(Table13[[#This Row],[Age]]&lt;55,"45-54","55-64"))))</f>
        <v>18-24</v>
      </c>
      <c r="H118" s="8" t="s">
        <v>19</v>
      </c>
      <c r="I118" s="8">
        <v>79.2</v>
      </c>
      <c r="J118" s="8">
        <v>1.77</v>
      </c>
      <c r="K118" s="8">
        <v>198</v>
      </c>
      <c r="L118" s="8">
        <v>137</v>
      </c>
      <c r="M118" s="8">
        <v>66</v>
      </c>
      <c r="N118" s="8">
        <v>1.2</v>
      </c>
      <c r="O118" s="8">
        <v>1429</v>
      </c>
      <c r="P118" s="8" t="s">
        <v>22</v>
      </c>
      <c r="Q118" s="8" t="str">
        <f>_xlfn.IFS(AND(Table13[[#This Row],[Gender]]="female",R118&lt;20),"Athletes",AND(Table13[[#This Row],[Gender]]="female",R118&lt;24),"Fitnesss",AND(Table13[[#This Row],[Gender]]="female",R118&lt;31),"Acceptable",AND(Table13[[#This Row],[Gender]]="female",R118&lt;40),"Obese",AND(Table13[[#This Row],[Gender]]="male",R118&lt;13),"Athletes",AND(Table13[[#This Row],[Gender]]="male",R118&lt;17),"Fitnesss",AND(Table13[[#This Row],[Gender]]="male",R118&lt;24.9),"Acceptable",AND(Table13[[#This Row],[Gender]]="male",R118&lt;40),"Obese",AND(Table13[[#This Row],[Gender]]="others",R118&lt;20),"Athletes",AND(Table13[[#This Row],[Gender]]="others",R118&lt;24),"Fitnesss",AND(Table13[[#This Row],[Gender]]="others",R118&lt;31),"Acceptable",AND(Table13[[#This Row],[Gender]]="others",R118&lt;40),"Obese")</f>
        <v>Athletes</v>
      </c>
      <c r="R118" s="8">
        <v>12.9</v>
      </c>
      <c r="S118" s="8">
        <v>3.7</v>
      </c>
      <c r="T118" s="8">
        <v>3</v>
      </c>
      <c r="U118" s="8">
        <v>2</v>
      </c>
      <c r="V118" s="8" t="str">
        <f>IF(Table13[[#This Row],[BMI]]&lt;=18.5,"Underweight",IF(Table13[[#This Row],[BMI]]&lt;=24.9,"Normal",IF(Table13[[#This Row],[BMI]]&lt;=29.9,"Overweight",IF(Table13[[#This Row],[BMI]]&lt;=39,"Obese","Severly Obese"))))</f>
        <v>Normal</v>
      </c>
      <c r="W118" s="18">
        <v>19.07</v>
      </c>
    </row>
    <row r="119" spans="6:23" x14ac:dyDescent="0.3">
      <c r="F119" s="17">
        <v>29</v>
      </c>
      <c r="G119" s="8" t="str">
        <f>IF(Table13[[#This Row],[Age]]&lt;25,"18-24",IF(Table13[[#This Row],[Age]]&lt;35,"25-34",IF(Table13[[#This Row],[Age]]&lt;45,"35-44",IF(Table13[[#This Row],[Age]]&lt;55,"45-54","55-64"))))</f>
        <v>25-34</v>
      </c>
      <c r="H119" s="8" t="s">
        <v>19</v>
      </c>
      <c r="I119" s="8">
        <v>60.6</v>
      </c>
      <c r="J119" s="8">
        <v>1.76</v>
      </c>
      <c r="K119" s="8">
        <v>188</v>
      </c>
      <c r="L119" s="8">
        <v>148</v>
      </c>
      <c r="M119" s="8">
        <v>50</v>
      </c>
      <c r="N119" s="8">
        <v>1.38</v>
      </c>
      <c r="O119" s="8">
        <v>676</v>
      </c>
      <c r="P119" s="8" t="s">
        <v>18</v>
      </c>
      <c r="Q119" s="8" t="str">
        <f>_xlfn.IFS(AND(Table13[[#This Row],[Gender]]="female",R119&lt;20),"Athletes",AND(Table13[[#This Row],[Gender]]="female",R119&lt;24),"Fitnesss",AND(Table13[[#This Row],[Gender]]="female",R119&lt;31),"Acceptable",AND(Table13[[#This Row],[Gender]]="female",R119&lt;40),"Obese",AND(Table13[[#This Row],[Gender]]="male",R119&lt;13),"Athletes",AND(Table13[[#This Row],[Gender]]="male",R119&lt;17),"Fitnesss",AND(Table13[[#This Row],[Gender]]="male",R119&lt;24.9),"Acceptable",AND(Table13[[#This Row],[Gender]]="male",R119&lt;40),"Obese",AND(Table13[[#This Row],[Gender]]="others",R119&lt;20),"Athletes",AND(Table13[[#This Row],[Gender]]="others",R119&lt;24),"Fitnesss",AND(Table13[[#This Row],[Gender]]="others",R119&lt;31),"Acceptable",AND(Table13[[#This Row],[Gender]]="others",R119&lt;40),"Obese")</f>
        <v>Obese</v>
      </c>
      <c r="R119" s="8">
        <v>30.2</v>
      </c>
      <c r="S119" s="8">
        <v>2.5</v>
      </c>
      <c r="T119" s="8">
        <v>3</v>
      </c>
      <c r="U119" s="8"/>
      <c r="V119" s="8" t="str">
        <f>IF(Table13[[#This Row],[BMI]]&lt;=18.5,"Underweight",IF(Table13[[#This Row],[BMI]]&lt;=24.9,"Normal",IF(Table13[[#This Row],[BMI]]&lt;=29.9,"Overweight",IF(Table13[[#This Row],[BMI]]&lt;=39,"Obese","Severly Obese"))))</f>
        <v>Normal</v>
      </c>
      <c r="W119" s="18">
        <v>23.73</v>
      </c>
    </row>
    <row r="120" spans="6:23" x14ac:dyDescent="0.3">
      <c r="F120" s="17">
        <v>22</v>
      </c>
      <c r="G120" s="8" t="str">
        <f>IF(Table13[[#This Row],[Age]]&lt;25,"18-24",IF(Table13[[#This Row],[Age]]&lt;35,"25-34",IF(Table13[[#This Row],[Age]]&lt;45,"35-44",IF(Table13[[#This Row],[Age]]&lt;55,"45-54","55-64"))))</f>
        <v>18-24</v>
      </c>
      <c r="H120" s="8" t="s">
        <v>17</v>
      </c>
      <c r="I120" s="8">
        <v>53.3</v>
      </c>
      <c r="J120" s="8">
        <v>1.73</v>
      </c>
      <c r="K120" s="8">
        <v>172</v>
      </c>
      <c r="L120" s="8">
        <v>144</v>
      </c>
      <c r="M120" s="8">
        <v>71</v>
      </c>
      <c r="N120" s="8">
        <v>1.1000000000000001</v>
      </c>
      <c r="O120" s="8">
        <v>1235</v>
      </c>
      <c r="P120" s="8" t="s">
        <v>18</v>
      </c>
      <c r="Q120" s="8" t="str">
        <f>_xlfn.IFS(AND(Table13[[#This Row],[Gender]]="female",R120&lt;20),"Athletes",AND(Table13[[#This Row],[Gender]]="female",R120&lt;24),"Fitnesss",AND(Table13[[#This Row],[Gender]]="female",R120&lt;31),"Acceptable",AND(Table13[[#This Row],[Gender]]="female",R120&lt;40),"Obese",AND(Table13[[#This Row],[Gender]]="male",R120&lt;13),"Athletes",AND(Table13[[#This Row],[Gender]]="male",R120&lt;17),"Fitnesss",AND(Table13[[#This Row],[Gender]]="male",R120&lt;24.9),"Acceptable",AND(Table13[[#This Row],[Gender]]="male",R120&lt;40),"Obese",AND(Table13[[#This Row],[Gender]]="others",R120&lt;20),"Athletes",AND(Table13[[#This Row],[Gender]]="others",R120&lt;24),"Fitnesss",AND(Table13[[#This Row],[Gender]]="others",R120&lt;31),"Acceptable",AND(Table13[[#This Row],[Gender]]="others",R120&lt;40),"Obese")</f>
        <v>Fitnesss</v>
      </c>
      <c r="R120" s="8">
        <v>22.8</v>
      </c>
      <c r="S120" s="8">
        <v>2.6</v>
      </c>
      <c r="T120" s="8">
        <v>3</v>
      </c>
      <c r="U120" s="8">
        <v>1</v>
      </c>
      <c r="V120" s="8" t="str">
        <f>IF(Table13[[#This Row],[BMI]]&lt;=18.5,"Underweight",IF(Table13[[#This Row],[BMI]]&lt;=24.9,"Normal",IF(Table13[[#This Row],[BMI]]&lt;=29.9,"Overweight",IF(Table13[[#This Row],[BMI]]&lt;=39,"Obese","Severly Obese"))))</f>
        <v>Underweight</v>
      </c>
      <c r="W120" s="18">
        <v>13.13</v>
      </c>
    </row>
    <row r="121" spans="6:23" x14ac:dyDescent="0.3">
      <c r="F121" s="17">
        <v>20</v>
      </c>
      <c r="G121" s="8" t="str">
        <f>IF(Table13[[#This Row],[Age]]&lt;25,"18-24",IF(Table13[[#This Row],[Age]]&lt;35,"25-34",IF(Table13[[#This Row],[Age]]&lt;45,"35-44",IF(Table13[[#This Row],[Age]]&lt;55,"45-54","55-64"))))</f>
        <v>18-24</v>
      </c>
      <c r="H121" s="8" t="s">
        <v>19</v>
      </c>
      <c r="I121" s="8">
        <v>95.7</v>
      </c>
      <c r="J121" s="8">
        <v>1.85</v>
      </c>
      <c r="K121" s="8">
        <v>196</v>
      </c>
      <c r="L121" s="8">
        <v>136</v>
      </c>
      <c r="M121" s="8">
        <v>58</v>
      </c>
      <c r="N121" s="8">
        <v>1.44</v>
      </c>
      <c r="O121" s="8">
        <v>987</v>
      </c>
      <c r="P121" s="8" t="s">
        <v>21</v>
      </c>
      <c r="Q121" s="8" t="str">
        <f>_xlfn.IFS(AND(Table13[[#This Row],[Gender]]="female",R121&lt;20),"Athletes",AND(Table13[[#This Row],[Gender]]="female",R121&lt;24),"Fitnesss",AND(Table13[[#This Row],[Gender]]="female",R121&lt;31),"Acceptable",AND(Table13[[#This Row],[Gender]]="female",R121&lt;40),"Obese",AND(Table13[[#This Row],[Gender]]="male",R121&lt;13),"Athletes",AND(Table13[[#This Row],[Gender]]="male",R121&lt;17),"Fitnesss",AND(Table13[[#This Row],[Gender]]="male",R121&lt;24.9),"Acceptable",AND(Table13[[#This Row],[Gender]]="male",R121&lt;40),"Obese",AND(Table13[[#This Row],[Gender]]="others",R121&lt;20),"Athletes",AND(Table13[[#This Row],[Gender]]="others",R121&lt;24),"Fitnesss",AND(Table13[[#This Row],[Gender]]="others",R121&lt;31),"Acceptable",AND(Table13[[#This Row],[Gender]]="others",R121&lt;40),"Obese")</f>
        <v>Acceptable</v>
      </c>
      <c r="R121" s="8">
        <v>23.8</v>
      </c>
      <c r="S121" s="8">
        <v>1.5</v>
      </c>
      <c r="T121" s="8">
        <v>3</v>
      </c>
      <c r="U121" s="8">
        <v>2</v>
      </c>
      <c r="V121" s="8" t="str">
        <f>IF(Table13[[#This Row],[BMI]]&lt;=18.5,"Underweight",IF(Table13[[#This Row],[BMI]]&lt;=24.9,"Normal",IF(Table13[[#This Row],[BMI]]&lt;=29.9,"Overweight",IF(Table13[[#This Row],[BMI]]&lt;=39,"Obese","Severly Obese"))))</f>
        <v>Underweight</v>
      </c>
      <c r="W121" s="18">
        <v>15.47</v>
      </c>
    </row>
    <row r="122" spans="6:23" x14ac:dyDescent="0.3">
      <c r="F122" s="17">
        <v>29</v>
      </c>
      <c r="G122" s="8" t="str">
        <f>IF(Table13[[#This Row],[Age]]&lt;25,"18-24",IF(Table13[[#This Row],[Age]]&lt;35,"25-34",IF(Table13[[#This Row],[Age]]&lt;45,"35-44",IF(Table13[[#This Row],[Age]]&lt;55,"45-54","55-64"))))</f>
        <v>25-34</v>
      </c>
      <c r="H122" s="8" t="s">
        <v>17</v>
      </c>
      <c r="I122" s="8">
        <v>57.4</v>
      </c>
      <c r="J122" s="8">
        <v>1.74</v>
      </c>
      <c r="K122" s="8">
        <v>198</v>
      </c>
      <c r="L122" s="8">
        <v>165</v>
      </c>
      <c r="M122" s="8">
        <v>67</v>
      </c>
      <c r="N122" s="8">
        <v>1.58</v>
      </c>
      <c r="O122" s="8">
        <v>880</v>
      </c>
      <c r="P122" s="8" t="s">
        <v>18</v>
      </c>
      <c r="Q122" s="8" t="str">
        <f>_xlfn.IFS(AND(Table13[[#This Row],[Gender]]="female",R122&lt;20),"Athletes",AND(Table13[[#This Row],[Gender]]="female",R122&lt;24),"Fitnesss",AND(Table13[[#This Row],[Gender]]="female",R122&lt;31),"Acceptable",AND(Table13[[#This Row],[Gender]]="female",R122&lt;40),"Obese",AND(Table13[[#This Row],[Gender]]="male",R122&lt;13),"Athletes",AND(Table13[[#This Row],[Gender]]="male",R122&lt;17),"Fitnesss",AND(Table13[[#This Row],[Gender]]="male",R122&lt;24.9),"Acceptable",AND(Table13[[#This Row],[Gender]]="male",R122&lt;40),"Obese",AND(Table13[[#This Row],[Gender]]="others",R122&lt;20),"Athletes",AND(Table13[[#This Row],[Gender]]="others",R122&lt;24),"Fitnesss",AND(Table13[[#This Row],[Gender]]="others",R122&lt;31),"Acceptable",AND(Table13[[#This Row],[Gender]]="others",R122&lt;40),"Obese")</f>
        <v>Fitnesss</v>
      </c>
      <c r="R122" s="8">
        <v>20.9</v>
      </c>
      <c r="S122" s="8">
        <v>3.3</v>
      </c>
      <c r="T122" s="8">
        <v>4</v>
      </c>
      <c r="U122" s="8">
        <v>1</v>
      </c>
      <c r="V122" s="8" t="str">
        <f>IF(Table13[[#This Row],[BMI]]&lt;=18.5,"Underweight",IF(Table13[[#This Row],[BMI]]&lt;=24.9,"Normal",IF(Table13[[#This Row],[BMI]]&lt;=29.9,"Overweight",IF(Table13[[#This Row],[BMI]]&lt;=39,"Obese","Severly Obese"))))</f>
        <v>Underweight</v>
      </c>
      <c r="W122" s="18"/>
    </row>
    <row r="123" spans="6:23" x14ac:dyDescent="0.3">
      <c r="F123" s="17">
        <v>47</v>
      </c>
      <c r="G123" s="8" t="str">
        <f>IF(Table13[[#This Row],[Age]]&lt;25,"18-24",IF(Table13[[#This Row],[Age]]&lt;35,"25-34",IF(Table13[[#This Row],[Age]]&lt;45,"35-44",IF(Table13[[#This Row],[Age]]&lt;55,"45-54","55-64"))))</f>
        <v>45-54</v>
      </c>
      <c r="H123" s="8" t="s">
        <v>19</v>
      </c>
      <c r="I123" s="8">
        <v>87.3</v>
      </c>
      <c r="J123" s="8">
        <v>1.9</v>
      </c>
      <c r="K123" s="8">
        <v>194</v>
      </c>
      <c r="L123" s="8">
        <v>164</v>
      </c>
      <c r="M123" s="8">
        <v>74</v>
      </c>
      <c r="N123" s="8">
        <v>1.87</v>
      </c>
      <c r="O123" s="8">
        <v>1073</v>
      </c>
      <c r="P123" s="8" t="s">
        <v>21</v>
      </c>
      <c r="Q123" s="8" t="str">
        <f>_xlfn.IFS(AND(Table13[[#This Row],[Gender]]="female",R123&lt;20),"Athletes",AND(Table13[[#This Row],[Gender]]="female",R123&lt;24),"Fitnesss",AND(Table13[[#This Row],[Gender]]="female",R123&lt;31),"Acceptable",AND(Table13[[#This Row],[Gender]]="female",R123&lt;40),"Obese",AND(Table13[[#This Row],[Gender]]="male",R123&lt;13),"Athletes",AND(Table13[[#This Row],[Gender]]="male",R123&lt;17),"Fitnesss",AND(Table13[[#This Row],[Gender]]="male",R123&lt;24.9),"Acceptable",AND(Table13[[#This Row],[Gender]]="male",R123&lt;40),"Obese",AND(Table13[[#This Row],[Gender]]="others",R123&lt;20),"Athletes",AND(Table13[[#This Row],[Gender]]="others",R123&lt;24),"Fitnesss",AND(Table13[[#This Row],[Gender]]="others",R123&lt;31),"Acceptable",AND(Table13[[#This Row],[Gender]]="others",R123&lt;40),"Obese")</f>
        <v>Acceptable</v>
      </c>
      <c r="R123" s="8">
        <v>23.7</v>
      </c>
      <c r="S123" s="8">
        <v>3.5</v>
      </c>
      <c r="T123" s="8">
        <v>5</v>
      </c>
      <c r="U123" s="8">
        <v>2</v>
      </c>
      <c r="V123" s="8" t="str">
        <f>IF(Table13[[#This Row],[BMI]]&lt;=18.5,"Underweight",IF(Table13[[#This Row],[BMI]]&lt;=24.9,"Normal",IF(Table13[[#This Row],[BMI]]&lt;=29.9,"Overweight",IF(Table13[[#This Row],[BMI]]&lt;=39,"Obese","Severly Obese"))))</f>
        <v>Normal</v>
      </c>
      <c r="W123" s="18">
        <v>20.100000000000001</v>
      </c>
    </row>
    <row r="124" spans="6:23" x14ac:dyDescent="0.3">
      <c r="F124" s="17">
        <v>20</v>
      </c>
      <c r="G124" s="8" t="str">
        <f>IF(Table13[[#This Row],[Age]]&lt;25,"18-24",IF(Table13[[#This Row],[Age]]&lt;35,"25-34",IF(Table13[[#This Row],[Age]]&lt;45,"35-44",IF(Table13[[#This Row],[Age]]&lt;55,"45-54","55-64"))))</f>
        <v>18-24</v>
      </c>
      <c r="H124" s="8" t="s">
        <v>17</v>
      </c>
      <c r="I124" s="8"/>
      <c r="J124" s="8">
        <v>1.75</v>
      </c>
      <c r="K124" s="8">
        <v>193</v>
      </c>
      <c r="L124" s="8">
        <v>136</v>
      </c>
      <c r="M124" s="8">
        <v>51</v>
      </c>
      <c r="N124" s="8">
        <v>0.57999999999999996</v>
      </c>
      <c r="O124" s="8">
        <v>1218</v>
      </c>
      <c r="P124" s="8" t="s">
        <v>22</v>
      </c>
      <c r="Q124" s="8" t="str">
        <f>_xlfn.IFS(AND(Table13[[#This Row],[Gender]]="female",R124&lt;20),"Athletes",AND(Table13[[#This Row],[Gender]]="female",R124&lt;24),"Fitnesss",AND(Table13[[#This Row],[Gender]]="female",R124&lt;31),"Acceptable",AND(Table13[[#This Row],[Gender]]="female",R124&lt;40),"Obese",AND(Table13[[#This Row],[Gender]]="male",R124&lt;13),"Athletes",AND(Table13[[#This Row],[Gender]]="male",R124&lt;17),"Fitnesss",AND(Table13[[#This Row],[Gender]]="male",R124&lt;24.9),"Acceptable",AND(Table13[[#This Row],[Gender]]="male",R124&lt;40),"Obese",AND(Table13[[#This Row],[Gender]]="others",R124&lt;20),"Athletes",AND(Table13[[#This Row],[Gender]]="others",R124&lt;24),"Fitnesss",AND(Table13[[#This Row],[Gender]]="others",R124&lt;31),"Acceptable",AND(Table13[[#This Row],[Gender]]="others",R124&lt;40),"Obese")</f>
        <v>Acceptable</v>
      </c>
      <c r="R124" s="8">
        <v>28.4</v>
      </c>
      <c r="S124" s="8">
        <v>3</v>
      </c>
      <c r="T124" s="8">
        <v>4</v>
      </c>
      <c r="U124" s="8">
        <v>1</v>
      </c>
      <c r="V124" s="8" t="str">
        <f>IF(Table13[[#This Row],[BMI]]&lt;=18.5,"Underweight",IF(Table13[[#This Row],[BMI]]&lt;=24.9,"Normal",IF(Table13[[#This Row],[BMI]]&lt;=29.9,"Overweight",IF(Table13[[#This Row],[BMI]]&lt;=39,"Obese","Severly Obese"))))</f>
        <v>Normal</v>
      </c>
      <c r="W124" s="18">
        <v>19.66</v>
      </c>
    </row>
    <row r="125" spans="6:23" x14ac:dyDescent="0.3">
      <c r="F125" s="17">
        <v>18</v>
      </c>
      <c r="G125" s="8" t="str">
        <f>IF(Table13[[#This Row],[Age]]&lt;25,"18-24",IF(Table13[[#This Row],[Age]]&lt;35,"25-34",IF(Table13[[#This Row],[Age]]&lt;45,"35-44",IF(Table13[[#This Row],[Age]]&lt;55,"45-54","55-64"))))</f>
        <v>18-24</v>
      </c>
      <c r="H125" s="8" t="s">
        <v>19</v>
      </c>
      <c r="I125" s="8">
        <v>79.2</v>
      </c>
      <c r="J125" s="8">
        <v>1.66</v>
      </c>
      <c r="K125" s="8">
        <v>176</v>
      </c>
      <c r="L125" s="8">
        <v>154</v>
      </c>
      <c r="M125" s="8">
        <v>72</v>
      </c>
      <c r="N125" s="8">
        <v>1.58</v>
      </c>
      <c r="O125" s="8">
        <v>1493</v>
      </c>
      <c r="P125" s="8" t="s">
        <v>18</v>
      </c>
      <c r="Q125" s="8" t="str">
        <f>_xlfn.IFS(AND(Table13[[#This Row],[Gender]]="female",R125&lt;20),"Athletes",AND(Table13[[#This Row],[Gender]]="female",R125&lt;24),"Fitnesss",AND(Table13[[#This Row],[Gender]]="female",R125&lt;31),"Acceptable",AND(Table13[[#This Row],[Gender]]="female",R125&lt;40),"Obese",AND(Table13[[#This Row],[Gender]]="male",R125&lt;13),"Athletes",AND(Table13[[#This Row],[Gender]]="male",R125&lt;17),"Fitnesss",AND(Table13[[#This Row],[Gender]]="male",R125&lt;24.9),"Acceptable",AND(Table13[[#This Row],[Gender]]="male",R125&lt;40),"Obese",AND(Table13[[#This Row],[Gender]]="others",R125&lt;20),"Athletes",AND(Table13[[#This Row],[Gender]]="others",R125&lt;24),"Fitnesss",AND(Table13[[#This Row],[Gender]]="others",R125&lt;31),"Acceptable",AND(Table13[[#This Row],[Gender]]="others",R125&lt;40),"Obese")</f>
        <v>Acceptable</v>
      </c>
      <c r="R125" s="8">
        <v>18.100000000000001</v>
      </c>
      <c r="S125" s="8">
        <v>2.2999999999999998</v>
      </c>
      <c r="T125" s="8">
        <v>3</v>
      </c>
      <c r="U125" s="8">
        <v>1</v>
      </c>
      <c r="V125" s="8" t="str">
        <f>IF(Table13[[#This Row],[BMI]]&lt;=18.5,"Underweight",IF(Table13[[#This Row],[BMI]]&lt;=24.9,"Normal",IF(Table13[[#This Row],[BMI]]&lt;=29.9,"Overweight",IF(Table13[[#This Row],[BMI]]&lt;=39,"Obese","Severly Obese"))))</f>
        <v>Underweight</v>
      </c>
      <c r="W125" s="18">
        <v>14.27</v>
      </c>
    </row>
    <row r="126" spans="6:23" x14ac:dyDescent="0.3">
      <c r="F126" s="17">
        <v>18</v>
      </c>
      <c r="G126" s="8" t="str">
        <f>IF(Table13[[#This Row],[Age]]&lt;25,"18-24",IF(Table13[[#This Row],[Age]]&lt;35,"25-34",IF(Table13[[#This Row],[Age]]&lt;45,"35-44",IF(Table13[[#This Row],[Age]]&lt;55,"45-54","55-64"))))</f>
        <v>18-24</v>
      </c>
      <c r="H126" s="8" t="s">
        <v>19</v>
      </c>
      <c r="I126" s="8">
        <v>73.8</v>
      </c>
      <c r="J126" s="8">
        <v>1.75</v>
      </c>
      <c r="K126" s="8">
        <v>187</v>
      </c>
      <c r="L126" s="8">
        <v>149</v>
      </c>
      <c r="M126" s="8">
        <v>74</v>
      </c>
      <c r="N126" s="8">
        <v>1.64</v>
      </c>
      <c r="O126" s="8">
        <v>1065</v>
      </c>
      <c r="P126" s="8" t="s">
        <v>21</v>
      </c>
      <c r="Q126" s="8" t="str">
        <f>_xlfn.IFS(AND(Table13[[#This Row],[Gender]]="female",R126&lt;20),"Athletes",AND(Table13[[#This Row],[Gender]]="female",R126&lt;24),"Fitnesss",AND(Table13[[#This Row],[Gender]]="female",R126&lt;31),"Acceptable",AND(Table13[[#This Row],[Gender]]="female",R126&lt;40),"Obese",AND(Table13[[#This Row],[Gender]]="male",R126&lt;13),"Athletes",AND(Table13[[#This Row],[Gender]]="male",R126&lt;17),"Fitnesss",AND(Table13[[#This Row],[Gender]]="male",R126&lt;24.9),"Acceptable",AND(Table13[[#This Row],[Gender]]="male",R126&lt;40),"Obese",AND(Table13[[#This Row],[Gender]]="others",R126&lt;20),"Athletes",AND(Table13[[#This Row],[Gender]]="others",R126&lt;24),"Fitnesss",AND(Table13[[#This Row],[Gender]]="others",R126&lt;31),"Acceptable",AND(Table13[[#This Row],[Gender]]="others",R126&lt;40),"Obese")</f>
        <v>Acceptable</v>
      </c>
      <c r="R126" s="8">
        <v>17.7</v>
      </c>
      <c r="S126" s="8">
        <v>2.4</v>
      </c>
      <c r="T126" s="8">
        <v>3</v>
      </c>
      <c r="U126" s="8">
        <v>1</v>
      </c>
      <c r="V126" s="8" t="str">
        <f>IF(Table13[[#This Row],[BMI]]&lt;=18.5,"Underweight",IF(Table13[[#This Row],[BMI]]&lt;=24.9,"Normal",IF(Table13[[#This Row],[BMI]]&lt;=29.9,"Overweight",IF(Table13[[#This Row],[BMI]]&lt;=39,"Obese","Severly Obese"))))</f>
        <v>Underweight</v>
      </c>
      <c r="W126" s="18">
        <v>17.79</v>
      </c>
    </row>
    <row r="127" spans="6:23" x14ac:dyDescent="0.3">
      <c r="F127" s="17">
        <v>33</v>
      </c>
      <c r="G127" s="8" t="str">
        <f>IF(Table13[[#This Row],[Age]]&lt;25,"18-24",IF(Table13[[#This Row],[Age]]&lt;35,"25-34",IF(Table13[[#This Row],[Age]]&lt;45,"35-44",IF(Table13[[#This Row],[Age]]&lt;55,"45-54","55-64"))))</f>
        <v>25-34</v>
      </c>
      <c r="H127" s="8" t="s">
        <v>17</v>
      </c>
      <c r="I127" s="8">
        <v>66.3</v>
      </c>
      <c r="J127" s="8">
        <v>1.76</v>
      </c>
      <c r="K127" s="8">
        <v>164</v>
      </c>
      <c r="L127" s="8">
        <v>120</v>
      </c>
      <c r="M127" s="8">
        <v>74</v>
      </c>
      <c r="N127" s="8">
        <v>1.44</v>
      </c>
      <c r="O127" s="8">
        <v>419</v>
      </c>
      <c r="P127" s="8" t="s">
        <v>23</v>
      </c>
      <c r="Q127" s="8" t="str">
        <f>_xlfn.IFS(AND(Table13[[#This Row],[Gender]]="female",R127&lt;20),"Athletes",AND(Table13[[#This Row],[Gender]]="female",R127&lt;24),"Fitnesss",AND(Table13[[#This Row],[Gender]]="female",R127&lt;31),"Acceptable",AND(Table13[[#This Row],[Gender]]="female",R127&lt;40),"Obese",AND(Table13[[#This Row],[Gender]]="male",R127&lt;13),"Athletes",AND(Table13[[#This Row],[Gender]]="male",R127&lt;17),"Fitnesss",AND(Table13[[#This Row],[Gender]]="male",R127&lt;24.9),"Acceptable",AND(Table13[[#This Row],[Gender]]="male",R127&lt;40),"Obese",AND(Table13[[#This Row],[Gender]]="others",R127&lt;20),"Athletes",AND(Table13[[#This Row],[Gender]]="others",R127&lt;24),"Fitnesss",AND(Table13[[#This Row],[Gender]]="others",R127&lt;31),"Acceptable",AND(Table13[[#This Row],[Gender]]="others",R127&lt;40),"Obese")</f>
        <v>Acceptable</v>
      </c>
      <c r="R127" s="8">
        <v>25.4</v>
      </c>
      <c r="S127" s="8">
        <v>2.6</v>
      </c>
      <c r="T127" s="8">
        <v>3</v>
      </c>
      <c r="U127" s="8">
        <v>3</v>
      </c>
      <c r="V127" s="8" t="str">
        <f>IF(Table13[[#This Row],[BMI]]&lt;=18.5,"Underweight",IF(Table13[[#This Row],[BMI]]&lt;=24.9,"Normal",IF(Table13[[#This Row],[BMI]]&lt;=29.9,"Overweight",IF(Table13[[#This Row],[BMI]]&lt;=39,"Obese","Severly Obese"))))</f>
        <v>Normal</v>
      </c>
      <c r="W127" s="18">
        <v>20.67</v>
      </c>
    </row>
    <row r="128" spans="6:23" x14ac:dyDescent="0.3">
      <c r="F128" s="17">
        <v>27</v>
      </c>
      <c r="G128" s="8" t="str">
        <f>IF(Table13[[#This Row],[Age]]&lt;25,"18-24",IF(Table13[[#This Row],[Age]]&lt;35,"25-34",IF(Table13[[#This Row],[Age]]&lt;45,"35-44",IF(Table13[[#This Row],[Age]]&lt;55,"45-54","55-64"))))</f>
        <v>25-34</v>
      </c>
      <c r="H128" s="8" t="s">
        <v>19</v>
      </c>
      <c r="I128" s="8">
        <v>72.8</v>
      </c>
      <c r="J128" s="8">
        <v>1.82</v>
      </c>
      <c r="K128" s="8">
        <v>162</v>
      </c>
      <c r="L128" s="8">
        <v>136</v>
      </c>
      <c r="M128" s="8">
        <v>57</v>
      </c>
      <c r="N128" s="8">
        <v>1.23</v>
      </c>
      <c r="O128" s="8">
        <v>780</v>
      </c>
      <c r="P128" s="8" t="s">
        <v>21</v>
      </c>
      <c r="Q128" s="8" t="str">
        <f>_xlfn.IFS(AND(Table13[[#This Row],[Gender]]="female",R128&lt;20),"Athletes",AND(Table13[[#This Row],[Gender]]="female",R128&lt;24),"Fitnesss",AND(Table13[[#This Row],[Gender]]="female",R128&lt;31),"Acceptable",AND(Table13[[#This Row],[Gender]]="female",R128&lt;40),"Obese",AND(Table13[[#This Row],[Gender]]="male",R128&lt;13),"Athletes",AND(Table13[[#This Row],[Gender]]="male",R128&lt;17),"Fitnesss",AND(Table13[[#This Row],[Gender]]="male",R128&lt;24.9),"Acceptable",AND(Table13[[#This Row],[Gender]]="male",R128&lt;40),"Obese",AND(Table13[[#This Row],[Gender]]="others",R128&lt;20),"Athletes",AND(Table13[[#This Row],[Gender]]="others",R128&lt;24),"Fitnesss",AND(Table13[[#This Row],[Gender]]="others",R128&lt;31),"Acceptable",AND(Table13[[#This Row],[Gender]]="others",R128&lt;40),"Obese")</f>
        <v>Athletes</v>
      </c>
      <c r="R128" s="8">
        <v>11.4</v>
      </c>
      <c r="S128" s="8">
        <v>3.5</v>
      </c>
      <c r="T128" s="8">
        <v>4</v>
      </c>
      <c r="U128" s="8">
        <v>3</v>
      </c>
      <c r="V128" s="8" t="str">
        <f>IF(Table13[[#This Row],[BMI]]&lt;=18.5,"Underweight",IF(Table13[[#This Row],[BMI]]&lt;=24.9,"Normal",IF(Table13[[#This Row],[BMI]]&lt;=29.9,"Overweight",IF(Table13[[#This Row],[BMI]]&lt;=39,"Obese","Severly Obese"))))</f>
        <v>Normal</v>
      </c>
      <c r="W128" s="18">
        <v>22.59</v>
      </c>
    </row>
    <row r="129" spans="6:23" x14ac:dyDescent="0.3">
      <c r="F129" s="17">
        <v>38</v>
      </c>
      <c r="G129" s="8" t="str">
        <f>IF(Table13[[#This Row],[Age]]&lt;25,"18-24",IF(Table13[[#This Row],[Age]]&lt;35,"25-34",IF(Table13[[#This Row],[Age]]&lt;45,"35-44",IF(Table13[[#This Row],[Age]]&lt;55,"45-54","55-64"))))</f>
        <v>35-44</v>
      </c>
      <c r="H129" s="8" t="s">
        <v>19</v>
      </c>
      <c r="I129" s="8">
        <v>50</v>
      </c>
      <c r="J129" s="8">
        <v>1.75</v>
      </c>
      <c r="K129" s="8">
        <v>186</v>
      </c>
      <c r="L129" s="8">
        <v>135</v>
      </c>
      <c r="M129" s="8">
        <v>59</v>
      </c>
      <c r="N129" s="8">
        <v>2</v>
      </c>
      <c r="O129" s="8">
        <v>695</v>
      </c>
      <c r="P129" s="8" t="s">
        <v>18</v>
      </c>
      <c r="Q129" s="8" t="str">
        <f>_xlfn.IFS(AND(Table13[[#This Row],[Gender]]="female",R129&lt;20),"Athletes",AND(Table13[[#This Row],[Gender]]="female",R129&lt;24),"Fitnesss",AND(Table13[[#This Row],[Gender]]="female",R129&lt;31),"Acceptable",AND(Table13[[#This Row],[Gender]]="female",R129&lt;40),"Obese",AND(Table13[[#This Row],[Gender]]="male",R129&lt;13),"Athletes",AND(Table13[[#This Row],[Gender]]="male",R129&lt;17),"Fitnesss",AND(Table13[[#This Row],[Gender]]="male",R129&lt;24.9),"Acceptable",AND(Table13[[#This Row],[Gender]]="male",R129&lt;40),"Obese",AND(Table13[[#This Row],[Gender]]="others",R129&lt;20),"Athletes",AND(Table13[[#This Row],[Gender]]="others",R129&lt;24),"Fitnesss",AND(Table13[[#This Row],[Gender]]="others",R129&lt;31),"Acceptable",AND(Table13[[#This Row],[Gender]]="others",R129&lt;40),"Obese")</f>
        <v>Acceptable</v>
      </c>
      <c r="R129" s="8">
        <v>23.4</v>
      </c>
      <c r="S129" s="8">
        <v>1.6</v>
      </c>
      <c r="T129" s="8">
        <v>4</v>
      </c>
      <c r="U129" s="8">
        <v>1</v>
      </c>
      <c r="V129" s="8" t="str">
        <f>IF(Table13[[#This Row],[BMI]]&lt;=18.5,"Underweight",IF(Table13[[#This Row],[BMI]]&lt;=24.9,"Normal",IF(Table13[[#This Row],[BMI]]&lt;=29.9,"Overweight",IF(Table13[[#This Row],[BMI]]&lt;=39,"Obese","Severly Obese"))))</f>
        <v>Severly Obese</v>
      </c>
      <c r="W129" s="18">
        <v>49.84</v>
      </c>
    </row>
    <row r="130" spans="6:23" x14ac:dyDescent="0.3">
      <c r="F130" s="17">
        <v>29</v>
      </c>
      <c r="G130" s="8" t="str">
        <f>IF(Table13[[#This Row],[Age]]&lt;25,"18-24",IF(Table13[[#This Row],[Age]]&lt;35,"25-34",IF(Table13[[#This Row],[Age]]&lt;45,"35-44",IF(Table13[[#This Row],[Age]]&lt;55,"45-54","55-64"))))</f>
        <v>25-34</v>
      </c>
      <c r="H130" s="8" t="s">
        <v>17</v>
      </c>
      <c r="I130" s="8">
        <v>93.5</v>
      </c>
      <c r="J130" s="8">
        <v>1.85</v>
      </c>
      <c r="K130" s="8">
        <v>166</v>
      </c>
      <c r="L130" s="8">
        <v>167</v>
      </c>
      <c r="M130" s="8">
        <v>74</v>
      </c>
      <c r="N130" s="8">
        <v>1.01</v>
      </c>
      <c r="O130" s="8">
        <v>670</v>
      </c>
      <c r="P130" s="8" t="s">
        <v>20</v>
      </c>
      <c r="Q130" s="8" t="str">
        <f>_xlfn.IFS(AND(Table13[[#This Row],[Gender]]="female",R130&lt;20),"Athletes",AND(Table13[[#This Row],[Gender]]="female",R130&lt;24),"Fitnesss",AND(Table13[[#This Row],[Gender]]="female",R130&lt;31),"Acceptable",AND(Table13[[#This Row],[Gender]]="female",R130&lt;40),"Obese",AND(Table13[[#This Row],[Gender]]="male",R130&lt;13),"Athletes",AND(Table13[[#This Row],[Gender]]="male",R130&lt;17),"Fitnesss",AND(Table13[[#This Row],[Gender]]="male",R130&lt;24.9),"Acceptable",AND(Table13[[#This Row],[Gender]]="male",R130&lt;40),"Obese",AND(Table13[[#This Row],[Gender]]="others",R130&lt;20),"Athletes",AND(Table13[[#This Row],[Gender]]="others",R130&lt;24),"Fitnesss",AND(Table13[[#This Row],[Gender]]="others",R130&lt;31),"Acceptable",AND(Table13[[#This Row],[Gender]]="others",R130&lt;40),"Obese")</f>
        <v>Fitnesss</v>
      </c>
      <c r="R130" s="8">
        <v>23.2</v>
      </c>
      <c r="S130" s="8">
        <v>2.6</v>
      </c>
      <c r="T130" s="8">
        <v>3</v>
      </c>
      <c r="U130" s="8">
        <v>1</v>
      </c>
      <c r="V130" s="8" t="str">
        <f>IF(Table13[[#This Row],[BMI]]&lt;=18.5,"Underweight",IF(Table13[[#This Row],[BMI]]&lt;=24.9,"Normal",IF(Table13[[#This Row],[BMI]]&lt;=29.9,"Overweight",IF(Table13[[#This Row],[BMI]]&lt;=39,"Obese","Severly Obese"))))</f>
        <v>Normal</v>
      </c>
      <c r="W130" s="18">
        <v>19.829999999999998</v>
      </c>
    </row>
    <row r="131" spans="6:23" x14ac:dyDescent="0.3">
      <c r="F131" s="17">
        <v>54</v>
      </c>
      <c r="G131" s="8" t="str">
        <f>IF(Table13[[#This Row],[Age]]&lt;25,"18-24",IF(Table13[[#This Row],[Age]]&lt;35,"25-34",IF(Table13[[#This Row],[Age]]&lt;45,"35-44",IF(Table13[[#This Row],[Age]]&lt;55,"45-54","55-64"))))</f>
        <v>45-54</v>
      </c>
      <c r="H131" s="8" t="s">
        <v>19</v>
      </c>
      <c r="I131" s="8">
        <v>84</v>
      </c>
      <c r="J131" s="8">
        <v>1.94</v>
      </c>
      <c r="K131" s="8">
        <v>178</v>
      </c>
      <c r="L131" s="8">
        <v>133</v>
      </c>
      <c r="M131" s="8">
        <v>53</v>
      </c>
      <c r="N131" s="8">
        <v>1.47</v>
      </c>
      <c r="O131" s="8">
        <v>942</v>
      </c>
      <c r="P131" s="8" t="s">
        <v>22</v>
      </c>
      <c r="Q131" s="8" t="str">
        <f>_xlfn.IFS(AND(Table13[[#This Row],[Gender]]="female",R131&lt;20),"Athletes",AND(Table13[[#This Row],[Gender]]="female",R131&lt;24),"Fitnesss",AND(Table13[[#This Row],[Gender]]="female",R131&lt;31),"Acceptable",AND(Table13[[#This Row],[Gender]]="female",R131&lt;40),"Obese",AND(Table13[[#This Row],[Gender]]="male",R131&lt;13),"Athletes",AND(Table13[[#This Row],[Gender]]="male",R131&lt;17),"Fitnesss",AND(Table13[[#This Row],[Gender]]="male",R131&lt;24.9),"Acceptable",AND(Table13[[#This Row],[Gender]]="male",R131&lt;40),"Obese",AND(Table13[[#This Row],[Gender]]="others",R131&lt;20),"Athletes",AND(Table13[[#This Row],[Gender]]="others",R131&lt;24),"Fitnesss",AND(Table13[[#This Row],[Gender]]="others",R131&lt;31),"Acceptable",AND(Table13[[#This Row],[Gender]]="others",R131&lt;40),"Obese")</f>
        <v>Obese</v>
      </c>
      <c r="R131" s="8">
        <v>30.7</v>
      </c>
      <c r="S131" s="8">
        <v>1.5</v>
      </c>
      <c r="T131" s="8">
        <v>4</v>
      </c>
      <c r="U131" s="8">
        <v>1</v>
      </c>
      <c r="V131" s="8" t="str">
        <f>IF(Table13[[#This Row],[BMI]]&lt;=18.5,"Underweight",IF(Table13[[#This Row],[BMI]]&lt;=24.9,"Normal",IF(Table13[[#This Row],[BMI]]&lt;=29.9,"Overweight",IF(Table13[[#This Row],[BMI]]&lt;=39,"Obese","Severly Obese"))))</f>
        <v>Underweight</v>
      </c>
      <c r="W131" s="18">
        <v>16.61</v>
      </c>
    </row>
    <row r="132" spans="6:23" x14ac:dyDescent="0.3">
      <c r="F132" s="17">
        <v>37</v>
      </c>
      <c r="G132" s="8" t="str">
        <f>IF(Table13[[#This Row],[Age]]&lt;25,"18-24",IF(Table13[[#This Row],[Age]]&lt;35,"25-34",IF(Table13[[#This Row],[Age]]&lt;45,"35-44",IF(Table13[[#This Row],[Age]]&lt;55,"45-54","55-64"))))</f>
        <v>35-44</v>
      </c>
      <c r="H132" s="8" t="s">
        <v>17</v>
      </c>
      <c r="I132" s="8">
        <v>55.3</v>
      </c>
      <c r="J132" s="8">
        <v>1.73</v>
      </c>
      <c r="K132" s="8">
        <v>183</v>
      </c>
      <c r="L132" s="8">
        <v>134</v>
      </c>
      <c r="M132" s="8">
        <v>51</v>
      </c>
      <c r="N132" s="8">
        <v>1.1000000000000001</v>
      </c>
      <c r="O132" s="8">
        <v>976</v>
      </c>
      <c r="P132" s="8" t="s">
        <v>22</v>
      </c>
      <c r="Q132" s="8" t="str">
        <f>_xlfn.IFS(AND(Table13[[#This Row],[Gender]]="female",R132&lt;20),"Athletes",AND(Table13[[#This Row],[Gender]]="female",R132&lt;24),"Fitnesss",AND(Table13[[#This Row],[Gender]]="female",R132&lt;31),"Acceptable",AND(Table13[[#This Row],[Gender]]="female",R132&lt;40),"Obese",AND(Table13[[#This Row],[Gender]]="male",R132&lt;13),"Athletes",AND(Table13[[#This Row],[Gender]]="male",R132&lt;17),"Fitnesss",AND(Table13[[#This Row],[Gender]]="male",R132&lt;24.9),"Acceptable",AND(Table13[[#This Row],[Gender]]="male",R132&lt;40),"Obese",AND(Table13[[#This Row],[Gender]]="others",R132&lt;20),"Athletes",AND(Table13[[#This Row],[Gender]]="others",R132&lt;24),"Fitnesss",AND(Table13[[#This Row],[Gender]]="others",R132&lt;31),"Acceptable",AND(Table13[[#This Row],[Gender]]="others",R132&lt;40),"Obese")</f>
        <v>Obese</v>
      </c>
      <c r="R132" s="8">
        <v>31.3</v>
      </c>
      <c r="S132" s="8">
        <v>2.8</v>
      </c>
      <c r="T132" s="8">
        <v>2</v>
      </c>
      <c r="U132" s="8">
        <v>2</v>
      </c>
      <c r="V132" s="8" t="str">
        <f>IF(Table13[[#This Row],[BMI]]&lt;=18.5,"Underweight",IF(Table13[[#This Row],[BMI]]&lt;=24.9,"Normal",IF(Table13[[#This Row],[BMI]]&lt;=29.9,"Overweight",IF(Table13[[#This Row],[BMI]]&lt;=39,"Obese","Severly Obese"))))</f>
        <v>Underweight</v>
      </c>
      <c r="W132" s="18">
        <v>16.260000000000002</v>
      </c>
    </row>
    <row r="133" spans="6:23" x14ac:dyDescent="0.3">
      <c r="F133" s="17">
        <v>21</v>
      </c>
      <c r="G133" s="8" t="str">
        <f>IF(Table13[[#This Row],[Age]]&lt;25,"18-24",IF(Table13[[#This Row],[Age]]&lt;35,"25-34",IF(Table13[[#This Row],[Age]]&lt;45,"35-44",IF(Table13[[#This Row],[Age]]&lt;55,"45-54","55-64"))))</f>
        <v>18-24</v>
      </c>
      <c r="H133" s="8" t="s">
        <v>19</v>
      </c>
      <c r="I133" s="8">
        <v>66.599999999999994</v>
      </c>
      <c r="J133" s="8">
        <v>1.85</v>
      </c>
      <c r="K133" s="8">
        <v>189</v>
      </c>
      <c r="L133" s="8">
        <v>121</v>
      </c>
      <c r="M133" s="8">
        <v>56</v>
      </c>
      <c r="N133" s="8">
        <v>0.88</v>
      </c>
      <c r="O133" s="8">
        <v>993</v>
      </c>
      <c r="P133" s="8" t="s">
        <v>21</v>
      </c>
      <c r="Q133" s="8" t="str">
        <f>_xlfn.IFS(AND(Table13[[#This Row],[Gender]]="female",R133&lt;20),"Athletes",AND(Table13[[#This Row],[Gender]]="female",R133&lt;24),"Fitnesss",AND(Table13[[#This Row],[Gender]]="female",R133&lt;31),"Acceptable",AND(Table13[[#This Row],[Gender]]="female",R133&lt;40),"Obese",AND(Table13[[#This Row],[Gender]]="male",R133&lt;13),"Athletes",AND(Table13[[#This Row],[Gender]]="male",R133&lt;17),"Fitnesss",AND(Table13[[#This Row],[Gender]]="male",R133&lt;24.9),"Acceptable",AND(Table13[[#This Row],[Gender]]="male",R133&lt;40),"Obese",AND(Table13[[#This Row],[Gender]]="others",R133&lt;20),"Athletes",AND(Table13[[#This Row],[Gender]]="others",R133&lt;24),"Fitnesss",AND(Table13[[#This Row],[Gender]]="others",R133&lt;31),"Acceptable",AND(Table13[[#This Row],[Gender]]="others",R133&lt;40),"Obese")</f>
        <v>Fitnesss</v>
      </c>
      <c r="R133" s="8">
        <v>13.9</v>
      </c>
      <c r="S133" s="8">
        <v>3.4</v>
      </c>
      <c r="T133" s="8">
        <v>5</v>
      </c>
      <c r="U133" s="8">
        <v>1</v>
      </c>
      <c r="V133" s="8" t="str">
        <f>IF(Table13[[#This Row],[BMI]]&lt;=18.5,"Underweight",IF(Table13[[#This Row],[BMI]]&lt;=24.9,"Normal",IF(Table13[[#This Row],[BMI]]&lt;=29.9,"Overweight",IF(Table13[[#This Row],[BMI]]&lt;=39,"Obese","Severly Obese"))))</f>
        <v>Underweight</v>
      </c>
      <c r="W133" s="18">
        <v>12.32</v>
      </c>
    </row>
    <row r="134" spans="6:23" x14ac:dyDescent="0.3">
      <c r="F134" s="17">
        <v>21</v>
      </c>
      <c r="G134" s="8" t="str">
        <f>IF(Table13[[#This Row],[Age]]&lt;25,"18-24",IF(Table13[[#This Row],[Age]]&lt;35,"25-34",IF(Table13[[#This Row],[Age]]&lt;45,"35-44",IF(Table13[[#This Row],[Age]]&lt;55,"45-54","55-64"))))</f>
        <v>18-24</v>
      </c>
      <c r="H134" s="8" t="s">
        <v>23</v>
      </c>
      <c r="I134" s="8">
        <v>65.8</v>
      </c>
      <c r="J134" s="8">
        <v>1.62</v>
      </c>
      <c r="K134" s="8">
        <v>172</v>
      </c>
      <c r="L134" s="8">
        <v>127</v>
      </c>
      <c r="M134" s="8">
        <v>62</v>
      </c>
      <c r="N134" s="8">
        <v>1.35</v>
      </c>
      <c r="O134" s="8">
        <v>1307</v>
      </c>
      <c r="P134" s="8" t="s">
        <v>20</v>
      </c>
      <c r="Q134" s="8" t="str">
        <f>_xlfn.IFS(AND(Table13[[#This Row],[Gender]]="female",R134&lt;20),"Athletes",AND(Table13[[#This Row],[Gender]]="female",R134&lt;24),"Fitnesss",AND(Table13[[#This Row],[Gender]]="female",R134&lt;31),"Acceptable",AND(Table13[[#This Row],[Gender]]="female",R134&lt;40),"Obese",AND(Table13[[#This Row],[Gender]]="male",R134&lt;13),"Athletes",AND(Table13[[#This Row],[Gender]]="male",R134&lt;17),"Fitnesss",AND(Table13[[#This Row],[Gender]]="male",R134&lt;24.9),"Acceptable",AND(Table13[[#This Row],[Gender]]="male",R134&lt;40),"Obese",AND(Table13[[#This Row],[Gender]]="others",R134&lt;20),"Athletes",AND(Table13[[#This Row],[Gender]]="others",R134&lt;24),"Fitnesss",AND(Table13[[#This Row],[Gender]]="others",R134&lt;31),"Acceptable",AND(Table13[[#This Row],[Gender]]="others",R134&lt;40),"Obese")</f>
        <v>Acceptable</v>
      </c>
      <c r="R134" s="8">
        <v>26</v>
      </c>
      <c r="S134" s="8">
        <v>3.4</v>
      </c>
      <c r="T134" s="8">
        <v>3</v>
      </c>
      <c r="U134" s="8">
        <v>1</v>
      </c>
      <c r="V134" s="8" t="str">
        <f>IF(Table13[[#This Row],[BMI]]&lt;=18.5,"Underweight",IF(Table13[[#This Row],[BMI]]&lt;=24.9,"Normal",IF(Table13[[#This Row],[BMI]]&lt;=29.9,"Overweight",IF(Table13[[#This Row],[BMI]]&lt;=39,"Obese","Severly Obese"))))</f>
        <v>Underweight</v>
      </c>
      <c r="W134" s="18">
        <v>15.3</v>
      </c>
    </row>
    <row r="135" spans="6:23" x14ac:dyDescent="0.3">
      <c r="F135" s="17">
        <v>26</v>
      </c>
      <c r="G135" s="8" t="str">
        <f>IF(Table13[[#This Row],[Age]]&lt;25,"18-24",IF(Table13[[#This Row],[Age]]&lt;35,"25-34",IF(Table13[[#This Row],[Age]]&lt;45,"35-44",IF(Table13[[#This Row],[Age]]&lt;55,"45-54","55-64"))))</f>
        <v>25-34</v>
      </c>
      <c r="H135" s="8" t="s">
        <v>17</v>
      </c>
      <c r="I135" s="8">
        <v>59.8</v>
      </c>
      <c r="J135" s="8">
        <v>1.6</v>
      </c>
      <c r="K135" s="8">
        <v>180</v>
      </c>
      <c r="L135" s="8">
        <v>151</v>
      </c>
      <c r="M135" s="8">
        <v>58</v>
      </c>
      <c r="N135" s="8">
        <v>1.2</v>
      </c>
      <c r="O135" s="8">
        <v>611</v>
      </c>
      <c r="P135" s="8" t="s">
        <v>21</v>
      </c>
      <c r="Q135" s="8" t="str">
        <f>_xlfn.IFS(AND(Table13[[#This Row],[Gender]]="female",R135&lt;20),"Athletes",AND(Table13[[#This Row],[Gender]]="female",R135&lt;24),"Fitnesss",AND(Table13[[#This Row],[Gender]]="female",R135&lt;31),"Acceptable",AND(Table13[[#This Row],[Gender]]="female",R135&lt;40),"Obese",AND(Table13[[#This Row],[Gender]]="male",R135&lt;13),"Athletes",AND(Table13[[#This Row],[Gender]]="male",R135&lt;17),"Fitnesss",AND(Table13[[#This Row],[Gender]]="male",R135&lt;24.9),"Acceptable",AND(Table13[[#This Row],[Gender]]="male",R135&lt;40),"Obese",AND(Table13[[#This Row],[Gender]]="others",R135&lt;20),"Athletes",AND(Table13[[#This Row],[Gender]]="others",R135&lt;24),"Fitnesss",AND(Table13[[#This Row],[Gender]]="others",R135&lt;31),"Acceptable",AND(Table13[[#This Row],[Gender]]="others",R135&lt;40),"Obese")</f>
        <v>Athletes</v>
      </c>
      <c r="R135" s="8">
        <v>16.399999999999999</v>
      </c>
      <c r="S135" s="8">
        <v>2.5</v>
      </c>
      <c r="T135" s="8">
        <v>3</v>
      </c>
      <c r="U135" s="8">
        <v>3</v>
      </c>
      <c r="V135" s="8" t="str">
        <f>IF(Table13[[#This Row],[BMI]]&lt;=18.5,"Underweight",IF(Table13[[#This Row],[BMI]]&lt;=24.9,"Normal",IF(Table13[[#This Row],[BMI]]&lt;=29.9,"Overweight",IF(Table13[[#This Row],[BMI]]&lt;=39,"Obese","Severly Obese"))))</f>
        <v>Underweight</v>
      </c>
      <c r="W135" s="18">
        <v>12.63</v>
      </c>
    </row>
    <row r="136" spans="6:23" x14ac:dyDescent="0.3">
      <c r="F136" s="17">
        <v>42</v>
      </c>
      <c r="G136" s="8" t="str">
        <f>IF(Table13[[#This Row],[Age]]&lt;25,"18-24",IF(Table13[[#This Row],[Age]]&lt;35,"25-34",IF(Table13[[#This Row],[Age]]&lt;45,"35-44",IF(Table13[[#This Row],[Age]]&lt;55,"45-54","55-64"))))</f>
        <v>35-44</v>
      </c>
      <c r="H136" s="8" t="s">
        <v>17</v>
      </c>
      <c r="I136" s="8">
        <v>80.3</v>
      </c>
      <c r="J136" s="8">
        <v>1.94</v>
      </c>
      <c r="K136" s="8">
        <v>192</v>
      </c>
      <c r="L136" s="8">
        <v>169</v>
      </c>
      <c r="M136" s="8">
        <v>52</v>
      </c>
      <c r="N136" s="8">
        <v>1.72</v>
      </c>
      <c r="O136" s="8">
        <v>753</v>
      </c>
      <c r="P136" s="8" t="s">
        <v>22</v>
      </c>
      <c r="Q136" s="8" t="str">
        <f>_xlfn.IFS(AND(Table13[[#This Row],[Gender]]="female",R136&lt;20),"Athletes",AND(Table13[[#This Row],[Gender]]="female",R136&lt;24),"Fitnesss",AND(Table13[[#This Row],[Gender]]="female",R136&lt;31),"Acceptable",AND(Table13[[#This Row],[Gender]]="female",R136&lt;40),"Obese",AND(Table13[[#This Row],[Gender]]="male",R136&lt;13),"Athletes",AND(Table13[[#This Row],[Gender]]="male",R136&lt;17),"Fitnesss",AND(Table13[[#This Row],[Gender]]="male",R136&lt;24.9),"Acceptable",AND(Table13[[#This Row],[Gender]]="male",R136&lt;40),"Obese",AND(Table13[[#This Row],[Gender]]="others",R136&lt;20),"Athletes",AND(Table13[[#This Row],[Gender]]="others",R136&lt;24),"Fitnesss",AND(Table13[[#This Row],[Gender]]="others",R136&lt;31),"Acceptable",AND(Table13[[#This Row],[Gender]]="others",R136&lt;40),"Obese")</f>
        <v>Acceptable</v>
      </c>
      <c r="R136" s="8">
        <v>24.6</v>
      </c>
      <c r="S136" s="8">
        <v>3.5</v>
      </c>
      <c r="T136" s="8">
        <v>5</v>
      </c>
      <c r="U136" s="8">
        <v>2</v>
      </c>
      <c r="V136" s="8" t="str">
        <f>IF(Table13[[#This Row],[BMI]]&lt;=18.5,"Underweight",IF(Table13[[#This Row],[BMI]]&lt;=24.9,"Normal",IF(Table13[[#This Row],[BMI]]&lt;=29.9,"Overweight",IF(Table13[[#This Row],[BMI]]&lt;=39,"Obese","Severly Obese"))))</f>
        <v>Obese</v>
      </c>
      <c r="W136" s="18">
        <v>33.99</v>
      </c>
    </row>
    <row r="137" spans="6:23" x14ac:dyDescent="0.3">
      <c r="F137" s="17">
        <v>31</v>
      </c>
      <c r="G137" s="8" t="str">
        <f>IF(Table13[[#This Row],[Age]]&lt;25,"18-24",IF(Table13[[#This Row],[Age]]&lt;35,"25-34",IF(Table13[[#This Row],[Age]]&lt;45,"35-44",IF(Table13[[#This Row],[Age]]&lt;55,"45-54","55-64"))))</f>
        <v>25-34</v>
      </c>
      <c r="H137" s="8" t="s">
        <v>17</v>
      </c>
      <c r="I137" s="8">
        <v>129.9</v>
      </c>
      <c r="J137" s="8">
        <v>1.7</v>
      </c>
      <c r="K137" s="8">
        <v>190</v>
      </c>
      <c r="L137" s="8">
        <v>169</v>
      </c>
      <c r="M137" s="8">
        <v>69</v>
      </c>
      <c r="N137" s="8">
        <v>1.38</v>
      </c>
      <c r="O137" s="8">
        <v>735</v>
      </c>
      <c r="P137" s="8" t="s">
        <v>18</v>
      </c>
      <c r="Q137" s="8" t="str">
        <f>_xlfn.IFS(AND(Table13[[#This Row],[Gender]]="female",R137&lt;20),"Athletes",AND(Table13[[#This Row],[Gender]]="female",R137&lt;24),"Fitnesss",AND(Table13[[#This Row],[Gender]]="female",R137&lt;31),"Acceptable",AND(Table13[[#This Row],[Gender]]="female",R137&lt;40),"Obese",AND(Table13[[#This Row],[Gender]]="male",R137&lt;13),"Athletes",AND(Table13[[#This Row],[Gender]]="male",R137&lt;17),"Fitnesss",AND(Table13[[#This Row],[Gender]]="male",R137&lt;24.9),"Acceptable",AND(Table13[[#This Row],[Gender]]="male",R137&lt;40),"Obese",AND(Table13[[#This Row],[Gender]]="others",R137&lt;20),"Athletes",AND(Table13[[#This Row],[Gender]]="others",R137&lt;24),"Fitnesss",AND(Table13[[#This Row],[Gender]]="others",R137&lt;31),"Acceptable",AND(Table13[[#This Row],[Gender]]="others",R137&lt;40),"Obese")</f>
        <v>Athletes</v>
      </c>
      <c r="R137" s="8">
        <v>10</v>
      </c>
      <c r="S137" s="8">
        <v>2.1</v>
      </c>
      <c r="T137" s="8">
        <v>3</v>
      </c>
      <c r="U137" s="8">
        <v>3</v>
      </c>
      <c r="V137" s="8" t="str">
        <f>IF(Table13[[#This Row],[BMI]]&lt;=18.5,"Underweight",IF(Table13[[#This Row],[BMI]]&lt;=24.9,"Normal",IF(Table13[[#This Row],[BMI]]&lt;=29.9,"Overweight",IF(Table13[[#This Row],[BMI]]&lt;=39,"Obese","Severly Obese"))))</f>
        <v>Underweight</v>
      </c>
      <c r="W137" s="18">
        <v>16.07</v>
      </c>
    </row>
    <row r="138" spans="6:23" x14ac:dyDescent="0.3">
      <c r="F138" s="17">
        <v>50</v>
      </c>
      <c r="G138" s="8" t="str">
        <f>IF(Table13[[#This Row],[Age]]&lt;25,"18-24",IF(Table13[[#This Row],[Age]]&lt;35,"25-34",IF(Table13[[#This Row],[Age]]&lt;45,"35-44",IF(Table13[[#This Row],[Age]]&lt;55,"45-54","55-64"))))</f>
        <v>45-54</v>
      </c>
      <c r="H138" s="8" t="s">
        <v>17</v>
      </c>
      <c r="I138" s="8">
        <v>40</v>
      </c>
      <c r="J138" s="8">
        <v>1.75</v>
      </c>
      <c r="K138" s="8">
        <v>162</v>
      </c>
      <c r="L138" s="8">
        <v>169</v>
      </c>
      <c r="M138" s="8">
        <v>55</v>
      </c>
      <c r="N138" s="8">
        <v>2</v>
      </c>
      <c r="O138" s="8">
        <v>1449</v>
      </c>
      <c r="P138" s="8" t="s">
        <v>22</v>
      </c>
      <c r="Q138" s="8" t="str">
        <f>_xlfn.IFS(AND(Table13[[#This Row],[Gender]]="female",R138&lt;20),"Athletes",AND(Table13[[#This Row],[Gender]]="female",R138&lt;24),"Fitnesss",AND(Table13[[#This Row],[Gender]]="female",R138&lt;31),"Acceptable",AND(Table13[[#This Row],[Gender]]="female",R138&lt;40),"Obese",AND(Table13[[#This Row],[Gender]]="male",R138&lt;13),"Athletes",AND(Table13[[#This Row],[Gender]]="male",R138&lt;17),"Fitnesss",AND(Table13[[#This Row],[Gender]]="male",R138&lt;24.9),"Acceptable",AND(Table13[[#This Row],[Gender]]="male",R138&lt;40),"Obese",AND(Table13[[#This Row],[Gender]]="others",R138&lt;20),"Athletes",AND(Table13[[#This Row],[Gender]]="others",R138&lt;24),"Fitnesss",AND(Table13[[#This Row],[Gender]]="others",R138&lt;31),"Acceptable",AND(Table13[[#This Row],[Gender]]="others",R138&lt;40),"Obese")</f>
        <v>Obese</v>
      </c>
      <c r="R138" s="8">
        <v>31.7</v>
      </c>
      <c r="S138" s="8">
        <v>3.5</v>
      </c>
      <c r="T138" s="8">
        <v>4</v>
      </c>
      <c r="U138" s="8">
        <v>3</v>
      </c>
      <c r="V138" s="8" t="str">
        <f>IF(Table13[[#This Row],[BMI]]&lt;=18.5,"Underweight",IF(Table13[[#This Row],[BMI]]&lt;=24.9,"Normal",IF(Table13[[#This Row],[BMI]]&lt;=29.9,"Overweight",IF(Table13[[#This Row],[BMI]]&lt;=39,"Obese","Severly Obese"))))</f>
        <v>Overweight</v>
      </c>
      <c r="W138" s="18">
        <v>28.18</v>
      </c>
    </row>
    <row r="139" spans="6:23" x14ac:dyDescent="0.3">
      <c r="F139" s="17">
        <v>51</v>
      </c>
      <c r="G139" s="8" t="str">
        <f>IF(Table13[[#This Row],[Age]]&lt;25,"18-24",IF(Table13[[#This Row],[Age]]&lt;35,"25-34",IF(Table13[[#This Row],[Age]]&lt;45,"35-44",IF(Table13[[#This Row],[Age]]&lt;55,"45-54","55-64"))))</f>
        <v>45-54</v>
      </c>
      <c r="H139" s="8" t="s">
        <v>17</v>
      </c>
      <c r="I139" s="8">
        <v>91.7</v>
      </c>
      <c r="J139" s="8">
        <v>1.72</v>
      </c>
      <c r="K139" s="8">
        <v>168</v>
      </c>
      <c r="L139" s="8">
        <v>137</v>
      </c>
      <c r="M139" s="8">
        <v>58</v>
      </c>
      <c r="N139" s="8">
        <v>0.86</v>
      </c>
      <c r="O139" s="8">
        <v>1529</v>
      </c>
      <c r="P139" s="8" t="s">
        <v>20</v>
      </c>
      <c r="Q139" s="8" t="str">
        <f>_xlfn.IFS(AND(Table13[[#This Row],[Gender]]="female",R139&lt;20),"Athletes",AND(Table13[[#This Row],[Gender]]="female",R139&lt;24),"Fitnesss",AND(Table13[[#This Row],[Gender]]="female",R139&lt;31),"Acceptable",AND(Table13[[#This Row],[Gender]]="female",R139&lt;40),"Obese",AND(Table13[[#This Row],[Gender]]="male",R139&lt;13),"Athletes",AND(Table13[[#This Row],[Gender]]="male",R139&lt;17),"Fitnesss",AND(Table13[[#This Row],[Gender]]="male",R139&lt;24.9),"Acceptable",AND(Table13[[#This Row],[Gender]]="male",R139&lt;40),"Obese",AND(Table13[[#This Row],[Gender]]="others",R139&lt;20),"Athletes",AND(Table13[[#This Row],[Gender]]="others",R139&lt;24),"Fitnesss",AND(Table13[[#This Row],[Gender]]="others",R139&lt;31),"Acceptable",AND(Table13[[#This Row],[Gender]]="others",R139&lt;40),"Obese")</f>
        <v>Athletes</v>
      </c>
      <c r="R139" s="8">
        <v>10</v>
      </c>
      <c r="S139" s="8">
        <v>1.7</v>
      </c>
      <c r="T139" s="8"/>
      <c r="U139" s="8">
        <v>1</v>
      </c>
      <c r="V139" s="8" t="str">
        <f>IF(Table13[[#This Row],[BMI]]&lt;=18.5,"Underweight",IF(Table13[[#This Row],[BMI]]&lt;=24.9,"Normal",IF(Table13[[#This Row],[BMI]]&lt;=29.9,"Overweight",IF(Table13[[#This Row],[BMI]]&lt;=39,"Obese","Severly Obese"))))</f>
        <v>Underweight</v>
      </c>
      <c r="W139" s="18">
        <v>14.15</v>
      </c>
    </row>
    <row r="140" spans="6:23" x14ac:dyDescent="0.3">
      <c r="F140" s="17">
        <v>18</v>
      </c>
      <c r="G140" s="8" t="str">
        <f>IF(Table13[[#This Row],[Age]]&lt;25,"18-24",IF(Table13[[#This Row],[Age]]&lt;35,"25-34",IF(Table13[[#This Row],[Age]]&lt;45,"35-44",IF(Table13[[#This Row],[Age]]&lt;55,"45-54","55-64"))))</f>
        <v>18-24</v>
      </c>
      <c r="H140" s="8" t="s">
        <v>19</v>
      </c>
      <c r="I140" s="8">
        <v>64.8</v>
      </c>
      <c r="J140" s="8">
        <v>1.82</v>
      </c>
      <c r="K140" s="8">
        <v>169</v>
      </c>
      <c r="L140" s="8">
        <v>156</v>
      </c>
      <c r="M140" s="8">
        <v>69</v>
      </c>
      <c r="N140" s="8">
        <v>1.93</v>
      </c>
      <c r="O140" s="8">
        <v>1516</v>
      </c>
      <c r="P140" s="8" t="s">
        <v>18</v>
      </c>
      <c r="Q140" s="8" t="str">
        <f>_xlfn.IFS(AND(Table13[[#This Row],[Gender]]="female",R140&lt;20),"Athletes",AND(Table13[[#This Row],[Gender]]="female",R140&lt;24),"Fitnesss",AND(Table13[[#This Row],[Gender]]="female",R140&lt;31),"Acceptable",AND(Table13[[#This Row],[Gender]]="female",R140&lt;40),"Obese",AND(Table13[[#This Row],[Gender]]="male",R140&lt;13),"Athletes",AND(Table13[[#This Row],[Gender]]="male",R140&lt;17),"Fitnesss",AND(Table13[[#This Row],[Gender]]="male",R140&lt;24.9),"Acceptable",AND(Table13[[#This Row],[Gender]]="male",R140&lt;40),"Obese",AND(Table13[[#This Row],[Gender]]="others",R140&lt;20),"Athletes",AND(Table13[[#This Row],[Gender]]="others",R140&lt;24),"Fitnesss",AND(Table13[[#This Row],[Gender]]="others",R140&lt;31),"Acceptable",AND(Table13[[#This Row],[Gender]]="others",R140&lt;40),"Obese")</f>
        <v>Acceptable</v>
      </c>
      <c r="R140" s="8">
        <v>21.9</v>
      </c>
      <c r="S140" s="8">
        <v>3.5</v>
      </c>
      <c r="T140" s="8">
        <v>3</v>
      </c>
      <c r="U140" s="8">
        <v>2</v>
      </c>
      <c r="V140" s="8" t="str">
        <f>IF(Table13[[#This Row],[BMI]]&lt;=18.5,"Underweight",IF(Table13[[#This Row],[BMI]]&lt;=24.9,"Normal",IF(Table13[[#This Row],[BMI]]&lt;=29.9,"Overweight",IF(Table13[[#This Row],[BMI]]&lt;=39,"Obese","Severly Obese"))))</f>
        <v>Underweight</v>
      </c>
      <c r="W140" s="18">
        <v>17.690000000000001</v>
      </c>
    </row>
    <row r="141" spans="6:23" x14ac:dyDescent="0.3">
      <c r="F141" s="17">
        <v>54</v>
      </c>
      <c r="G141" s="8" t="str">
        <f>IF(Table13[[#This Row],[Age]]&lt;25,"18-24",IF(Table13[[#This Row],[Age]]&lt;35,"25-34",IF(Table13[[#This Row],[Age]]&lt;45,"35-44",IF(Table13[[#This Row],[Age]]&lt;55,"45-54","55-64"))))</f>
        <v>45-54</v>
      </c>
      <c r="H141" s="8" t="s">
        <v>19</v>
      </c>
      <c r="I141" s="8">
        <v>60.1</v>
      </c>
      <c r="J141" s="8">
        <v>1.63</v>
      </c>
      <c r="K141" s="8">
        <v>174</v>
      </c>
      <c r="L141" s="8">
        <v>159</v>
      </c>
      <c r="M141" s="8">
        <v>72</v>
      </c>
      <c r="N141" s="8">
        <v>0.52</v>
      </c>
      <c r="O141" s="8">
        <v>893</v>
      </c>
      <c r="P141" s="8" t="s">
        <v>20</v>
      </c>
      <c r="Q141" s="8" t="str">
        <f>_xlfn.IFS(AND(Table13[[#This Row],[Gender]]="female",R141&lt;20),"Athletes",AND(Table13[[#This Row],[Gender]]="female",R141&lt;24),"Fitnesss",AND(Table13[[#This Row],[Gender]]="female",R141&lt;31),"Acceptable",AND(Table13[[#This Row],[Gender]]="female",R141&lt;40),"Obese",AND(Table13[[#This Row],[Gender]]="male",R141&lt;13),"Athletes",AND(Table13[[#This Row],[Gender]]="male",R141&lt;17),"Fitnesss",AND(Table13[[#This Row],[Gender]]="male",R141&lt;24.9),"Acceptable",AND(Table13[[#This Row],[Gender]]="male",R141&lt;40),"Obese",AND(Table13[[#This Row],[Gender]]="others",R141&lt;20),"Athletes",AND(Table13[[#This Row],[Gender]]="others",R141&lt;24),"Fitnesss",AND(Table13[[#This Row],[Gender]]="others",R141&lt;31),"Acceptable",AND(Table13[[#This Row],[Gender]]="others",R141&lt;40),"Obese")</f>
        <v>Acceptable</v>
      </c>
      <c r="R141" s="8">
        <v>18.399999999999999</v>
      </c>
      <c r="S141" s="8">
        <v>3.6</v>
      </c>
      <c r="T141" s="8">
        <v>4</v>
      </c>
      <c r="U141" s="8">
        <v>1</v>
      </c>
      <c r="V141" s="8" t="str">
        <f>IF(Table13[[#This Row],[BMI]]&lt;=18.5,"Underweight",IF(Table13[[#This Row],[BMI]]&lt;=24.9,"Normal",IF(Table13[[#This Row],[BMI]]&lt;=29.9,"Overweight",IF(Table13[[#This Row],[BMI]]&lt;=39,"Obese","Severly Obese"))))</f>
        <v>Normal</v>
      </c>
      <c r="W141" s="18">
        <v>20.56</v>
      </c>
    </row>
    <row r="142" spans="6:23" x14ac:dyDescent="0.3">
      <c r="F142" s="17">
        <v>38</v>
      </c>
      <c r="G142" s="8" t="str">
        <f>IF(Table13[[#This Row],[Age]]&lt;25,"18-24",IF(Table13[[#This Row],[Age]]&lt;35,"25-34",IF(Table13[[#This Row],[Age]]&lt;45,"35-44",IF(Table13[[#This Row],[Age]]&lt;55,"45-54","55-64"))))</f>
        <v>35-44</v>
      </c>
      <c r="H142" s="8" t="s">
        <v>17</v>
      </c>
      <c r="I142" s="8">
        <v>59</v>
      </c>
      <c r="J142" s="8"/>
      <c r="K142" s="8">
        <v>169</v>
      </c>
      <c r="L142" s="8">
        <v>134</v>
      </c>
      <c r="M142" s="8">
        <v>67</v>
      </c>
      <c r="N142" s="8">
        <v>1.36</v>
      </c>
      <c r="O142" s="8">
        <v>1783</v>
      </c>
      <c r="P142" s="8" t="s">
        <v>22</v>
      </c>
      <c r="Q142" s="8" t="str">
        <f>_xlfn.IFS(AND(Table13[[#This Row],[Gender]]="female",R142&lt;20),"Athletes",AND(Table13[[#This Row],[Gender]]="female",R142&lt;24),"Fitnesss",AND(Table13[[#This Row],[Gender]]="female",R142&lt;31),"Acceptable",AND(Table13[[#This Row],[Gender]]="female",R142&lt;40),"Obese",AND(Table13[[#This Row],[Gender]]="male",R142&lt;13),"Athletes",AND(Table13[[#This Row],[Gender]]="male",R142&lt;17),"Fitnesss",AND(Table13[[#This Row],[Gender]]="male",R142&lt;24.9),"Acceptable",AND(Table13[[#This Row],[Gender]]="male",R142&lt;40),"Obese",AND(Table13[[#This Row],[Gender]]="others",R142&lt;20),"Athletes",AND(Table13[[#This Row],[Gender]]="others",R142&lt;24),"Fitnesss",AND(Table13[[#This Row],[Gender]]="others",R142&lt;31),"Acceptable",AND(Table13[[#This Row],[Gender]]="others",R142&lt;40),"Obese")</f>
        <v>Acceptable</v>
      </c>
      <c r="R142" s="8">
        <v>24.5</v>
      </c>
      <c r="S142" s="8">
        <v>2.4</v>
      </c>
      <c r="T142" s="8">
        <v>3</v>
      </c>
      <c r="U142" s="8">
        <v>1</v>
      </c>
      <c r="V142" s="8" t="str">
        <f>IF(Table13[[#This Row],[BMI]]&lt;=18.5,"Underweight",IF(Table13[[#This Row],[BMI]]&lt;=24.9,"Normal",IF(Table13[[#This Row],[BMI]]&lt;=29.9,"Overweight",IF(Table13[[#This Row],[BMI]]&lt;=39,"Obese","Severly Obese"))))</f>
        <v>Underweight</v>
      </c>
      <c r="W142" s="18">
        <v>12.32</v>
      </c>
    </row>
    <row r="143" spans="6:23" x14ac:dyDescent="0.3">
      <c r="F143" s="17">
        <v>37</v>
      </c>
      <c r="G143" s="8" t="str">
        <f>IF(Table13[[#This Row],[Age]]&lt;25,"18-24",IF(Table13[[#This Row],[Age]]&lt;35,"25-34",IF(Table13[[#This Row],[Age]]&lt;45,"35-44",IF(Table13[[#This Row],[Age]]&lt;55,"45-54","55-64"))))</f>
        <v>35-44</v>
      </c>
      <c r="H143" s="8" t="s">
        <v>19</v>
      </c>
      <c r="I143" s="8">
        <v>46.3</v>
      </c>
      <c r="J143" s="8">
        <v>1.69</v>
      </c>
      <c r="K143" s="8">
        <v>181</v>
      </c>
      <c r="L143" s="8">
        <v>141</v>
      </c>
      <c r="M143" s="8">
        <v>67</v>
      </c>
      <c r="N143" s="8">
        <v>1.64</v>
      </c>
      <c r="O143" s="8">
        <v>1445</v>
      </c>
      <c r="P143" s="8" t="s">
        <v>18</v>
      </c>
      <c r="Q143" s="8" t="str">
        <f>_xlfn.IFS(AND(Table13[[#This Row],[Gender]]="female",R143&lt;20),"Athletes",AND(Table13[[#This Row],[Gender]]="female",R143&lt;24),"Fitnesss",AND(Table13[[#This Row],[Gender]]="female",R143&lt;31),"Acceptable",AND(Table13[[#This Row],[Gender]]="female",R143&lt;40),"Obese",AND(Table13[[#This Row],[Gender]]="male",R143&lt;13),"Athletes",AND(Table13[[#This Row],[Gender]]="male",R143&lt;17),"Fitnesss",AND(Table13[[#This Row],[Gender]]="male",R143&lt;24.9),"Acceptable",AND(Table13[[#This Row],[Gender]]="male",R143&lt;40),"Obese",AND(Table13[[#This Row],[Gender]]="others",R143&lt;20),"Athletes",AND(Table13[[#This Row],[Gender]]="others",R143&lt;24),"Fitnesss",AND(Table13[[#This Row],[Gender]]="others",R143&lt;31),"Acceptable",AND(Table13[[#This Row],[Gender]]="others",R143&lt;40),"Obese")</f>
        <v>Acceptable</v>
      </c>
      <c r="R143" s="8">
        <v>20.7</v>
      </c>
      <c r="S143" s="8">
        <v>2.5</v>
      </c>
      <c r="T143" s="8">
        <v>4</v>
      </c>
      <c r="U143" s="8">
        <v>2</v>
      </c>
      <c r="V143" s="8" t="str">
        <f>IF(Table13[[#This Row],[BMI]]&lt;=18.5,"Underweight",IF(Table13[[#This Row],[BMI]]&lt;=24.9,"Normal",IF(Table13[[#This Row],[BMI]]&lt;=29.9,"Overweight",IF(Table13[[#This Row],[BMI]]&lt;=39,"Obese","Severly Obese"))))</f>
        <v>Normal</v>
      </c>
      <c r="W143" s="18">
        <v>19.11</v>
      </c>
    </row>
    <row r="144" spans="6:23" x14ac:dyDescent="0.3">
      <c r="F144" s="17">
        <v>21</v>
      </c>
      <c r="G144" s="8" t="str">
        <f>IF(Table13[[#This Row],[Age]]&lt;25,"18-24",IF(Table13[[#This Row],[Age]]&lt;35,"25-34",IF(Table13[[#This Row],[Age]]&lt;45,"35-44",IF(Table13[[#This Row],[Age]]&lt;55,"45-54","55-64"))))</f>
        <v>18-24</v>
      </c>
      <c r="H144" s="8" t="s">
        <v>19</v>
      </c>
      <c r="I144" s="8">
        <v>66.900000000000006</v>
      </c>
      <c r="J144" s="8">
        <v>1.69</v>
      </c>
      <c r="K144" s="8">
        <v>197</v>
      </c>
      <c r="L144" s="8">
        <v>149</v>
      </c>
      <c r="M144" s="8">
        <v>74</v>
      </c>
      <c r="N144" s="8">
        <v>1.37</v>
      </c>
      <c r="O144" s="8">
        <v>872</v>
      </c>
      <c r="P144" s="8" t="s">
        <v>22</v>
      </c>
      <c r="Q144" s="8" t="str">
        <f>_xlfn.IFS(AND(Table13[[#This Row],[Gender]]="female",R144&lt;20),"Athletes",AND(Table13[[#This Row],[Gender]]="female",R144&lt;24),"Fitnesss",AND(Table13[[#This Row],[Gender]]="female",R144&lt;31),"Acceptable",AND(Table13[[#This Row],[Gender]]="female",R144&lt;40),"Obese",AND(Table13[[#This Row],[Gender]]="male",R144&lt;13),"Athletes",AND(Table13[[#This Row],[Gender]]="male",R144&lt;17),"Fitnesss",AND(Table13[[#This Row],[Gender]]="male",R144&lt;24.9),"Acceptable",AND(Table13[[#This Row],[Gender]]="male",R144&lt;40),"Obese",AND(Table13[[#This Row],[Gender]]="others",R144&lt;20),"Athletes",AND(Table13[[#This Row],[Gender]]="others",R144&lt;24),"Fitnesss",AND(Table13[[#This Row],[Gender]]="others",R144&lt;31),"Acceptable",AND(Table13[[#This Row],[Gender]]="others",R144&lt;40),"Obese")</f>
        <v>Fitnesss</v>
      </c>
      <c r="R144" s="8">
        <v>16.600000000000001</v>
      </c>
      <c r="S144" s="8">
        <v>2.6</v>
      </c>
      <c r="T144" s="8">
        <v>5</v>
      </c>
      <c r="U144" s="8">
        <v>2</v>
      </c>
      <c r="V144" s="8" t="str">
        <f>IF(Table13[[#This Row],[BMI]]&lt;=18.5,"Underweight",IF(Table13[[#This Row],[BMI]]&lt;=24.9,"Normal",IF(Table13[[#This Row],[BMI]]&lt;=29.9,"Overweight",IF(Table13[[#This Row],[BMI]]&lt;=39,"Obese","Severly Obese"))))</f>
        <v>Obese</v>
      </c>
      <c r="W144" s="18">
        <v>33.07</v>
      </c>
    </row>
    <row r="145" spans="6:23" x14ac:dyDescent="0.3">
      <c r="F145" s="17">
        <v>19</v>
      </c>
      <c r="G145" s="8" t="str">
        <f>IF(Table13[[#This Row],[Age]]&lt;25,"18-24",IF(Table13[[#This Row],[Age]]&lt;35,"25-34",IF(Table13[[#This Row],[Age]]&lt;45,"35-44",IF(Table13[[#This Row],[Age]]&lt;55,"45-54","55-64"))))</f>
        <v>18-24</v>
      </c>
      <c r="H145" s="8" t="s">
        <v>17</v>
      </c>
      <c r="I145" s="8">
        <v>40</v>
      </c>
      <c r="J145" s="8">
        <v>1.93</v>
      </c>
      <c r="K145" s="8">
        <v>167</v>
      </c>
      <c r="L145" s="8">
        <v>158</v>
      </c>
      <c r="M145" s="8">
        <v>74</v>
      </c>
      <c r="N145" s="8">
        <v>1.19</v>
      </c>
      <c r="O145" s="8">
        <v>1265</v>
      </c>
      <c r="P145" s="8" t="s">
        <v>22</v>
      </c>
      <c r="Q145" s="8" t="str">
        <f>_xlfn.IFS(AND(Table13[[#This Row],[Gender]]="female",R145&lt;20),"Athletes",AND(Table13[[#This Row],[Gender]]="female",R145&lt;24),"Fitnesss",AND(Table13[[#This Row],[Gender]]="female",R145&lt;31),"Acceptable",AND(Table13[[#This Row],[Gender]]="female",R145&lt;40),"Obese",AND(Table13[[#This Row],[Gender]]="male",R145&lt;13),"Athletes",AND(Table13[[#This Row],[Gender]]="male",R145&lt;17),"Fitnesss",AND(Table13[[#This Row],[Gender]]="male",R145&lt;24.9),"Acceptable",AND(Table13[[#This Row],[Gender]]="male",R145&lt;40),"Obese",AND(Table13[[#This Row],[Gender]]="others",R145&lt;20),"Athletes",AND(Table13[[#This Row],[Gender]]="others",R145&lt;24),"Fitnesss",AND(Table13[[#This Row],[Gender]]="others",R145&lt;31),"Acceptable",AND(Table13[[#This Row],[Gender]]="others",R145&lt;40),"Obese")</f>
        <v>Acceptable</v>
      </c>
      <c r="R145" s="8">
        <v>24.7</v>
      </c>
      <c r="S145" s="8">
        <v>2.6</v>
      </c>
      <c r="T145" s="8">
        <v>4</v>
      </c>
      <c r="U145" s="8">
        <v>3</v>
      </c>
      <c r="V145" s="8" t="str">
        <f>IF(Table13[[#This Row],[BMI]]&lt;=18.5,"Underweight",IF(Table13[[#This Row],[BMI]]&lt;=24.9,"Normal",IF(Table13[[#This Row],[BMI]]&lt;=29.9,"Overweight",IF(Table13[[#This Row],[BMI]]&lt;=39,"Obese","Severly Obese"))))</f>
        <v>Underweight</v>
      </c>
      <c r="W145" s="18">
        <v>12.32</v>
      </c>
    </row>
    <row r="146" spans="6:23" x14ac:dyDescent="0.3">
      <c r="F146" s="17">
        <v>32</v>
      </c>
      <c r="G146" s="8" t="str">
        <f>IF(Table13[[#This Row],[Age]]&lt;25,"18-24",IF(Table13[[#This Row],[Age]]&lt;35,"25-34",IF(Table13[[#This Row],[Age]]&lt;45,"35-44",IF(Table13[[#This Row],[Age]]&lt;55,"45-54","55-64"))))</f>
        <v>25-34</v>
      </c>
      <c r="H146" s="8" t="s">
        <v>17</v>
      </c>
      <c r="I146" s="8">
        <v>79</v>
      </c>
      <c r="J146" s="8">
        <v>1.6</v>
      </c>
      <c r="K146" s="8">
        <v>165</v>
      </c>
      <c r="L146" s="8">
        <v>149</v>
      </c>
      <c r="M146" s="8">
        <v>18</v>
      </c>
      <c r="N146" s="8">
        <v>1.59</v>
      </c>
      <c r="O146" s="8">
        <v>1245</v>
      </c>
      <c r="P146" s="8" t="s">
        <v>22</v>
      </c>
      <c r="Q146" s="8" t="str">
        <f>_xlfn.IFS(AND(Table13[[#This Row],[Gender]]="female",R146&lt;20),"Athletes",AND(Table13[[#This Row],[Gender]]="female",R146&lt;24),"Fitnesss",AND(Table13[[#This Row],[Gender]]="female",R146&lt;31),"Acceptable",AND(Table13[[#This Row],[Gender]]="female",R146&lt;40),"Obese",AND(Table13[[#This Row],[Gender]]="male",R146&lt;13),"Athletes",AND(Table13[[#This Row],[Gender]]="male",R146&lt;17),"Fitnesss",AND(Table13[[#This Row],[Gender]]="male",R146&lt;24.9),"Acceptable",AND(Table13[[#This Row],[Gender]]="male",R146&lt;40),"Obese",AND(Table13[[#This Row],[Gender]]="others",R146&lt;20),"Athletes",AND(Table13[[#This Row],[Gender]]="others",R146&lt;24),"Fitnesss",AND(Table13[[#This Row],[Gender]]="others",R146&lt;31),"Acceptable",AND(Table13[[#This Row],[Gender]]="others",R146&lt;40),"Obese")</f>
        <v>Athletes</v>
      </c>
      <c r="R146" s="8"/>
      <c r="S146" s="8">
        <v>2.2000000000000002</v>
      </c>
      <c r="T146" s="8">
        <v>3</v>
      </c>
      <c r="U146" s="8">
        <v>2</v>
      </c>
      <c r="V146" s="8" t="str">
        <f>IF(Table13[[#This Row],[BMI]]&lt;=18.5,"Underweight",IF(Table13[[#This Row],[BMI]]&lt;=24.9,"Normal",IF(Table13[[#This Row],[BMI]]&lt;=29.9,"Overweight",IF(Table13[[#This Row],[BMI]]&lt;=39,"Obese","Severly Obese"))))</f>
        <v>Normal</v>
      </c>
      <c r="W146" s="18">
        <v>18.690000000000001</v>
      </c>
    </row>
    <row r="147" spans="6:23" x14ac:dyDescent="0.3">
      <c r="F147" s="17">
        <v>36</v>
      </c>
      <c r="G147" s="8" t="str">
        <f>IF(Table13[[#This Row],[Age]]&lt;25,"18-24",IF(Table13[[#This Row],[Age]]&lt;35,"25-34",IF(Table13[[#This Row],[Age]]&lt;45,"35-44",IF(Table13[[#This Row],[Age]]&lt;55,"45-54","55-64"))))</f>
        <v>35-44</v>
      </c>
      <c r="H147" s="8" t="s">
        <v>17</v>
      </c>
      <c r="I147" s="8">
        <v>50.1</v>
      </c>
      <c r="J147" s="8">
        <v>1.85</v>
      </c>
      <c r="K147" s="8">
        <v>199</v>
      </c>
      <c r="L147" s="8">
        <v>140</v>
      </c>
      <c r="M147" s="8">
        <v>68</v>
      </c>
      <c r="N147" s="8">
        <v>0.91</v>
      </c>
      <c r="O147" s="8">
        <v>1243</v>
      </c>
      <c r="P147" s="8" t="s">
        <v>18</v>
      </c>
      <c r="Q147" s="8" t="str">
        <f>_xlfn.IFS(AND(Table13[[#This Row],[Gender]]="female",R147&lt;20),"Athletes",AND(Table13[[#This Row],[Gender]]="female",R147&lt;24),"Fitnesss",AND(Table13[[#This Row],[Gender]]="female",R147&lt;31),"Acceptable",AND(Table13[[#This Row],[Gender]]="female",R147&lt;40),"Obese",AND(Table13[[#This Row],[Gender]]="male",R147&lt;13),"Athletes",AND(Table13[[#This Row],[Gender]]="male",R147&lt;17),"Fitnesss",AND(Table13[[#This Row],[Gender]]="male",R147&lt;24.9),"Acceptable",AND(Table13[[#This Row],[Gender]]="male",R147&lt;40),"Obese",AND(Table13[[#This Row],[Gender]]="others",R147&lt;20),"Athletes",AND(Table13[[#This Row],[Gender]]="others",R147&lt;24),"Fitnesss",AND(Table13[[#This Row],[Gender]]="others",R147&lt;31),"Acceptable",AND(Table13[[#This Row],[Gender]]="others",R147&lt;40),"Obese")</f>
        <v>Acceptable</v>
      </c>
      <c r="R147" s="8">
        <v>30.7</v>
      </c>
      <c r="S147" s="8">
        <v>2.8</v>
      </c>
      <c r="T147" s="8">
        <v>4</v>
      </c>
      <c r="U147" s="8">
        <v>2</v>
      </c>
      <c r="V147" s="8" t="str">
        <f>IF(Table13[[#This Row],[BMI]]&lt;=18.5,"Underweight",IF(Table13[[#This Row],[BMI]]&lt;=24.9,"Normal",IF(Table13[[#This Row],[BMI]]&lt;=29.9,"Overweight",IF(Table13[[#This Row],[BMI]]&lt;=39,"Obese","Severly Obese"))))</f>
        <v>Overweight</v>
      </c>
      <c r="W147" s="18">
        <v>25.82</v>
      </c>
    </row>
    <row r="148" spans="6:23" x14ac:dyDescent="0.3">
      <c r="F148" s="17">
        <v>23</v>
      </c>
      <c r="G148" s="8" t="str">
        <f>IF(Table13[[#This Row],[Age]]&lt;25,"18-24",IF(Table13[[#This Row],[Age]]&lt;35,"25-34",IF(Table13[[#This Row],[Age]]&lt;45,"35-44",IF(Table13[[#This Row],[Age]]&lt;55,"45-54","55-64"))))</f>
        <v>18-24</v>
      </c>
      <c r="H148" s="8" t="s">
        <v>19</v>
      </c>
      <c r="I148" s="8">
        <v>71.3</v>
      </c>
      <c r="J148" s="8">
        <v>1.77</v>
      </c>
      <c r="K148" s="8">
        <v>171</v>
      </c>
      <c r="L148" s="8">
        <v>134</v>
      </c>
      <c r="M148" s="8">
        <v>50</v>
      </c>
      <c r="N148" s="8">
        <v>1.34</v>
      </c>
      <c r="O148" s="8">
        <v>1239</v>
      </c>
      <c r="P148" s="8" t="s">
        <v>20</v>
      </c>
      <c r="Q148" s="8" t="str">
        <f>_xlfn.IFS(AND(Table13[[#This Row],[Gender]]="female",R148&lt;20),"Athletes",AND(Table13[[#This Row],[Gender]]="female",R148&lt;24),"Fitnesss",AND(Table13[[#This Row],[Gender]]="female",R148&lt;31),"Acceptable",AND(Table13[[#This Row],[Gender]]="female",R148&lt;40),"Obese",AND(Table13[[#This Row],[Gender]]="male",R148&lt;13),"Athletes",AND(Table13[[#This Row],[Gender]]="male",R148&lt;17),"Fitnesss",AND(Table13[[#This Row],[Gender]]="male",R148&lt;24.9),"Acceptable",AND(Table13[[#This Row],[Gender]]="male",R148&lt;40),"Obese",AND(Table13[[#This Row],[Gender]]="others",R148&lt;20),"Athletes",AND(Table13[[#This Row],[Gender]]="others",R148&lt;24),"Fitnesss",AND(Table13[[#This Row],[Gender]]="others",R148&lt;31),"Acceptable",AND(Table13[[#This Row],[Gender]]="others",R148&lt;40),"Obese")</f>
        <v>Obese</v>
      </c>
      <c r="R148" s="8">
        <v>35</v>
      </c>
      <c r="S148" s="8">
        <v>2.5</v>
      </c>
      <c r="T148" s="8">
        <v>3</v>
      </c>
      <c r="U148" s="8">
        <v>3</v>
      </c>
      <c r="V148" s="8" t="str">
        <f>IF(Table13[[#This Row],[BMI]]&lt;=18.5,"Underweight",IF(Table13[[#This Row],[BMI]]&lt;=24.9,"Normal",IF(Table13[[#This Row],[BMI]]&lt;=29.9,"Overweight",IF(Table13[[#This Row],[BMI]]&lt;=39,"Obese","Severly Obese"))))</f>
        <v>Underweight</v>
      </c>
      <c r="W148" s="18">
        <v>18.170000000000002</v>
      </c>
    </row>
    <row r="149" spans="6:23" x14ac:dyDescent="0.3">
      <c r="F149" s="17">
        <v>45</v>
      </c>
      <c r="G149" s="8" t="str">
        <f>IF(Table13[[#This Row],[Age]]&lt;25,"18-24",IF(Table13[[#This Row],[Age]]&lt;35,"25-34",IF(Table13[[#This Row],[Age]]&lt;45,"35-44",IF(Table13[[#This Row],[Age]]&lt;55,"45-54","55-64"))))</f>
        <v>45-54</v>
      </c>
      <c r="H149" s="8" t="s">
        <v>23</v>
      </c>
      <c r="I149" s="8">
        <v>68.3</v>
      </c>
      <c r="J149" s="8">
        <v>1.75</v>
      </c>
      <c r="K149" s="8">
        <v>185</v>
      </c>
      <c r="L149" s="8">
        <v>133</v>
      </c>
      <c r="M149" s="8">
        <v>65</v>
      </c>
      <c r="N149" s="8">
        <v>1.31</v>
      </c>
      <c r="O149" s="8">
        <v>1595</v>
      </c>
      <c r="P149" s="8" t="s">
        <v>23</v>
      </c>
      <c r="Q149" s="8" t="str">
        <f>_xlfn.IFS(AND(Table13[[#This Row],[Gender]]="female",R149&lt;20),"Athletes",AND(Table13[[#This Row],[Gender]]="female",R149&lt;24),"Fitnesss",AND(Table13[[#This Row],[Gender]]="female",R149&lt;31),"Acceptable",AND(Table13[[#This Row],[Gender]]="female",R149&lt;40),"Obese",AND(Table13[[#This Row],[Gender]]="male",R149&lt;13),"Athletes",AND(Table13[[#This Row],[Gender]]="male",R149&lt;17),"Fitnesss",AND(Table13[[#This Row],[Gender]]="male",R149&lt;24.9),"Acceptable",AND(Table13[[#This Row],[Gender]]="male",R149&lt;40),"Obese",AND(Table13[[#This Row],[Gender]]="others",R149&lt;20),"Athletes",AND(Table13[[#This Row],[Gender]]="others",R149&lt;24),"Fitnesss",AND(Table13[[#This Row],[Gender]]="others",R149&lt;31),"Acceptable",AND(Table13[[#This Row],[Gender]]="others",R149&lt;40),"Obese")</f>
        <v>Acceptable</v>
      </c>
      <c r="R149" s="8">
        <v>29.1</v>
      </c>
      <c r="S149" s="8">
        <v>2.5</v>
      </c>
      <c r="T149" s="8">
        <v>4</v>
      </c>
      <c r="U149" s="8">
        <v>2</v>
      </c>
      <c r="V149" s="8" t="str">
        <f>IF(Table13[[#This Row],[BMI]]&lt;=18.5,"Underweight",IF(Table13[[#This Row],[BMI]]&lt;=24.9,"Normal",IF(Table13[[#This Row],[BMI]]&lt;=29.9,"Overweight",IF(Table13[[#This Row],[BMI]]&lt;=39,"Obese","Severly Obese"))))</f>
        <v>Underweight</v>
      </c>
      <c r="W149" s="18">
        <v>13.23</v>
      </c>
    </row>
    <row r="150" spans="6:23" x14ac:dyDescent="0.3">
      <c r="F150" s="17">
        <v>39</v>
      </c>
      <c r="G150" s="8" t="str">
        <f>IF(Table13[[#This Row],[Age]]&lt;25,"18-24",IF(Table13[[#This Row],[Age]]&lt;35,"25-34",IF(Table13[[#This Row],[Age]]&lt;45,"35-44",IF(Table13[[#This Row],[Age]]&lt;55,"45-54","55-64"))))</f>
        <v>35-44</v>
      </c>
      <c r="H150" s="8" t="s">
        <v>17</v>
      </c>
      <c r="I150" s="8">
        <v>66.8</v>
      </c>
      <c r="J150" s="8">
        <v>1.61</v>
      </c>
      <c r="K150" s="8">
        <v>177</v>
      </c>
      <c r="L150" s="8">
        <v>127</v>
      </c>
      <c r="M150" s="8">
        <v>59</v>
      </c>
      <c r="N150" s="8">
        <v>1.64</v>
      </c>
      <c r="O150" s="8">
        <v>770</v>
      </c>
      <c r="P150" s="8" t="s">
        <v>22</v>
      </c>
      <c r="Q150" s="8" t="str">
        <f>_xlfn.IFS(AND(Table13[[#This Row],[Gender]]="female",R150&lt;20),"Athletes",AND(Table13[[#This Row],[Gender]]="female",R150&lt;24),"Fitnesss",AND(Table13[[#This Row],[Gender]]="female",R150&lt;31),"Acceptable",AND(Table13[[#This Row],[Gender]]="female",R150&lt;40),"Obese",AND(Table13[[#This Row],[Gender]]="male",R150&lt;13),"Athletes",AND(Table13[[#This Row],[Gender]]="male",R150&lt;17),"Fitnesss",AND(Table13[[#This Row],[Gender]]="male",R150&lt;24.9),"Acceptable",AND(Table13[[#This Row],[Gender]]="male",R150&lt;40),"Obese",AND(Table13[[#This Row],[Gender]]="others",R150&lt;20),"Athletes",AND(Table13[[#This Row],[Gender]]="others",R150&lt;24),"Fitnesss",AND(Table13[[#This Row],[Gender]]="others",R150&lt;31),"Acceptable",AND(Table13[[#This Row],[Gender]]="others",R150&lt;40),"Obese")</f>
        <v>Acceptable</v>
      </c>
      <c r="R150" s="8">
        <v>28</v>
      </c>
      <c r="S150" s="8">
        <v>3.1</v>
      </c>
      <c r="T150" s="8">
        <v>4</v>
      </c>
      <c r="U150" s="8">
        <v>1</v>
      </c>
      <c r="V150" s="8" t="str">
        <f>IF(Table13[[#This Row],[BMI]]&lt;=18.5,"Underweight",IF(Table13[[#This Row],[BMI]]&lt;=24.9,"Normal",IF(Table13[[#This Row],[BMI]]&lt;=29.9,"Overweight",IF(Table13[[#This Row],[BMI]]&lt;=39,"Obese","Severly Obese"))))</f>
        <v>Underweight</v>
      </c>
      <c r="W150" s="18">
        <v>17.16</v>
      </c>
    </row>
    <row r="151" spans="6:23" x14ac:dyDescent="0.3">
      <c r="F151" s="17">
        <v>45</v>
      </c>
      <c r="G151" s="8" t="str">
        <f>IF(Table13[[#This Row],[Age]]&lt;25,"18-24",IF(Table13[[#This Row],[Age]]&lt;35,"25-34",IF(Table13[[#This Row],[Age]]&lt;45,"35-44",IF(Table13[[#This Row],[Age]]&lt;55,"45-54","55-64"))))</f>
        <v>45-54</v>
      </c>
      <c r="H151" s="8" t="s">
        <v>19</v>
      </c>
      <c r="I151" s="8">
        <v>53.9</v>
      </c>
      <c r="J151" s="8">
        <v>1.68</v>
      </c>
      <c r="K151" s="8">
        <v>169</v>
      </c>
      <c r="L151" s="8">
        <v>141</v>
      </c>
      <c r="M151" s="8">
        <v>71</v>
      </c>
      <c r="N151" s="8">
        <v>1.59</v>
      </c>
      <c r="O151" s="8">
        <v>1031</v>
      </c>
      <c r="P151" s="8" t="s">
        <v>22</v>
      </c>
      <c r="Q151" s="8" t="str">
        <f>_xlfn.IFS(AND(Table13[[#This Row],[Gender]]="female",R151&lt;20),"Athletes",AND(Table13[[#This Row],[Gender]]="female",R151&lt;24),"Fitnesss",AND(Table13[[#This Row],[Gender]]="female",R151&lt;31),"Acceptable",AND(Table13[[#This Row],[Gender]]="female",R151&lt;40),"Obese",AND(Table13[[#This Row],[Gender]]="male",R151&lt;13),"Athletes",AND(Table13[[#This Row],[Gender]]="male",R151&lt;17),"Fitnesss",AND(Table13[[#This Row],[Gender]]="male",R151&lt;24.9),"Acceptable",AND(Table13[[#This Row],[Gender]]="male",R151&lt;40),"Obese",AND(Table13[[#This Row],[Gender]]="others",R151&lt;20),"Athletes",AND(Table13[[#This Row],[Gender]]="others",R151&lt;24),"Fitnesss",AND(Table13[[#This Row],[Gender]]="others",R151&lt;31),"Acceptable",AND(Table13[[#This Row],[Gender]]="others",R151&lt;40),"Obese")</f>
        <v>Acceptable</v>
      </c>
      <c r="R151" s="8">
        <v>19.2</v>
      </c>
      <c r="S151" s="8">
        <v>2.1</v>
      </c>
      <c r="T151" s="8">
        <v>3</v>
      </c>
      <c r="U151" s="8">
        <v>3</v>
      </c>
      <c r="V151" s="8" t="str">
        <f>IF(Table13[[#This Row],[BMI]]&lt;=18.5,"Underweight",IF(Table13[[#This Row],[BMI]]&lt;=24.9,"Normal",IF(Table13[[#This Row],[BMI]]&lt;=29.9,"Overweight",IF(Table13[[#This Row],[BMI]]&lt;=39,"Obese","Severly Obese"))))</f>
        <v>Normal</v>
      </c>
      <c r="W151" s="18">
        <v>20.62</v>
      </c>
    </row>
    <row r="152" spans="6:23" x14ac:dyDescent="0.3">
      <c r="F152" s="17">
        <v>33</v>
      </c>
      <c r="G152" s="8" t="str">
        <f>IF(Table13[[#This Row],[Age]]&lt;25,"18-24",IF(Table13[[#This Row],[Age]]&lt;35,"25-34",IF(Table13[[#This Row],[Age]]&lt;45,"35-44",IF(Table13[[#This Row],[Age]]&lt;55,"45-54","55-64"))))</f>
        <v>25-34</v>
      </c>
      <c r="H152" s="8" t="s">
        <v>17</v>
      </c>
      <c r="I152" s="8">
        <v>97.1</v>
      </c>
      <c r="J152" s="8">
        <v>1.86</v>
      </c>
      <c r="K152" s="8">
        <v>166</v>
      </c>
      <c r="L152" s="8">
        <v>127</v>
      </c>
      <c r="M152" s="8">
        <v>72</v>
      </c>
      <c r="N152" s="8">
        <v>1.39</v>
      </c>
      <c r="O152" s="8">
        <v>1783</v>
      </c>
      <c r="P152" s="8" t="s">
        <v>21</v>
      </c>
      <c r="Q152" s="8" t="str">
        <f>_xlfn.IFS(AND(Table13[[#This Row],[Gender]]="female",R152&lt;20),"Athletes",AND(Table13[[#This Row],[Gender]]="female",R152&lt;24),"Fitnesss",AND(Table13[[#This Row],[Gender]]="female",R152&lt;31),"Acceptable",AND(Table13[[#This Row],[Gender]]="female",R152&lt;40),"Obese",AND(Table13[[#This Row],[Gender]]="male",R152&lt;13),"Athletes",AND(Table13[[#This Row],[Gender]]="male",R152&lt;17),"Fitnesss",AND(Table13[[#This Row],[Gender]]="male",R152&lt;24.9),"Acceptable",AND(Table13[[#This Row],[Gender]]="male",R152&lt;40),"Obese",AND(Table13[[#This Row],[Gender]]="others",R152&lt;20),"Athletes",AND(Table13[[#This Row],[Gender]]="others",R152&lt;24),"Fitnesss",AND(Table13[[#This Row],[Gender]]="others",R152&lt;31),"Acceptable",AND(Table13[[#This Row],[Gender]]="others",R152&lt;40),"Obese")</f>
        <v>Athletes</v>
      </c>
      <c r="R152" s="8">
        <v>11</v>
      </c>
      <c r="S152" s="8">
        <v>1.5</v>
      </c>
      <c r="T152" s="8">
        <v>4</v>
      </c>
      <c r="U152" s="8">
        <v>1</v>
      </c>
      <c r="V152" s="8" t="str">
        <f>IF(Table13[[#This Row],[BMI]]&lt;=18.5,"Underweight",IF(Table13[[#This Row],[BMI]]&lt;=24.9,"Normal",IF(Table13[[#This Row],[BMI]]&lt;=29.9,"Overweight",IF(Table13[[#This Row],[BMI]]&lt;=39,"Obese","Severly Obese"))))</f>
        <v>Underweight</v>
      </c>
      <c r="W152" s="18">
        <v>16.27</v>
      </c>
    </row>
    <row r="153" spans="6:23" x14ac:dyDescent="0.3">
      <c r="F153" s="17">
        <v>27</v>
      </c>
      <c r="G153" s="8" t="str">
        <f>IF(Table13[[#This Row],[Age]]&lt;25,"18-24",IF(Table13[[#This Row],[Age]]&lt;35,"25-34",IF(Table13[[#This Row],[Age]]&lt;45,"35-44",IF(Table13[[#This Row],[Age]]&lt;55,"45-54","55-64"))))</f>
        <v>25-34</v>
      </c>
      <c r="H153" s="8" t="s">
        <v>17</v>
      </c>
      <c r="I153" s="8">
        <v>40</v>
      </c>
      <c r="J153" s="8">
        <v>1.57</v>
      </c>
      <c r="K153" s="8">
        <v>178</v>
      </c>
      <c r="L153" s="8">
        <v>169</v>
      </c>
      <c r="M153" s="8">
        <v>52</v>
      </c>
      <c r="N153" s="8">
        <v>1.32</v>
      </c>
      <c r="O153" s="8">
        <v>949</v>
      </c>
      <c r="P153" s="8" t="s">
        <v>18</v>
      </c>
      <c r="Q153" s="8" t="str">
        <f>_xlfn.IFS(AND(Table13[[#This Row],[Gender]]="female",R153&lt;20),"Athletes",AND(Table13[[#This Row],[Gender]]="female",R153&lt;24),"Fitnesss",AND(Table13[[#This Row],[Gender]]="female",R153&lt;31),"Acceptable",AND(Table13[[#This Row],[Gender]]="female",R153&lt;40),"Obese",AND(Table13[[#This Row],[Gender]]="male",R153&lt;13),"Athletes",AND(Table13[[#This Row],[Gender]]="male",R153&lt;17),"Fitnesss",AND(Table13[[#This Row],[Gender]]="male",R153&lt;24.9),"Acceptable",AND(Table13[[#This Row],[Gender]]="male",R153&lt;40),"Obese",AND(Table13[[#This Row],[Gender]]="others",R153&lt;20),"Athletes",AND(Table13[[#This Row],[Gender]]="others",R153&lt;24),"Fitnesss",AND(Table13[[#This Row],[Gender]]="others",R153&lt;31),"Acceptable",AND(Table13[[#This Row],[Gender]]="others",R153&lt;40),"Obese")</f>
        <v>Acceptable</v>
      </c>
      <c r="R153" s="8">
        <v>28.4</v>
      </c>
      <c r="S153" s="8">
        <v>3.1</v>
      </c>
      <c r="T153" s="8">
        <v>3</v>
      </c>
      <c r="U153" s="8">
        <v>2</v>
      </c>
      <c r="V153" s="8" t="str">
        <f>IF(Table13[[#This Row],[BMI]]&lt;=18.5,"Underweight",IF(Table13[[#This Row],[BMI]]&lt;=24.9,"Normal",IF(Table13[[#This Row],[BMI]]&lt;=29.9,"Overweight",IF(Table13[[#This Row],[BMI]]&lt;=39,"Obese","Severly Obese"))))</f>
        <v>Normal</v>
      </c>
      <c r="W153" s="18">
        <v>21.11</v>
      </c>
    </row>
    <row r="154" spans="6:23" x14ac:dyDescent="0.3">
      <c r="F154" s="17">
        <v>37</v>
      </c>
      <c r="G154" s="8" t="str">
        <f>IF(Table13[[#This Row],[Age]]&lt;25,"18-24",IF(Table13[[#This Row],[Age]]&lt;35,"25-34",IF(Table13[[#This Row],[Age]]&lt;45,"35-44",IF(Table13[[#This Row],[Age]]&lt;55,"45-54","55-64"))))</f>
        <v>35-44</v>
      </c>
      <c r="H154" s="8" t="s">
        <v>19</v>
      </c>
      <c r="I154" s="8">
        <v>62.1</v>
      </c>
      <c r="J154" s="8">
        <v>1.85</v>
      </c>
      <c r="K154" s="8">
        <v>196</v>
      </c>
      <c r="L154" s="8">
        <v>151</v>
      </c>
      <c r="M154" s="8">
        <v>64</v>
      </c>
      <c r="N154" s="8">
        <v>1.28</v>
      </c>
      <c r="O154" s="8">
        <v>943</v>
      </c>
      <c r="P154" s="8" t="s">
        <v>21</v>
      </c>
      <c r="Q154" s="8" t="str">
        <f>_xlfn.IFS(AND(Table13[[#This Row],[Gender]]="female",R154&lt;20),"Athletes",AND(Table13[[#This Row],[Gender]]="female",R154&lt;24),"Fitnesss",AND(Table13[[#This Row],[Gender]]="female",R154&lt;31),"Acceptable",AND(Table13[[#This Row],[Gender]]="female",R154&lt;40),"Obese",AND(Table13[[#This Row],[Gender]]="male",R154&lt;13),"Athletes",AND(Table13[[#This Row],[Gender]]="male",R154&lt;17),"Fitnesss",AND(Table13[[#This Row],[Gender]]="male",R154&lt;24.9),"Acceptable",AND(Table13[[#This Row],[Gender]]="male",R154&lt;40),"Obese",AND(Table13[[#This Row],[Gender]]="others",R154&lt;20),"Athletes",AND(Table13[[#This Row],[Gender]]="others",R154&lt;24),"Fitnesss",AND(Table13[[#This Row],[Gender]]="others",R154&lt;31),"Acceptable",AND(Table13[[#This Row],[Gender]]="others",R154&lt;40),"Obese")</f>
        <v>Obese</v>
      </c>
      <c r="R154" s="8">
        <v>26.7</v>
      </c>
      <c r="S154" s="8">
        <v>3.3</v>
      </c>
      <c r="T154" s="8">
        <v>4</v>
      </c>
      <c r="U154" s="8">
        <v>1</v>
      </c>
      <c r="V154" s="8" t="str">
        <f>IF(Table13[[#This Row],[BMI]]&lt;=18.5,"Underweight",IF(Table13[[#This Row],[BMI]]&lt;=24.9,"Normal",IF(Table13[[#This Row],[BMI]]&lt;=29.9,"Overweight",IF(Table13[[#This Row],[BMI]]&lt;=39,"Obese","Severly Obese"))))</f>
        <v>Normal</v>
      </c>
      <c r="W154" s="18">
        <v>20.37</v>
      </c>
    </row>
    <row r="155" spans="6:23" x14ac:dyDescent="0.3">
      <c r="F155" s="17">
        <v>28</v>
      </c>
      <c r="G155" s="8" t="str">
        <f>IF(Table13[[#This Row],[Age]]&lt;25,"18-24",IF(Table13[[#This Row],[Age]]&lt;35,"25-34",IF(Table13[[#This Row],[Age]]&lt;45,"35-44",IF(Table13[[#This Row],[Age]]&lt;55,"45-54","55-64"))))</f>
        <v>25-34</v>
      </c>
      <c r="H155" s="8" t="s">
        <v>19</v>
      </c>
      <c r="I155" s="8">
        <v>60.7</v>
      </c>
      <c r="J155" s="8">
        <v>1.73</v>
      </c>
      <c r="K155" s="8">
        <v>198</v>
      </c>
      <c r="L155" s="8">
        <v>124</v>
      </c>
      <c r="M155" s="8">
        <v>70</v>
      </c>
      <c r="N155" s="8">
        <v>1.34</v>
      </c>
      <c r="O155" s="8">
        <v>1212</v>
      </c>
      <c r="P155" s="8" t="s">
        <v>20</v>
      </c>
      <c r="Q155" s="8" t="str">
        <f>_xlfn.IFS(AND(Table13[[#This Row],[Gender]]="female",R155&lt;20),"Athletes",AND(Table13[[#This Row],[Gender]]="female",R155&lt;24),"Fitnesss",AND(Table13[[#This Row],[Gender]]="female",R155&lt;31),"Acceptable",AND(Table13[[#This Row],[Gender]]="female",R155&lt;40),"Obese",AND(Table13[[#This Row],[Gender]]="male",R155&lt;13),"Athletes",AND(Table13[[#This Row],[Gender]]="male",R155&lt;17),"Fitnesss",AND(Table13[[#This Row],[Gender]]="male",R155&lt;24.9),"Acceptable",AND(Table13[[#This Row],[Gender]]="male",R155&lt;40),"Obese",AND(Table13[[#This Row],[Gender]]="others",R155&lt;20),"Athletes",AND(Table13[[#This Row],[Gender]]="others",R155&lt;24),"Fitnesss",AND(Table13[[#This Row],[Gender]]="others",R155&lt;31),"Acceptable",AND(Table13[[#This Row],[Gender]]="others",R155&lt;40),"Obese")</f>
        <v>Acceptable</v>
      </c>
      <c r="R155" s="8">
        <v>24.8</v>
      </c>
      <c r="S155" s="8">
        <v>2</v>
      </c>
      <c r="T155" s="8">
        <v>2</v>
      </c>
      <c r="U155" s="8">
        <v>1</v>
      </c>
      <c r="V155" s="8" t="str">
        <f>IF(Table13[[#This Row],[BMI]]&lt;=18.5,"Underweight",IF(Table13[[#This Row],[BMI]]&lt;=24.9,"Normal",IF(Table13[[#This Row],[BMI]]&lt;=29.9,"Overweight",IF(Table13[[#This Row],[BMI]]&lt;=39,"Obese","Severly Obese"))))</f>
        <v>Normal</v>
      </c>
      <c r="W155" s="18">
        <v>20.21</v>
      </c>
    </row>
    <row r="156" spans="6:23" x14ac:dyDescent="0.3">
      <c r="F156" s="17">
        <v>18</v>
      </c>
      <c r="G156" s="8" t="str">
        <f>IF(Table13[[#This Row],[Age]]&lt;25,"18-24",IF(Table13[[#This Row],[Age]]&lt;35,"25-34",IF(Table13[[#This Row],[Age]]&lt;45,"35-44",IF(Table13[[#This Row],[Age]]&lt;55,"45-54","55-64"))))</f>
        <v>18-24</v>
      </c>
      <c r="H156" s="8" t="s">
        <v>19</v>
      </c>
      <c r="I156" s="8">
        <v>46.9</v>
      </c>
      <c r="J156" s="8">
        <v>1.84</v>
      </c>
      <c r="K156" s="8">
        <v>185</v>
      </c>
      <c r="L156" s="8">
        <v>147</v>
      </c>
      <c r="M156" s="8">
        <v>65</v>
      </c>
      <c r="N156" s="8">
        <v>1.29</v>
      </c>
      <c r="O156" s="8">
        <v>1040</v>
      </c>
      <c r="P156" s="8" t="s">
        <v>21</v>
      </c>
      <c r="Q156" s="8" t="str">
        <f>_xlfn.IFS(AND(Table13[[#This Row],[Gender]]="female",R156&lt;20),"Athletes",AND(Table13[[#This Row],[Gender]]="female",R156&lt;24),"Fitnesss",AND(Table13[[#This Row],[Gender]]="female",R156&lt;31),"Acceptable",AND(Table13[[#This Row],[Gender]]="female",R156&lt;40),"Obese",AND(Table13[[#This Row],[Gender]]="male",R156&lt;13),"Athletes",AND(Table13[[#This Row],[Gender]]="male",R156&lt;17),"Fitnesss",AND(Table13[[#This Row],[Gender]]="male",R156&lt;24.9),"Acceptable",AND(Table13[[#This Row],[Gender]]="male",R156&lt;40),"Obese",AND(Table13[[#This Row],[Gender]]="others",R156&lt;20),"Athletes",AND(Table13[[#This Row],[Gender]]="others",R156&lt;24),"Fitnesss",AND(Table13[[#This Row],[Gender]]="others",R156&lt;31),"Acceptable",AND(Table13[[#This Row],[Gender]]="others",R156&lt;40),"Obese")</f>
        <v>Acceptable</v>
      </c>
      <c r="R156" s="8">
        <v>21.8</v>
      </c>
      <c r="S156" s="8">
        <v>1.7</v>
      </c>
      <c r="T156" s="8">
        <v>3</v>
      </c>
      <c r="U156" s="8">
        <v>1</v>
      </c>
      <c r="V156" s="8" t="str">
        <f>IF(Table13[[#This Row],[BMI]]&lt;=18.5,"Underweight",IF(Table13[[#This Row],[BMI]]&lt;=24.9,"Normal",IF(Table13[[#This Row],[BMI]]&lt;=29.9,"Overweight",IF(Table13[[#This Row],[BMI]]&lt;=39,"Obese","Severly Obese"))))</f>
        <v>Underweight</v>
      </c>
      <c r="W156" s="18">
        <v>13</v>
      </c>
    </row>
    <row r="157" spans="6:23" x14ac:dyDescent="0.3">
      <c r="F157" s="17">
        <v>18</v>
      </c>
      <c r="G157" s="8" t="str">
        <f>IF(Table13[[#This Row],[Age]]&lt;25,"18-24",IF(Table13[[#This Row],[Age]]&lt;35,"25-34",IF(Table13[[#This Row],[Age]]&lt;45,"35-44",IF(Table13[[#This Row],[Age]]&lt;55,"45-54","55-64"))))</f>
        <v>18-24</v>
      </c>
      <c r="H157" s="8" t="s">
        <v>17</v>
      </c>
      <c r="I157" s="8">
        <v>90.8</v>
      </c>
      <c r="J157" s="8">
        <v>1.66</v>
      </c>
      <c r="K157" s="8">
        <v>182</v>
      </c>
      <c r="L157" s="8">
        <v>134</v>
      </c>
      <c r="M157" s="8">
        <v>56</v>
      </c>
      <c r="N157" s="8">
        <v>1.77</v>
      </c>
      <c r="O157" s="8">
        <v>990</v>
      </c>
      <c r="P157" s="8" t="s">
        <v>22</v>
      </c>
      <c r="Q157" s="8" t="str">
        <f>_xlfn.IFS(AND(Table13[[#This Row],[Gender]]="female",R157&lt;20),"Athletes",AND(Table13[[#This Row],[Gender]]="female",R157&lt;24),"Fitnesss",AND(Table13[[#This Row],[Gender]]="female",R157&lt;31),"Acceptable",AND(Table13[[#This Row],[Gender]]="female",R157&lt;40),"Obese",AND(Table13[[#This Row],[Gender]]="male",R157&lt;13),"Athletes",AND(Table13[[#This Row],[Gender]]="male",R157&lt;17),"Fitnesss",AND(Table13[[#This Row],[Gender]]="male",R157&lt;24.9),"Acceptable",AND(Table13[[#This Row],[Gender]]="male",R157&lt;40),"Obese",AND(Table13[[#This Row],[Gender]]="others",R157&lt;20),"Athletes",AND(Table13[[#This Row],[Gender]]="others",R157&lt;24),"Fitnesss",AND(Table13[[#This Row],[Gender]]="others",R157&lt;31),"Acceptable",AND(Table13[[#This Row],[Gender]]="others",R157&lt;40),"Obese")</f>
        <v>Athletes</v>
      </c>
      <c r="R157" s="8">
        <v>10</v>
      </c>
      <c r="S157" s="8">
        <v>1.8</v>
      </c>
      <c r="T157" s="8">
        <v>4</v>
      </c>
      <c r="U157" s="8">
        <v>2</v>
      </c>
      <c r="V157" s="8" t="str">
        <f>IF(Table13[[#This Row],[BMI]]&lt;=18.5,"Underweight",IF(Table13[[#This Row],[BMI]]&lt;=24.9,"Normal",IF(Table13[[#This Row],[BMI]]&lt;=29.9,"Overweight",IF(Table13[[#This Row],[BMI]]&lt;=39,"Obese","Severly Obese"))))</f>
        <v>Normal</v>
      </c>
      <c r="W157" s="18">
        <v>22.03</v>
      </c>
    </row>
    <row r="158" spans="6:23" x14ac:dyDescent="0.3">
      <c r="F158" s="17">
        <v>24</v>
      </c>
      <c r="G158" s="8" t="str">
        <f>IF(Table13[[#This Row],[Age]]&lt;25,"18-24",IF(Table13[[#This Row],[Age]]&lt;35,"25-34",IF(Table13[[#This Row],[Age]]&lt;45,"35-44",IF(Table13[[#This Row],[Age]]&lt;55,"45-54","55-64"))))</f>
        <v>18-24</v>
      </c>
      <c r="H158" s="8" t="s">
        <v>17</v>
      </c>
      <c r="I158" s="8">
        <v>44</v>
      </c>
      <c r="J158" s="8">
        <v>1.79</v>
      </c>
      <c r="K158" s="8">
        <v>193</v>
      </c>
      <c r="L158" s="8">
        <v>164</v>
      </c>
      <c r="M158" s="8">
        <v>62</v>
      </c>
      <c r="N158" s="8">
        <v>1.84</v>
      </c>
      <c r="O158" s="8">
        <v>622</v>
      </c>
      <c r="P158" s="8" t="s">
        <v>18</v>
      </c>
      <c r="Q158" s="8" t="str">
        <f>_xlfn.IFS(AND(Table13[[#This Row],[Gender]]="female",R158&lt;20),"Athletes",AND(Table13[[#This Row],[Gender]]="female",R158&lt;24),"Fitnesss",AND(Table13[[#This Row],[Gender]]="female",R158&lt;31),"Acceptable",AND(Table13[[#This Row],[Gender]]="female",R158&lt;40),"Obese",AND(Table13[[#This Row],[Gender]]="male",R158&lt;13),"Athletes",AND(Table13[[#This Row],[Gender]]="male",R158&lt;17),"Fitnesss",AND(Table13[[#This Row],[Gender]]="male",R158&lt;24.9),"Acceptable",AND(Table13[[#This Row],[Gender]]="male",R158&lt;40),"Obese",AND(Table13[[#This Row],[Gender]]="others",R158&lt;20),"Athletes",AND(Table13[[#This Row],[Gender]]="others",R158&lt;24),"Fitnesss",AND(Table13[[#This Row],[Gender]]="others",R158&lt;31),"Acceptable",AND(Table13[[#This Row],[Gender]]="others",R158&lt;40),"Obese")</f>
        <v>Acceptable</v>
      </c>
      <c r="R158" s="8">
        <v>26.3</v>
      </c>
      <c r="S158" s="8">
        <v>3.5</v>
      </c>
      <c r="T158" s="8">
        <v>4</v>
      </c>
      <c r="U158" s="8">
        <v>2</v>
      </c>
      <c r="V158" s="8" t="str">
        <f>IF(Table13[[#This Row],[BMI]]&lt;=18.5,"Underweight",IF(Table13[[#This Row],[BMI]]&lt;=24.9,"Normal",IF(Table13[[#This Row],[BMI]]&lt;=29.9,"Overweight",IF(Table13[[#This Row],[BMI]]&lt;=39,"Obese","Severly Obese"))))</f>
        <v>Underweight</v>
      </c>
      <c r="W158" s="18">
        <v>14.27</v>
      </c>
    </row>
    <row r="159" spans="6:23" x14ac:dyDescent="0.3">
      <c r="F159" s="17">
        <v>27</v>
      </c>
      <c r="G159" s="8" t="str">
        <f>IF(Table13[[#This Row],[Age]]&lt;25,"18-24",IF(Table13[[#This Row],[Age]]&lt;35,"25-34",IF(Table13[[#This Row],[Age]]&lt;45,"35-44",IF(Table13[[#This Row],[Age]]&lt;55,"45-54","55-64"))))</f>
        <v>25-34</v>
      </c>
      <c r="H159" s="8" t="s">
        <v>17</v>
      </c>
      <c r="I159" s="8">
        <v>75.099999999999994</v>
      </c>
      <c r="J159" s="8">
        <v>1.86</v>
      </c>
      <c r="K159" s="8">
        <v>175</v>
      </c>
      <c r="L159" s="8">
        <v>165</v>
      </c>
      <c r="M159" s="8">
        <v>70</v>
      </c>
      <c r="N159" s="8">
        <v>1.29</v>
      </c>
      <c r="O159" s="8">
        <v>765</v>
      </c>
      <c r="P159" s="8" t="s">
        <v>23</v>
      </c>
      <c r="Q159" s="8" t="str">
        <f>_xlfn.IFS(AND(Table13[[#This Row],[Gender]]="female",R159&lt;20),"Athletes",AND(Table13[[#This Row],[Gender]]="female",R159&lt;24),"Fitnesss",AND(Table13[[#This Row],[Gender]]="female",R159&lt;31),"Acceptable",AND(Table13[[#This Row],[Gender]]="female",R159&lt;40),"Obese",AND(Table13[[#This Row],[Gender]]="male",R159&lt;13),"Athletes",AND(Table13[[#This Row],[Gender]]="male",R159&lt;17),"Fitnesss",AND(Table13[[#This Row],[Gender]]="male",R159&lt;24.9),"Acceptable",AND(Table13[[#This Row],[Gender]]="male",R159&lt;40),"Obese",AND(Table13[[#This Row],[Gender]]="others",R159&lt;20),"Athletes",AND(Table13[[#This Row],[Gender]]="others",R159&lt;24),"Fitnesss",AND(Table13[[#This Row],[Gender]]="others",R159&lt;31),"Acceptable",AND(Table13[[#This Row],[Gender]]="others",R159&lt;40),"Obese")</f>
        <v>Acceptable</v>
      </c>
      <c r="R159" s="8">
        <v>27</v>
      </c>
      <c r="S159" s="8">
        <v>3.5</v>
      </c>
      <c r="T159" s="8">
        <v>4</v>
      </c>
      <c r="U159" s="8">
        <v>2</v>
      </c>
      <c r="V159" s="8" t="str">
        <f>IF(Table13[[#This Row],[BMI]]&lt;=18.5,"Underweight",IF(Table13[[#This Row],[BMI]]&lt;=24.9,"Normal",IF(Table13[[#This Row],[BMI]]&lt;=29.9,"Overweight",IF(Table13[[#This Row],[BMI]]&lt;=39,"Obese","Severly Obese"))))</f>
        <v>Underweight</v>
      </c>
      <c r="W159" s="18">
        <v>14.22</v>
      </c>
    </row>
    <row r="160" spans="6:23" x14ac:dyDescent="0.3">
      <c r="F160" s="17">
        <v>23</v>
      </c>
      <c r="G160" s="8" t="str">
        <f>IF(Table13[[#This Row],[Age]]&lt;25,"18-24",IF(Table13[[#This Row],[Age]]&lt;35,"25-34",IF(Table13[[#This Row],[Age]]&lt;45,"35-44",IF(Table13[[#This Row],[Age]]&lt;55,"45-54","55-64"))))</f>
        <v>18-24</v>
      </c>
      <c r="H160" s="8" t="s">
        <v>17</v>
      </c>
      <c r="I160" s="8">
        <v>74.2</v>
      </c>
      <c r="J160" s="8">
        <v>1.71</v>
      </c>
      <c r="K160" s="8">
        <v>199</v>
      </c>
      <c r="L160" s="8">
        <v>150</v>
      </c>
      <c r="M160" s="8">
        <v>57</v>
      </c>
      <c r="N160" s="8">
        <v>1.05</v>
      </c>
      <c r="O160" s="8">
        <v>1166</v>
      </c>
      <c r="P160" s="8" t="s">
        <v>20</v>
      </c>
      <c r="Q160" s="8" t="str">
        <f>_xlfn.IFS(AND(Table13[[#This Row],[Gender]]="female",R160&lt;20),"Athletes",AND(Table13[[#This Row],[Gender]]="female",R160&lt;24),"Fitnesss",AND(Table13[[#This Row],[Gender]]="female",R160&lt;31),"Acceptable",AND(Table13[[#This Row],[Gender]]="female",R160&lt;40),"Obese",AND(Table13[[#This Row],[Gender]]="male",R160&lt;13),"Athletes",AND(Table13[[#This Row],[Gender]]="male",R160&lt;17),"Fitnesss",AND(Table13[[#This Row],[Gender]]="male",R160&lt;24.9),"Acceptable",AND(Table13[[#This Row],[Gender]]="male",R160&lt;40),"Obese",AND(Table13[[#This Row],[Gender]]="others",R160&lt;20),"Athletes",AND(Table13[[#This Row],[Gender]]="others",R160&lt;24),"Fitnesss",AND(Table13[[#This Row],[Gender]]="others",R160&lt;31),"Acceptable",AND(Table13[[#This Row],[Gender]]="others",R160&lt;40),"Obese")</f>
        <v>Obese</v>
      </c>
      <c r="R160" s="8">
        <v>34.5</v>
      </c>
      <c r="S160" s="8">
        <v>3.3</v>
      </c>
      <c r="T160" s="8"/>
      <c r="U160" s="8">
        <v>1</v>
      </c>
      <c r="V160" s="8" t="str">
        <f>IF(Table13[[#This Row],[BMI]]&lt;=18.5,"Underweight",IF(Table13[[#This Row],[BMI]]&lt;=24.9,"Normal",IF(Table13[[#This Row],[BMI]]&lt;=29.9,"Overweight",IF(Table13[[#This Row],[BMI]]&lt;=39,"Obese","Severly Obese"))))</f>
        <v>Underweight</v>
      </c>
      <c r="W160" s="18">
        <v>12.32</v>
      </c>
    </row>
    <row r="161" spans="6:23" x14ac:dyDescent="0.3">
      <c r="F161" s="17">
        <v>23</v>
      </c>
      <c r="G161" s="8" t="str">
        <f>IF(Table13[[#This Row],[Age]]&lt;25,"18-24",IF(Table13[[#This Row],[Age]]&lt;35,"25-34",IF(Table13[[#This Row],[Age]]&lt;45,"35-44",IF(Table13[[#This Row],[Age]]&lt;55,"45-54","55-64"))))</f>
        <v>18-24</v>
      </c>
      <c r="H161" s="8" t="s">
        <v>17</v>
      </c>
      <c r="I161" s="8">
        <v>58.2</v>
      </c>
      <c r="J161" s="8">
        <v>1.85</v>
      </c>
      <c r="K161" s="8">
        <v>196</v>
      </c>
      <c r="L161" s="8">
        <v>130</v>
      </c>
      <c r="M161" s="8">
        <v>57</v>
      </c>
      <c r="N161" s="8">
        <v>1.36</v>
      </c>
      <c r="O161" s="8">
        <v>582</v>
      </c>
      <c r="P161" s="8" t="s">
        <v>21</v>
      </c>
      <c r="Q161" s="8" t="str">
        <f>_xlfn.IFS(AND(Table13[[#This Row],[Gender]]="female",R161&lt;20),"Athletes",AND(Table13[[#This Row],[Gender]]="female",R161&lt;24),"Fitnesss",AND(Table13[[#This Row],[Gender]]="female",R161&lt;31),"Acceptable",AND(Table13[[#This Row],[Gender]]="female",R161&lt;40),"Obese",AND(Table13[[#This Row],[Gender]]="male",R161&lt;13),"Athletes",AND(Table13[[#This Row],[Gender]]="male",R161&lt;17),"Fitnesss",AND(Table13[[#This Row],[Gender]]="male",R161&lt;24.9),"Acceptable",AND(Table13[[#This Row],[Gender]]="male",R161&lt;40),"Obese",AND(Table13[[#This Row],[Gender]]="others",R161&lt;20),"Athletes",AND(Table13[[#This Row],[Gender]]="others",R161&lt;24),"Fitnesss",AND(Table13[[#This Row],[Gender]]="others",R161&lt;31),"Acceptable",AND(Table13[[#This Row],[Gender]]="others",R161&lt;40),"Obese")</f>
        <v>Acceptable</v>
      </c>
      <c r="R161" s="8">
        <v>25.7</v>
      </c>
      <c r="S161" s="8">
        <v>1.5</v>
      </c>
      <c r="T161" s="8">
        <v>4</v>
      </c>
      <c r="U161" s="8">
        <v>1</v>
      </c>
      <c r="V161" s="8" t="str">
        <f>IF(Table13[[#This Row],[BMI]]&lt;=18.5,"Underweight",IF(Table13[[#This Row],[BMI]]&lt;=24.9,"Normal",IF(Table13[[#This Row],[BMI]]&lt;=29.9,"Overweight",IF(Table13[[#This Row],[BMI]]&lt;=39,"Obese","Severly Obese"))))</f>
        <v>Obese</v>
      </c>
      <c r="W161" s="18">
        <v>35.08</v>
      </c>
    </row>
    <row r="162" spans="6:23" x14ac:dyDescent="0.3">
      <c r="F162" s="17">
        <v>25</v>
      </c>
      <c r="G162" s="8" t="str">
        <f>IF(Table13[[#This Row],[Age]]&lt;25,"18-24",IF(Table13[[#This Row],[Age]]&lt;35,"25-34",IF(Table13[[#This Row],[Age]]&lt;45,"35-44",IF(Table13[[#This Row],[Age]]&lt;55,"45-54","55-64"))))</f>
        <v>25-34</v>
      </c>
      <c r="H162" s="8" t="s">
        <v>17</v>
      </c>
      <c r="I162" s="8">
        <v>65.900000000000006</v>
      </c>
      <c r="J162" s="8"/>
      <c r="K162" s="8">
        <v>180</v>
      </c>
      <c r="L162" s="8">
        <v>151</v>
      </c>
      <c r="M162" s="8">
        <v>56</v>
      </c>
      <c r="N162" s="8">
        <v>1.66</v>
      </c>
      <c r="O162" s="8">
        <v>825</v>
      </c>
      <c r="P162" s="8" t="s">
        <v>20</v>
      </c>
      <c r="Q162" s="8" t="str">
        <f>_xlfn.IFS(AND(Table13[[#This Row],[Gender]]="female",R162&lt;20),"Athletes",AND(Table13[[#This Row],[Gender]]="female",R162&lt;24),"Fitnesss",AND(Table13[[#This Row],[Gender]]="female",R162&lt;31),"Acceptable",AND(Table13[[#This Row],[Gender]]="female",R162&lt;40),"Obese",AND(Table13[[#This Row],[Gender]]="male",R162&lt;13),"Athletes",AND(Table13[[#This Row],[Gender]]="male",R162&lt;17),"Fitnesss",AND(Table13[[#This Row],[Gender]]="male",R162&lt;24.9),"Acceptable",AND(Table13[[#This Row],[Gender]]="male",R162&lt;40),"Obese",AND(Table13[[#This Row],[Gender]]="others",R162&lt;20),"Athletes",AND(Table13[[#This Row],[Gender]]="others",R162&lt;24),"Fitnesss",AND(Table13[[#This Row],[Gender]]="others",R162&lt;31),"Acceptable",AND(Table13[[#This Row],[Gender]]="others",R162&lt;40),"Obese")</f>
        <v>Athletes</v>
      </c>
      <c r="R162" s="8">
        <v>10</v>
      </c>
      <c r="S162" s="8">
        <v>2.5</v>
      </c>
      <c r="T162" s="8"/>
      <c r="U162" s="8">
        <v>1</v>
      </c>
      <c r="V162" s="8" t="str">
        <f>IF(Table13[[#This Row],[BMI]]&lt;=18.5,"Underweight",IF(Table13[[#This Row],[BMI]]&lt;=24.9,"Normal",IF(Table13[[#This Row],[BMI]]&lt;=29.9,"Overweight",IF(Table13[[#This Row],[BMI]]&lt;=39,"Obese","Severly Obese"))))</f>
        <v>Underweight</v>
      </c>
      <c r="W162" s="18">
        <v>15.58</v>
      </c>
    </row>
    <row r="163" spans="6:23" x14ac:dyDescent="0.3">
      <c r="F163" s="17">
        <v>23</v>
      </c>
      <c r="G163" s="8" t="str">
        <f>IF(Table13[[#This Row],[Age]]&lt;25,"18-24",IF(Table13[[#This Row],[Age]]&lt;35,"25-34",IF(Table13[[#This Row],[Age]]&lt;45,"35-44",IF(Table13[[#This Row],[Age]]&lt;55,"45-54","55-64"))))</f>
        <v>18-24</v>
      </c>
      <c r="H163" s="8" t="s">
        <v>17</v>
      </c>
      <c r="I163" s="8">
        <v>78.7</v>
      </c>
      <c r="J163" s="8">
        <v>1.68</v>
      </c>
      <c r="K163" s="8">
        <v>191</v>
      </c>
      <c r="L163" s="8">
        <v>132</v>
      </c>
      <c r="M163" s="8">
        <v>70</v>
      </c>
      <c r="N163" s="8">
        <v>1.28</v>
      </c>
      <c r="O163" s="8">
        <v>1319</v>
      </c>
      <c r="P163" s="8" t="s">
        <v>23</v>
      </c>
      <c r="Q163" s="8" t="str">
        <f>_xlfn.IFS(AND(Table13[[#This Row],[Gender]]="female",R163&lt;20),"Athletes",AND(Table13[[#This Row],[Gender]]="female",R163&lt;24),"Fitnesss",AND(Table13[[#This Row],[Gender]]="female",R163&lt;31),"Acceptable",AND(Table13[[#This Row],[Gender]]="female",R163&lt;40),"Obese",AND(Table13[[#This Row],[Gender]]="male",R163&lt;13),"Athletes",AND(Table13[[#This Row],[Gender]]="male",R163&lt;17),"Fitnesss",AND(Table13[[#This Row],[Gender]]="male",R163&lt;24.9),"Acceptable",AND(Table13[[#This Row],[Gender]]="male",R163&lt;40),"Obese",AND(Table13[[#This Row],[Gender]]="others",R163&lt;20),"Athletes",AND(Table13[[#This Row],[Gender]]="others",R163&lt;24),"Fitnesss",AND(Table13[[#This Row],[Gender]]="others",R163&lt;31),"Acceptable",AND(Table13[[#This Row],[Gender]]="others",R163&lt;40),"Obese")</f>
        <v>Fitnesss</v>
      </c>
      <c r="R163" s="8">
        <v>21.1</v>
      </c>
      <c r="S163" s="8">
        <v>3.5</v>
      </c>
      <c r="T163" s="8">
        <v>2</v>
      </c>
      <c r="U163" s="8">
        <v>2</v>
      </c>
      <c r="V163" s="8" t="str">
        <f>IF(Table13[[#This Row],[BMI]]&lt;=18.5,"Underweight",IF(Table13[[#This Row],[BMI]]&lt;=24.9,"Normal",IF(Table13[[#This Row],[BMI]]&lt;=29.9,"Overweight",IF(Table13[[#This Row],[BMI]]&lt;=39,"Obese","Severly Obese"))))</f>
        <v>Normal</v>
      </c>
      <c r="W163" s="18">
        <v>20.39</v>
      </c>
    </row>
    <row r="164" spans="6:23" x14ac:dyDescent="0.3">
      <c r="F164" s="17">
        <v>43</v>
      </c>
      <c r="G164" s="8" t="str">
        <f>IF(Table13[[#This Row],[Age]]&lt;25,"18-24",IF(Table13[[#This Row],[Age]]&lt;35,"25-34",IF(Table13[[#This Row],[Age]]&lt;45,"35-44",IF(Table13[[#This Row],[Age]]&lt;55,"45-54","55-64"))))</f>
        <v>35-44</v>
      </c>
      <c r="H164" s="8" t="s">
        <v>19</v>
      </c>
      <c r="I164" s="8">
        <v>74.2</v>
      </c>
      <c r="J164" s="8">
        <v>1.76</v>
      </c>
      <c r="K164" s="8">
        <v>188</v>
      </c>
      <c r="L164" s="8">
        <v>141</v>
      </c>
      <c r="M164" s="8">
        <v>68</v>
      </c>
      <c r="N164" s="8">
        <v>0.98</v>
      </c>
      <c r="O164" s="8">
        <v>1426</v>
      </c>
      <c r="P164" s="8" t="s">
        <v>20</v>
      </c>
      <c r="Q164" s="8" t="str">
        <f>_xlfn.IFS(AND(Table13[[#This Row],[Gender]]="female",R164&lt;20),"Athletes",AND(Table13[[#This Row],[Gender]]="female",R164&lt;24),"Fitnesss",AND(Table13[[#This Row],[Gender]]="female",R164&lt;31),"Acceptable",AND(Table13[[#This Row],[Gender]]="female",R164&lt;40),"Obese",AND(Table13[[#This Row],[Gender]]="male",R164&lt;13),"Athletes",AND(Table13[[#This Row],[Gender]]="male",R164&lt;17),"Fitnesss",AND(Table13[[#This Row],[Gender]]="male",R164&lt;24.9),"Acceptable",AND(Table13[[#This Row],[Gender]]="male",R164&lt;40),"Obese",AND(Table13[[#This Row],[Gender]]="others",R164&lt;20),"Athletes",AND(Table13[[#This Row],[Gender]]="others",R164&lt;24),"Fitnesss",AND(Table13[[#This Row],[Gender]]="others",R164&lt;31),"Acceptable",AND(Table13[[#This Row],[Gender]]="others",R164&lt;40),"Obese")</f>
        <v>Acceptable</v>
      </c>
      <c r="R164" s="8">
        <v>21.2</v>
      </c>
      <c r="S164" s="8">
        <v>3.1</v>
      </c>
      <c r="T164" s="8">
        <v>2</v>
      </c>
      <c r="U164" s="8">
        <v>3</v>
      </c>
      <c r="V164" s="8" t="str">
        <f>IF(Table13[[#This Row],[BMI]]&lt;=18.5,"Underweight",IF(Table13[[#This Row],[BMI]]&lt;=24.9,"Normal",IF(Table13[[#This Row],[BMI]]&lt;=29.9,"Overweight",IF(Table13[[#This Row],[BMI]]&lt;=39,"Obese","Severly Obese"))))</f>
        <v>Normal</v>
      </c>
      <c r="W164" s="18">
        <v>20.52</v>
      </c>
    </row>
    <row r="165" spans="6:23" x14ac:dyDescent="0.3">
      <c r="F165" s="17">
        <v>18</v>
      </c>
      <c r="G165" s="8" t="str">
        <f>IF(Table13[[#This Row],[Age]]&lt;25,"18-24",IF(Table13[[#This Row],[Age]]&lt;35,"25-34",IF(Table13[[#This Row],[Age]]&lt;45,"35-44",IF(Table13[[#This Row],[Age]]&lt;55,"45-54","55-64"))))</f>
        <v>18-24</v>
      </c>
      <c r="H165" s="8" t="s">
        <v>19</v>
      </c>
      <c r="I165" s="8">
        <v>56.1</v>
      </c>
      <c r="J165" s="8">
        <v>2</v>
      </c>
      <c r="K165" s="8">
        <v>180</v>
      </c>
      <c r="L165" s="8">
        <v>120</v>
      </c>
      <c r="M165" s="8">
        <v>57</v>
      </c>
      <c r="N165" s="8">
        <v>1.04</v>
      </c>
      <c r="O165" s="8">
        <v>1461</v>
      </c>
      <c r="P165" s="8" t="s">
        <v>21</v>
      </c>
      <c r="Q165" s="8" t="str">
        <f>_xlfn.IFS(AND(Table13[[#This Row],[Gender]]="female",R165&lt;20),"Athletes",AND(Table13[[#This Row],[Gender]]="female",R165&lt;24),"Fitnesss",AND(Table13[[#This Row],[Gender]]="female",R165&lt;31),"Acceptable",AND(Table13[[#This Row],[Gender]]="female",R165&lt;40),"Obese",AND(Table13[[#This Row],[Gender]]="male",R165&lt;13),"Athletes",AND(Table13[[#This Row],[Gender]]="male",R165&lt;17),"Fitnesss",AND(Table13[[#This Row],[Gender]]="male",R165&lt;24.9),"Acceptable",AND(Table13[[#This Row],[Gender]]="male",R165&lt;40),"Obese",AND(Table13[[#This Row],[Gender]]="others",R165&lt;20),"Athletes",AND(Table13[[#This Row],[Gender]]="others",R165&lt;24),"Fitnesss",AND(Table13[[#This Row],[Gender]]="others",R165&lt;31),"Acceptable",AND(Table13[[#This Row],[Gender]]="others",R165&lt;40),"Obese")</f>
        <v>Obese</v>
      </c>
      <c r="R165" s="8">
        <v>27.4</v>
      </c>
      <c r="S165" s="8">
        <v>2</v>
      </c>
      <c r="T165" s="8">
        <v>5</v>
      </c>
      <c r="U165" s="8">
        <v>2</v>
      </c>
      <c r="V165" s="8" t="str">
        <f>IF(Table13[[#This Row],[BMI]]&lt;=18.5,"Underweight",IF(Table13[[#This Row],[BMI]]&lt;=24.9,"Normal",IF(Table13[[#This Row],[BMI]]&lt;=29.9,"Overweight",IF(Table13[[#This Row],[BMI]]&lt;=39,"Obese","Severly Obese"))))</f>
        <v>Underweight</v>
      </c>
      <c r="W165" s="18">
        <v>12.32</v>
      </c>
    </row>
    <row r="166" spans="6:23" x14ac:dyDescent="0.3">
      <c r="F166" s="17">
        <v>45</v>
      </c>
      <c r="G166" s="8" t="str">
        <f>IF(Table13[[#This Row],[Age]]&lt;25,"18-24",IF(Table13[[#This Row],[Age]]&lt;35,"25-34",IF(Table13[[#This Row],[Age]]&lt;45,"35-44",IF(Table13[[#This Row],[Age]]&lt;55,"45-54","55-64"))))</f>
        <v>45-54</v>
      </c>
      <c r="H166" s="8" t="s">
        <v>17</v>
      </c>
      <c r="I166" s="8">
        <v>42.1</v>
      </c>
      <c r="J166" s="8">
        <v>1.86</v>
      </c>
      <c r="K166" s="8">
        <v>194</v>
      </c>
      <c r="L166" s="8">
        <v>129</v>
      </c>
      <c r="M166" s="8">
        <v>74</v>
      </c>
      <c r="N166" s="8">
        <v>0.91</v>
      </c>
      <c r="O166" s="8">
        <v>1176</v>
      </c>
      <c r="P166" s="8" t="s">
        <v>18</v>
      </c>
      <c r="Q166" s="8" t="str">
        <f>_xlfn.IFS(AND(Table13[[#This Row],[Gender]]="female",R166&lt;20),"Athletes",AND(Table13[[#This Row],[Gender]]="female",R166&lt;24),"Fitnesss",AND(Table13[[#This Row],[Gender]]="female",R166&lt;31),"Acceptable",AND(Table13[[#This Row],[Gender]]="female",R166&lt;40),"Obese",AND(Table13[[#This Row],[Gender]]="male",R166&lt;13),"Athletes",AND(Table13[[#This Row],[Gender]]="male",R166&lt;17),"Fitnesss",AND(Table13[[#This Row],[Gender]]="male",R166&lt;24.9),"Acceptable",AND(Table13[[#This Row],[Gender]]="male",R166&lt;40),"Obese",AND(Table13[[#This Row],[Gender]]="others",R166&lt;20),"Athletes",AND(Table13[[#This Row],[Gender]]="others",R166&lt;24),"Fitnesss",AND(Table13[[#This Row],[Gender]]="others",R166&lt;31),"Acceptable",AND(Table13[[#This Row],[Gender]]="others",R166&lt;40),"Obese")</f>
        <v>Fitnesss</v>
      </c>
      <c r="R166" s="8">
        <v>22.1</v>
      </c>
      <c r="S166" s="8">
        <v>3.6</v>
      </c>
      <c r="T166" s="8">
        <v>5</v>
      </c>
      <c r="U166" s="8">
        <v>1</v>
      </c>
      <c r="V166" s="8" t="str">
        <f>IF(Table13[[#This Row],[BMI]]&lt;=18.5,"Underweight",IF(Table13[[#This Row],[BMI]]&lt;=24.9,"Normal",IF(Table13[[#This Row],[BMI]]&lt;=29.9,"Overweight",IF(Table13[[#This Row],[BMI]]&lt;=39,"Obese","Severly Obese"))))</f>
        <v>Obese</v>
      </c>
      <c r="W166" s="18">
        <v>33</v>
      </c>
    </row>
    <row r="167" spans="6:23" x14ac:dyDescent="0.3">
      <c r="F167" s="17">
        <v>18</v>
      </c>
      <c r="G167" s="8" t="str">
        <f>IF(Table13[[#This Row],[Age]]&lt;25,"18-24",IF(Table13[[#This Row],[Age]]&lt;35,"25-34",IF(Table13[[#This Row],[Age]]&lt;45,"35-44",IF(Table13[[#This Row],[Age]]&lt;55,"45-54","55-64"))))</f>
        <v>18-24</v>
      </c>
      <c r="H167" s="8" t="s">
        <v>19</v>
      </c>
      <c r="I167" s="8">
        <v>40</v>
      </c>
      <c r="J167" s="8">
        <v>1.73</v>
      </c>
      <c r="K167" s="8">
        <v>168</v>
      </c>
      <c r="L167" s="8">
        <v>121</v>
      </c>
      <c r="M167" s="8">
        <v>73</v>
      </c>
      <c r="N167" s="8">
        <v>0.64</v>
      </c>
      <c r="O167" s="8">
        <v>1153</v>
      </c>
      <c r="P167" s="8" t="s">
        <v>21</v>
      </c>
      <c r="Q167" s="8" t="str">
        <f>_xlfn.IFS(AND(Table13[[#This Row],[Gender]]="female",R167&lt;20),"Athletes",AND(Table13[[#This Row],[Gender]]="female",R167&lt;24),"Fitnesss",AND(Table13[[#This Row],[Gender]]="female",R167&lt;31),"Acceptable",AND(Table13[[#This Row],[Gender]]="female",R167&lt;40),"Obese",AND(Table13[[#This Row],[Gender]]="male",R167&lt;13),"Athletes",AND(Table13[[#This Row],[Gender]]="male",R167&lt;17),"Fitnesss",AND(Table13[[#This Row],[Gender]]="male",R167&lt;24.9),"Acceptable",AND(Table13[[#This Row],[Gender]]="male",R167&lt;40),"Obese",AND(Table13[[#This Row],[Gender]]="others",R167&lt;20),"Athletes",AND(Table13[[#This Row],[Gender]]="others",R167&lt;24),"Fitnesss",AND(Table13[[#This Row],[Gender]]="others",R167&lt;31),"Acceptable",AND(Table13[[#This Row],[Gender]]="others",R167&lt;40),"Obese")</f>
        <v>Obese</v>
      </c>
      <c r="R167" s="8">
        <v>29.9</v>
      </c>
      <c r="S167" s="8">
        <v>3.1</v>
      </c>
      <c r="T167" s="8">
        <v>2</v>
      </c>
      <c r="U167" s="8">
        <v>3</v>
      </c>
      <c r="V167" s="8" t="str">
        <f>IF(Table13[[#This Row],[BMI]]&lt;=18.5,"Underweight",IF(Table13[[#This Row],[BMI]]&lt;=24.9,"Normal",IF(Table13[[#This Row],[BMI]]&lt;=29.9,"Overweight",IF(Table13[[#This Row],[BMI]]&lt;=39,"Obese","Severly Obese"))))</f>
        <v>Normal</v>
      </c>
      <c r="W167" s="18">
        <v>18.62</v>
      </c>
    </row>
    <row r="168" spans="6:23" x14ac:dyDescent="0.3">
      <c r="F168" s="17">
        <v>18</v>
      </c>
      <c r="G168" s="8" t="str">
        <f>IF(Table13[[#This Row],[Age]]&lt;25,"18-24",IF(Table13[[#This Row],[Age]]&lt;35,"25-34",IF(Table13[[#This Row],[Age]]&lt;45,"35-44",IF(Table13[[#This Row],[Age]]&lt;55,"45-54","55-64"))))</f>
        <v>18-24</v>
      </c>
      <c r="H168" s="8" t="s">
        <v>19</v>
      </c>
      <c r="I168" s="8">
        <v>40</v>
      </c>
      <c r="J168" s="8">
        <v>1.85</v>
      </c>
      <c r="K168" s="8">
        <v>175</v>
      </c>
      <c r="L168" s="8">
        <v>144</v>
      </c>
      <c r="M168" s="8">
        <v>51</v>
      </c>
      <c r="N168" s="8">
        <v>2</v>
      </c>
      <c r="O168" s="8">
        <v>1318</v>
      </c>
      <c r="P168" s="8" t="s">
        <v>23</v>
      </c>
      <c r="Q168" s="8" t="str">
        <f>_xlfn.IFS(AND(Table13[[#This Row],[Gender]]="female",R168&lt;20),"Athletes",AND(Table13[[#This Row],[Gender]]="female",R168&lt;24),"Fitnesss",AND(Table13[[#This Row],[Gender]]="female",R168&lt;31),"Acceptable",AND(Table13[[#This Row],[Gender]]="female",R168&lt;40),"Obese",AND(Table13[[#This Row],[Gender]]="male",R168&lt;13),"Athletes",AND(Table13[[#This Row],[Gender]]="male",R168&lt;17),"Fitnesss",AND(Table13[[#This Row],[Gender]]="male",R168&lt;24.9),"Acceptable",AND(Table13[[#This Row],[Gender]]="male",R168&lt;40),"Obese",AND(Table13[[#This Row],[Gender]]="others",R168&lt;20),"Athletes",AND(Table13[[#This Row],[Gender]]="others",R168&lt;24),"Fitnesss",AND(Table13[[#This Row],[Gender]]="others",R168&lt;31),"Acceptable",AND(Table13[[#This Row],[Gender]]="others",R168&lt;40),"Obese")</f>
        <v>Obese</v>
      </c>
      <c r="R168" s="8">
        <v>32.700000000000003</v>
      </c>
      <c r="S168" s="8">
        <v>2</v>
      </c>
      <c r="T168" s="8">
        <v>4</v>
      </c>
      <c r="U168" s="8">
        <v>2</v>
      </c>
      <c r="V168" s="8" t="str">
        <f>IF(Table13[[#This Row],[BMI]]&lt;=18.5,"Underweight",IF(Table13[[#This Row],[BMI]]&lt;=24.9,"Normal",IF(Table13[[#This Row],[BMI]]&lt;=29.9,"Overweight",IF(Table13[[#This Row],[BMI]]&lt;=39,"Obese","Severly Obese"))))</f>
        <v>Normal</v>
      </c>
      <c r="W168" s="18">
        <v>21.16</v>
      </c>
    </row>
    <row r="169" spans="6:23" x14ac:dyDescent="0.3">
      <c r="F169" s="17">
        <v>20</v>
      </c>
      <c r="G169" s="8" t="str">
        <f>IF(Table13[[#This Row],[Age]]&lt;25,"18-24",IF(Table13[[#This Row],[Age]]&lt;35,"25-34",IF(Table13[[#This Row],[Age]]&lt;45,"35-44",IF(Table13[[#This Row],[Age]]&lt;55,"45-54","55-64"))))</f>
        <v>18-24</v>
      </c>
      <c r="H169" s="8" t="s">
        <v>19</v>
      </c>
      <c r="I169" s="8"/>
      <c r="J169" s="8">
        <v>1.81</v>
      </c>
      <c r="K169" s="8">
        <v>171</v>
      </c>
      <c r="L169" s="8">
        <v>168</v>
      </c>
      <c r="M169" s="8">
        <v>74</v>
      </c>
      <c r="N169" s="8">
        <v>0.75</v>
      </c>
      <c r="O169" s="8">
        <v>793</v>
      </c>
      <c r="P169" s="8" t="s">
        <v>18</v>
      </c>
      <c r="Q169" s="8" t="str">
        <f>_xlfn.IFS(AND(Table13[[#This Row],[Gender]]="female",R169&lt;20),"Athletes",AND(Table13[[#This Row],[Gender]]="female",R169&lt;24),"Fitnesss",AND(Table13[[#This Row],[Gender]]="female",R169&lt;31),"Acceptable",AND(Table13[[#This Row],[Gender]]="female",R169&lt;40),"Obese",AND(Table13[[#This Row],[Gender]]="male",R169&lt;13),"Athletes",AND(Table13[[#This Row],[Gender]]="male",R169&lt;17),"Fitnesss",AND(Table13[[#This Row],[Gender]]="male",R169&lt;24.9),"Acceptable",AND(Table13[[#This Row],[Gender]]="male",R169&lt;40),"Obese",AND(Table13[[#This Row],[Gender]]="others",R169&lt;20),"Athletes",AND(Table13[[#This Row],[Gender]]="others",R169&lt;24),"Fitnesss",AND(Table13[[#This Row],[Gender]]="others",R169&lt;31),"Acceptable",AND(Table13[[#This Row],[Gender]]="others",R169&lt;40),"Obese")</f>
        <v>Acceptable</v>
      </c>
      <c r="R169" s="8">
        <v>24.4</v>
      </c>
      <c r="S169" s="8">
        <v>2.1</v>
      </c>
      <c r="T169" s="8">
        <v>3</v>
      </c>
      <c r="U169" s="8">
        <v>2</v>
      </c>
      <c r="V169" s="8" t="str">
        <f>IF(Table13[[#This Row],[BMI]]&lt;=18.5,"Underweight",IF(Table13[[#This Row],[BMI]]&lt;=24.9,"Normal",IF(Table13[[#This Row],[BMI]]&lt;=29.9,"Overweight",IF(Table13[[#This Row],[BMI]]&lt;=39,"Obese","Severly Obese"))))</f>
        <v>Normal</v>
      </c>
      <c r="W169" s="18">
        <v>22.57</v>
      </c>
    </row>
    <row r="170" spans="6:23" x14ac:dyDescent="0.3">
      <c r="F170" s="17">
        <v>22</v>
      </c>
      <c r="G170" s="8" t="str">
        <f>IF(Table13[[#This Row],[Age]]&lt;25,"18-24",IF(Table13[[#This Row],[Age]]&lt;35,"25-34",IF(Table13[[#This Row],[Age]]&lt;45,"35-44",IF(Table13[[#This Row],[Age]]&lt;55,"45-54","55-64"))))</f>
        <v>18-24</v>
      </c>
      <c r="H170" s="8" t="s">
        <v>17</v>
      </c>
      <c r="I170" s="8">
        <v>40</v>
      </c>
      <c r="J170" s="8">
        <v>1.75</v>
      </c>
      <c r="K170" s="8">
        <v>181</v>
      </c>
      <c r="L170" s="8">
        <v>155</v>
      </c>
      <c r="M170" s="8">
        <v>50</v>
      </c>
      <c r="N170" s="8">
        <v>2</v>
      </c>
      <c r="O170" s="8">
        <v>998</v>
      </c>
      <c r="P170" s="8" t="s">
        <v>18</v>
      </c>
      <c r="Q170" s="8" t="str">
        <f>_xlfn.IFS(AND(Table13[[#This Row],[Gender]]="female",R170&lt;20),"Athletes",AND(Table13[[#This Row],[Gender]]="female",R170&lt;24),"Fitnesss",AND(Table13[[#This Row],[Gender]]="female",R170&lt;31),"Acceptable",AND(Table13[[#This Row],[Gender]]="female",R170&lt;40),"Obese",AND(Table13[[#This Row],[Gender]]="male",R170&lt;13),"Athletes",AND(Table13[[#This Row],[Gender]]="male",R170&lt;17),"Fitnesss",AND(Table13[[#This Row],[Gender]]="male",R170&lt;24.9),"Acceptable",AND(Table13[[#This Row],[Gender]]="male",R170&lt;40),"Obese",AND(Table13[[#This Row],[Gender]]="others",R170&lt;20),"Athletes",AND(Table13[[#This Row],[Gender]]="others",R170&lt;24),"Fitnesss",AND(Table13[[#This Row],[Gender]]="others",R170&lt;31),"Acceptable",AND(Table13[[#This Row],[Gender]]="others",R170&lt;40),"Obese")</f>
        <v>Acceptable</v>
      </c>
      <c r="R170" s="8">
        <v>27</v>
      </c>
      <c r="S170" s="8">
        <v>1.8</v>
      </c>
      <c r="T170" s="8"/>
      <c r="U170" s="8">
        <v>1</v>
      </c>
      <c r="V170" s="8" t="str">
        <f>IF(Table13[[#This Row],[BMI]]&lt;=18.5,"Underweight",IF(Table13[[#This Row],[BMI]]&lt;=24.9,"Normal",IF(Table13[[#This Row],[BMI]]&lt;=29.9,"Overweight",IF(Table13[[#This Row],[BMI]]&lt;=39,"Obese","Severly Obese"))))</f>
        <v>Underweight</v>
      </c>
      <c r="W170" s="18">
        <v>12.82</v>
      </c>
    </row>
    <row r="171" spans="6:23" x14ac:dyDescent="0.3">
      <c r="F171" s="17">
        <v>28</v>
      </c>
      <c r="G171" s="8" t="str">
        <f>IF(Table13[[#This Row],[Age]]&lt;25,"18-24",IF(Table13[[#This Row],[Age]]&lt;35,"25-34",IF(Table13[[#This Row],[Age]]&lt;45,"35-44",IF(Table13[[#This Row],[Age]]&lt;55,"45-54","55-64"))))</f>
        <v>25-34</v>
      </c>
      <c r="H171" s="8" t="s">
        <v>17</v>
      </c>
      <c r="I171" s="8">
        <v>107.7</v>
      </c>
      <c r="J171" s="8">
        <v>1.99</v>
      </c>
      <c r="K171" s="8">
        <v>188</v>
      </c>
      <c r="L171" s="8">
        <v>129</v>
      </c>
      <c r="M171" s="8">
        <v>55</v>
      </c>
      <c r="N171" s="8">
        <v>2</v>
      </c>
      <c r="O171" s="8">
        <v>1127</v>
      </c>
      <c r="P171" s="8" t="s">
        <v>22</v>
      </c>
      <c r="Q171" s="8" t="str">
        <f>_xlfn.IFS(AND(Table13[[#This Row],[Gender]]="female",R171&lt;20),"Athletes",AND(Table13[[#This Row],[Gender]]="female",R171&lt;24),"Fitnesss",AND(Table13[[#This Row],[Gender]]="female",R171&lt;31),"Acceptable",AND(Table13[[#This Row],[Gender]]="female",R171&lt;40),"Obese",AND(Table13[[#This Row],[Gender]]="male",R171&lt;13),"Athletes",AND(Table13[[#This Row],[Gender]]="male",R171&lt;17),"Fitnesss",AND(Table13[[#This Row],[Gender]]="male",R171&lt;24.9),"Acceptable",AND(Table13[[#This Row],[Gender]]="male",R171&lt;40),"Obese",AND(Table13[[#This Row],[Gender]]="others",R171&lt;20),"Athletes",AND(Table13[[#This Row],[Gender]]="others",R171&lt;24),"Fitnesss",AND(Table13[[#This Row],[Gender]]="others",R171&lt;31),"Acceptable",AND(Table13[[#This Row],[Gender]]="others",R171&lt;40),"Obese")</f>
        <v>Athletes</v>
      </c>
      <c r="R171" s="8">
        <v>10</v>
      </c>
      <c r="S171" s="8">
        <v>2</v>
      </c>
      <c r="T171" s="8">
        <v>2</v>
      </c>
      <c r="U171" s="8">
        <v>1</v>
      </c>
      <c r="V171" s="8" t="str">
        <f>IF(Table13[[#This Row],[BMI]]&lt;=18.5,"Underweight",IF(Table13[[#This Row],[BMI]]&lt;=24.9,"Normal",IF(Table13[[#This Row],[BMI]]&lt;=29.9,"Overweight",IF(Table13[[#This Row],[BMI]]&lt;=39,"Obese","Severly Obese"))))</f>
        <v>Underweight</v>
      </c>
      <c r="W171" s="18">
        <v>17.86</v>
      </c>
    </row>
    <row r="172" spans="6:23" x14ac:dyDescent="0.3">
      <c r="F172" s="17">
        <v>18</v>
      </c>
      <c r="G172" s="8" t="str">
        <f>IF(Table13[[#This Row],[Age]]&lt;25,"18-24",IF(Table13[[#This Row],[Age]]&lt;35,"25-34",IF(Table13[[#This Row],[Age]]&lt;45,"35-44",IF(Table13[[#This Row],[Age]]&lt;55,"45-54","55-64"))))</f>
        <v>18-24</v>
      </c>
      <c r="H172" s="8" t="s">
        <v>17</v>
      </c>
      <c r="I172" s="8">
        <v>40</v>
      </c>
      <c r="J172" s="8">
        <v>1.8</v>
      </c>
      <c r="K172" s="8">
        <v>196</v>
      </c>
      <c r="L172" s="8">
        <v>120</v>
      </c>
      <c r="M172" s="8">
        <v>70</v>
      </c>
      <c r="N172" s="8">
        <v>2</v>
      </c>
      <c r="O172" s="8">
        <v>979</v>
      </c>
      <c r="P172" s="8" t="s">
        <v>20</v>
      </c>
      <c r="Q172" s="8" t="str">
        <f>_xlfn.IFS(AND(Table13[[#This Row],[Gender]]="female",R172&lt;20),"Athletes",AND(Table13[[#This Row],[Gender]]="female",R172&lt;24),"Fitnesss",AND(Table13[[#This Row],[Gender]]="female",R172&lt;31),"Acceptable",AND(Table13[[#This Row],[Gender]]="female",R172&lt;40),"Obese",AND(Table13[[#This Row],[Gender]]="male",R172&lt;13),"Athletes",AND(Table13[[#This Row],[Gender]]="male",R172&lt;17),"Fitnesss",AND(Table13[[#This Row],[Gender]]="male",R172&lt;24.9),"Acceptable",AND(Table13[[#This Row],[Gender]]="male",R172&lt;40),"Obese",AND(Table13[[#This Row],[Gender]]="others",R172&lt;20),"Athletes",AND(Table13[[#This Row],[Gender]]="others",R172&lt;24),"Fitnesss",AND(Table13[[#This Row],[Gender]]="others",R172&lt;31),"Acceptable",AND(Table13[[#This Row],[Gender]]="others",R172&lt;40),"Obese")</f>
        <v>Athletes</v>
      </c>
      <c r="R172" s="8">
        <v>10</v>
      </c>
      <c r="S172" s="8">
        <v>2.6</v>
      </c>
      <c r="T172" s="8">
        <v>4</v>
      </c>
      <c r="U172" s="8">
        <v>1</v>
      </c>
      <c r="V172" s="8" t="str">
        <f>IF(Table13[[#This Row],[BMI]]&lt;=18.5,"Underweight",IF(Table13[[#This Row],[BMI]]&lt;=24.9,"Normal",IF(Table13[[#This Row],[BMI]]&lt;=29.9,"Overweight",IF(Table13[[#This Row],[BMI]]&lt;=39,"Obese","Severly Obese"))))</f>
        <v>Normal</v>
      </c>
      <c r="W172" s="18">
        <v>20.059999999999999</v>
      </c>
    </row>
    <row r="173" spans="6:23" x14ac:dyDescent="0.3">
      <c r="F173" s="17">
        <v>57</v>
      </c>
      <c r="G173" s="8" t="str">
        <f>IF(Table13[[#This Row],[Age]]&lt;25,"18-24",IF(Table13[[#This Row],[Age]]&lt;35,"25-34",IF(Table13[[#This Row],[Age]]&lt;45,"35-44",IF(Table13[[#This Row],[Age]]&lt;55,"45-54","55-64"))))</f>
        <v>55-64</v>
      </c>
      <c r="H173" s="8" t="s">
        <v>17</v>
      </c>
      <c r="I173" s="8">
        <v>70</v>
      </c>
      <c r="J173" s="8">
        <v>1.81</v>
      </c>
      <c r="K173" s="8">
        <v>167</v>
      </c>
      <c r="L173" s="8">
        <v>154</v>
      </c>
      <c r="M173" s="8">
        <v>53</v>
      </c>
      <c r="N173" s="8">
        <v>1.3</v>
      </c>
      <c r="O173" s="8">
        <v>1149</v>
      </c>
      <c r="P173" s="8" t="s">
        <v>22</v>
      </c>
      <c r="Q173" s="8" t="str">
        <f>_xlfn.IFS(AND(Table13[[#This Row],[Gender]]="female",R173&lt;20),"Athletes",AND(Table13[[#This Row],[Gender]]="female",R173&lt;24),"Fitnesss",AND(Table13[[#This Row],[Gender]]="female",R173&lt;31),"Acceptable",AND(Table13[[#This Row],[Gender]]="female",R173&lt;40),"Obese",AND(Table13[[#This Row],[Gender]]="male",R173&lt;13),"Athletes",AND(Table13[[#This Row],[Gender]]="male",R173&lt;17),"Fitnesss",AND(Table13[[#This Row],[Gender]]="male",R173&lt;24.9),"Acceptable",AND(Table13[[#This Row],[Gender]]="male",R173&lt;40),"Obese",AND(Table13[[#This Row],[Gender]]="others",R173&lt;20),"Athletes",AND(Table13[[#This Row],[Gender]]="others",R173&lt;24),"Fitnesss",AND(Table13[[#This Row],[Gender]]="others",R173&lt;31),"Acceptable",AND(Table13[[#This Row],[Gender]]="others",R173&lt;40),"Obese")</f>
        <v>Acceptable</v>
      </c>
      <c r="R173" s="8">
        <v>26.6</v>
      </c>
      <c r="S173" s="8">
        <v>1.5</v>
      </c>
      <c r="T173" s="8">
        <v>3</v>
      </c>
      <c r="U173" s="8">
        <v>3</v>
      </c>
      <c r="V173" s="8" t="str">
        <f>IF(Table13[[#This Row],[BMI]]&lt;=18.5,"Underweight",IF(Table13[[#This Row],[BMI]]&lt;=24.9,"Normal",IF(Table13[[#This Row],[BMI]]&lt;=29.9,"Overweight",IF(Table13[[#This Row],[BMI]]&lt;=39,"Obese","Severly Obese"))))</f>
        <v>Underweight</v>
      </c>
      <c r="W173" s="18">
        <v>12.32</v>
      </c>
    </row>
    <row r="174" spans="6:23" x14ac:dyDescent="0.3">
      <c r="F174" s="17">
        <v>55</v>
      </c>
      <c r="G174" s="8" t="str">
        <f>IF(Table13[[#This Row],[Age]]&lt;25,"18-24",IF(Table13[[#This Row],[Age]]&lt;35,"25-34",IF(Table13[[#This Row],[Age]]&lt;45,"35-44",IF(Table13[[#This Row],[Age]]&lt;55,"45-54","55-64"))))</f>
        <v>55-64</v>
      </c>
      <c r="H174" s="8" t="s">
        <v>17</v>
      </c>
      <c r="I174" s="8">
        <v>63.2</v>
      </c>
      <c r="J174" s="8">
        <v>1.59</v>
      </c>
      <c r="K174" s="8">
        <v>161</v>
      </c>
      <c r="L174" s="8">
        <v>168</v>
      </c>
      <c r="M174" s="8">
        <v>69</v>
      </c>
      <c r="N174" s="8">
        <v>1.49</v>
      </c>
      <c r="O174" s="8">
        <v>1094</v>
      </c>
      <c r="P174" s="8" t="s">
        <v>22</v>
      </c>
      <c r="Q174" s="8" t="str">
        <f>_xlfn.IFS(AND(Table13[[#This Row],[Gender]]="female",R174&lt;20),"Athletes",AND(Table13[[#This Row],[Gender]]="female",R174&lt;24),"Fitnesss",AND(Table13[[#This Row],[Gender]]="female",R174&lt;31),"Acceptable",AND(Table13[[#This Row],[Gender]]="female",R174&lt;40),"Obese",AND(Table13[[#This Row],[Gender]]="male",R174&lt;13),"Athletes",AND(Table13[[#This Row],[Gender]]="male",R174&lt;17),"Fitnesss",AND(Table13[[#This Row],[Gender]]="male",R174&lt;24.9),"Acceptable",AND(Table13[[#This Row],[Gender]]="male",R174&lt;40),"Obese",AND(Table13[[#This Row],[Gender]]="others",R174&lt;20),"Athletes",AND(Table13[[#This Row],[Gender]]="others",R174&lt;24),"Fitnesss",AND(Table13[[#This Row],[Gender]]="others",R174&lt;31),"Acceptable",AND(Table13[[#This Row],[Gender]]="others",R174&lt;40),"Obese")</f>
        <v>Athletes</v>
      </c>
      <c r="R174" s="8">
        <v>19</v>
      </c>
      <c r="S174" s="8">
        <v>3.6</v>
      </c>
      <c r="T174" s="8">
        <v>3</v>
      </c>
      <c r="U174" s="8">
        <v>2</v>
      </c>
      <c r="V174" s="8" t="str">
        <f>IF(Table13[[#This Row],[BMI]]&lt;=18.5,"Underweight",IF(Table13[[#This Row],[BMI]]&lt;=24.9,"Normal",IF(Table13[[#This Row],[BMI]]&lt;=29.9,"Overweight",IF(Table13[[#This Row],[BMI]]&lt;=39,"Obese","Severly Obese"))))</f>
        <v>Underweight</v>
      </c>
      <c r="W174" s="18">
        <v>17.45</v>
      </c>
    </row>
    <row r="175" spans="6:23" x14ac:dyDescent="0.3">
      <c r="F175" s="17">
        <v>50</v>
      </c>
      <c r="G175" s="8" t="str">
        <f>IF(Table13[[#This Row],[Age]]&lt;25,"18-24",IF(Table13[[#This Row],[Age]]&lt;35,"25-34",IF(Table13[[#This Row],[Age]]&lt;45,"35-44",IF(Table13[[#This Row],[Age]]&lt;55,"45-54","55-64"))))</f>
        <v>45-54</v>
      </c>
      <c r="H175" s="8" t="s">
        <v>19</v>
      </c>
      <c r="I175" s="8">
        <v>69.599999999999994</v>
      </c>
      <c r="J175" s="8">
        <v>1.71</v>
      </c>
      <c r="K175" s="8">
        <v>167</v>
      </c>
      <c r="L175" s="8">
        <v>169</v>
      </c>
      <c r="M175" s="8">
        <v>57</v>
      </c>
      <c r="N175" s="8">
        <v>0.98</v>
      </c>
      <c r="O175" s="8">
        <v>470</v>
      </c>
      <c r="P175" s="8" t="s">
        <v>22</v>
      </c>
      <c r="Q175" s="8" t="str">
        <f>_xlfn.IFS(AND(Table13[[#This Row],[Gender]]="female",R175&lt;20),"Athletes",AND(Table13[[#This Row],[Gender]]="female",R175&lt;24),"Fitnesss",AND(Table13[[#This Row],[Gender]]="female",R175&lt;31),"Acceptable",AND(Table13[[#This Row],[Gender]]="female",R175&lt;40),"Obese",AND(Table13[[#This Row],[Gender]]="male",R175&lt;13),"Athletes",AND(Table13[[#This Row],[Gender]]="male",R175&lt;17),"Fitnesss",AND(Table13[[#This Row],[Gender]]="male",R175&lt;24.9),"Acceptable",AND(Table13[[#This Row],[Gender]]="male",R175&lt;40),"Obese",AND(Table13[[#This Row],[Gender]]="others",R175&lt;20),"Athletes",AND(Table13[[#This Row],[Gender]]="others",R175&lt;24),"Fitnesss",AND(Table13[[#This Row],[Gender]]="others",R175&lt;31),"Acceptable",AND(Table13[[#This Row],[Gender]]="others",R175&lt;40),"Obese")</f>
        <v>Obese</v>
      </c>
      <c r="R175" s="8">
        <v>27.2</v>
      </c>
      <c r="S175" s="8">
        <v>2.7</v>
      </c>
      <c r="T175" s="8">
        <v>2</v>
      </c>
      <c r="U175" s="8">
        <v>2</v>
      </c>
      <c r="V175" s="8" t="str">
        <f>IF(Table13[[#This Row],[BMI]]&lt;=18.5,"Underweight",IF(Table13[[#This Row],[BMI]]&lt;=24.9,"Normal",IF(Table13[[#This Row],[BMI]]&lt;=29.9,"Overweight",IF(Table13[[#This Row],[BMI]]&lt;=39,"Obese","Severly Obese"))))</f>
        <v>Normal</v>
      </c>
      <c r="W175" s="18">
        <v>20.420000000000002</v>
      </c>
    </row>
    <row r="176" spans="6:23" x14ac:dyDescent="0.3">
      <c r="F176" s="17">
        <v>32</v>
      </c>
      <c r="G176" s="8" t="str">
        <f>IF(Table13[[#This Row],[Age]]&lt;25,"18-24",IF(Table13[[#This Row],[Age]]&lt;35,"25-34",IF(Table13[[#This Row],[Age]]&lt;45,"35-44",IF(Table13[[#This Row],[Age]]&lt;55,"45-54","55-64"))))</f>
        <v>25-34</v>
      </c>
      <c r="H176" s="8" t="s">
        <v>19</v>
      </c>
      <c r="I176" s="8">
        <v>57</v>
      </c>
      <c r="J176" s="8">
        <v>1.76</v>
      </c>
      <c r="K176" s="8">
        <v>170</v>
      </c>
      <c r="L176" s="8">
        <v>160</v>
      </c>
      <c r="M176" s="8">
        <v>71</v>
      </c>
      <c r="N176" s="8">
        <v>1.82</v>
      </c>
      <c r="O176" s="8">
        <v>904</v>
      </c>
      <c r="P176" s="8" t="s">
        <v>18</v>
      </c>
      <c r="Q176" s="8" t="str">
        <f>_xlfn.IFS(AND(Table13[[#This Row],[Gender]]="female",R176&lt;20),"Athletes",AND(Table13[[#This Row],[Gender]]="female",R176&lt;24),"Fitnesss",AND(Table13[[#This Row],[Gender]]="female",R176&lt;31),"Acceptable",AND(Table13[[#This Row],[Gender]]="female",R176&lt;40),"Obese",AND(Table13[[#This Row],[Gender]]="male",R176&lt;13),"Athletes",AND(Table13[[#This Row],[Gender]]="male",R176&lt;17),"Fitnesss",AND(Table13[[#This Row],[Gender]]="male",R176&lt;24.9),"Acceptable",AND(Table13[[#This Row],[Gender]]="male",R176&lt;40),"Obese",AND(Table13[[#This Row],[Gender]]="others",R176&lt;20),"Athletes",AND(Table13[[#This Row],[Gender]]="others",R176&lt;24),"Fitnesss",AND(Table13[[#This Row],[Gender]]="others",R176&lt;31),"Acceptable",AND(Table13[[#This Row],[Gender]]="others",R176&lt;40),"Obese")</f>
        <v>Obese</v>
      </c>
      <c r="R176" s="8">
        <v>30.9</v>
      </c>
      <c r="S176" s="8">
        <v>3.3</v>
      </c>
      <c r="T176" s="8">
        <v>4</v>
      </c>
      <c r="U176" s="8">
        <v>3</v>
      </c>
      <c r="V176" s="8" t="str">
        <f>IF(Table13[[#This Row],[BMI]]&lt;=18.5,"Underweight",IF(Table13[[#This Row],[BMI]]&lt;=24.9,"Normal",IF(Table13[[#This Row],[BMI]]&lt;=29.9,"Overweight",IF(Table13[[#This Row],[BMI]]&lt;=39,"Obese","Severly Obese"))))</f>
        <v>Underweight</v>
      </c>
      <c r="W176" s="18">
        <v>16.010000000000002</v>
      </c>
    </row>
    <row r="177" spans="6:23" x14ac:dyDescent="0.3">
      <c r="F177" s="17">
        <v>20</v>
      </c>
      <c r="G177" s="8" t="str">
        <f>IF(Table13[[#This Row],[Age]]&lt;25,"18-24",IF(Table13[[#This Row],[Age]]&lt;35,"25-34",IF(Table13[[#This Row],[Age]]&lt;45,"35-44",IF(Table13[[#This Row],[Age]]&lt;55,"45-54","55-64"))))</f>
        <v>18-24</v>
      </c>
      <c r="H177" s="8" t="s">
        <v>17</v>
      </c>
      <c r="I177" s="8">
        <v>75.8</v>
      </c>
      <c r="J177" s="8">
        <v>1.87</v>
      </c>
      <c r="K177" s="8">
        <v>160</v>
      </c>
      <c r="L177" s="8">
        <v>163</v>
      </c>
      <c r="M177" s="8">
        <v>63</v>
      </c>
      <c r="N177" s="8">
        <v>2</v>
      </c>
      <c r="O177" s="8">
        <v>988</v>
      </c>
      <c r="P177" s="8" t="s">
        <v>21</v>
      </c>
      <c r="Q177" s="8" t="str">
        <f>_xlfn.IFS(AND(Table13[[#This Row],[Gender]]="female",R177&lt;20),"Athletes",AND(Table13[[#This Row],[Gender]]="female",R177&lt;24),"Fitnesss",AND(Table13[[#This Row],[Gender]]="female",R177&lt;31),"Acceptable",AND(Table13[[#This Row],[Gender]]="female",R177&lt;40),"Obese",AND(Table13[[#This Row],[Gender]]="male",R177&lt;13),"Athletes",AND(Table13[[#This Row],[Gender]]="male",R177&lt;17),"Fitnesss",AND(Table13[[#This Row],[Gender]]="male",R177&lt;24.9),"Acceptable",AND(Table13[[#This Row],[Gender]]="male",R177&lt;40),"Obese",AND(Table13[[#This Row],[Gender]]="others",R177&lt;20),"Athletes",AND(Table13[[#This Row],[Gender]]="others",R177&lt;24),"Fitnesss",AND(Table13[[#This Row],[Gender]]="others",R177&lt;31),"Acceptable",AND(Table13[[#This Row],[Gender]]="others",R177&lt;40),"Obese")</f>
        <v>Fitnesss</v>
      </c>
      <c r="R177" s="8">
        <v>23.5</v>
      </c>
      <c r="S177" s="8">
        <v>2.7</v>
      </c>
      <c r="T177" s="8">
        <v>4</v>
      </c>
      <c r="U177" s="8">
        <v>3</v>
      </c>
      <c r="V177" s="8" t="str">
        <f>IF(Table13[[#This Row],[BMI]]&lt;=18.5,"Underweight",IF(Table13[[#This Row],[BMI]]&lt;=24.9,"Normal",IF(Table13[[#This Row],[BMI]]&lt;=29.9,"Overweight",IF(Table13[[#This Row],[BMI]]&lt;=39,"Obese","Severly Obese"))))</f>
        <v>Underweight</v>
      </c>
      <c r="W177" s="18">
        <v>12.32</v>
      </c>
    </row>
    <row r="178" spans="6:23" x14ac:dyDescent="0.3">
      <c r="F178" s="17">
        <v>18</v>
      </c>
      <c r="G178" s="8" t="str">
        <f>IF(Table13[[#This Row],[Age]]&lt;25,"18-24",IF(Table13[[#This Row],[Age]]&lt;35,"25-34",IF(Table13[[#This Row],[Age]]&lt;45,"35-44",IF(Table13[[#This Row],[Age]]&lt;55,"45-54","55-64"))))</f>
        <v>18-24</v>
      </c>
      <c r="H178" s="8" t="s">
        <v>19</v>
      </c>
      <c r="I178" s="8">
        <v>54.7</v>
      </c>
      <c r="J178" s="8">
        <v>1.6</v>
      </c>
      <c r="K178" s="8">
        <v>167</v>
      </c>
      <c r="L178" s="8">
        <v>156</v>
      </c>
      <c r="M178" s="8">
        <v>57</v>
      </c>
      <c r="N178" s="8">
        <v>1.63</v>
      </c>
      <c r="O178" s="8">
        <v>1134</v>
      </c>
      <c r="P178" s="8" t="s">
        <v>22</v>
      </c>
      <c r="Q178" s="8" t="str">
        <f>_xlfn.IFS(AND(Table13[[#This Row],[Gender]]="female",R178&lt;20),"Athletes",AND(Table13[[#This Row],[Gender]]="female",R178&lt;24),"Fitnesss",AND(Table13[[#This Row],[Gender]]="female",R178&lt;31),"Acceptable",AND(Table13[[#This Row],[Gender]]="female",R178&lt;40),"Obese",AND(Table13[[#This Row],[Gender]]="male",R178&lt;13),"Athletes",AND(Table13[[#This Row],[Gender]]="male",R178&lt;17),"Fitnesss",AND(Table13[[#This Row],[Gender]]="male",R178&lt;24.9),"Acceptable",AND(Table13[[#This Row],[Gender]]="male",R178&lt;40),"Obese",AND(Table13[[#This Row],[Gender]]="others",R178&lt;20),"Athletes",AND(Table13[[#This Row],[Gender]]="others",R178&lt;24),"Fitnesss",AND(Table13[[#This Row],[Gender]]="others",R178&lt;31),"Acceptable",AND(Table13[[#This Row],[Gender]]="others",R178&lt;40),"Obese")</f>
        <v>Acceptable</v>
      </c>
      <c r="R178" s="8">
        <v>22.7</v>
      </c>
      <c r="S178" s="8">
        <v>3.4</v>
      </c>
      <c r="T178" s="8">
        <v>4</v>
      </c>
      <c r="U178" s="8">
        <v>2</v>
      </c>
      <c r="V178" s="8" t="str">
        <f>IF(Table13[[#This Row],[BMI]]&lt;=18.5,"Underweight",IF(Table13[[#This Row],[BMI]]&lt;=24.9,"Normal",IF(Table13[[#This Row],[BMI]]&lt;=29.9,"Overweight",IF(Table13[[#This Row],[BMI]]&lt;=39,"Obese","Severly Obese"))))</f>
        <v>Underweight</v>
      </c>
      <c r="W178" s="18">
        <v>15.86</v>
      </c>
    </row>
    <row r="179" spans="6:23" x14ac:dyDescent="0.3">
      <c r="F179" s="17">
        <v>30</v>
      </c>
      <c r="G179" s="8" t="str">
        <f>IF(Table13[[#This Row],[Age]]&lt;25,"18-24",IF(Table13[[#This Row],[Age]]&lt;35,"25-34",IF(Table13[[#This Row],[Age]]&lt;45,"35-44",IF(Table13[[#This Row],[Age]]&lt;55,"45-54","55-64"))))</f>
        <v>25-34</v>
      </c>
      <c r="H179" s="8" t="s">
        <v>19</v>
      </c>
      <c r="I179" s="8">
        <v>62.2</v>
      </c>
      <c r="J179" s="8">
        <v>1.69</v>
      </c>
      <c r="K179" s="8">
        <v>164</v>
      </c>
      <c r="L179" s="8">
        <v>134</v>
      </c>
      <c r="M179" s="8">
        <v>67</v>
      </c>
      <c r="N179" s="8">
        <v>1.24</v>
      </c>
      <c r="O179" s="8">
        <v>1783</v>
      </c>
      <c r="P179" s="8" t="s">
        <v>20</v>
      </c>
      <c r="Q179" s="8" t="str">
        <f>_xlfn.IFS(AND(Table13[[#This Row],[Gender]]="female",R179&lt;20),"Athletes",AND(Table13[[#This Row],[Gender]]="female",R179&lt;24),"Fitnesss",AND(Table13[[#This Row],[Gender]]="female",R179&lt;31),"Acceptable",AND(Table13[[#This Row],[Gender]]="female",R179&lt;40),"Obese",AND(Table13[[#This Row],[Gender]]="male",R179&lt;13),"Athletes",AND(Table13[[#This Row],[Gender]]="male",R179&lt;17),"Fitnesss",AND(Table13[[#This Row],[Gender]]="male",R179&lt;24.9),"Acceptable",AND(Table13[[#This Row],[Gender]]="male",R179&lt;40),"Obese",AND(Table13[[#This Row],[Gender]]="others",R179&lt;20),"Athletes",AND(Table13[[#This Row],[Gender]]="others",R179&lt;24),"Fitnesss",AND(Table13[[#This Row],[Gender]]="others",R179&lt;31),"Acceptable",AND(Table13[[#This Row],[Gender]]="others",R179&lt;40),"Obese")</f>
        <v>Obese</v>
      </c>
      <c r="R179" s="8">
        <v>30.3</v>
      </c>
      <c r="S179" s="8">
        <v>3.2</v>
      </c>
      <c r="T179" s="8">
        <v>3</v>
      </c>
      <c r="U179" s="8">
        <v>2</v>
      </c>
      <c r="V179" s="8" t="str">
        <f>IF(Table13[[#This Row],[BMI]]&lt;=18.5,"Underweight",IF(Table13[[#This Row],[BMI]]&lt;=24.9,"Normal",IF(Table13[[#This Row],[BMI]]&lt;=29.9,"Overweight",IF(Table13[[#This Row],[BMI]]&lt;=39,"Obese","Severly Obese"))))</f>
        <v>Overweight</v>
      </c>
      <c r="W179" s="18">
        <v>25.59</v>
      </c>
    </row>
    <row r="180" spans="6:23" x14ac:dyDescent="0.3">
      <c r="F180" s="17">
        <v>18</v>
      </c>
      <c r="G180" s="8" t="str">
        <f>IF(Table13[[#This Row],[Age]]&lt;25,"18-24",IF(Table13[[#This Row],[Age]]&lt;35,"25-34",IF(Table13[[#This Row],[Age]]&lt;45,"35-44",IF(Table13[[#This Row],[Age]]&lt;55,"45-54","55-64"))))</f>
        <v>18-24</v>
      </c>
      <c r="H180" s="8" t="s">
        <v>19</v>
      </c>
      <c r="I180" s="8">
        <v>97.5</v>
      </c>
      <c r="J180" s="8">
        <v>2</v>
      </c>
      <c r="K180" s="8">
        <v>169</v>
      </c>
      <c r="L180" s="8">
        <v>159</v>
      </c>
      <c r="M180" s="8">
        <v>68</v>
      </c>
      <c r="N180" s="8">
        <v>1.17</v>
      </c>
      <c r="O180" s="8">
        <v>782</v>
      </c>
      <c r="P180" s="8" t="s">
        <v>18</v>
      </c>
      <c r="Q180" s="8" t="str">
        <f>_xlfn.IFS(AND(Table13[[#This Row],[Gender]]="female",R180&lt;20),"Athletes",AND(Table13[[#This Row],[Gender]]="female",R180&lt;24),"Fitnesss",AND(Table13[[#This Row],[Gender]]="female",R180&lt;31),"Acceptable",AND(Table13[[#This Row],[Gender]]="female",R180&lt;40),"Obese",AND(Table13[[#This Row],[Gender]]="male",R180&lt;13),"Athletes",AND(Table13[[#This Row],[Gender]]="male",R180&lt;17),"Fitnesss",AND(Table13[[#This Row],[Gender]]="male",R180&lt;24.9),"Acceptable",AND(Table13[[#This Row],[Gender]]="male",R180&lt;40),"Obese",AND(Table13[[#This Row],[Gender]]="others",R180&lt;20),"Athletes",AND(Table13[[#This Row],[Gender]]="others",R180&lt;24),"Fitnesss",AND(Table13[[#This Row],[Gender]]="others",R180&lt;31),"Acceptable",AND(Table13[[#This Row],[Gender]]="others",R180&lt;40),"Obese")</f>
        <v>Acceptable</v>
      </c>
      <c r="R180" s="8">
        <v>24.8</v>
      </c>
      <c r="S180" s="8">
        <v>1.8</v>
      </c>
      <c r="T180" s="8">
        <v>2</v>
      </c>
      <c r="U180" s="8">
        <v>1</v>
      </c>
      <c r="V180" s="8" t="str">
        <f>IF(Table13[[#This Row],[BMI]]&lt;=18.5,"Underweight",IF(Table13[[#This Row],[BMI]]&lt;=24.9,"Normal",IF(Table13[[#This Row],[BMI]]&lt;=29.9,"Overweight",IF(Table13[[#This Row],[BMI]]&lt;=39,"Obese","Severly Obese"))))</f>
        <v>Severly Obese</v>
      </c>
      <c r="W180" s="18">
        <v>42.88</v>
      </c>
    </row>
    <row r="181" spans="6:23" x14ac:dyDescent="0.3">
      <c r="F181" s="17">
        <v>31</v>
      </c>
      <c r="G181" s="8" t="str">
        <f>IF(Table13[[#This Row],[Age]]&lt;25,"18-24",IF(Table13[[#This Row],[Age]]&lt;35,"25-34",IF(Table13[[#This Row],[Age]]&lt;45,"35-44",IF(Table13[[#This Row],[Age]]&lt;55,"45-54","55-64"))))</f>
        <v>25-34</v>
      </c>
      <c r="H181" s="8" t="s">
        <v>17</v>
      </c>
      <c r="I181" s="8">
        <v>51</v>
      </c>
      <c r="J181" s="8">
        <v>1.56</v>
      </c>
      <c r="K181" s="8">
        <v>193</v>
      </c>
      <c r="L181" s="8">
        <v>140</v>
      </c>
      <c r="M181" s="8">
        <v>64</v>
      </c>
      <c r="N181" s="8">
        <v>1.41</v>
      </c>
      <c r="O181" s="8">
        <v>1347</v>
      </c>
      <c r="P181" s="8" t="s">
        <v>20</v>
      </c>
      <c r="Q181" s="8" t="str">
        <f>_xlfn.IFS(AND(Table13[[#This Row],[Gender]]="female",R181&lt;20),"Athletes",AND(Table13[[#This Row],[Gender]]="female",R181&lt;24),"Fitnesss",AND(Table13[[#This Row],[Gender]]="female",R181&lt;31),"Acceptable",AND(Table13[[#This Row],[Gender]]="female",R181&lt;40),"Obese",AND(Table13[[#This Row],[Gender]]="male",R181&lt;13),"Athletes",AND(Table13[[#This Row],[Gender]]="male",R181&lt;17),"Fitnesss",AND(Table13[[#This Row],[Gender]]="male",R181&lt;24.9),"Acceptable",AND(Table13[[#This Row],[Gender]]="male",R181&lt;40),"Obese",AND(Table13[[#This Row],[Gender]]="others",R181&lt;20),"Athletes",AND(Table13[[#This Row],[Gender]]="others",R181&lt;24),"Fitnesss",AND(Table13[[#This Row],[Gender]]="others",R181&lt;31),"Acceptable",AND(Table13[[#This Row],[Gender]]="others",R181&lt;40),"Obese")</f>
        <v>Acceptable</v>
      </c>
      <c r="R181" s="8">
        <v>28.6</v>
      </c>
      <c r="S181" s="8">
        <v>3.5</v>
      </c>
      <c r="T181" s="8">
        <v>2</v>
      </c>
      <c r="U181" s="8">
        <v>2</v>
      </c>
      <c r="V181" s="8" t="str">
        <f>IF(Table13[[#This Row],[BMI]]&lt;=18.5,"Underweight",IF(Table13[[#This Row],[BMI]]&lt;=24.9,"Normal",IF(Table13[[#This Row],[BMI]]&lt;=29.9,"Overweight",IF(Table13[[#This Row],[BMI]]&lt;=39,"Obese","Severly Obese"))))</f>
        <v>Overweight</v>
      </c>
      <c r="W181" s="18">
        <v>25.42</v>
      </c>
    </row>
    <row r="182" spans="6:23" x14ac:dyDescent="0.3">
      <c r="F182" s="17">
        <v>18</v>
      </c>
      <c r="G182" s="8" t="str">
        <f>IF(Table13[[#This Row],[Age]]&lt;25,"18-24",IF(Table13[[#This Row],[Age]]&lt;35,"25-34",IF(Table13[[#This Row],[Age]]&lt;45,"35-44",IF(Table13[[#This Row],[Age]]&lt;55,"45-54","55-64"))))</f>
        <v>18-24</v>
      </c>
      <c r="H182" s="8" t="s">
        <v>19</v>
      </c>
      <c r="I182" s="8">
        <v>50.6</v>
      </c>
      <c r="J182" s="8">
        <v>1.89</v>
      </c>
      <c r="K182" s="8">
        <v>189</v>
      </c>
      <c r="L182" s="8">
        <v>130</v>
      </c>
      <c r="M182" s="8">
        <v>66</v>
      </c>
      <c r="N182" s="8"/>
      <c r="O182" s="8">
        <v>1278</v>
      </c>
      <c r="P182" s="8" t="s">
        <v>21</v>
      </c>
      <c r="Q182" s="8" t="str">
        <f>_xlfn.IFS(AND(Table13[[#This Row],[Gender]]="female",R182&lt;20),"Athletes",AND(Table13[[#This Row],[Gender]]="female",R182&lt;24),"Fitnesss",AND(Table13[[#This Row],[Gender]]="female",R182&lt;31),"Acceptable",AND(Table13[[#This Row],[Gender]]="female",R182&lt;40),"Obese",AND(Table13[[#This Row],[Gender]]="male",R182&lt;13),"Athletes",AND(Table13[[#This Row],[Gender]]="male",R182&lt;17),"Fitnesss",AND(Table13[[#This Row],[Gender]]="male",R182&lt;24.9),"Acceptable",AND(Table13[[#This Row],[Gender]]="male",R182&lt;40),"Obese",AND(Table13[[#This Row],[Gender]]="others",R182&lt;20),"Athletes",AND(Table13[[#This Row],[Gender]]="others",R182&lt;24),"Fitnesss",AND(Table13[[#This Row],[Gender]]="others",R182&lt;31),"Acceptable",AND(Table13[[#This Row],[Gender]]="others",R182&lt;40),"Obese")</f>
        <v>Obese</v>
      </c>
      <c r="R182" s="8">
        <v>28.5</v>
      </c>
      <c r="S182" s="8">
        <v>3.7</v>
      </c>
      <c r="T182" s="8">
        <v>4</v>
      </c>
      <c r="U182" s="8">
        <v>2</v>
      </c>
      <c r="V182" s="8" t="str">
        <f>IF(Table13[[#This Row],[BMI]]&lt;=18.5,"Underweight",IF(Table13[[#This Row],[BMI]]&lt;=24.9,"Normal",IF(Table13[[#This Row],[BMI]]&lt;=29.9,"Overweight",IF(Table13[[#This Row],[BMI]]&lt;=39,"Obese","Severly Obese"))))</f>
        <v>Overweight</v>
      </c>
      <c r="W182" s="18">
        <v>27.87</v>
      </c>
    </row>
    <row r="183" spans="6:23" x14ac:dyDescent="0.3">
      <c r="F183" s="17">
        <v>31</v>
      </c>
      <c r="G183" s="8" t="str">
        <f>IF(Table13[[#This Row],[Age]]&lt;25,"18-24",IF(Table13[[#This Row],[Age]]&lt;35,"25-34",IF(Table13[[#This Row],[Age]]&lt;45,"35-44",IF(Table13[[#This Row],[Age]]&lt;55,"45-54","55-64"))))</f>
        <v>25-34</v>
      </c>
      <c r="H183" s="8" t="s">
        <v>17</v>
      </c>
      <c r="I183" s="8">
        <v>71</v>
      </c>
      <c r="J183" s="8">
        <v>1.81</v>
      </c>
      <c r="K183" s="8">
        <v>199</v>
      </c>
      <c r="L183" s="8">
        <v>158</v>
      </c>
      <c r="M183" s="8">
        <v>68</v>
      </c>
      <c r="N183" s="8">
        <v>1.87</v>
      </c>
      <c r="O183" s="8">
        <v>1228</v>
      </c>
      <c r="P183" s="8" t="s">
        <v>18</v>
      </c>
      <c r="Q183" s="8" t="str">
        <f>_xlfn.IFS(AND(Table13[[#This Row],[Gender]]="female",R183&lt;20),"Athletes",AND(Table13[[#This Row],[Gender]]="female",R183&lt;24),"Fitnesss",AND(Table13[[#This Row],[Gender]]="female",R183&lt;31),"Acceptable",AND(Table13[[#This Row],[Gender]]="female",R183&lt;40),"Obese",AND(Table13[[#This Row],[Gender]]="male",R183&lt;13),"Athletes",AND(Table13[[#This Row],[Gender]]="male",R183&lt;17),"Fitnesss",AND(Table13[[#This Row],[Gender]]="male",R183&lt;24.9),"Acceptable",AND(Table13[[#This Row],[Gender]]="male",R183&lt;40),"Obese",AND(Table13[[#This Row],[Gender]]="others",R183&lt;20),"Athletes",AND(Table13[[#This Row],[Gender]]="others",R183&lt;24),"Fitnesss",AND(Table13[[#This Row],[Gender]]="others",R183&lt;31),"Acceptable",AND(Table13[[#This Row],[Gender]]="others",R183&lt;40),"Obese")</f>
        <v>Acceptable</v>
      </c>
      <c r="R183" s="8">
        <v>29.6</v>
      </c>
      <c r="S183" s="8">
        <v>2.7</v>
      </c>
      <c r="T183" s="8">
        <v>2</v>
      </c>
      <c r="U183" s="8">
        <v>2</v>
      </c>
      <c r="V183" s="8" t="str">
        <f>IF(Table13[[#This Row],[BMI]]&lt;=18.5,"Underweight",IF(Table13[[#This Row],[BMI]]&lt;=24.9,"Normal",IF(Table13[[#This Row],[BMI]]&lt;=29.9,"Overweight",IF(Table13[[#This Row],[BMI]]&lt;=39,"Obese","Severly Obese"))))</f>
        <v>Underweight</v>
      </c>
      <c r="W183" s="18">
        <v>14.52</v>
      </c>
    </row>
    <row r="184" spans="6:23" x14ac:dyDescent="0.3">
      <c r="F184" s="17">
        <v>28</v>
      </c>
      <c r="G184" s="8" t="str">
        <f>IF(Table13[[#This Row],[Age]]&lt;25,"18-24",IF(Table13[[#This Row],[Age]]&lt;35,"25-34",IF(Table13[[#This Row],[Age]]&lt;45,"35-44",IF(Table13[[#This Row],[Age]]&lt;55,"45-54","55-64"))))</f>
        <v>25-34</v>
      </c>
      <c r="H184" s="8" t="s">
        <v>17</v>
      </c>
      <c r="I184" s="8">
        <v>70</v>
      </c>
      <c r="J184" s="8">
        <v>1.74</v>
      </c>
      <c r="K184" s="8">
        <v>198</v>
      </c>
      <c r="L184" s="8">
        <v>169</v>
      </c>
      <c r="M184" s="8">
        <v>69</v>
      </c>
      <c r="N184" s="8">
        <v>2</v>
      </c>
      <c r="O184" s="8">
        <v>1468</v>
      </c>
      <c r="P184" s="8" t="s">
        <v>20</v>
      </c>
      <c r="Q184" s="8" t="str">
        <f>_xlfn.IFS(AND(Table13[[#This Row],[Gender]]="female",R184&lt;20),"Athletes",AND(Table13[[#This Row],[Gender]]="female",R184&lt;24),"Fitnesss",AND(Table13[[#This Row],[Gender]]="female",R184&lt;31),"Acceptable",AND(Table13[[#This Row],[Gender]]="female",R184&lt;40),"Obese",AND(Table13[[#This Row],[Gender]]="male",R184&lt;13),"Athletes",AND(Table13[[#This Row],[Gender]]="male",R184&lt;17),"Fitnesss",AND(Table13[[#This Row],[Gender]]="male",R184&lt;24.9),"Acceptable",AND(Table13[[#This Row],[Gender]]="male",R184&lt;40),"Obese",AND(Table13[[#This Row],[Gender]]="others",R184&lt;20),"Athletes",AND(Table13[[#This Row],[Gender]]="others",R184&lt;24),"Fitnesss",AND(Table13[[#This Row],[Gender]]="others",R184&lt;31),"Acceptable",AND(Table13[[#This Row],[Gender]]="others",R184&lt;40),"Obese")</f>
        <v>Acceptable</v>
      </c>
      <c r="R184" s="8">
        <v>28.4</v>
      </c>
      <c r="S184" s="8">
        <v>2.8</v>
      </c>
      <c r="T184" s="8">
        <v>4</v>
      </c>
      <c r="U184" s="8">
        <v>2</v>
      </c>
      <c r="V184" s="8" t="str">
        <f>IF(Table13[[#This Row],[BMI]]&lt;=18.5,"Underweight",IF(Table13[[#This Row],[BMI]]&lt;=24.9,"Normal",IF(Table13[[#This Row],[BMI]]&lt;=29.9,"Overweight",IF(Table13[[#This Row],[BMI]]&lt;=39,"Obese","Severly Obese"))))</f>
        <v>Normal</v>
      </c>
      <c r="W184" s="18">
        <v>21.91</v>
      </c>
    </row>
    <row r="185" spans="6:23" x14ac:dyDescent="0.3">
      <c r="F185" s="17">
        <v>23</v>
      </c>
      <c r="G185" s="8" t="str">
        <f>IF(Table13[[#This Row],[Age]]&lt;25,"18-24",IF(Table13[[#This Row],[Age]]&lt;35,"25-34",IF(Table13[[#This Row],[Age]]&lt;45,"35-44",IF(Table13[[#This Row],[Age]]&lt;55,"45-54","55-64"))))</f>
        <v>18-24</v>
      </c>
      <c r="H185" s="8" t="s">
        <v>19</v>
      </c>
      <c r="I185" s="8">
        <v>57.8</v>
      </c>
      <c r="J185" s="8">
        <v>1.87</v>
      </c>
      <c r="K185" s="8">
        <v>172</v>
      </c>
      <c r="L185" s="8">
        <v>142</v>
      </c>
      <c r="M185" s="8">
        <v>54</v>
      </c>
      <c r="N185" s="8">
        <v>1.46</v>
      </c>
      <c r="O185" s="8">
        <v>1741</v>
      </c>
      <c r="P185" s="8" t="s">
        <v>23</v>
      </c>
      <c r="Q185" s="8" t="str">
        <f>_xlfn.IFS(AND(Table13[[#This Row],[Gender]]="female",R185&lt;20),"Athletes",AND(Table13[[#This Row],[Gender]]="female",R185&lt;24),"Fitnesss",AND(Table13[[#This Row],[Gender]]="female",R185&lt;31),"Acceptable",AND(Table13[[#This Row],[Gender]]="female",R185&lt;40),"Obese",AND(Table13[[#This Row],[Gender]]="male",R185&lt;13),"Athletes",AND(Table13[[#This Row],[Gender]]="male",R185&lt;17),"Fitnesss",AND(Table13[[#This Row],[Gender]]="male",R185&lt;24.9),"Acceptable",AND(Table13[[#This Row],[Gender]]="male",R185&lt;40),"Obese",AND(Table13[[#This Row],[Gender]]="others",R185&lt;20),"Athletes",AND(Table13[[#This Row],[Gender]]="others",R185&lt;24),"Fitnesss",AND(Table13[[#This Row],[Gender]]="others",R185&lt;31),"Acceptable",AND(Table13[[#This Row],[Gender]]="others",R185&lt;40),"Obese")</f>
        <v>Obese</v>
      </c>
      <c r="R185" s="8">
        <v>28.7</v>
      </c>
      <c r="S185" s="8">
        <v>3.5</v>
      </c>
      <c r="T185" s="8">
        <v>3</v>
      </c>
      <c r="U185" s="8">
        <v>2</v>
      </c>
      <c r="V185" s="8" t="str">
        <f>IF(Table13[[#This Row],[BMI]]&lt;=18.5,"Underweight",IF(Table13[[#This Row],[BMI]]&lt;=24.9,"Normal",IF(Table13[[#This Row],[BMI]]&lt;=29.9,"Overweight",IF(Table13[[#This Row],[BMI]]&lt;=39,"Obese","Severly Obese"))))</f>
        <v>Underweight</v>
      </c>
      <c r="W185" s="18">
        <v>13.33</v>
      </c>
    </row>
    <row r="186" spans="6:23" x14ac:dyDescent="0.3">
      <c r="F186" s="17">
        <v>48</v>
      </c>
      <c r="G186" s="8" t="str">
        <f>IF(Table13[[#This Row],[Age]]&lt;25,"18-24",IF(Table13[[#This Row],[Age]]&lt;35,"25-34",IF(Table13[[#This Row],[Age]]&lt;45,"35-44",IF(Table13[[#This Row],[Age]]&lt;55,"45-54","55-64"))))</f>
        <v>45-54</v>
      </c>
      <c r="H186" s="8" t="s">
        <v>19</v>
      </c>
      <c r="I186" s="8">
        <v>67.3</v>
      </c>
      <c r="J186" s="8">
        <v>1.61</v>
      </c>
      <c r="K186" s="8">
        <v>173</v>
      </c>
      <c r="L186" s="8">
        <v>139</v>
      </c>
      <c r="M186" s="8">
        <v>59</v>
      </c>
      <c r="N186" s="8">
        <v>0.86</v>
      </c>
      <c r="O186" s="8">
        <v>659</v>
      </c>
      <c r="P186" s="8" t="s">
        <v>20</v>
      </c>
      <c r="Q186" s="8" t="str">
        <f>_xlfn.IFS(AND(Table13[[#This Row],[Gender]]="female",R186&lt;20),"Athletes",AND(Table13[[#This Row],[Gender]]="female",R186&lt;24),"Fitnesss",AND(Table13[[#This Row],[Gender]]="female",R186&lt;31),"Acceptable",AND(Table13[[#This Row],[Gender]]="female",R186&lt;40),"Obese",AND(Table13[[#This Row],[Gender]]="male",R186&lt;13),"Athletes",AND(Table13[[#This Row],[Gender]]="male",R186&lt;17),"Fitnesss",AND(Table13[[#This Row],[Gender]]="male",R186&lt;24.9),"Acceptable",AND(Table13[[#This Row],[Gender]]="male",R186&lt;40),"Obese",AND(Table13[[#This Row],[Gender]]="others",R186&lt;20),"Athletes",AND(Table13[[#This Row],[Gender]]="others",R186&lt;24),"Fitnesss",AND(Table13[[#This Row],[Gender]]="others",R186&lt;31),"Acceptable",AND(Table13[[#This Row],[Gender]]="others",R186&lt;40),"Obese")</f>
        <v>Acceptable</v>
      </c>
      <c r="R186" s="8">
        <v>20.5</v>
      </c>
      <c r="S186" s="8">
        <v>2.7</v>
      </c>
      <c r="T186" s="8">
        <v>3</v>
      </c>
      <c r="U186" s="8"/>
      <c r="V186" s="8" t="str">
        <f>IF(Table13[[#This Row],[BMI]]&lt;=18.5,"Underweight",IF(Table13[[#This Row],[BMI]]&lt;=24.9,"Normal",IF(Table13[[#This Row],[BMI]]&lt;=29.9,"Overweight",IF(Table13[[#This Row],[BMI]]&lt;=39,"Obese","Severly Obese"))))</f>
        <v>Underweight</v>
      </c>
      <c r="W186" s="18">
        <v>18.23</v>
      </c>
    </row>
    <row r="187" spans="6:23" x14ac:dyDescent="0.3">
      <c r="F187" s="17">
        <v>52</v>
      </c>
      <c r="G187" s="8" t="str">
        <f>IF(Table13[[#This Row],[Age]]&lt;25,"18-24",IF(Table13[[#This Row],[Age]]&lt;35,"25-34",IF(Table13[[#This Row],[Age]]&lt;45,"35-44",IF(Table13[[#This Row],[Age]]&lt;55,"45-54","55-64"))))</f>
        <v>45-54</v>
      </c>
      <c r="H187" s="8" t="s">
        <v>17</v>
      </c>
      <c r="I187" s="8">
        <v>73.5</v>
      </c>
      <c r="J187" s="8">
        <v>1.78</v>
      </c>
      <c r="K187" s="8">
        <v>181</v>
      </c>
      <c r="L187" s="8">
        <v>162</v>
      </c>
      <c r="M187" s="8">
        <v>67</v>
      </c>
      <c r="N187" s="8">
        <v>2</v>
      </c>
      <c r="O187" s="8">
        <v>1325</v>
      </c>
      <c r="P187" s="8" t="s">
        <v>22</v>
      </c>
      <c r="Q187" s="8" t="str">
        <f>_xlfn.IFS(AND(Table13[[#This Row],[Gender]]="female",R187&lt;20),"Athletes",AND(Table13[[#This Row],[Gender]]="female",R187&lt;24),"Fitnesss",AND(Table13[[#This Row],[Gender]]="female",R187&lt;31),"Acceptable",AND(Table13[[#This Row],[Gender]]="female",R187&lt;40),"Obese",AND(Table13[[#This Row],[Gender]]="male",R187&lt;13),"Athletes",AND(Table13[[#This Row],[Gender]]="male",R187&lt;17),"Fitnesss",AND(Table13[[#This Row],[Gender]]="male",R187&lt;24.9),"Acceptable",AND(Table13[[#This Row],[Gender]]="male",R187&lt;40),"Obese",AND(Table13[[#This Row],[Gender]]="others",R187&lt;20),"Athletes",AND(Table13[[#This Row],[Gender]]="others",R187&lt;24),"Fitnesss",AND(Table13[[#This Row],[Gender]]="others",R187&lt;31),"Acceptable",AND(Table13[[#This Row],[Gender]]="others",R187&lt;40),"Obese")</f>
        <v>Fitnesss</v>
      </c>
      <c r="R187" s="8">
        <v>21.1</v>
      </c>
      <c r="S187" s="8">
        <v>2.2999999999999998</v>
      </c>
      <c r="T187" s="8">
        <v>3</v>
      </c>
      <c r="U187" s="8">
        <v>3</v>
      </c>
      <c r="V187" s="8" t="str">
        <f>IF(Table13[[#This Row],[BMI]]&lt;=18.5,"Underweight",IF(Table13[[#This Row],[BMI]]&lt;=24.9,"Normal",IF(Table13[[#This Row],[BMI]]&lt;=29.9,"Overweight",IF(Table13[[#This Row],[BMI]]&lt;=39,"Obese","Severly Obese"))))</f>
        <v>Underweight</v>
      </c>
      <c r="W187" s="18">
        <v>18.079999999999998</v>
      </c>
    </row>
    <row r="188" spans="6:23" x14ac:dyDescent="0.3">
      <c r="F188" s="17">
        <v>18</v>
      </c>
      <c r="G188" s="8" t="str">
        <f>IF(Table13[[#This Row],[Age]]&lt;25,"18-24",IF(Table13[[#This Row],[Age]]&lt;35,"25-34",IF(Table13[[#This Row],[Age]]&lt;45,"35-44",IF(Table13[[#This Row],[Age]]&lt;55,"45-54","55-64"))))</f>
        <v>18-24</v>
      </c>
      <c r="H188" s="8" t="s">
        <v>19</v>
      </c>
      <c r="I188" s="8">
        <v>94.7</v>
      </c>
      <c r="J188" s="8">
        <v>1.52</v>
      </c>
      <c r="K188" s="8">
        <v>161</v>
      </c>
      <c r="L188" s="8">
        <v>141</v>
      </c>
      <c r="M188" s="8">
        <v>66</v>
      </c>
      <c r="N188" s="8">
        <v>1.4</v>
      </c>
      <c r="O188" s="8">
        <v>1446</v>
      </c>
      <c r="P188" s="8" t="s">
        <v>22</v>
      </c>
      <c r="Q188" s="8" t="str">
        <f>_xlfn.IFS(AND(Table13[[#This Row],[Gender]]="female",R188&lt;20),"Athletes",AND(Table13[[#This Row],[Gender]]="female",R188&lt;24),"Fitnesss",AND(Table13[[#This Row],[Gender]]="female",R188&lt;31),"Acceptable",AND(Table13[[#This Row],[Gender]]="female",R188&lt;40),"Obese",AND(Table13[[#This Row],[Gender]]="male",R188&lt;13),"Athletes",AND(Table13[[#This Row],[Gender]]="male",R188&lt;17),"Fitnesss",AND(Table13[[#This Row],[Gender]]="male",R188&lt;24.9),"Acceptable",AND(Table13[[#This Row],[Gender]]="male",R188&lt;40),"Obese",AND(Table13[[#This Row],[Gender]]="others",R188&lt;20),"Athletes",AND(Table13[[#This Row],[Gender]]="others",R188&lt;24),"Fitnesss",AND(Table13[[#This Row],[Gender]]="others",R188&lt;31),"Acceptable",AND(Table13[[#This Row],[Gender]]="others",R188&lt;40),"Obese")</f>
        <v>Fitnesss</v>
      </c>
      <c r="R188" s="8">
        <v>16.7</v>
      </c>
      <c r="S188" s="8">
        <v>2.6</v>
      </c>
      <c r="T188" s="8">
        <v>3</v>
      </c>
      <c r="U188" s="8">
        <v>2</v>
      </c>
      <c r="V188" s="8" t="str">
        <f>IF(Table13[[#This Row],[BMI]]&lt;=18.5,"Underweight",IF(Table13[[#This Row],[BMI]]&lt;=24.9,"Normal",IF(Table13[[#This Row],[BMI]]&lt;=29.9,"Overweight",IF(Table13[[#This Row],[BMI]]&lt;=39,"Obese","Severly Obese"))))</f>
        <v>Normal</v>
      </c>
      <c r="W188" s="18">
        <v>22.4</v>
      </c>
    </row>
    <row r="189" spans="6:23" x14ac:dyDescent="0.3">
      <c r="F189" s="17">
        <v>47</v>
      </c>
      <c r="G189" s="8" t="str">
        <f>IF(Table13[[#This Row],[Age]]&lt;25,"18-24",IF(Table13[[#This Row],[Age]]&lt;35,"25-34",IF(Table13[[#This Row],[Age]]&lt;45,"35-44",IF(Table13[[#This Row],[Age]]&lt;55,"45-54","55-64"))))</f>
        <v>45-54</v>
      </c>
      <c r="H189" s="8" t="s">
        <v>19</v>
      </c>
      <c r="I189" s="8">
        <v>40</v>
      </c>
      <c r="J189" s="8">
        <v>1.89</v>
      </c>
      <c r="K189" s="8">
        <v>177</v>
      </c>
      <c r="L189" s="8">
        <v>139</v>
      </c>
      <c r="M189" s="8">
        <v>69</v>
      </c>
      <c r="N189" s="8">
        <v>1.3</v>
      </c>
      <c r="O189" s="8">
        <v>902</v>
      </c>
      <c r="P189" s="8" t="s">
        <v>21</v>
      </c>
      <c r="Q189" s="8" t="str">
        <f>_xlfn.IFS(AND(Table13[[#This Row],[Gender]]="female",R189&lt;20),"Athletes",AND(Table13[[#This Row],[Gender]]="female",R189&lt;24),"Fitnesss",AND(Table13[[#This Row],[Gender]]="female",R189&lt;31),"Acceptable",AND(Table13[[#This Row],[Gender]]="female",R189&lt;40),"Obese",AND(Table13[[#This Row],[Gender]]="male",R189&lt;13),"Athletes",AND(Table13[[#This Row],[Gender]]="male",R189&lt;17),"Fitnesss",AND(Table13[[#This Row],[Gender]]="male",R189&lt;24.9),"Acceptable",AND(Table13[[#This Row],[Gender]]="male",R189&lt;40),"Obese",AND(Table13[[#This Row],[Gender]]="others",R189&lt;20),"Athletes",AND(Table13[[#This Row],[Gender]]="others",R189&lt;24),"Fitnesss",AND(Table13[[#This Row],[Gender]]="others",R189&lt;31),"Acceptable",AND(Table13[[#This Row],[Gender]]="others",R189&lt;40),"Obese")</f>
        <v>Obese</v>
      </c>
      <c r="R189" s="8">
        <v>26.7</v>
      </c>
      <c r="S189" s="8">
        <v>3.3</v>
      </c>
      <c r="T189" s="8">
        <v>3</v>
      </c>
      <c r="U189" s="8">
        <v>3</v>
      </c>
      <c r="V189" s="8" t="str">
        <f>IF(Table13[[#This Row],[BMI]]&lt;=18.5,"Underweight",IF(Table13[[#This Row],[BMI]]&lt;=24.9,"Normal",IF(Table13[[#This Row],[BMI]]&lt;=29.9,"Overweight",IF(Table13[[#This Row],[BMI]]&lt;=39,"Obese","Severly Obese"))))</f>
        <v>Overweight</v>
      </c>
      <c r="W189" s="18">
        <v>26.2</v>
      </c>
    </row>
    <row r="190" spans="6:23" x14ac:dyDescent="0.3">
      <c r="F190" s="17">
        <v>54</v>
      </c>
      <c r="G190" s="8" t="str">
        <f>IF(Table13[[#This Row],[Age]]&lt;25,"18-24",IF(Table13[[#This Row],[Age]]&lt;35,"25-34",IF(Table13[[#This Row],[Age]]&lt;45,"35-44",IF(Table13[[#This Row],[Age]]&lt;55,"45-54","55-64"))))</f>
        <v>45-54</v>
      </c>
      <c r="H190" s="8" t="s">
        <v>17</v>
      </c>
      <c r="I190" s="8">
        <v>63.5</v>
      </c>
      <c r="J190" s="8">
        <v>1.51</v>
      </c>
      <c r="K190" s="8">
        <v>192</v>
      </c>
      <c r="L190" s="8">
        <v>147</v>
      </c>
      <c r="M190" s="8">
        <v>70</v>
      </c>
      <c r="N190" s="8">
        <v>1.23</v>
      </c>
      <c r="O190" s="8">
        <v>526</v>
      </c>
      <c r="P190" s="8" t="s">
        <v>22</v>
      </c>
      <c r="Q190" s="8" t="str">
        <f>_xlfn.IFS(AND(Table13[[#This Row],[Gender]]="female",R190&lt;20),"Athletes",AND(Table13[[#This Row],[Gender]]="female",R190&lt;24),"Fitnesss",AND(Table13[[#This Row],[Gender]]="female",R190&lt;31),"Acceptable",AND(Table13[[#This Row],[Gender]]="female",R190&lt;40),"Obese",AND(Table13[[#This Row],[Gender]]="male",R190&lt;13),"Athletes",AND(Table13[[#This Row],[Gender]]="male",R190&lt;17),"Fitnesss",AND(Table13[[#This Row],[Gender]]="male",R190&lt;24.9),"Acceptable",AND(Table13[[#This Row],[Gender]]="male",R190&lt;40),"Obese",AND(Table13[[#This Row],[Gender]]="others",R190&lt;20),"Athletes",AND(Table13[[#This Row],[Gender]]="others",R190&lt;24),"Fitnesss",AND(Table13[[#This Row],[Gender]]="others",R190&lt;31),"Acceptable",AND(Table13[[#This Row],[Gender]]="others",R190&lt;40),"Obese")</f>
        <v>Acceptable</v>
      </c>
      <c r="R190" s="8">
        <v>28.3</v>
      </c>
      <c r="S190" s="8">
        <v>2.2000000000000002</v>
      </c>
      <c r="T190" s="8"/>
      <c r="U190" s="8">
        <v>3</v>
      </c>
      <c r="V190" s="8" t="str">
        <f>IF(Table13[[#This Row],[BMI]]&lt;=18.5,"Underweight",IF(Table13[[#This Row],[BMI]]&lt;=24.9,"Normal",IF(Table13[[#This Row],[BMI]]&lt;=29.9,"Overweight",IF(Table13[[#This Row],[BMI]]&lt;=39,"Obese","Severly Obese"))))</f>
        <v>Underweight</v>
      </c>
      <c r="W190" s="18">
        <v>17.05</v>
      </c>
    </row>
    <row r="191" spans="6:23" x14ac:dyDescent="0.3">
      <c r="F191" s="17">
        <v>22</v>
      </c>
      <c r="G191" s="8" t="str">
        <f>IF(Table13[[#This Row],[Age]]&lt;25,"18-24",IF(Table13[[#This Row],[Age]]&lt;35,"25-34",IF(Table13[[#This Row],[Age]]&lt;45,"35-44",IF(Table13[[#This Row],[Age]]&lt;55,"45-54","55-64"))))</f>
        <v>18-24</v>
      </c>
      <c r="H191" s="8" t="s">
        <v>17</v>
      </c>
      <c r="I191" s="8">
        <v>60.1</v>
      </c>
      <c r="J191" s="8">
        <v>1.71</v>
      </c>
      <c r="K191" s="8">
        <v>198</v>
      </c>
      <c r="L191" s="8">
        <v>161</v>
      </c>
      <c r="M191" s="8">
        <v>70</v>
      </c>
      <c r="N191" s="8">
        <v>1.04</v>
      </c>
      <c r="O191" s="8">
        <v>533</v>
      </c>
      <c r="P191" s="8" t="s">
        <v>21</v>
      </c>
      <c r="Q191" s="8" t="str">
        <f>_xlfn.IFS(AND(Table13[[#This Row],[Gender]]="female",R191&lt;20),"Athletes",AND(Table13[[#This Row],[Gender]]="female",R191&lt;24),"Fitnesss",AND(Table13[[#This Row],[Gender]]="female",R191&lt;31),"Acceptable",AND(Table13[[#This Row],[Gender]]="female",R191&lt;40),"Obese",AND(Table13[[#This Row],[Gender]]="male",R191&lt;13),"Athletes",AND(Table13[[#This Row],[Gender]]="male",R191&lt;17),"Fitnesss",AND(Table13[[#This Row],[Gender]]="male",R191&lt;24.9),"Acceptable",AND(Table13[[#This Row],[Gender]]="male",R191&lt;40),"Obese",AND(Table13[[#This Row],[Gender]]="others",R191&lt;20),"Athletes",AND(Table13[[#This Row],[Gender]]="others",R191&lt;24),"Fitnesss",AND(Table13[[#This Row],[Gender]]="others",R191&lt;31),"Acceptable",AND(Table13[[#This Row],[Gender]]="others",R191&lt;40),"Obese")</f>
        <v>Athletes</v>
      </c>
      <c r="R191" s="8">
        <v>10.3</v>
      </c>
      <c r="S191" s="8">
        <v>3.4</v>
      </c>
      <c r="T191" s="8">
        <v>5</v>
      </c>
      <c r="U191" s="8">
        <v>1</v>
      </c>
      <c r="V191" s="8" t="str">
        <f>IF(Table13[[#This Row],[BMI]]&lt;=18.5,"Underweight",IF(Table13[[#This Row],[BMI]]&lt;=24.9,"Normal",IF(Table13[[#This Row],[BMI]]&lt;=29.9,"Overweight",IF(Table13[[#This Row],[BMI]]&lt;=39,"Obese","Severly Obese"))))</f>
        <v>Overweight</v>
      </c>
      <c r="W191" s="18">
        <v>26.74</v>
      </c>
    </row>
    <row r="192" spans="6:23" x14ac:dyDescent="0.3">
      <c r="F192" s="17">
        <v>43</v>
      </c>
      <c r="G192" s="8" t="str">
        <f>IF(Table13[[#This Row],[Age]]&lt;25,"18-24",IF(Table13[[#This Row],[Age]]&lt;35,"25-34",IF(Table13[[#This Row],[Age]]&lt;45,"35-44",IF(Table13[[#This Row],[Age]]&lt;55,"45-54","55-64"))))</f>
        <v>35-44</v>
      </c>
      <c r="H192" s="8" t="s">
        <v>19</v>
      </c>
      <c r="I192" s="8">
        <v>70.400000000000006</v>
      </c>
      <c r="J192" s="8">
        <v>1.62</v>
      </c>
      <c r="K192" s="8">
        <v>178</v>
      </c>
      <c r="L192" s="8">
        <v>140</v>
      </c>
      <c r="M192" s="8">
        <v>66</v>
      </c>
      <c r="N192" s="8"/>
      <c r="O192" s="8">
        <v>763</v>
      </c>
      <c r="P192" s="8" t="s">
        <v>21</v>
      </c>
      <c r="Q192" s="8" t="str">
        <f>_xlfn.IFS(AND(Table13[[#This Row],[Gender]]="female",R192&lt;20),"Athletes",AND(Table13[[#This Row],[Gender]]="female",R192&lt;24),"Fitnesss",AND(Table13[[#This Row],[Gender]]="female",R192&lt;31),"Acceptable",AND(Table13[[#This Row],[Gender]]="female",R192&lt;40),"Obese",AND(Table13[[#This Row],[Gender]]="male",R192&lt;13),"Athletes",AND(Table13[[#This Row],[Gender]]="male",R192&lt;17),"Fitnesss",AND(Table13[[#This Row],[Gender]]="male",R192&lt;24.9),"Acceptable",AND(Table13[[#This Row],[Gender]]="male",R192&lt;40),"Obese",AND(Table13[[#This Row],[Gender]]="others",R192&lt;20),"Athletes",AND(Table13[[#This Row],[Gender]]="others",R192&lt;24),"Fitnesss",AND(Table13[[#This Row],[Gender]]="others",R192&lt;31),"Acceptable",AND(Table13[[#This Row],[Gender]]="others",R192&lt;40),"Obese")</f>
        <v>Obese</v>
      </c>
      <c r="R192" s="8">
        <v>29.1</v>
      </c>
      <c r="S192" s="8">
        <v>3.4</v>
      </c>
      <c r="T192" s="8">
        <v>3</v>
      </c>
      <c r="U192" s="8">
        <v>1</v>
      </c>
      <c r="V192" s="8" t="str">
        <f>IF(Table13[[#This Row],[BMI]]&lt;=18.5,"Underweight",IF(Table13[[#This Row],[BMI]]&lt;=24.9,"Normal",IF(Table13[[#This Row],[BMI]]&lt;=29.9,"Overweight",IF(Table13[[#This Row],[BMI]]&lt;=39,"Obese","Severly Obese"))))</f>
        <v>Underweight</v>
      </c>
      <c r="W192" s="18">
        <v>17.91</v>
      </c>
    </row>
    <row r="193" spans="6:23" x14ac:dyDescent="0.3">
      <c r="F193" s="17">
        <v>31</v>
      </c>
      <c r="G193" s="8" t="str">
        <f>IF(Table13[[#This Row],[Age]]&lt;25,"18-24",IF(Table13[[#This Row],[Age]]&lt;35,"25-34",IF(Table13[[#This Row],[Age]]&lt;45,"35-44",IF(Table13[[#This Row],[Age]]&lt;55,"45-54","55-64"))))</f>
        <v>25-34</v>
      </c>
      <c r="H193" s="8" t="s">
        <v>19</v>
      </c>
      <c r="I193" s="8">
        <v>40</v>
      </c>
      <c r="J193" s="8">
        <v>1.77</v>
      </c>
      <c r="K193" s="8">
        <v>181</v>
      </c>
      <c r="L193" s="8">
        <v>127</v>
      </c>
      <c r="M193" s="8">
        <v>51</v>
      </c>
      <c r="N193" s="8">
        <v>0.76</v>
      </c>
      <c r="O193" s="8">
        <v>1382</v>
      </c>
      <c r="P193" s="8" t="s">
        <v>20</v>
      </c>
      <c r="Q193" s="8" t="str">
        <f>_xlfn.IFS(AND(Table13[[#This Row],[Gender]]="female",R193&lt;20),"Athletes",AND(Table13[[#This Row],[Gender]]="female",R193&lt;24),"Fitnesss",AND(Table13[[#This Row],[Gender]]="female",R193&lt;31),"Acceptable",AND(Table13[[#This Row],[Gender]]="female",R193&lt;40),"Obese",AND(Table13[[#This Row],[Gender]]="male",R193&lt;13),"Athletes",AND(Table13[[#This Row],[Gender]]="male",R193&lt;17),"Fitnesss",AND(Table13[[#This Row],[Gender]]="male",R193&lt;24.9),"Acceptable",AND(Table13[[#This Row],[Gender]]="male",R193&lt;40),"Obese",AND(Table13[[#This Row],[Gender]]="others",R193&lt;20),"Athletes",AND(Table13[[#This Row],[Gender]]="others",R193&lt;24),"Fitnesss",AND(Table13[[#This Row],[Gender]]="others",R193&lt;31),"Acceptable",AND(Table13[[#This Row],[Gender]]="others",R193&lt;40),"Obese")</f>
        <v>Fitnesss</v>
      </c>
      <c r="R193" s="8">
        <v>15.3</v>
      </c>
      <c r="S193" s="8">
        <v>2.6</v>
      </c>
      <c r="T193" s="8">
        <v>4</v>
      </c>
      <c r="U193" s="8"/>
      <c r="V193" s="8" t="str">
        <f>IF(Table13[[#This Row],[BMI]]&lt;=18.5,"Underweight",IF(Table13[[#This Row],[BMI]]&lt;=24.9,"Normal",IF(Table13[[#This Row],[BMI]]&lt;=29.9,"Overweight",IF(Table13[[#This Row],[BMI]]&lt;=39,"Obese","Severly Obese"))))</f>
        <v>Underweight</v>
      </c>
      <c r="W193" s="18">
        <v>14.09</v>
      </c>
    </row>
    <row r="194" spans="6:23" x14ac:dyDescent="0.3">
      <c r="F194" s="17">
        <v>48</v>
      </c>
      <c r="G194" s="8" t="str">
        <f>IF(Table13[[#This Row],[Age]]&lt;25,"18-24",IF(Table13[[#This Row],[Age]]&lt;35,"25-34",IF(Table13[[#This Row],[Age]]&lt;45,"35-44",IF(Table13[[#This Row],[Age]]&lt;55,"45-54","55-64"))))</f>
        <v>45-54</v>
      </c>
      <c r="H194" s="8" t="s">
        <v>19</v>
      </c>
      <c r="I194" s="8">
        <v>55.5</v>
      </c>
      <c r="J194" s="8">
        <v>1.5</v>
      </c>
      <c r="K194" s="8">
        <v>183</v>
      </c>
      <c r="L194" s="8">
        <v>133</v>
      </c>
      <c r="M194" s="8">
        <v>51</v>
      </c>
      <c r="N194" s="8">
        <v>0.73</v>
      </c>
      <c r="O194" s="8">
        <v>830</v>
      </c>
      <c r="P194" s="8" t="s">
        <v>20</v>
      </c>
      <c r="Q194" s="8" t="str">
        <f>_xlfn.IFS(AND(Table13[[#This Row],[Gender]]="female",R194&lt;20),"Athletes",AND(Table13[[#This Row],[Gender]]="female",R194&lt;24),"Fitnesss",AND(Table13[[#This Row],[Gender]]="female",R194&lt;31),"Acceptable",AND(Table13[[#This Row],[Gender]]="female",R194&lt;40),"Obese",AND(Table13[[#This Row],[Gender]]="male",R194&lt;13),"Athletes",AND(Table13[[#This Row],[Gender]]="male",R194&lt;17),"Fitnesss",AND(Table13[[#This Row],[Gender]]="male",R194&lt;24.9),"Acceptable",AND(Table13[[#This Row],[Gender]]="male",R194&lt;40),"Obese",AND(Table13[[#This Row],[Gender]]="others",R194&lt;20),"Athletes",AND(Table13[[#This Row],[Gender]]="others",R194&lt;24),"Fitnesss",AND(Table13[[#This Row],[Gender]]="others",R194&lt;31),"Acceptable",AND(Table13[[#This Row],[Gender]]="others",R194&lt;40),"Obese")</f>
        <v>Obese</v>
      </c>
      <c r="R194" s="8">
        <v>27.3</v>
      </c>
      <c r="S194" s="8">
        <v>2.2000000000000002</v>
      </c>
      <c r="T194" s="8">
        <v>3</v>
      </c>
      <c r="U194" s="8">
        <v>3</v>
      </c>
      <c r="V194" s="8" t="str">
        <f>IF(Table13[[#This Row],[BMI]]&lt;=18.5,"Underweight",IF(Table13[[#This Row],[BMI]]&lt;=24.9,"Normal",IF(Table13[[#This Row],[BMI]]&lt;=29.9,"Overweight",IF(Table13[[#This Row],[BMI]]&lt;=39,"Obese","Severly Obese"))))</f>
        <v>Obese</v>
      </c>
      <c r="W194" s="18">
        <v>32.42</v>
      </c>
    </row>
    <row r="195" spans="6:23" x14ac:dyDescent="0.3">
      <c r="F195" s="17">
        <v>51</v>
      </c>
      <c r="G195" s="8" t="str">
        <f>IF(Table13[[#This Row],[Age]]&lt;25,"18-24",IF(Table13[[#This Row],[Age]]&lt;35,"25-34",IF(Table13[[#This Row],[Age]]&lt;45,"35-44",IF(Table13[[#This Row],[Age]]&lt;55,"45-54","55-64"))))</f>
        <v>45-54</v>
      </c>
      <c r="H195" s="8" t="s">
        <v>19</v>
      </c>
      <c r="I195" s="8">
        <v>75.7</v>
      </c>
      <c r="J195" s="8"/>
      <c r="K195" s="8">
        <v>163</v>
      </c>
      <c r="L195" s="8">
        <v>147</v>
      </c>
      <c r="M195" s="8">
        <v>57</v>
      </c>
      <c r="N195" s="8">
        <v>1.02</v>
      </c>
      <c r="O195" s="8">
        <v>406</v>
      </c>
      <c r="P195" s="8" t="s">
        <v>18</v>
      </c>
      <c r="Q195" s="8" t="str">
        <f>_xlfn.IFS(AND(Table13[[#This Row],[Gender]]="female",R195&lt;20),"Athletes",AND(Table13[[#This Row],[Gender]]="female",R195&lt;24),"Fitnesss",AND(Table13[[#This Row],[Gender]]="female",R195&lt;31),"Acceptable",AND(Table13[[#This Row],[Gender]]="female",R195&lt;40),"Obese",AND(Table13[[#This Row],[Gender]]="male",R195&lt;13),"Athletes",AND(Table13[[#This Row],[Gender]]="male",R195&lt;17),"Fitnesss",AND(Table13[[#This Row],[Gender]]="male",R195&lt;24.9),"Acceptable",AND(Table13[[#This Row],[Gender]]="male",R195&lt;40),"Obese",AND(Table13[[#This Row],[Gender]]="others",R195&lt;20),"Athletes",AND(Table13[[#This Row],[Gender]]="others",R195&lt;24),"Fitnesss",AND(Table13[[#This Row],[Gender]]="others",R195&lt;31),"Acceptable",AND(Table13[[#This Row],[Gender]]="others",R195&lt;40),"Obese")</f>
        <v>Acceptable</v>
      </c>
      <c r="R195" s="8">
        <v>21.8</v>
      </c>
      <c r="S195" s="8">
        <v>1.5</v>
      </c>
      <c r="T195" s="8">
        <v>3</v>
      </c>
      <c r="U195" s="8">
        <v>3</v>
      </c>
      <c r="V195" s="8" t="str">
        <f>IF(Table13[[#This Row],[BMI]]&lt;=18.5,"Underweight",IF(Table13[[#This Row],[BMI]]&lt;=24.9,"Normal",IF(Table13[[#This Row],[BMI]]&lt;=29.9,"Overweight",IF(Table13[[#This Row],[BMI]]&lt;=39,"Obese","Severly Obese"))))</f>
        <v>Normal</v>
      </c>
      <c r="W195" s="18">
        <v>22.86</v>
      </c>
    </row>
    <row r="196" spans="6:23" x14ac:dyDescent="0.3">
      <c r="F196" s="17">
        <v>23</v>
      </c>
      <c r="G196" s="8" t="str">
        <f>IF(Table13[[#This Row],[Age]]&lt;25,"18-24",IF(Table13[[#This Row],[Age]]&lt;35,"25-34",IF(Table13[[#This Row],[Age]]&lt;45,"35-44",IF(Table13[[#This Row],[Age]]&lt;55,"45-54","55-64"))))</f>
        <v>18-24</v>
      </c>
      <c r="H196" s="8" t="s">
        <v>17</v>
      </c>
      <c r="I196" s="8">
        <v>95.6</v>
      </c>
      <c r="J196" s="8">
        <v>1.5</v>
      </c>
      <c r="K196" s="8">
        <v>196</v>
      </c>
      <c r="L196" s="8">
        <v>152</v>
      </c>
      <c r="M196" s="8">
        <v>56</v>
      </c>
      <c r="N196" s="8">
        <v>0.5</v>
      </c>
      <c r="O196" s="8">
        <v>639</v>
      </c>
      <c r="P196" s="8" t="s">
        <v>22</v>
      </c>
      <c r="Q196" s="8" t="str">
        <f>_xlfn.IFS(AND(Table13[[#This Row],[Gender]]="female",R196&lt;20),"Athletes",AND(Table13[[#This Row],[Gender]]="female",R196&lt;24),"Fitnesss",AND(Table13[[#This Row],[Gender]]="female",R196&lt;31),"Acceptable",AND(Table13[[#This Row],[Gender]]="female",R196&lt;40),"Obese",AND(Table13[[#This Row],[Gender]]="male",R196&lt;13),"Athletes",AND(Table13[[#This Row],[Gender]]="male",R196&lt;17),"Fitnesss",AND(Table13[[#This Row],[Gender]]="male",R196&lt;24.9),"Acceptable",AND(Table13[[#This Row],[Gender]]="male",R196&lt;40),"Obese",AND(Table13[[#This Row],[Gender]]="others",R196&lt;20),"Athletes",AND(Table13[[#This Row],[Gender]]="others",R196&lt;24),"Fitnesss",AND(Table13[[#This Row],[Gender]]="others",R196&lt;31),"Acceptable",AND(Table13[[#This Row],[Gender]]="others",R196&lt;40),"Obese")</f>
        <v>Acceptable</v>
      </c>
      <c r="R196" s="8">
        <v>25.2</v>
      </c>
      <c r="S196" s="8">
        <v>3.2</v>
      </c>
      <c r="T196" s="8">
        <v>2</v>
      </c>
      <c r="U196" s="8">
        <v>1</v>
      </c>
      <c r="V196" s="8" t="str">
        <f>IF(Table13[[#This Row],[BMI]]&lt;=18.5,"Underweight",IF(Table13[[#This Row],[BMI]]&lt;=24.9,"Normal",IF(Table13[[#This Row],[BMI]]&lt;=29.9,"Overweight",IF(Table13[[#This Row],[BMI]]&lt;=39,"Obese","Severly Obese"))))</f>
        <v>Underweight</v>
      </c>
      <c r="W196" s="18">
        <v>13.38</v>
      </c>
    </row>
    <row r="197" spans="6:23" x14ac:dyDescent="0.3">
      <c r="F197" s="17">
        <v>43</v>
      </c>
      <c r="G197" s="8" t="str">
        <f>IF(Table13[[#This Row],[Age]]&lt;25,"18-24",IF(Table13[[#This Row],[Age]]&lt;35,"25-34",IF(Table13[[#This Row],[Age]]&lt;45,"35-44",IF(Table13[[#This Row],[Age]]&lt;55,"45-54","55-64"))))</f>
        <v>35-44</v>
      </c>
      <c r="H197" s="8" t="s">
        <v>19</v>
      </c>
      <c r="I197" s="8">
        <v>102.5</v>
      </c>
      <c r="J197" s="8">
        <v>1.79</v>
      </c>
      <c r="K197" s="8">
        <v>190</v>
      </c>
      <c r="L197" s="8">
        <v>138</v>
      </c>
      <c r="M197" s="8">
        <v>69</v>
      </c>
      <c r="N197" s="8">
        <v>1.54</v>
      </c>
      <c r="O197" s="8">
        <v>844</v>
      </c>
      <c r="P197" s="8" t="s">
        <v>20</v>
      </c>
      <c r="Q197" s="8" t="str">
        <f>_xlfn.IFS(AND(Table13[[#This Row],[Gender]]="female",R197&lt;20),"Athletes",AND(Table13[[#This Row],[Gender]]="female",R197&lt;24),"Fitnesss",AND(Table13[[#This Row],[Gender]]="female",R197&lt;31),"Acceptable",AND(Table13[[#This Row],[Gender]]="female",R197&lt;40),"Obese",AND(Table13[[#This Row],[Gender]]="male",R197&lt;13),"Athletes",AND(Table13[[#This Row],[Gender]]="male",R197&lt;17),"Fitnesss",AND(Table13[[#This Row],[Gender]]="male",R197&lt;24.9),"Acceptable",AND(Table13[[#This Row],[Gender]]="male",R197&lt;40),"Obese",AND(Table13[[#This Row],[Gender]]="others",R197&lt;20),"Athletes",AND(Table13[[#This Row],[Gender]]="others",R197&lt;24),"Fitnesss",AND(Table13[[#This Row],[Gender]]="others",R197&lt;31),"Acceptable",AND(Table13[[#This Row],[Gender]]="others",R197&lt;40),"Obese")</f>
        <v>Acceptable</v>
      </c>
      <c r="R197" s="8">
        <v>19.7</v>
      </c>
      <c r="S197" s="8">
        <v>3.7</v>
      </c>
      <c r="T197" s="8">
        <v>4</v>
      </c>
      <c r="U197" s="8">
        <v>2</v>
      </c>
      <c r="V197" s="8" t="str">
        <f>IF(Table13[[#This Row],[BMI]]&lt;=18.5,"Underweight",IF(Table13[[#This Row],[BMI]]&lt;=24.9,"Normal",IF(Table13[[#This Row],[BMI]]&lt;=29.9,"Overweight",IF(Table13[[#This Row],[BMI]]&lt;=39,"Obese","Severly Obese"))))</f>
        <v>Underweight</v>
      </c>
      <c r="W197" s="18">
        <v>17.07</v>
      </c>
    </row>
    <row r="198" spans="6:23" x14ac:dyDescent="0.3">
      <c r="F198" s="17">
        <v>50</v>
      </c>
      <c r="G198" s="8" t="str">
        <f>IF(Table13[[#This Row],[Age]]&lt;25,"18-24",IF(Table13[[#This Row],[Age]]&lt;35,"25-34",IF(Table13[[#This Row],[Age]]&lt;45,"35-44",IF(Table13[[#This Row],[Age]]&lt;55,"45-54","55-64"))))</f>
        <v>45-54</v>
      </c>
      <c r="H198" s="8" t="s">
        <v>19</v>
      </c>
      <c r="I198" s="8">
        <v>56.6</v>
      </c>
      <c r="J198" s="8">
        <v>1.96</v>
      </c>
      <c r="K198" s="8">
        <v>196</v>
      </c>
      <c r="L198" s="8">
        <v>169</v>
      </c>
      <c r="M198" s="8">
        <v>74</v>
      </c>
      <c r="N198" s="8">
        <v>2</v>
      </c>
      <c r="O198" s="8">
        <v>1299</v>
      </c>
      <c r="P198" s="8" t="s">
        <v>18</v>
      </c>
      <c r="Q198" s="8" t="str">
        <f>_xlfn.IFS(AND(Table13[[#This Row],[Gender]]="female",R198&lt;20),"Athletes",AND(Table13[[#This Row],[Gender]]="female",R198&lt;24),"Fitnesss",AND(Table13[[#This Row],[Gender]]="female",R198&lt;31),"Acceptable",AND(Table13[[#This Row],[Gender]]="female",R198&lt;40),"Obese",AND(Table13[[#This Row],[Gender]]="male",R198&lt;13),"Athletes",AND(Table13[[#This Row],[Gender]]="male",R198&lt;17),"Fitnesss",AND(Table13[[#This Row],[Gender]]="male",R198&lt;24.9),"Acceptable",AND(Table13[[#This Row],[Gender]]="male",R198&lt;40),"Obese",AND(Table13[[#This Row],[Gender]]="others",R198&lt;20),"Athletes",AND(Table13[[#This Row],[Gender]]="others",R198&lt;24),"Fitnesss",AND(Table13[[#This Row],[Gender]]="others",R198&lt;31),"Acceptable",AND(Table13[[#This Row],[Gender]]="others",R198&lt;40),"Obese")</f>
        <v>Acceptable</v>
      </c>
      <c r="R198" s="8">
        <v>24.8</v>
      </c>
      <c r="S198" s="8">
        <v>1.6</v>
      </c>
      <c r="T198" s="8">
        <v>3</v>
      </c>
      <c r="U198" s="8">
        <v>2</v>
      </c>
      <c r="V198" s="8" t="str">
        <f>IF(Table13[[#This Row],[BMI]]&lt;=18.5,"Underweight",IF(Table13[[#This Row],[BMI]]&lt;=24.9,"Normal",IF(Table13[[#This Row],[BMI]]&lt;=29.9,"Overweight",IF(Table13[[#This Row],[BMI]]&lt;=39,"Obese","Severly Obese"))))</f>
        <v>Normal</v>
      </c>
      <c r="W198" s="18">
        <v>20.69</v>
      </c>
    </row>
    <row r="199" spans="6:23" x14ac:dyDescent="0.3">
      <c r="F199" s="17">
        <v>30</v>
      </c>
      <c r="G199" s="8" t="str">
        <f>IF(Table13[[#This Row],[Age]]&lt;25,"18-24",IF(Table13[[#This Row],[Age]]&lt;35,"25-34",IF(Table13[[#This Row],[Age]]&lt;45,"35-44",IF(Table13[[#This Row],[Age]]&lt;55,"45-54","55-64"))))</f>
        <v>25-34</v>
      </c>
      <c r="H199" s="8" t="s">
        <v>19</v>
      </c>
      <c r="I199" s="8">
        <v>40</v>
      </c>
      <c r="J199" s="8">
        <v>1.67</v>
      </c>
      <c r="K199" s="8">
        <v>176</v>
      </c>
      <c r="L199" s="8">
        <v>120</v>
      </c>
      <c r="M199" s="8">
        <v>55</v>
      </c>
      <c r="N199" s="8">
        <v>1.39</v>
      </c>
      <c r="O199" s="8">
        <v>1710</v>
      </c>
      <c r="P199" s="8" t="s">
        <v>20</v>
      </c>
      <c r="Q199" s="8" t="str">
        <f>_xlfn.IFS(AND(Table13[[#This Row],[Gender]]="female",R199&lt;20),"Athletes",AND(Table13[[#This Row],[Gender]]="female",R199&lt;24),"Fitnesss",AND(Table13[[#This Row],[Gender]]="female",R199&lt;31),"Acceptable",AND(Table13[[#This Row],[Gender]]="female",R199&lt;40),"Obese",AND(Table13[[#This Row],[Gender]]="male",R199&lt;13),"Athletes",AND(Table13[[#This Row],[Gender]]="male",R199&lt;17),"Fitnesss",AND(Table13[[#This Row],[Gender]]="male",R199&lt;24.9),"Acceptable",AND(Table13[[#This Row],[Gender]]="male",R199&lt;40),"Obese",AND(Table13[[#This Row],[Gender]]="others",R199&lt;20),"Athletes",AND(Table13[[#This Row],[Gender]]="others",R199&lt;24),"Fitnesss",AND(Table13[[#This Row],[Gender]]="others",R199&lt;31),"Acceptable",AND(Table13[[#This Row],[Gender]]="others",R199&lt;40),"Obese")</f>
        <v>Acceptable</v>
      </c>
      <c r="R199" s="8">
        <v>18.2</v>
      </c>
      <c r="S199" s="8">
        <v>2.7</v>
      </c>
      <c r="T199" s="8">
        <v>3</v>
      </c>
      <c r="U199" s="8">
        <v>1</v>
      </c>
      <c r="V199" s="8" t="str">
        <f>IF(Table13[[#This Row],[BMI]]&lt;=18.5,"Underweight",IF(Table13[[#This Row],[BMI]]&lt;=24.9,"Normal",IF(Table13[[#This Row],[BMI]]&lt;=29.9,"Overweight",IF(Table13[[#This Row],[BMI]]&lt;=39,"Obese","Severly Obese"))))</f>
        <v>Underweight</v>
      </c>
      <c r="W199" s="18">
        <v>12.32</v>
      </c>
    </row>
    <row r="200" spans="6:23" x14ac:dyDescent="0.3">
      <c r="F200" s="17">
        <v>25</v>
      </c>
      <c r="G200" s="8" t="str">
        <f>IF(Table13[[#This Row],[Age]]&lt;25,"18-24",IF(Table13[[#This Row],[Age]]&lt;35,"25-34",IF(Table13[[#This Row],[Age]]&lt;45,"35-44",IF(Table13[[#This Row],[Age]]&lt;55,"45-54","55-64"))))</f>
        <v>25-34</v>
      </c>
      <c r="H200" s="8" t="s">
        <v>17</v>
      </c>
      <c r="I200" s="8">
        <v>74.900000000000006</v>
      </c>
      <c r="J200" s="8">
        <v>1.66</v>
      </c>
      <c r="K200" s="8">
        <v>192</v>
      </c>
      <c r="L200" s="8">
        <v>138</v>
      </c>
      <c r="M200" s="8">
        <v>58</v>
      </c>
      <c r="N200" s="8">
        <v>1.73</v>
      </c>
      <c r="O200" s="8">
        <v>1766</v>
      </c>
      <c r="P200" s="8" t="s">
        <v>21</v>
      </c>
      <c r="Q200" s="8" t="str">
        <f>_xlfn.IFS(AND(Table13[[#This Row],[Gender]]="female",R200&lt;20),"Athletes",AND(Table13[[#This Row],[Gender]]="female",R200&lt;24),"Fitnesss",AND(Table13[[#This Row],[Gender]]="female",R200&lt;31),"Acceptable",AND(Table13[[#This Row],[Gender]]="female",R200&lt;40),"Obese",AND(Table13[[#This Row],[Gender]]="male",R200&lt;13),"Athletes",AND(Table13[[#This Row],[Gender]]="male",R200&lt;17),"Fitnesss",AND(Table13[[#This Row],[Gender]]="male",R200&lt;24.9),"Acceptable",AND(Table13[[#This Row],[Gender]]="male",R200&lt;40),"Obese",AND(Table13[[#This Row],[Gender]]="others",R200&lt;20),"Athletes",AND(Table13[[#This Row],[Gender]]="others",R200&lt;24),"Fitnesss",AND(Table13[[#This Row],[Gender]]="others",R200&lt;31),"Acceptable",AND(Table13[[#This Row],[Gender]]="others",R200&lt;40),"Obese")</f>
        <v>Acceptable</v>
      </c>
      <c r="R200" s="8">
        <v>28.7</v>
      </c>
      <c r="S200" s="8">
        <v>2.2999999999999998</v>
      </c>
      <c r="T200" s="8">
        <v>5</v>
      </c>
      <c r="U200" s="8">
        <v>1</v>
      </c>
      <c r="V200" s="8" t="str">
        <f>IF(Table13[[#This Row],[BMI]]&lt;=18.5,"Underweight",IF(Table13[[#This Row],[BMI]]&lt;=24.9,"Normal",IF(Table13[[#This Row],[BMI]]&lt;=29.9,"Overweight",IF(Table13[[#This Row],[BMI]]&lt;=39,"Obese","Severly Obese"))))</f>
        <v>Underweight</v>
      </c>
      <c r="W200" s="18">
        <v>15.98</v>
      </c>
    </row>
    <row r="201" spans="6:23" x14ac:dyDescent="0.3">
      <c r="F201" s="17">
        <v>19</v>
      </c>
      <c r="G201" s="8" t="str">
        <f>IF(Table13[[#This Row],[Age]]&lt;25,"18-24",IF(Table13[[#This Row],[Age]]&lt;35,"25-34",IF(Table13[[#This Row],[Age]]&lt;45,"35-44",IF(Table13[[#This Row],[Age]]&lt;55,"45-54","55-64"))))</f>
        <v>18-24</v>
      </c>
      <c r="H201" s="8" t="s">
        <v>17</v>
      </c>
      <c r="I201" s="8">
        <v>82.8</v>
      </c>
      <c r="J201" s="8">
        <v>1.79</v>
      </c>
      <c r="K201" s="8">
        <v>192</v>
      </c>
      <c r="L201" s="8">
        <v>127</v>
      </c>
      <c r="M201" s="8">
        <v>74</v>
      </c>
      <c r="N201" s="8">
        <v>1.18</v>
      </c>
      <c r="O201" s="8">
        <v>1140</v>
      </c>
      <c r="P201" s="8" t="s">
        <v>20</v>
      </c>
      <c r="Q201" s="8" t="str">
        <f>_xlfn.IFS(AND(Table13[[#This Row],[Gender]]="female",R201&lt;20),"Athletes",AND(Table13[[#This Row],[Gender]]="female",R201&lt;24),"Fitnesss",AND(Table13[[#This Row],[Gender]]="female",R201&lt;31),"Acceptable",AND(Table13[[#This Row],[Gender]]="female",R201&lt;40),"Obese",AND(Table13[[#This Row],[Gender]]="male",R201&lt;13),"Athletes",AND(Table13[[#This Row],[Gender]]="male",R201&lt;17),"Fitnesss",AND(Table13[[#This Row],[Gender]]="male",R201&lt;24.9),"Acceptable",AND(Table13[[#This Row],[Gender]]="male",R201&lt;40),"Obese",AND(Table13[[#This Row],[Gender]]="others",R201&lt;20),"Athletes",AND(Table13[[#This Row],[Gender]]="others",R201&lt;24),"Fitnesss",AND(Table13[[#This Row],[Gender]]="others",R201&lt;31),"Acceptable",AND(Table13[[#This Row],[Gender]]="others",R201&lt;40),"Obese")</f>
        <v>Athletes</v>
      </c>
      <c r="R201" s="8">
        <v>10</v>
      </c>
      <c r="S201" s="8">
        <v>2.4</v>
      </c>
      <c r="T201" s="8">
        <v>4</v>
      </c>
      <c r="U201" s="8">
        <v>3</v>
      </c>
      <c r="V201" s="8" t="str">
        <f>IF(Table13[[#This Row],[BMI]]&lt;=18.5,"Underweight",IF(Table13[[#This Row],[BMI]]&lt;=24.9,"Normal",IF(Table13[[#This Row],[BMI]]&lt;=29.9,"Overweight",IF(Table13[[#This Row],[BMI]]&lt;=39,"Obese","Severly Obese"))))</f>
        <v>Normal</v>
      </c>
      <c r="W201" s="18">
        <v>21.95</v>
      </c>
    </row>
    <row r="202" spans="6:23" x14ac:dyDescent="0.3">
      <c r="F202" s="17">
        <v>45</v>
      </c>
      <c r="G202" s="8" t="str">
        <f>IF(Table13[[#This Row],[Age]]&lt;25,"18-24",IF(Table13[[#This Row],[Age]]&lt;35,"25-34",IF(Table13[[#This Row],[Age]]&lt;45,"35-44",IF(Table13[[#This Row],[Age]]&lt;55,"45-54","55-64"))))</f>
        <v>45-54</v>
      </c>
      <c r="H202" s="8" t="s">
        <v>17</v>
      </c>
      <c r="I202" s="8">
        <v>40</v>
      </c>
      <c r="J202" s="8">
        <v>1.93</v>
      </c>
      <c r="K202" s="8">
        <v>177</v>
      </c>
      <c r="L202" s="8">
        <v>141</v>
      </c>
      <c r="M202" s="8">
        <v>56</v>
      </c>
      <c r="N202" s="8">
        <v>1.44</v>
      </c>
      <c r="O202" s="8"/>
      <c r="P202" s="8" t="s">
        <v>18</v>
      </c>
      <c r="Q202" s="8" t="str">
        <f>_xlfn.IFS(AND(Table13[[#This Row],[Gender]]="female",R202&lt;20),"Athletes",AND(Table13[[#This Row],[Gender]]="female",R202&lt;24),"Fitnesss",AND(Table13[[#This Row],[Gender]]="female",R202&lt;31),"Acceptable",AND(Table13[[#This Row],[Gender]]="female",R202&lt;40),"Obese",AND(Table13[[#This Row],[Gender]]="male",R202&lt;13),"Athletes",AND(Table13[[#This Row],[Gender]]="male",R202&lt;17),"Fitnesss",AND(Table13[[#This Row],[Gender]]="male",R202&lt;24.9),"Acceptable",AND(Table13[[#This Row],[Gender]]="male",R202&lt;40),"Obese",AND(Table13[[#This Row],[Gender]]="others",R202&lt;20),"Athletes",AND(Table13[[#This Row],[Gender]]="others",R202&lt;24),"Fitnesss",AND(Table13[[#This Row],[Gender]]="others",R202&lt;31),"Acceptable",AND(Table13[[#This Row],[Gender]]="others",R202&lt;40),"Obese")</f>
        <v>Acceptable</v>
      </c>
      <c r="R202" s="8">
        <v>24</v>
      </c>
      <c r="S202" s="8">
        <v>3.6</v>
      </c>
      <c r="T202" s="8">
        <v>4</v>
      </c>
      <c r="U202" s="8">
        <v>1</v>
      </c>
      <c r="V202" s="8" t="str">
        <f>IF(Table13[[#This Row],[BMI]]&lt;=18.5,"Underweight",IF(Table13[[#This Row],[BMI]]&lt;=24.9,"Normal",IF(Table13[[#This Row],[BMI]]&lt;=29.9,"Overweight",IF(Table13[[#This Row],[BMI]]&lt;=39,"Obese","Severly Obese"))))</f>
        <v>Normal</v>
      </c>
      <c r="W202" s="18">
        <v>23.52</v>
      </c>
    </row>
    <row r="203" spans="6:23" x14ac:dyDescent="0.3">
      <c r="F203" s="17">
        <v>41</v>
      </c>
      <c r="G203" s="8" t="str">
        <f>IF(Table13[[#This Row],[Age]]&lt;25,"18-24",IF(Table13[[#This Row],[Age]]&lt;35,"25-34",IF(Table13[[#This Row],[Age]]&lt;45,"35-44",IF(Table13[[#This Row],[Age]]&lt;55,"45-54","55-64"))))</f>
        <v>35-44</v>
      </c>
      <c r="H203" s="8" t="s">
        <v>17</v>
      </c>
      <c r="I203" s="8">
        <v>73.3</v>
      </c>
      <c r="J203" s="8">
        <v>1.71</v>
      </c>
      <c r="K203" s="8">
        <v>196</v>
      </c>
      <c r="L203" s="8">
        <v>158</v>
      </c>
      <c r="M203" s="8">
        <v>56</v>
      </c>
      <c r="N203" s="8">
        <v>1.36</v>
      </c>
      <c r="O203" s="8">
        <v>1234</v>
      </c>
      <c r="P203" s="8" t="s">
        <v>18</v>
      </c>
      <c r="Q203" s="8" t="str">
        <f>_xlfn.IFS(AND(Table13[[#This Row],[Gender]]="female",R203&lt;20),"Athletes",AND(Table13[[#This Row],[Gender]]="female",R203&lt;24),"Fitnesss",AND(Table13[[#This Row],[Gender]]="female",R203&lt;31),"Acceptable",AND(Table13[[#This Row],[Gender]]="female",R203&lt;40),"Obese",AND(Table13[[#This Row],[Gender]]="male",R203&lt;13),"Athletes",AND(Table13[[#This Row],[Gender]]="male",R203&lt;17),"Fitnesss",AND(Table13[[#This Row],[Gender]]="male",R203&lt;24.9),"Acceptable",AND(Table13[[#This Row],[Gender]]="male",R203&lt;40),"Obese",AND(Table13[[#This Row],[Gender]]="others",R203&lt;20),"Athletes",AND(Table13[[#This Row],[Gender]]="others",R203&lt;24),"Fitnesss",AND(Table13[[#This Row],[Gender]]="others",R203&lt;31),"Acceptable",AND(Table13[[#This Row],[Gender]]="others",R203&lt;40),"Obese")</f>
        <v>Acceptable</v>
      </c>
      <c r="R203" s="8">
        <v>30.1</v>
      </c>
      <c r="S203" s="8">
        <v>3.2</v>
      </c>
      <c r="T203" s="8">
        <v>4</v>
      </c>
      <c r="U203" s="8">
        <v>3</v>
      </c>
      <c r="V203" s="8" t="str">
        <f>IF(Table13[[#This Row],[BMI]]&lt;=18.5,"Underweight",IF(Table13[[#This Row],[BMI]]&lt;=24.9,"Normal",IF(Table13[[#This Row],[BMI]]&lt;=29.9,"Overweight",IF(Table13[[#This Row],[BMI]]&lt;=39,"Obese","Severly Obese"))))</f>
        <v>Overweight</v>
      </c>
      <c r="W203" s="18">
        <v>25.83</v>
      </c>
    </row>
    <row r="204" spans="6:23" x14ac:dyDescent="0.3">
      <c r="F204" s="17">
        <v>53</v>
      </c>
      <c r="G204" s="8" t="str">
        <f>IF(Table13[[#This Row],[Age]]&lt;25,"18-24",IF(Table13[[#This Row],[Age]]&lt;35,"25-34",IF(Table13[[#This Row],[Age]]&lt;45,"35-44",IF(Table13[[#This Row],[Age]]&lt;55,"45-54","55-64"))))</f>
        <v>45-54</v>
      </c>
      <c r="H204" s="8" t="s">
        <v>19</v>
      </c>
      <c r="I204" s="8">
        <v>55.3</v>
      </c>
      <c r="J204" s="8">
        <v>1.98</v>
      </c>
      <c r="K204" s="8">
        <v>177</v>
      </c>
      <c r="L204" s="8">
        <v>169</v>
      </c>
      <c r="M204" s="8">
        <v>51</v>
      </c>
      <c r="N204" s="8">
        <v>0.83</v>
      </c>
      <c r="O204" s="8">
        <v>1273</v>
      </c>
      <c r="P204" s="8" t="s">
        <v>18</v>
      </c>
      <c r="Q204" s="8" t="str">
        <f>_xlfn.IFS(AND(Table13[[#This Row],[Gender]]="female",R204&lt;20),"Athletes",AND(Table13[[#This Row],[Gender]]="female",R204&lt;24),"Fitnesss",AND(Table13[[#This Row],[Gender]]="female",R204&lt;31),"Acceptable",AND(Table13[[#This Row],[Gender]]="female",R204&lt;40),"Obese",AND(Table13[[#This Row],[Gender]]="male",R204&lt;13),"Athletes",AND(Table13[[#This Row],[Gender]]="male",R204&lt;17),"Fitnesss",AND(Table13[[#This Row],[Gender]]="male",R204&lt;24.9),"Acceptable",AND(Table13[[#This Row],[Gender]]="male",R204&lt;40),"Obese",AND(Table13[[#This Row],[Gender]]="others",R204&lt;20),"Athletes",AND(Table13[[#This Row],[Gender]]="others",R204&lt;24),"Fitnesss",AND(Table13[[#This Row],[Gender]]="others",R204&lt;31),"Acceptable",AND(Table13[[#This Row],[Gender]]="others",R204&lt;40),"Obese")</f>
        <v>Fitnesss</v>
      </c>
      <c r="R204" s="8">
        <v>14.7</v>
      </c>
      <c r="S204" s="8">
        <v>2.1</v>
      </c>
      <c r="T204" s="8">
        <v>2</v>
      </c>
      <c r="U204" s="8">
        <v>2</v>
      </c>
      <c r="V204" s="8" t="str">
        <f>IF(Table13[[#This Row],[BMI]]&lt;=18.5,"Underweight",IF(Table13[[#This Row],[BMI]]&lt;=24.9,"Normal",IF(Table13[[#This Row],[BMI]]&lt;=29.9,"Overweight",IF(Table13[[#This Row],[BMI]]&lt;=39,"Obese","Severly Obese"))))</f>
        <v>Normal</v>
      </c>
      <c r="W204" s="18">
        <v>20.9</v>
      </c>
    </row>
    <row r="205" spans="6:23" x14ac:dyDescent="0.3">
      <c r="F205" s="17">
        <v>35</v>
      </c>
      <c r="G205" s="8" t="str">
        <f>IF(Table13[[#This Row],[Age]]&lt;25,"18-24",IF(Table13[[#This Row],[Age]]&lt;35,"25-34",IF(Table13[[#This Row],[Age]]&lt;45,"35-44",IF(Table13[[#This Row],[Age]]&lt;55,"45-54","55-64"))))</f>
        <v>35-44</v>
      </c>
      <c r="H205" s="8" t="s">
        <v>19</v>
      </c>
      <c r="I205" s="8">
        <v>95.9</v>
      </c>
      <c r="J205" s="8">
        <v>1.69</v>
      </c>
      <c r="K205" s="8">
        <v>175</v>
      </c>
      <c r="L205" s="8">
        <v>129</v>
      </c>
      <c r="M205" s="8">
        <v>58</v>
      </c>
      <c r="N205" s="8">
        <v>1.22</v>
      </c>
      <c r="O205" s="8">
        <v>1674</v>
      </c>
      <c r="P205" s="8" t="s">
        <v>20</v>
      </c>
      <c r="Q205" s="8" t="str">
        <f>_xlfn.IFS(AND(Table13[[#This Row],[Gender]]="female",R205&lt;20),"Athletes",AND(Table13[[#This Row],[Gender]]="female",R205&lt;24),"Fitnesss",AND(Table13[[#This Row],[Gender]]="female",R205&lt;31),"Acceptable",AND(Table13[[#This Row],[Gender]]="female",R205&lt;40),"Obese",AND(Table13[[#This Row],[Gender]]="male",R205&lt;13),"Athletes",AND(Table13[[#This Row],[Gender]]="male",R205&lt;17),"Fitnesss",AND(Table13[[#This Row],[Gender]]="male",R205&lt;24.9),"Acceptable",AND(Table13[[#This Row],[Gender]]="male",R205&lt;40),"Obese",AND(Table13[[#This Row],[Gender]]="others",R205&lt;20),"Athletes",AND(Table13[[#This Row],[Gender]]="others",R205&lt;24),"Fitnesss",AND(Table13[[#This Row],[Gender]]="others",R205&lt;31),"Acceptable",AND(Table13[[#This Row],[Gender]]="others",R205&lt;40),"Obese")</f>
        <v>Obese</v>
      </c>
      <c r="R205" s="8">
        <v>27.5</v>
      </c>
      <c r="S205" s="8">
        <v>2.1</v>
      </c>
      <c r="T205" s="8">
        <v>3</v>
      </c>
      <c r="U205" s="8">
        <v>3</v>
      </c>
      <c r="V205" s="8" t="str">
        <f>IF(Table13[[#This Row],[BMI]]&lt;=18.5,"Underweight",IF(Table13[[#This Row],[BMI]]&lt;=24.9,"Normal",IF(Table13[[#This Row],[BMI]]&lt;=29.9,"Overweight",IF(Table13[[#This Row],[BMI]]&lt;=39,"Obese","Severly Obese"))))</f>
        <v>Normal</v>
      </c>
      <c r="W205" s="18">
        <v>24.01</v>
      </c>
    </row>
    <row r="206" spans="6:23" x14ac:dyDescent="0.3">
      <c r="F206" s="17">
        <v>33</v>
      </c>
      <c r="G206" s="8" t="str">
        <f>IF(Table13[[#This Row],[Age]]&lt;25,"18-24",IF(Table13[[#This Row],[Age]]&lt;35,"25-34",IF(Table13[[#This Row],[Age]]&lt;45,"35-44",IF(Table13[[#This Row],[Age]]&lt;55,"45-54","55-64"))))</f>
        <v>25-34</v>
      </c>
      <c r="H206" s="8" t="s">
        <v>19</v>
      </c>
      <c r="I206" s="8">
        <v>89.6</v>
      </c>
      <c r="J206" s="8">
        <v>1.62</v>
      </c>
      <c r="K206" s="8">
        <v>175</v>
      </c>
      <c r="L206" s="8">
        <v>137</v>
      </c>
      <c r="M206" s="8">
        <v>56</v>
      </c>
      <c r="N206" s="8">
        <v>1.0900000000000001</v>
      </c>
      <c r="O206" s="8">
        <v>906</v>
      </c>
      <c r="P206" s="8" t="s">
        <v>20</v>
      </c>
      <c r="Q206" s="8" t="str">
        <f>_xlfn.IFS(AND(Table13[[#This Row],[Gender]]="female",R206&lt;20),"Athletes",AND(Table13[[#This Row],[Gender]]="female",R206&lt;24),"Fitnesss",AND(Table13[[#This Row],[Gender]]="female",R206&lt;31),"Acceptable",AND(Table13[[#This Row],[Gender]]="female",R206&lt;40),"Obese",AND(Table13[[#This Row],[Gender]]="male",R206&lt;13),"Athletes",AND(Table13[[#This Row],[Gender]]="male",R206&lt;17),"Fitnesss",AND(Table13[[#This Row],[Gender]]="male",R206&lt;24.9),"Acceptable",AND(Table13[[#This Row],[Gender]]="male",R206&lt;40),"Obese",AND(Table13[[#This Row],[Gender]]="others",R206&lt;20),"Athletes",AND(Table13[[#This Row],[Gender]]="others",R206&lt;24),"Fitnesss",AND(Table13[[#This Row],[Gender]]="others",R206&lt;31),"Acceptable",AND(Table13[[#This Row],[Gender]]="others",R206&lt;40),"Obese")</f>
        <v>Acceptable</v>
      </c>
      <c r="R206" s="8">
        <v>23.9</v>
      </c>
      <c r="S206" s="8">
        <v>1.6</v>
      </c>
      <c r="T206" s="8">
        <v>3</v>
      </c>
      <c r="U206" s="8">
        <v>1</v>
      </c>
      <c r="V206" s="8" t="str">
        <f>IF(Table13[[#This Row],[BMI]]&lt;=18.5,"Underweight",IF(Table13[[#This Row],[BMI]]&lt;=24.9,"Normal",IF(Table13[[#This Row],[BMI]]&lt;=29.9,"Overweight",IF(Table13[[#This Row],[BMI]]&lt;=39,"Obese","Severly Obese"))))</f>
        <v>Overweight</v>
      </c>
      <c r="W206" s="18">
        <v>25.68</v>
      </c>
    </row>
    <row r="207" spans="6:23" x14ac:dyDescent="0.3">
      <c r="F207" s="17">
        <v>21</v>
      </c>
      <c r="G207" s="8" t="str">
        <f>IF(Table13[[#This Row],[Age]]&lt;25,"18-24",IF(Table13[[#This Row],[Age]]&lt;35,"25-34",IF(Table13[[#This Row],[Age]]&lt;45,"35-44",IF(Table13[[#This Row],[Age]]&lt;55,"45-54","55-64"))))</f>
        <v>18-24</v>
      </c>
      <c r="H207" s="8" t="s">
        <v>19</v>
      </c>
      <c r="I207" s="8">
        <v>86.3</v>
      </c>
      <c r="J207" s="8">
        <v>1.86</v>
      </c>
      <c r="K207" s="8">
        <v>167</v>
      </c>
      <c r="L207" s="8">
        <v>143</v>
      </c>
      <c r="M207" s="8">
        <v>73</v>
      </c>
      <c r="N207" s="8">
        <v>1.26</v>
      </c>
      <c r="O207" s="8">
        <v>1783</v>
      </c>
      <c r="P207" s="8" t="s">
        <v>20</v>
      </c>
      <c r="Q207" s="8" t="str">
        <f>_xlfn.IFS(AND(Table13[[#This Row],[Gender]]="female",R207&lt;20),"Athletes",AND(Table13[[#This Row],[Gender]]="female",R207&lt;24),"Fitnesss",AND(Table13[[#This Row],[Gender]]="female",R207&lt;31),"Acceptable",AND(Table13[[#This Row],[Gender]]="female",R207&lt;40),"Obese",AND(Table13[[#This Row],[Gender]]="male",R207&lt;13),"Athletes",AND(Table13[[#This Row],[Gender]]="male",R207&lt;17),"Fitnesss",AND(Table13[[#This Row],[Gender]]="male",R207&lt;24.9),"Acceptable",AND(Table13[[#This Row],[Gender]]="male",R207&lt;40),"Obese",AND(Table13[[#This Row],[Gender]]="others",R207&lt;20),"Athletes",AND(Table13[[#This Row],[Gender]]="others",R207&lt;24),"Fitnesss",AND(Table13[[#This Row],[Gender]]="others",R207&lt;31),"Acceptable",AND(Table13[[#This Row],[Gender]]="others",R207&lt;40),"Obese")</f>
        <v>Obese</v>
      </c>
      <c r="R207" s="8">
        <v>27.1</v>
      </c>
      <c r="S207" s="8">
        <v>3.1</v>
      </c>
      <c r="T207" s="8">
        <v>3</v>
      </c>
      <c r="U207" s="8">
        <v>2</v>
      </c>
      <c r="V207" s="8" t="str">
        <f>IF(Table13[[#This Row],[BMI]]&lt;=18.5,"Underweight",IF(Table13[[#This Row],[BMI]]&lt;=24.9,"Normal",IF(Table13[[#This Row],[BMI]]&lt;=29.9,"Overweight",IF(Table13[[#This Row],[BMI]]&lt;=39,"Obese","Severly Obese"))))</f>
        <v>Underweight</v>
      </c>
      <c r="W207" s="18">
        <v>12.93</v>
      </c>
    </row>
    <row r="208" spans="6:23" x14ac:dyDescent="0.3">
      <c r="F208" s="17">
        <v>27</v>
      </c>
      <c r="G208" s="8" t="str">
        <f>IF(Table13[[#This Row],[Age]]&lt;25,"18-24",IF(Table13[[#This Row],[Age]]&lt;35,"25-34",IF(Table13[[#This Row],[Age]]&lt;45,"35-44",IF(Table13[[#This Row],[Age]]&lt;55,"45-54","55-64"))))</f>
        <v>25-34</v>
      </c>
      <c r="H208" s="8" t="s">
        <v>17</v>
      </c>
      <c r="I208" s="8">
        <v>71.3</v>
      </c>
      <c r="J208" s="8"/>
      <c r="K208" s="8">
        <v>168</v>
      </c>
      <c r="L208" s="8">
        <v>162</v>
      </c>
      <c r="M208" s="8">
        <v>71</v>
      </c>
      <c r="N208" s="8">
        <v>1.93</v>
      </c>
      <c r="O208" s="8">
        <v>1105</v>
      </c>
      <c r="P208" s="8" t="s">
        <v>21</v>
      </c>
      <c r="Q208" s="8" t="str">
        <f>_xlfn.IFS(AND(Table13[[#This Row],[Gender]]="female",R208&lt;20),"Athletes",AND(Table13[[#This Row],[Gender]]="female",R208&lt;24),"Fitnesss",AND(Table13[[#This Row],[Gender]]="female",R208&lt;31),"Acceptable",AND(Table13[[#This Row],[Gender]]="female",R208&lt;40),"Obese",AND(Table13[[#This Row],[Gender]]="male",R208&lt;13),"Athletes",AND(Table13[[#This Row],[Gender]]="male",R208&lt;17),"Fitnesss",AND(Table13[[#This Row],[Gender]]="male",R208&lt;24.9),"Acceptable",AND(Table13[[#This Row],[Gender]]="male",R208&lt;40),"Obese",AND(Table13[[#This Row],[Gender]]="others",R208&lt;20),"Athletes",AND(Table13[[#This Row],[Gender]]="others",R208&lt;24),"Fitnesss",AND(Table13[[#This Row],[Gender]]="others",R208&lt;31),"Acceptable",AND(Table13[[#This Row],[Gender]]="others",R208&lt;40),"Obese")</f>
        <v>Acceptable</v>
      </c>
      <c r="R208" s="8">
        <v>28.9</v>
      </c>
      <c r="S208" s="8">
        <v>2.7</v>
      </c>
      <c r="T208" s="8">
        <v>4</v>
      </c>
      <c r="U208" s="8">
        <v>1</v>
      </c>
      <c r="V208" s="8" t="str">
        <f>IF(Table13[[#This Row],[BMI]]&lt;=18.5,"Underweight",IF(Table13[[#This Row],[BMI]]&lt;=24.9,"Normal",IF(Table13[[#This Row],[BMI]]&lt;=29.9,"Overweight",IF(Table13[[#This Row],[BMI]]&lt;=39,"Obese","Severly Obese"))))</f>
        <v>Underweight</v>
      </c>
      <c r="W208" s="18">
        <v>12.32</v>
      </c>
    </row>
    <row r="209" spans="6:23" x14ac:dyDescent="0.3">
      <c r="F209" s="17">
        <v>33</v>
      </c>
      <c r="G209" s="8" t="str">
        <f>IF(Table13[[#This Row],[Age]]&lt;25,"18-24",IF(Table13[[#This Row],[Age]]&lt;35,"25-34",IF(Table13[[#This Row],[Age]]&lt;45,"35-44",IF(Table13[[#This Row],[Age]]&lt;55,"45-54","55-64"))))</f>
        <v>25-34</v>
      </c>
      <c r="H209" s="8" t="s">
        <v>19</v>
      </c>
      <c r="I209" s="8">
        <v>42.7</v>
      </c>
      <c r="J209" s="8">
        <v>1.82</v>
      </c>
      <c r="K209" s="8">
        <v>196</v>
      </c>
      <c r="L209" s="8">
        <v>145</v>
      </c>
      <c r="M209" s="8">
        <v>68</v>
      </c>
      <c r="N209" s="8">
        <v>1.24</v>
      </c>
      <c r="O209" s="8">
        <v>1436</v>
      </c>
      <c r="P209" s="8" t="s">
        <v>22</v>
      </c>
      <c r="Q209" s="8" t="str">
        <f>_xlfn.IFS(AND(Table13[[#This Row],[Gender]]="female",R209&lt;20),"Athletes",AND(Table13[[#This Row],[Gender]]="female",R209&lt;24),"Fitnesss",AND(Table13[[#This Row],[Gender]]="female",R209&lt;31),"Acceptable",AND(Table13[[#This Row],[Gender]]="female",R209&lt;40),"Obese",AND(Table13[[#This Row],[Gender]]="male",R209&lt;13),"Athletes",AND(Table13[[#This Row],[Gender]]="male",R209&lt;17),"Fitnesss",AND(Table13[[#This Row],[Gender]]="male",R209&lt;24.9),"Acceptable",AND(Table13[[#This Row],[Gender]]="male",R209&lt;40),"Obese",AND(Table13[[#This Row],[Gender]]="others",R209&lt;20),"Athletes",AND(Table13[[#This Row],[Gender]]="others",R209&lt;24),"Fitnesss",AND(Table13[[#This Row],[Gender]]="others",R209&lt;31),"Acceptable",AND(Table13[[#This Row],[Gender]]="others",R209&lt;40),"Obese")</f>
        <v>Obese</v>
      </c>
      <c r="R209" s="8">
        <v>26.3</v>
      </c>
      <c r="S209" s="8">
        <v>3.7</v>
      </c>
      <c r="T209" s="8">
        <v>4</v>
      </c>
      <c r="U209" s="8">
        <v>1</v>
      </c>
      <c r="V209" s="8" t="str">
        <f>IF(Table13[[#This Row],[BMI]]&lt;=18.5,"Underweight",IF(Table13[[#This Row],[BMI]]&lt;=24.9,"Normal",IF(Table13[[#This Row],[BMI]]&lt;=29.9,"Overweight",IF(Table13[[#This Row],[BMI]]&lt;=39,"Obese","Severly Obese"))))</f>
        <v>Severly Obese</v>
      </c>
      <c r="W209" s="18">
        <v>42.84</v>
      </c>
    </row>
    <row r="210" spans="6:23" x14ac:dyDescent="0.3">
      <c r="F210" s="17">
        <v>33</v>
      </c>
      <c r="G210" s="8" t="str">
        <f>IF(Table13[[#This Row],[Age]]&lt;25,"18-24",IF(Table13[[#This Row],[Age]]&lt;35,"25-34",IF(Table13[[#This Row],[Age]]&lt;45,"35-44",IF(Table13[[#This Row],[Age]]&lt;55,"45-54","55-64"))))</f>
        <v>25-34</v>
      </c>
      <c r="H210" s="8" t="s">
        <v>17</v>
      </c>
      <c r="I210" s="8">
        <v>103.3</v>
      </c>
      <c r="J210" s="8">
        <v>1.72</v>
      </c>
      <c r="K210" s="8">
        <v>180</v>
      </c>
      <c r="L210" s="8">
        <v>162</v>
      </c>
      <c r="M210" s="8">
        <v>58</v>
      </c>
      <c r="N210" s="8">
        <v>0.66</v>
      </c>
      <c r="O210" s="8">
        <v>1104</v>
      </c>
      <c r="P210" s="8" t="s">
        <v>22</v>
      </c>
      <c r="Q210" s="8" t="str">
        <f>_xlfn.IFS(AND(Table13[[#This Row],[Gender]]="female",R210&lt;20),"Athletes",AND(Table13[[#This Row],[Gender]]="female",R210&lt;24),"Fitnesss",AND(Table13[[#This Row],[Gender]]="female",R210&lt;31),"Acceptable",AND(Table13[[#This Row],[Gender]]="female",R210&lt;40),"Obese",AND(Table13[[#This Row],[Gender]]="male",R210&lt;13),"Athletes",AND(Table13[[#This Row],[Gender]]="male",R210&lt;17),"Fitnesss",AND(Table13[[#This Row],[Gender]]="male",R210&lt;24.9),"Acceptable",AND(Table13[[#This Row],[Gender]]="male",R210&lt;40),"Obese",AND(Table13[[#This Row],[Gender]]="others",R210&lt;20),"Athletes",AND(Table13[[#This Row],[Gender]]="others",R210&lt;24),"Fitnesss",AND(Table13[[#This Row],[Gender]]="others",R210&lt;31),"Acceptable",AND(Table13[[#This Row],[Gender]]="others",R210&lt;40),"Obese")</f>
        <v>Fitnesss</v>
      </c>
      <c r="R210" s="8">
        <v>22.6</v>
      </c>
      <c r="S210" s="8">
        <v>3.2</v>
      </c>
      <c r="T210" s="8">
        <v>2</v>
      </c>
      <c r="U210" s="8">
        <v>1</v>
      </c>
      <c r="V210" s="8" t="str">
        <f>IF(Table13[[#This Row],[BMI]]&lt;=18.5,"Underweight",IF(Table13[[#This Row],[BMI]]&lt;=24.9,"Normal",IF(Table13[[#This Row],[BMI]]&lt;=29.9,"Overweight",IF(Table13[[#This Row],[BMI]]&lt;=39,"Obese","Severly Obese"))))</f>
        <v>Underweight</v>
      </c>
      <c r="W210" s="18">
        <v>12.42</v>
      </c>
    </row>
    <row r="211" spans="6:23" x14ac:dyDescent="0.3">
      <c r="F211" s="17">
        <v>33</v>
      </c>
      <c r="G211" s="8" t="str">
        <f>IF(Table13[[#This Row],[Age]]&lt;25,"18-24",IF(Table13[[#This Row],[Age]]&lt;35,"25-34",IF(Table13[[#This Row],[Age]]&lt;45,"35-44",IF(Table13[[#This Row],[Age]]&lt;55,"45-54","55-64"))))</f>
        <v>25-34</v>
      </c>
      <c r="H211" s="8" t="s">
        <v>19</v>
      </c>
      <c r="I211" s="8">
        <v>76.8</v>
      </c>
      <c r="J211" s="8">
        <v>1.72</v>
      </c>
      <c r="K211" s="8">
        <v>193</v>
      </c>
      <c r="L211" s="8">
        <v>126</v>
      </c>
      <c r="M211" s="8">
        <v>69</v>
      </c>
      <c r="N211" s="8">
        <v>1.26</v>
      </c>
      <c r="O211" s="8">
        <v>790</v>
      </c>
      <c r="P211" s="8" t="s">
        <v>21</v>
      </c>
      <c r="Q211" s="8" t="str">
        <f>_xlfn.IFS(AND(Table13[[#This Row],[Gender]]="female",R211&lt;20),"Athletes",AND(Table13[[#This Row],[Gender]]="female",R211&lt;24),"Fitnesss",AND(Table13[[#This Row],[Gender]]="female",R211&lt;31),"Acceptable",AND(Table13[[#This Row],[Gender]]="female",R211&lt;40),"Obese",AND(Table13[[#This Row],[Gender]]="male",R211&lt;13),"Athletes",AND(Table13[[#This Row],[Gender]]="male",R211&lt;17),"Fitnesss",AND(Table13[[#This Row],[Gender]]="male",R211&lt;24.9),"Acceptable",AND(Table13[[#This Row],[Gender]]="male",R211&lt;40),"Obese",AND(Table13[[#This Row],[Gender]]="others",R211&lt;20),"Athletes",AND(Table13[[#This Row],[Gender]]="others",R211&lt;24),"Fitnesss",AND(Table13[[#This Row],[Gender]]="others",R211&lt;31),"Acceptable",AND(Table13[[#This Row],[Gender]]="others",R211&lt;40),"Obese")</f>
        <v>Obese</v>
      </c>
      <c r="R211" s="8">
        <v>31.8</v>
      </c>
      <c r="S211" s="8">
        <v>3.3</v>
      </c>
      <c r="T211" s="8">
        <v>4</v>
      </c>
      <c r="U211" s="8">
        <v>1</v>
      </c>
      <c r="V211" s="8" t="str">
        <f>IF(Table13[[#This Row],[BMI]]&lt;=18.5,"Underweight",IF(Table13[[#This Row],[BMI]]&lt;=24.9,"Normal",IF(Table13[[#This Row],[BMI]]&lt;=29.9,"Overweight",IF(Table13[[#This Row],[BMI]]&lt;=39,"Obese","Severly Obese"))))</f>
        <v>Overweight</v>
      </c>
      <c r="W211" s="18">
        <v>25.47</v>
      </c>
    </row>
    <row r="212" spans="6:23" x14ac:dyDescent="0.3">
      <c r="F212" s="17">
        <v>23</v>
      </c>
      <c r="G212" s="8" t="str">
        <f>IF(Table13[[#This Row],[Age]]&lt;25,"18-24",IF(Table13[[#This Row],[Age]]&lt;35,"25-34",IF(Table13[[#This Row],[Age]]&lt;45,"35-44",IF(Table13[[#This Row],[Age]]&lt;55,"45-54","55-64"))))</f>
        <v>18-24</v>
      </c>
      <c r="H212" s="8" t="s">
        <v>17</v>
      </c>
      <c r="I212" s="8">
        <v>69.099999999999994</v>
      </c>
      <c r="J212" s="8">
        <v>1.63</v>
      </c>
      <c r="K212" s="8">
        <v>198</v>
      </c>
      <c r="L212" s="8">
        <v>138</v>
      </c>
      <c r="M212" s="8">
        <v>57</v>
      </c>
      <c r="N212" s="8">
        <v>2</v>
      </c>
      <c r="O212" s="8">
        <v>1549</v>
      </c>
      <c r="P212" s="8" t="s">
        <v>22</v>
      </c>
      <c r="Q212" s="8" t="str">
        <f>_xlfn.IFS(AND(Table13[[#This Row],[Gender]]="female",R212&lt;20),"Athletes",AND(Table13[[#This Row],[Gender]]="female",R212&lt;24),"Fitnesss",AND(Table13[[#This Row],[Gender]]="female",R212&lt;31),"Acceptable",AND(Table13[[#This Row],[Gender]]="female",R212&lt;40),"Obese",AND(Table13[[#This Row],[Gender]]="male",R212&lt;13),"Athletes",AND(Table13[[#This Row],[Gender]]="male",R212&lt;17),"Fitnesss",AND(Table13[[#This Row],[Gender]]="male",R212&lt;24.9),"Acceptable",AND(Table13[[#This Row],[Gender]]="male",R212&lt;40),"Obese",AND(Table13[[#This Row],[Gender]]="others",R212&lt;20),"Athletes",AND(Table13[[#This Row],[Gender]]="others",R212&lt;24),"Fitnesss",AND(Table13[[#This Row],[Gender]]="others",R212&lt;31),"Acceptable",AND(Table13[[#This Row],[Gender]]="others",R212&lt;40),"Obese")</f>
        <v>Fitnesss</v>
      </c>
      <c r="R212" s="8">
        <v>21.4</v>
      </c>
      <c r="S212" s="8">
        <v>3.3</v>
      </c>
      <c r="T212" s="8">
        <v>2</v>
      </c>
      <c r="U212" s="8">
        <v>1</v>
      </c>
      <c r="V212" s="8" t="str">
        <f>IF(Table13[[#This Row],[BMI]]&lt;=18.5,"Underweight",IF(Table13[[#This Row],[BMI]]&lt;=24.9,"Normal",IF(Table13[[#This Row],[BMI]]&lt;=29.9,"Overweight",IF(Table13[[#This Row],[BMI]]&lt;=39,"Obese","Severly Obese"))))</f>
        <v>Obese</v>
      </c>
      <c r="W212" s="18">
        <v>31.27</v>
      </c>
    </row>
    <row r="213" spans="6:23" x14ac:dyDescent="0.3">
      <c r="F213" s="17">
        <v>30</v>
      </c>
      <c r="G213" s="8" t="str">
        <f>IF(Table13[[#This Row],[Age]]&lt;25,"18-24",IF(Table13[[#This Row],[Age]]&lt;35,"25-34",IF(Table13[[#This Row],[Age]]&lt;45,"35-44",IF(Table13[[#This Row],[Age]]&lt;55,"45-54","55-64"))))</f>
        <v>25-34</v>
      </c>
      <c r="H213" s="8" t="s">
        <v>19</v>
      </c>
      <c r="I213" s="8">
        <v>75.599999999999994</v>
      </c>
      <c r="J213" s="8">
        <v>1.82</v>
      </c>
      <c r="K213" s="8">
        <v>196</v>
      </c>
      <c r="L213" s="8">
        <v>138</v>
      </c>
      <c r="M213" s="8">
        <v>74</v>
      </c>
      <c r="N213" s="8">
        <v>1.31</v>
      </c>
      <c r="O213" s="8">
        <v>925</v>
      </c>
      <c r="P213" s="8" t="s">
        <v>20</v>
      </c>
      <c r="Q213" s="8" t="str">
        <f>_xlfn.IFS(AND(Table13[[#This Row],[Gender]]="female",R213&lt;20),"Athletes",AND(Table13[[#This Row],[Gender]]="female",R213&lt;24),"Fitnesss",AND(Table13[[#This Row],[Gender]]="female",R213&lt;31),"Acceptable",AND(Table13[[#This Row],[Gender]]="female",R213&lt;40),"Obese",AND(Table13[[#This Row],[Gender]]="male",R213&lt;13),"Athletes",AND(Table13[[#This Row],[Gender]]="male",R213&lt;17),"Fitnesss",AND(Table13[[#This Row],[Gender]]="male",R213&lt;24.9),"Acceptable",AND(Table13[[#This Row],[Gender]]="male",R213&lt;40),"Obese",AND(Table13[[#This Row],[Gender]]="others",R213&lt;20),"Athletes",AND(Table13[[#This Row],[Gender]]="others",R213&lt;24),"Fitnesss",AND(Table13[[#This Row],[Gender]]="others",R213&lt;31),"Acceptable",AND(Table13[[#This Row],[Gender]]="others",R213&lt;40),"Obese")</f>
        <v>Obese</v>
      </c>
      <c r="R213" s="8">
        <v>32.4</v>
      </c>
      <c r="S213" s="8">
        <v>3.3</v>
      </c>
      <c r="T213" s="8">
        <v>3</v>
      </c>
      <c r="U213" s="8">
        <v>3</v>
      </c>
      <c r="V213" s="8" t="str">
        <f>IF(Table13[[#This Row],[BMI]]&lt;=18.5,"Underweight",IF(Table13[[#This Row],[BMI]]&lt;=24.9,"Normal",IF(Table13[[#This Row],[BMI]]&lt;=29.9,"Overweight",IF(Table13[[#This Row],[BMI]]&lt;=39,"Obese","Severly Obese"))))</f>
        <v>Underweight</v>
      </c>
      <c r="W213" s="18">
        <v>15.35</v>
      </c>
    </row>
    <row r="214" spans="6:23" x14ac:dyDescent="0.3">
      <c r="F214" s="17">
        <v>18</v>
      </c>
      <c r="G214" s="8" t="str">
        <f>IF(Table13[[#This Row],[Age]]&lt;25,"18-24",IF(Table13[[#This Row],[Age]]&lt;35,"25-34",IF(Table13[[#This Row],[Age]]&lt;45,"35-44",IF(Table13[[#This Row],[Age]]&lt;55,"45-54","55-64"))))</f>
        <v>18-24</v>
      </c>
      <c r="H214" s="8" t="s">
        <v>17</v>
      </c>
      <c r="I214" s="8">
        <v>42</v>
      </c>
      <c r="J214" s="8">
        <v>1.74</v>
      </c>
      <c r="K214" s="8">
        <v>197</v>
      </c>
      <c r="L214" s="8">
        <v>120</v>
      </c>
      <c r="M214" s="8">
        <v>57</v>
      </c>
      <c r="N214" s="8">
        <v>2</v>
      </c>
      <c r="O214" s="8">
        <v>1236</v>
      </c>
      <c r="P214" s="8" t="s">
        <v>20</v>
      </c>
      <c r="Q214" s="8" t="str">
        <f>_xlfn.IFS(AND(Table13[[#This Row],[Gender]]="female",R214&lt;20),"Athletes",AND(Table13[[#This Row],[Gender]]="female",R214&lt;24),"Fitnesss",AND(Table13[[#This Row],[Gender]]="female",R214&lt;31),"Acceptable",AND(Table13[[#This Row],[Gender]]="female",R214&lt;40),"Obese",AND(Table13[[#This Row],[Gender]]="male",R214&lt;13),"Athletes",AND(Table13[[#This Row],[Gender]]="male",R214&lt;17),"Fitnesss",AND(Table13[[#This Row],[Gender]]="male",R214&lt;24.9),"Acceptable",AND(Table13[[#This Row],[Gender]]="male",R214&lt;40),"Obese",AND(Table13[[#This Row],[Gender]]="others",R214&lt;20),"Athletes",AND(Table13[[#This Row],[Gender]]="others",R214&lt;24),"Fitnesss",AND(Table13[[#This Row],[Gender]]="others",R214&lt;31),"Acceptable",AND(Table13[[#This Row],[Gender]]="others",R214&lt;40),"Obese")</f>
        <v>Acceptable</v>
      </c>
      <c r="R214" s="8">
        <v>26.6</v>
      </c>
      <c r="S214" s="8">
        <v>1.5</v>
      </c>
      <c r="T214" s="8">
        <v>3</v>
      </c>
      <c r="U214" s="8">
        <v>2</v>
      </c>
      <c r="V214" s="8" t="str">
        <f>IF(Table13[[#This Row],[BMI]]&lt;=18.5,"Underweight",IF(Table13[[#This Row],[BMI]]&lt;=24.9,"Normal",IF(Table13[[#This Row],[BMI]]&lt;=29.9,"Overweight",IF(Table13[[#This Row],[BMI]]&lt;=39,"Obese","Severly Obese"))))</f>
        <v>Normal</v>
      </c>
      <c r="W214" s="18">
        <v>19.62</v>
      </c>
    </row>
    <row r="215" spans="6:23" x14ac:dyDescent="0.3">
      <c r="F215" s="17">
        <v>56</v>
      </c>
      <c r="G215" s="8" t="str">
        <f>IF(Table13[[#This Row],[Age]]&lt;25,"18-24",IF(Table13[[#This Row],[Age]]&lt;35,"25-34",IF(Table13[[#This Row],[Age]]&lt;45,"35-44",IF(Table13[[#This Row],[Age]]&lt;55,"45-54","55-64"))))</f>
        <v>55-64</v>
      </c>
      <c r="H215" s="8" t="s">
        <v>19</v>
      </c>
      <c r="I215" s="8">
        <v>62.9</v>
      </c>
      <c r="J215" s="8">
        <v>1.5</v>
      </c>
      <c r="K215" s="8">
        <v>194</v>
      </c>
      <c r="L215" s="8">
        <v>153</v>
      </c>
      <c r="M215" s="8">
        <v>74</v>
      </c>
      <c r="N215" s="8">
        <v>1.85</v>
      </c>
      <c r="O215" s="8">
        <v>991</v>
      </c>
      <c r="P215" s="8" t="s">
        <v>22</v>
      </c>
      <c r="Q215" s="8" t="str">
        <f>_xlfn.IFS(AND(Table13[[#This Row],[Gender]]="female",R215&lt;20),"Athletes",AND(Table13[[#This Row],[Gender]]="female",R215&lt;24),"Fitnesss",AND(Table13[[#This Row],[Gender]]="female",R215&lt;31),"Acceptable",AND(Table13[[#This Row],[Gender]]="female",R215&lt;40),"Obese",AND(Table13[[#This Row],[Gender]]="male",R215&lt;13),"Athletes",AND(Table13[[#This Row],[Gender]]="male",R215&lt;17),"Fitnesss",AND(Table13[[#This Row],[Gender]]="male",R215&lt;24.9),"Acceptable",AND(Table13[[#This Row],[Gender]]="male",R215&lt;40),"Obese",AND(Table13[[#This Row],[Gender]]="others",R215&lt;20),"Athletes",AND(Table13[[#This Row],[Gender]]="others",R215&lt;24),"Fitnesss",AND(Table13[[#This Row],[Gender]]="others",R215&lt;31),"Acceptable",AND(Table13[[#This Row],[Gender]]="others",R215&lt;40),"Obese")</f>
        <v>Acceptable</v>
      </c>
      <c r="R215" s="8">
        <v>23.2</v>
      </c>
      <c r="S215" s="8">
        <v>2.4</v>
      </c>
      <c r="T215" s="8">
        <v>3</v>
      </c>
      <c r="U215" s="8">
        <v>2</v>
      </c>
      <c r="V215" s="8" t="str">
        <f>IF(Table13[[#This Row],[BMI]]&lt;=18.5,"Underweight",IF(Table13[[#This Row],[BMI]]&lt;=24.9,"Normal",IF(Table13[[#This Row],[BMI]]&lt;=29.9,"Overweight",IF(Table13[[#This Row],[BMI]]&lt;=39,"Obese","Severly Obese"))))</f>
        <v>Obese</v>
      </c>
      <c r="W215" s="18">
        <v>32.25</v>
      </c>
    </row>
    <row r="216" spans="6:23" x14ac:dyDescent="0.3">
      <c r="F216" s="17">
        <v>22</v>
      </c>
      <c r="G216" s="8" t="str">
        <f>IF(Table13[[#This Row],[Age]]&lt;25,"18-24",IF(Table13[[#This Row],[Age]]&lt;35,"25-34",IF(Table13[[#This Row],[Age]]&lt;45,"35-44",IF(Table13[[#This Row],[Age]]&lt;55,"45-54","55-64"))))</f>
        <v>18-24</v>
      </c>
      <c r="H216" s="8" t="s">
        <v>17</v>
      </c>
      <c r="I216" s="8">
        <v>53.5</v>
      </c>
      <c r="J216" s="8">
        <v>1.76</v>
      </c>
      <c r="K216" s="8">
        <v>194</v>
      </c>
      <c r="L216" s="8">
        <v>137</v>
      </c>
      <c r="M216" s="8">
        <v>66</v>
      </c>
      <c r="N216" s="8">
        <v>2</v>
      </c>
      <c r="O216" s="8">
        <v>1395</v>
      </c>
      <c r="P216" s="8" t="s">
        <v>18</v>
      </c>
      <c r="Q216" s="8" t="str">
        <f>_xlfn.IFS(AND(Table13[[#This Row],[Gender]]="female",R216&lt;20),"Athletes",AND(Table13[[#This Row],[Gender]]="female",R216&lt;24),"Fitnesss",AND(Table13[[#This Row],[Gender]]="female",R216&lt;31),"Acceptable",AND(Table13[[#This Row],[Gender]]="female",R216&lt;40),"Obese",AND(Table13[[#This Row],[Gender]]="male",R216&lt;13),"Athletes",AND(Table13[[#This Row],[Gender]]="male",R216&lt;17),"Fitnesss",AND(Table13[[#This Row],[Gender]]="male",R216&lt;24.9),"Acceptable",AND(Table13[[#This Row],[Gender]]="male",R216&lt;40),"Obese",AND(Table13[[#This Row],[Gender]]="others",R216&lt;20),"Athletes",AND(Table13[[#This Row],[Gender]]="others",R216&lt;24),"Fitnesss",AND(Table13[[#This Row],[Gender]]="others",R216&lt;31),"Acceptable",AND(Table13[[#This Row],[Gender]]="others",R216&lt;40),"Obese")</f>
        <v>Athletes</v>
      </c>
      <c r="R216" s="8">
        <v>13.1</v>
      </c>
      <c r="S216" s="8">
        <v>2.2999999999999998</v>
      </c>
      <c r="T216" s="8">
        <v>5</v>
      </c>
      <c r="U216" s="8">
        <v>2</v>
      </c>
      <c r="V216" s="8" t="str">
        <f>IF(Table13[[#This Row],[BMI]]&lt;=18.5,"Underweight",IF(Table13[[#This Row],[BMI]]&lt;=24.9,"Normal",IF(Table13[[#This Row],[BMI]]&lt;=29.9,"Overweight",IF(Table13[[#This Row],[BMI]]&lt;=39,"Obese","Severly Obese"))))</f>
        <v>Underweight</v>
      </c>
      <c r="W216" s="18">
        <v>17.16</v>
      </c>
    </row>
    <row r="217" spans="6:23" x14ac:dyDescent="0.3">
      <c r="F217" s="17">
        <v>21</v>
      </c>
      <c r="G217" s="8" t="str">
        <f>IF(Table13[[#This Row],[Age]]&lt;25,"18-24",IF(Table13[[#This Row],[Age]]&lt;35,"25-34",IF(Table13[[#This Row],[Age]]&lt;45,"35-44",IF(Table13[[#This Row],[Age]]&lt;55,"45-54","55-64"))))</f>
        <v>18-24</v>
      </c>
      <c r="H217" s="8" t="s">
        <v>17</v>
      </c>
      <c r="I217" s="8">
        <v>90.7</v>
      </c>
      <c r="J217" s="8">
        <v>1.75</v>
      </c>
      <c r="K217" s="8">
        <v>190</v>
      </c>
      <c r="L217" s="8">
        <v>135</v>
      </c>
      <c r="M217" s="8">
        <v>54</v>
      </c>
      <c r="N217" s="8">
        <v>1.03</v>
      </c>
      <c r="O217" s="8">
        <v>1155</v>
      </c>
      <c r="P217" s="8" t="s">
        <v>20</v>
      </c>
      <c r="Q217" s="8" t="str">
        <f>_xlfn.IFS(AND(Table13[[#This Row],[Gender]]="female",R217&lt;20),"Athletes",AND(Table13[[#This Row],[Gender]]="female",R217&lt;24),"Fitnesss",AND(Table13[[#This Row],[Gender]]="female",R217&lt;31),"Acceptable",AND(Table13[[#This Row],[Gender]]="female",R217&lt;40),"Obese",AND(Table13[[#This Row],[Gender]]="male",R217&lt;13),"Athletes",AND(Table13[[#This Row],[Gender]]="male",R217&lt;17),"Fitnesss",AND(Table13[[#This Row],[Gender]]="male",R217&lt;24.9),"Acceptable",AND(Table13[[#This Row],[Gender]]="male",R217&lt;40),"Obese",AND(Table13[[#This Row],[Gender]]="others",R217&lt;20),"Athletes",AND(Table13[[#This Row],[Gender]]="others",R217&lt;24),"Fitnesss",AND(Table13[[#This Row],[Gender]]="others",R217&lt;31),"Acceptable",AND(Table13[[#This Row],[Gender]]="others",R217&lt;40),"Obese")</f>
        <v>Acceptable</v>
      </c>
      <c r="R217" s="8">
        <v>28</v>
      </c>
      <c r="S217" s="8">
        <v>2.2999999999999998</v>
      </c>
      <c r="T217" s="8">
        <v>3</v>
      </c>
      <c r="U217" s="8">
        <v>2</v>
      </c>
      <c r="V217" s="8" t="str">
        <f>IF(Table13[[#This Row],[BMI]]&lt;=18.5,"Underweight",IF(Table13[[#This Row],[BMI]]&lt;=24.9,"Normal",IF(Table13[[#This Row],[BMI]]&lt;=29.9,"Overweight",IF(Table13[[#This Row],[BMI]]&lt;=39,"Obese","Severly Obese"))))</f>
        <v>Underweight</v>
      </c>
      <c r="W217" s="18">
        <v>12.66</v>
      </c>
    </row>
    <row r="218" spans="6:23" x14ac:dyDescent="0.3">
      <c r="F218" s="17">
        <v>21</v>
      </c>
      <c r="G218" s="8" t="str">
        <f>IF(Table13[[#This Row],[Age]]&lt;25,"18-24",IF(Table13[[#This Row],[Age]]&lt;35,"25-34",IF(Table13[[#This Row],[Age]]&lt;45,"35-44",IF(Table13[[#This Row],[Age]]&lt;55,"45-54","55-64"))))</f>
        <v>18-24</v>
      </c>
      <c r="H218" s="8" t="s">
        <v>19</v>
      </c>
      <c r="I218" s="8">
        <v>74.7</v>
      </c>
      <c r="J218" s="8">
        <v>1.59</v>
      </c>
      <c r="K218" s="8">
        <v>161</v>
      </c>
      <c r="L218" s="8">
        <v>169</v>
      </c>
      <c r="M218" s="8">
        <v>74</v>
      </c>
      <c r="N218" s="8">
        <v>1.08</v>
      </c>
      <c r="O218" s="8">
        <v>1379</v>
      </c>
      <c r="P218" s="8" t="s">
        <v>22</v>
      </c>
      <c r="Q218" s="8" t="str">
        <f>_xlfn.IFS(AND(Table13[[#This Row],[Gender]]="female",R218&lt;20),"Athletes",AND(Table13[[#This Row],[Gender]]="female",R218&lt;24),"Fitnesss",AND(Table13[[#This Row],[Gender]]="female",R218&lt;31),"Acceptable",AND(Table13[[#This Row],[Gender]]="female",R218&lt;40),"Obese",AND(Table13[[#This Row],[Gender]]="male",R218&lt;13),"Athletes",AND(Table13[[#This Row],[Gender]]="male",R218&lt;17),"Fitnesss",AND(Table13[[#This Row],[Gender]]="male",R218&lt;24.9),"Acceptable",AND(Table13[[#This Row],[Gender]]="male",R218&lt;40),"Obese",AND(Table13[[#This Row],[Gender]]="others",R218&lt;20),"Athletes",AND(Table13[[#This Row],[Gender]]="others",R218&lt;24),"Fitnesss",AND(Table13[[#This Row],[Gender]]="others",R218&lt;31),"Acceptable",AND(Table13[[#This Row],[Gender]]="others",R218&lt;40),"Obese")</f>
        <v>Fitnesss</v>
      </c>
      <c r="R218" s="8">
        <v>15.2</v>
      </c>
      <c r="S218" s="8">
        <v>2.5</v>
      </c>
      <c r="T218" s="8">
        <v>3</v>
      </c>
      <c r="U218" s="8">
        <v>2</v>
      </c>
      <c r="V218" s="8" t="str">
        <f>IF(Table13[[#This Row],[BMI]]&lt;=18.5,"Underweight",IF(Table13[[#This Row],[BMI]]&lt;=24.9,"Normal",IF(Table13[[#This Row],[BMI]]&lt;=29.9,"Overweight",IF(Table13[[#This Row],[BMI]]&lt;=39,"Obese","Severly Obese"))))</f>
        <v>Normal</v>
      </c>
      <c r="W218" s="18">
        <v>21.53</v>
      </c>
    </row>
    <row r="219" spans="6:23" x14ac:dyDescent="0.3">
      <c r="F219" s="17">
        <v>50</v>
      </c>
      <c r="G219" s="8" t="str">
        <f>IF(Table13[[#This Row],[Age]]&lt;25,"18-24",IF(Table13[[#This Row],[Age]]&lt;35,"25-34",IF(Table13[[#This Row],[Age]]&lt;45,"35-44",IF(Table13[[#This Row],[Age]]&lt;55,"45-54","55-64"))))</f>
        <v>45-54</v>
      </c>
      <c r="H219" s="8" t="s">
        <v>19</v>
      </c>
      <c r="I219" s="8">
        <v>82.6</v>
      </c>
      <c r="J219" s="8">
        <v>1.71</v>
      </c>
      <c r="K219" s="8">
        <v>164</v>
      </c>
      <c r="L219" s="8">
        <v>160</v>
      </c>
      <c r="M219" s="8">
        <v>63</v>
      </c>
      <c r="N219" s="8">
        <v>1.33</v>
      </c>
      <c r="O219" s="8">
        <v>1011</v>
      </c>
      <c r="P219" s="8" t="s">
        <v>22</v>
      </c>
      <c r="Q219" s="8" t="str">
        <f>_xlfn.IFS(AND(Table13[[#This Row],[Gender]]="female",R219&lt;20),"Athletes",AND(Table13[[#This Row],[Gender]]="female",R219&lt;24),"Fitnesss",AND(Table13[[#This Row],[Gender]]="female",R219&lt;31),"Acceptable",AND(Table13[[#This Row],[Gender]]="female",R219&lt;40),"Obese",AND(Table13[[#This Row],[Gender]]="male",R219&lt;13),"Athletes",AND(Table13[[#This Row],[Gender]]="male",R219&lt;17),"Fitnesss",AND(Table13[[#This Row],[Gender]]="male",R219&lt;24.9),"Acceptable",AND(Table13[[#This Row],[Gender]]="male",R219&lt;40),"Obese",AND(Table13[[#This Row],[Gender]]="others",R219&lt;20),"Athletes",AND(Table13[[#This Row],[Gender]]="others",R219&lt;24),"Fitnesss",AND(Table13[[#This Row],[Gender]]="others",R219&lt;31),"Acceptable",AND(Table13[[#This Row],[Gender]]="others",R219&lt;40),"Obese")</f>
        <v>Acceptable</v>
      </c>
      <c r="R219" s="8">
        <v>22.4</v>
      </c>
      <c r="S219" s="8">
        <v>3.6</v>
      </c>
      <c r="T219" s="8">
        <v>5</v>
      </c>
      <c r="U219" s="8">
        <v>2</v>
      </c>
      <c r="V219" s="8" t="str">
        <f>IF(Table13[[#This Row],[BMI]]&lt;=18.5,"Underweight",IF(Table13[[#This Row],[BMI]]&lt;=24.9,"Normal",IF(Table13[[#This Row],[BMI]]&lt;=29.9,"Overweight",IF(Table13[[#This Row],[BMI]]&lt;=39,"Obese","Severly Obese"))))</f>
        <v>Underweight</v>
      </c>
      <c r="W219" s="18">
        <v>12.32</v>
      </c>
    </row>
    <row r="220" spans="6:23" x14ac:dyDescent="0.3">
      <c r="F220" s="17">
        <v>27</v>
      </c>
      <c r="G220" s="8" t="str">
        <f>IF(Table13[[#This Row],[Age]]&lt;25,"18-24",IF(Table13[[#This Row],[Age]]&lt;35,"25-34",IF(Table13[[#This Row],[Age]]&lt;45,"35-44",IF(Table13[[#This Row],[Age]]&lt;55,"45-54","55-64"))))</f>
        <v>25-34</v>
      </c>
      <c r="H220" s="8" t="s">
        <v>19</v>
      </c>
      <c r="I220" s="8">
        <v>40</v>
      </c>
      <c r="J220" s="8">
        <v>1.76</v>
      </c>
      <c r="K220" s="8">
        <v>183</v>
      </c>
      <c r="L220" s="8">
        <v>125</v>
      </c>
      <c r="M220" s="8">
        <v>60</v>
      </c>
      <c r="N220" s="8">
        <v>1.04</v>
      </c>
      <c r="O220" s="8">
        <v>1783</v>
      </c>
      <c r="P220" s="8" t="s">
        <v>22</v>
      </c>
      <c r="Q220" s="8" t="str">
        <f>_xlfn.IFS(AND(Table13[[#This Row],[Gender]]="female",R220&lt;20),"Athletes",AND(Table13[[#This Row],[Gender]]="female",R220&lt;24),"Fitnesss",AND(Table13[[#This Row],[Gender]]="female",R220&lt;31),"Acceptable",AND(Table13[[#This Row],[Gender]]="female",R220&lt;40),"Obese",AND(Table13[[#This Row],[Gender]]="male",R220&lt;13),"Athletes",AND(Table13[[#This Row],[Gender]]="male",R220&lt;17),"Fitnesss",AND(Table13[[#This Row],[Gender]]="male",R220&lt;24.9),"Acceptable",AND(Table13[[#This Row],[Gender]]="male",R220&lt;40),"Obese",AND(Table13[[#This Row],[Gender]]="others",R220&lt;20),"Athletes",AND(Table13[[#This Row],[Gender]]="others",R220&lt;24),"Fitnesss",AND(Table13[[#This Row],[Gender]]="others",R220&lt;31),"Acceptable",AND(Table13[[#This Row],[Gender]]="others",R220&lt;40),"Obese")</f>
        <v>Acceptable</v>
      </c>
      <c r="R220" s="8">
        <v>21.9</v>
      </c>
      <c r="S220" s="8">
        <v>3.3</v>
      </c>
      <c r="T220" s="8">
        <v>4</v>
      </c>
      <c r="U220" s="8">
        <v>2</v>
      </c>
      <c r="V220" s="8" t="str">
        <f>IF(Table13[[#This Row],[BMI]]&lt;=18.5,"Underweight",IF(Table13[[#This Row],[BMI]]&lt;=24.9,"Normal",IF(Table13[[#This Row],[BMI]]&lt;=29.9,"Overweight",IF(Table13[[#This Row],[BMI]]&lt;=39,"Obese","Severly Obese"))))</f>
        <v>Underweight</v>
      </c>
      <c r="W220" s="18">
        <v>12.32</v>
      </c>
    </row>
    <row r="221" spans="6:23" x14ac:dyDescent="0.3">
      <c r="F221" s="17">
        <v>27</v>
      </c>
      <c r="G221" s="8" t="str">
        <f>IF(Table13[[#This Row],[Age]]&lt;25,"18-24",IF(Table13[[#This Row],[Age]]&lt;35,"25-34",IF(Table13[[#This Row],[Age]]&lt;45,"35-44",IF(Table13[[#This Row],[Age]]&lt;55,"45-54","55-64"))))</f>
        <v>25-34</v>
      </c>
      <c r="H221" s="8" t="s">
        <v>17</v>
      </c>
      <c r="I221" s="8">
        <v>70.099999999999994</v>
      </c>
      <c r="J221" s="8">
        <v>1.58</v>
      </c>
      <c r="K221" s="8">
        <v>169</v>
      </c>
      <c r="L221" s="8">
        <v>156</v>
      </c>
      <c r="M221" s="8">
        <v>63</v>
      </c>
      <c r="N221" s="8">
        <v>0.82</v>
      </c>
      <c r="O221" s="8">
        <v>797</v>
      </c>
      <c r="P221" s="8" t="s">
        <v>20</v>
      </c>
      <c r="Q221" s="8" t="str">
        <f>_xlfn.IFS(AND(Table13[[#This Row],[Gender]]="female",R221&lt;20),"Athletes",AND(Table13[[#This Row],[Gender]]="female",R221&lt;24),"Fitnesss",AND(Table13[[#This Row],[Gender]]="female",R221&lt;31),"Acceptable",AND(Table13[[#This Row],[Gender]]="female",R221&lt;40),"Obese",AND(Table13[[#This Row],[Gender]]="male",R221&lt;13),"Athletes",AND(Table13[[#This Row],[Gender]]="male",R221&lt;17),"Fitnesss",AND(Table13[[#This Row],[Gender]]="male",R221&lt;24.9),"Acceptable",AND(Table13[[#This Row],[Gender]]="male",R221&lt;40),"Obese",AND(Table13[[#This Row],[Gender]]="others",R221&lt;20),"Athletes",AND(Table13[[#This Row],[Gender]]="others",R221&lt;24),"Fitnesss",AND(Table13[[#This Row],[Gender]]="others",R221&lt;31),"Acceptable",AND(Table13[[#This Row],[Gender]]="others",R221&lt;40),"Obese")</f>
        <v>Acceptable</v>
      </c>
      <c r="R221" s="8">
        <v>28.1</v>
      </c>
      <c r="S221" s="8">
        <v>3.4</v>
      </c>
      <c r="T221" s="8">
        <v>3</v>
      </c>
      <c r="U221" s="8">
        <v>1</v>
      </c>
      <c r="V221" s="8" t="str">
        <f>IF(Table13[[#This Row],[BMI]]&lt;=18.5,"Underweight",IF(Table13[[#This Row],[BMI]]&lt;=24.9,"Normal",IF(Table13[[#This Row],[BMI]]&lt;=29.9,"Overweight",IF(Table13[[#This Row],[BMI]]&lt;=39,"Obese","Severly Obese"))))</f>
        <v>Normal</v>
      </c>
      <c r="W221" s="18">
        <v>24.04</v>
      </c>
    </row>
    <row r="222" spans="6:23" x14ac:dyDescent="0.3">
      <c r="F222" s="17">
        <v>29</v>
      </c>
      <c r="G222" s="8" t="str">
        <f>IF(Table13[[#This Row],[Age]]&lt;25,"18-24",IF(Table13[[#This Row],[Age]]&lt;35,"25-34",IF(Table13[[#This Row],[Age]]&lt;45,"35-44",IF(Table13[[#This Row],[Age]]&lt;55,"45-54","55-64"))))</f>
        <v>25-34</v>
      </c>
      <c r="H222" s="8" t="s">
        <v>17</v>
      </c>
      <c r="I222" s="8">
        <v>40.200000000000003</v>
      </c>
      <c r="J222" s="8">
        <v>1.7</v>
      </c>
      <c r="K222" s="8">
        <v>184</v>
      </c>
      <c r="L222" s="8">
        <v>152</v>
      </c>
      <c r="M222" s="8">
        <v>70</v>
      </c>
      <c r="N222" s="8">
        <v>1.82</v>
      </c>
      <c r="O222" s="8">
        <v>744</v>
      </c>
      <c r="P222" s="8" t="s">
        <v>18</v>
      </c>
      <c r="Q222" s="8" t="str">
        <f>_xlfn.IFS(AND(Table13[[#This Row],[Gender]]="female",R222&lt;20),"Athletes",AND(Table13[[#This Row],[Gender]]="female",R222&lt;24),"Fitnesss",AND(Table13[[#This Row],[Gender]]="female",R222&lt;31),"Acceptable",AND(Table13[[#This Row],[Gender]]="female",R222&lt;40),"Obese",AND(Table13[[#This Row],[Gender]]="male",R222&lt;13),"Athletes",AND(Table13[[#This Row],[Gender]]="male",R222&lt;17),"Fitnesss",AND(Table13[[#This Row],[Gender]]="male",R222&lt;24.9),"Acceptable",AND(Table13[[#This Row],[Gender]]="male",R222&lt;40),"Obese",AND(Table13[[#This Row],[Gender]]="others",R222&lt;20),"Athletes",AND(Table13[[#This Row],[Gender]]="others",R222&lt;24),"Fitnesss",AND(Table13[[#This Row],[Gender]]="others",R222&lt;31),"Acceptable",AND(Table13[[#This Row],[Gender]]="others",R222&lt;40),"Obese")</f>
        <v>Athletes</v>
      </c>
      <c r="R222" s="8">
        <v>13.2</v>
      </c>
      <c r="S222" s="8">
        <v>2.6</v>
      </c>
      <c r="T222" s="8">
        <v>3</v>
      </c>
      <c r="U222" s="8">
        <v>2</v>
      </c>
      <c r="V222" s="8" t="str">
        <f>IF(Table13[[#This Row],[BMI]]&lt;=18.5,"Underweight",IF(Table13[[#This Row],[BMI]]&lt;=24.9,"Normal",IF(Table13[[#This Row],[BMI]]&lt;=29.9,"Overweight",IF(Table13[[#This Row],[BMI]]&lt;=39,"Obese","Severly Obese"))))</f>
        <v>Normal</v>
      </c>
      <c r="W222" s="18">
        <v>18.63</v>
      </c>
    </row>
    <row r="223" spans="6:23" x14ac:dyDescent="0.3">
      <c r="F223" s="17">
        <v>19</v>
      </c>
      <c r="G223" s="8" t="str">
        <f>IF(Table13[[#This Row],[Age]]&lt;25,"18-24",IF(Table13[[#This Row],[Age]]&lt;35,"25-34",IF(Table13[[#This Row],[Age]]&lt;45,"35-44",IF(Table13[[#This Row],[Age]]&lt;55,"45-54","55-64"))))</f>
        <v>18-24</v>
      </c>
      <c r="H223" s="8" t="s">
        <v>17</v>
      </c>
      <c r="I223" s="8">
        <v>76.400000000000006</v>
      </c>
      <c r="J223" s="8">
        <v>1.79</v>
      </c>
      <c r="K223" s="8">
        <v>189</v>
      </c>
      <c r="L223" s="8">
        <v>132</v>
      </c>
      <c r="M223" s="8">
        <v>57</v>
      </c>
      <c r="N223" s="8">
        <v>1.41</v>
      </c>
      <c r="O223" s="8">
        <v>1414</v>
      </c>
      <c r="P223" s="8" t="s">
        <v>21</v>
      </c>
      <c r="Q223" s="8" t="str">
        <f>_xlfn.IFS(AND(Table13[[#This Row],[Gender]]="female",R223&lt;20),"Athletes",AND(Table13[[#This Row],[Gender]]="female",R223&lt;24),"Fitnesss",AND(Table13[[#This Row],[Gender]]="female",R223&lt;31),"Acceptable",AND(Table13[[#This Row],[Gender]]="female",R223&lt;40),"Obese",AND(Table13[[#This Row],[Gender]]="male",R223&lt;13),"Athletes",AND(Table13[[#This Row],[Gender]]="male",R223&lt;17),"Fitnesss",AND(Table13[[#This Row],[Gender]]="male",R223&lt;24.9),"Acceptable",AND(Table13[[#This Row],[Gender]]="male",R223&lt;40),"Obese",AND(Table13[[#This Row],[Gender]]="others",R223&lt;20),"Athletes",AND(Table13[[#This Row],[Gender]]="others",R223&lt;24),"Fitnesss",AND(Table13[[#This Row],[Gender]]="others",R223&lt;31),"Acceptable",AND(Table13[[#This Row],[Gender]]="others",R223&lt;40),"Obese")</f>
        <v>Obese</v>
      </c>
      <c r="R223" s="8">
        <v>33.299999999999997</v>
      </c>
      <c r="S223" s="8">
        <v>3.5</v>
      </c>
      <c r="T223" s="8">
        <v>3</v>
      </c>
      <c r="U223" s="8">
        <v>2</v>
      </c>
      <c r="V223" s="8" t="str">
        <f>IF(Table13[[#This Row],[BMI]]&lt;=18.5,"Underweight",IF(Table13[[#This Row],[BMI]]&lt;=24.9,"Normal",IF(Table13[[#This Row],[BMI]]&lt;=29.9,"Overweight",IF(Table13[[#This Row],[BMI]]&lt;=39,"Obese","Severly Obese"))))</f>
        <v>Underweight</v>
      </c>
      <c r="W223" s="18">
        <v>14.21</v>
      </c>
    </row>
    <row r="224" spans="6:23" x14ac:dyDescent="0.3">
      <c r="F224" s="17">
        <v>39</v>
      </c>
      <c r="G224" s="8" t="str">
        <f>IF(Table13[[#This Row],[Age]]&lt;25,"18-24",IF(Table13[[#This Row],[Age]]&lt;35,"25-34",IF(Table13[[#This Row],[Age]]&lt;45,"35-44",IF(Table13[[#This Row],[Age]]&lt;55,"45-54","55-64"))))</f>
        <v>35-44</v>
      </c>
      <c r="H224" s="8" t="s">
        <v>19</v>
      </c>
      <c r="I224" s="8">
        <v>78.5</v>
      </c>
      <c r="J224" s="8">
        <v>1.59</v>
      </c>
      <c r="K224" s="8">
        <v>197</v>
      </c>
      <c r="L224" s="8">
        <v>153</v>
      </c>
      <c r="M224" s="8">
        <v>71</v>
      </c>
      <c r="N224" s="8">
        <v>1.88</v>
      </c>
      <c r="O224" s="8">
        <v>1009</v>
      </c>
      <c r="P224" s="8" t="s">
        <v>22</v>
      </c>
      <c r="Q224" s="8" t="str">
        <f>_xlfn.IFS(AND(Table13[[#This Row],[Gender]]="female",R224&lt;20),"Athletes",AND(Table13[[#This Row],[Gender]]="female",R224&lt;24),"Fitnesss",AND(Table13[[#This Row],[Gender]]="female",R224&lt;31),"Acceptable",AND(Table13[[#This Row],[Gender]]="female",R224&lt;40),"Obese",AND(Table13[[#This Row],[Gender]]="male",R224&lt;13),"Athletes",AND(Table13[[#This Row],[Gender]]="male",R224&lt;17),"Fitnesss",AND(Table13[[#This Row],[Gender]]="male",R224&lt;24.9),"Acceptable",AND(Table13[[#This Row],[Gender]]="male",R224&lt;40),"Obese",AND(Table13[[#This Row],[Gender]]="others",R224&lt;20),"Athletes",AND(Table13[[#This Row],[Gender]]="others",R224&lt;24),"Fitnesss",AND(Table13[[#This Row],[Gender]]="others",R224&lt;31),"Acceptable",AND(Table13[[#This Row],[Gender]]="others",R224&lt;40),"Obese")</f>
        <v>Obese</v>
      </c>
      <c r="R224" s="8">
        <v>26</v>
      </c>
      <c r="S224" s="8">
        <v>3.7</v>
      </c>
      <c r="T224" s="8">
        <v>5</v>
      </c>
      <c r="U224" s="8">
        <v>1</v>
      </c>
      <c r="V224" s="8" t="str">
        <f>IF(Table13[[#This Row],[BMI]]&lt;=18.5,"Underweight",IF(Table13[[#This Row],[BMI]]&lt;=24.9,"Normal",IF(Table13[[#This Row],[BMI]]&lt;=29.9,"Overweight",IF(Table13[[#This Row],[BMI]]&lt;=39,"Obese","Severly Obese"))))</f>
        <v>Underweight</v>
      </c>
      <c r="W224" s="18">
        <v>16.239999999999998</v>
      </c>
    </row>
    <row r="225" spans="6:23" x14ac:dyDescent="0.3">
      <c r="F225" s="17">
        <v>18</v>
      </c>
      <c r="G225" s="8" t="str">
        <f>IF(Table13[[#This Row],[Age]]&lt;25,"18-24",IF(Table13[[#This Row],[Age]]&lt;35,"25-34",IF(Table13[[#This Row],[Age]]&lt;45,"35-44",IF(Table13[[#This Row],[Age]]&lt;55,"45-54","55-64"))))</f>
        <v>18-24</v>
      </c>
      <c r="H225" s="8" t="s">
        <v>23</v>
      </c>
      <c r="I225" s="8">
        <v>72.099999999999994</v>
      </c>
      <c r="J225" s="8">
        <v>1.79</v>
      </c>
      <c r="K225" s="8">
        <v>194</v>
      </c>
      <c r="L225" s="8">
        <v>169</v>
      </c>
      <c r="M225" s="8">
        <v>71</v>
      </c>
      <c r="N225" s="8">
        <v>1.89</v>
      </c>
      <c r="O225" s="8">
        <v>716</v>
      </c>
      <c r="P225" s="8" t="s">
        <v>18</v>
      </c>
      <c r="Q225" s="8" t="str">
        <f>_xlfn.IFS(AND(Table13[[#This Row],[Gender]]="female",R225&lt;20),"Athletes",AND(Table13[[#This Row],[Gender]]="female",R225&lt;24),"Fitnesss",AND(Table13[[#This Row],[Gender]]="female",R225&lt;31),"Acceptable",AND(Table13[[#This Row],[Gender]]="female",R225&lt;40),"Obese",AND(Table13[[#This Row],[Gender]]="male",R225&lt;13),"Athletes",AND(Table13[[#This Row],[Gender]]="male",R225&lt;17),"Fitnesss",AND(Table13[[#This Row],[Gender]]="male",R225&lt;24.9),"Acceptable",AND(Table13[[#This Row],[Gender]]="male",R225&lt;40),"Obese",AND(Table13[[#This Row],[Gender]]="others",R225&lt;20),"Athletes",AND(Table13[[#This Row],[Gender]]="others",R225&lt;24),"Fitnesss",AND(Table13[[#This Row],[Gender]]="others",R225&lt;31),"Acceptable",AND(Table13[[#This Row],[Gender]]="others",R225&lt;40),"Obese")</f>
        <v>Athletes</v>
      </c>
      <c r="R225" s="8">
        <v>16.7</v>
      </c>
      <c r="S225" s="8">
        <v>3.2</v>
      </c>
      <c r="T225" s="8">
        <v>2</v>
      </c>
      <c r="U225" s="8">
        <v>2</v>
      </c>
      <c r="V225" s="8" t="str">
        <f>IF(Table13[[#This Row],[BMI]]&lt;=18.5,"Underweight",IF(Table13[[#This Row],[BMI]]&lt;=24.9,"Normal",IF(Table13[[#This Row],[BMI]]&lt;=29.9,"Overweight",IF(Table13[[#This Row],[BMI]]&lt;=39,"Obese","Severly Obese"))))</f>
        <v>Underweight</v>
      </c>
      <c r="W225" s="18">
        <v>12.32</v>
      </c>
    </row>
    <row r="226" spans="6:23" x14ac:dyDescent="0.3">
      <c r="F226" s="17">
        <v>26</v>
      </c>
      <c r="G226" s="8" t="str">
        <f>IF(Table13[[#This Row],[Age]]&lt;25,"18-24",IF(Table13[[#This Row],[Age]]&lt;35,"25-34",IF(Table13[[#This Row],[Age]]&lt;45,"35-44",IF(Table13[[#This Row],[Age]]&lt;55,"45-54","55-64"))))</f>
        <v>25-34</v>
      </c>
      <c r="H226" s="8" t="s">
        <v>19</v>
      </c>
      <c r="I226" s="8">
        <v>61</v>
      </c>
      <c r="J226" s="8">
        <v>1.97</v>
      </c>
      <c r="K226" s="8">
        <v>172</v>
      </c>
      <c r="L226" s="8">
        <v>140</v>
      </c>
      <c r="M226" s="8">
        <v>74</v>
      </c>
      <c r="N226" s="8">
        <v>1.99</v>
      </c>
      <c r="O226" s="8">
        <v>1298</v>
      </c>
      <c r="P226" s="8" t="s">
        <v>20</v>
      </c>
      <c r="Q226" s="8" t="str">
        <f>_xlfn.IFS(AND(Table13[[#This Row],[Gender]]="female",R226&lt;20),"Athletes",AND(Table13[[#This Row],[Gender]]="female",R226&lt;24),"Fitnesss",AND(Table13[[#This Row],[Gender]]="female",R226&lt;31),"Acceptable",AND(Table13[[#This Row],[Gender]]="female",R226&lt;40),"Obese",AND(Table13[[#This Row],[Gender]]="male",R226&lt;13),"Athletes",AND(Table13[[#This Row],[Gender]]="male",R226&lt;17),"Fitnesss",AND(Table13[[#This Row],[Gender]]="male",R226&lt;24.9),"Acceptable",AND(Table13[[#This Row],[Gender]]="male",R226&lt;40),"Obese",AND(Table13[[#This Row],[Gender]]="others",R226&lt;20),"Athletes",AND(Table13[[#This Row],[Gender]]="others",R226&lt;24),"Fitnesss",AND(Table13[[#This Row],[Gender]]="others",R226&lt;31),"Acceptable",AND(Table13[[#This Row],[Gender]]="others",R226&lt;40),"Obese")</f>
        <v>Acceptable</v>
      </c>
      <c r="R226" s="8">
        <v>21.8</v>
      </c>
      <c r="S226" s="8">
        <v>2.6</v>
      </c>
      <c r="T226" s="8"/>
      <c r="U226" s="8">
        <v>2</v>
      </c>
      <c r="V226" s="8" t="str">
        <f>IF(Table13[[#This Row],[BMI]]&lt;=18.5,"Underweight",IF(Table13[[#This Row],[BMI]]&lt;=24.9,"Normal",IF(Table13[[#This Row],[BMI]]&lt;=29.9,"Overweight",IF(Table13[[#This Row],[BMI]]&lt;=39,"Obese","Severly Obese"))))</f>
        <v>Normal</v>
      </c>
      <c r="W226" s="18">
        <v>24.27</v>
      </c>
    </row>
    <row r="227" spans="6:23" x14ac:dyDescent="0.3">
      <c r="F227" s="17">
        <v>20</v>
      </c>
      <c r="G227" s="8" t="str">
        <f>IF(Table13[[#This Row],[Age]]&lt;25,"18-24",IF(Table13[[#This Row],[Age]]&lt;35,"25-34",IF(Table13[[#This Row],[Age]]&lt;45,"35-44",IF(Table13[[#This Row],[Age]]&lt;55,"45-54","55-64"))))</f>
        <v>18-24</v>
      </c>
      <c r="H227" s="8" t="s">
        <v>17</v>
      </c>
      <c r="I227" s="8">
        <v>82.6</v>
      </c>
      <c r="J227" s="8">
        <v>1.6</v>
      </c>
      <c r="K227" s="8">
        <v>174</v>
      </c>
      <c r="L227" s="8">
        <v>149</v>
      </c>
      <c r="M227" s="8">
        <v>63</v>
      </c>
      <c r="N227" s="8">
        <v>2</v>
      </c>
      <c r="O227" s="8">
        <v>775</v>
      </c>
      <c r="P227" s="8" t="s">
        <v>21</v>
      </c>
      <c r="Q227" s="8" t="str">
        <f>_xlfn.IFS(AND(Table13[[#This Row],[Gender]]="female",R227&lt;20),"Athletes",AND(Table13[[#This Row],[Gender]]="female",R227&lt;24),"Fitnesss",AND(Table13[[#This Row],[Gender]]="female",R227&lt;31),"Acceptable",AND(Table13[[#This Row],[Gender]]="female",R227&lt;40),"Obese",AND(Table13[[#This Row],[Gender]]="male",R227&lt;13),"Athletes",AND(Table13[[#This Row],[Gender]]="male",R227&lt;17),"Fitnesss",AND(Table13[[#This Row],[Gender]]="male",R227&lt;24.9),"Acceptable",AND(Table13[[#This Row],[Gender]]="male",R227&lt;40),"Obese",AND(Table13[[#This Row],[Gender]]="others",R227&lt;20),"Athletes",AND(Table13[[#This Row],[Gender]]="others",R227&lt;24),"Fitnesss",AND(Table13[[#This Row],[Gender]]="others",R227&lt;31),"Acceptable",AND(Table13[[#This Row],[Gender]]="others",R227&lt;40),"Obese")</f>
        <v>Fitnesss</v>
      </c>
      <c r="R227" s="8">
        <v>22.9</v>
      </c>
      <c r="S227" s="8">
        <v>3.3</v>
      </c>
      <c r="T227" s="8">
        <v>2</v>
      </c>
      <c r="U227" s="8">
        <v>2</v>
      </c>
      <c r="V227" s="8" t="str">
        <f>IF(Table13[[#This Row],[BMI]]&lt;=18.5,"Underweight",IF(Table13[[#This Row],[BMI]]&lt;=24.9,"Normal",IF(Table13[[#This Row],[BMI]]&lt;=29.9,"Overweight",IF(Table13[[#This Row],[BMI]]&lt;=39,"Obese","Severly Obese"))))</f>
        <v>Underweight</v>
      </c>
      <c r="W227" s="18">
        <v>15.06</v>
      </c>
    </row>
    <row r="228" spans="6:23" x14ac:dyDescent="0.3">
      <c r="F228" s="17">
        <v>34</v>
      </c>
      <c r="G228" s="8" t="str">
        <f>IF(Table13[[#This Row],[Age]]&lt;25,"18-24",IF(Table13[[#This Row],[Age]]&lt;35,"25-34",IF(Table13[[#This Row],[Age]]&lt;45,"35-44",IF(Table13[[#This Row],[Age]]&lt;55,"45-54","55-64"))))</f>
        <v>25-34</v>
      </c>
      <c r="H228" s="8" t="s">
        <v>19</v>
      </c>
      <c r="I228" s="8">
        <v>91.2</v>
      </c>
      <c r="J228" s="8">
        <v>1.5</v>
      </c>
      <c r="K228" s="8">
        <v>193</v>
      </c>
      <c r="L228" s="8">
        <v>165</v>
      </c>
      <c r="M228" s="8">
        <v>61</v>
      </c>
      <c r="N228" s="8">
        <v>1.1299999999999999</v>
      </c>
      <c r="O228" s="8">
        <v>905</v>
      </c>
      <c r="P228" s="8" t="s">
        <v>18</v>
      </c>
      <c r="Q228" s="8" t="str">
        <f>_xlfn.IFS(AND(Table13[[#This Row],[Gender]]="female",R228&lt;20),"Athletes",AND(Table13[[#This Row],[Gender]]="female",R228&lt;24),"Fitnesss",AND(Table13[[#This Row],[Gender]]="female",R228&lt;31),"Acceptable",AND(Table13[[#This Row],[Gender]]="female",R228&lt;40),"Obese",AND(Table13[[#This Row],[Gender]]="male",R228&lt;13),"Athletes",AND(Table13[[#This Row],[Gender]]="male",R228&lt;17),"Fitnesss",AND(Table13[[#This Row],[Gender]]="male",R228&lt;24.9),"Acceptable",AND(Table13[[#This Row],[Gender]]="male",R228&lt;40),"Obese",AND(Table13[[#This Row],[Gender]]="others",R228&lt;20),"Athletes",AND(Table13[[#This Row],[Gender]]="others",R228&lt;24),"Fitnesss",AND(Table13[[#This Row],[Gender]]="others",R228&lt;31),"Acceptable",AND(Table13[[#This Row],[Gender]]="others",R228&lt;40),"Obese")</f>
        <v>Acceptable</v>
      </c>
      <c r="R228" s="8">
        <v>24</v>
      </c>
      <c r="S228" s="8">
        <v>3.4</v>
      </c>
      <c r="T228" s="8">
        <v>4</v>
      </c>
      <c r="U228" s="8">
        <v>1</v>
      </c>
      <c r="V228" s="8" t="str">
        <f>IF(Table13[[#This Row],[BMI]]&lt;=18.5,"Underweight",IF(Table13[[#This Row],[BMI]]&lt;=24.9,"Normal",IF(Table13[[#This Row],[BMI]]&lt;=29.9,"Overweight",IF(Table13[[#This Row],[BMI]]&lt;=39,"Obese","Severly Obese"))))</f>
        <v>Normal</v>
      </c>
      <c r="W228" s="18">
        <v>24.8</v>
      </c>
    </row>
    <row r="229" spans="6:23" x14ac:dyDescent="0.3">
      <c r="F229" s="17">
        <v>18</v>
      </c>
      <c r="G229" s="8" t="str">
        <f>IF(Table13[[#This Row],[Age]]&lt;25,"18-24",IF(Table13[[#This Row],[Age]]&lt;35,"25-34",IF(Table13[[#This Row],[Age]]&lt;45,"35-44",IF(Table13[[#This Row],[Age]]&lt;55,"45-54","55-64"))))</f>
        <v>18-24</v>
      </c>
      <c r="H229" s="8" t="s">
        <v>19</v>
      </c>
      <c r="I229" s="8">
        <v>64.2</v>
      </c>
      <c r="J229" s="8">
        <v>1.61</v>
      </c>
      <c r="K229" s="8">
        <v>167</v>
      </c>
      <c r="L229" s="8">
        <v>147</v>
      </c>
      <c r="M229" s="8">
        <v>18</v>
      </c>
      <c r="N229" s="8">
        <v>1.17</v>
      </c>
      <c r="O229" s="8">
        <v>1783</v>
      </c>
      <c r="P229" s="8" t="s">
        <v>20</v>
      </c>
      <c r="Q229" s="8" t="str">
        <f>_xlfn.IFS(AND(Table13[[#This Row],[Gender]]="female",R229&lt;20),"Athletes",AND(Table13[[#This Row],[Gender]]="female",R229&lt;24),"Fitnesss",AND(Table13[[#This Row],[Gender]]="female",R229&lt;31),"Acceptable",AND(Table13[[#This Row],[Gender]]="female",R229&lt;40),"Obese",AND(Table13[[#This Row],[Gender]]="male",R229&lt;13),"Athletes",AND(Table13[[#This Row],[Gender]]="male",R229&lt;17),"Fitnesss",AND(Table13[[#This Row],[Gender]]="male",R229&lt;24.9),"Acceptable",AND(Table13[[#This Row],[Gender]]="male",R229&lt;40),"Obese",AND(Table13[[#This Row],[Gender]]="others",R229&lt;20),"Athletes",AND(Table13[[#This Row],[Gender]]="others",R229&lt;24),"Fitnesss",AND(Table13[[#This Row],[Gender]]="others",R229&lt;31),"Acceptable",AND(Table13[[#This Row],[Gender]]="others",R229&lt;40),"Obese")</f>
        <v>Obese</v>
      </c>
      <c r="R229" s="8">
        <v>25.9</v>
      </c>
      <c r="S229" s="8">
        <v>2.1</v>
      </c>
      <c r="T229" s="8">
        <v>3</v>
      </c>
      <c r="U229" s="8">
        <v>2</v>
      </c>
      <c r="V229" s="8" t="str">
        <f>IF(Table13[[#This Row],[BMI]]&lt;=18.5,"Underweight",IF(Table13[[#This Row],[BMI]]&lt;=24.9,"Normal",IF(Table13[[#This Row],[BMI]]&lt;=29.9,"Overweight",IF(Table13[[#This Row],[BMI]]&lt;=39,"Obese","Severly Obese"))))</f>
        <v>Underweight</v>
      </c>
      <c r="W229" s="18">
        <v>12.83</v>
      </c>
    </row>
    <row r="230" spans="6:23" x14ac:dyDescent="0.3">
      <c r="F230" s="17">
        <v>23</v>
      </c>
      <c r="G230" s="8" t="str">
        <f>IF(Table13[[#This Row],[Age]]&lt;25,"18-24",IF(Table13[[#This Row],[Age]]&lt;35,"25-34",IF(Table13[[#This Row],[Age]]&lt;45,"35-44",IF(Table13[[#This Row],[Age]]&lt;55,"45-54","55-64"))))</f>
        <v>18-24</v>
      </c>
      <c r="H230" s="8" t="s">
        <v>19</v>
      </c>
      <c r="I230" s="8">
        <v>46.7</v>
      </c>
      <c r="J230" s="8">
        <v>1.65</v>
      </c>
      <c r="K230" s="8">
        <v>164</v>
      </c>
      <c r="L230" s="8">
        <v>159</v>
      </c>
      <c r="M230" s="8">
        <v>68</v>
      </c>
      <c r="N230" s="8">
        <v>1.81</v>
      </c>
      <c r="O230" s="8">
        <v>1563</v>
      </c>
      <c r="P230" s="8" t="s">
        <v>22</v>
      </c>
      <c r="Q230" s="8" t="str">
        <f>_xlfn.IFS(AND(Table13[[#This Row],[Gender]]="female",R230&lt;20),"Athletes",AND(Table13[[#This Row],[Gender]]="female",R230&lt;24),"Fitnesss",AND(Table13[[#This Row],[Gender]]="female",R230&lt;31),"Acceptable",AND(Table13[[#This Row],[Gender]]="female",R230&lt;40),"Obese",AND(Table13[[#This Row],[Gender]]="male",R230&lt;13),"Athletes",AND(Table13[[#This Row],[Gender]]="male",R230&lt;17),"Fitnesss",AND(Table13[[#This Row],[Gender]]="male",R230&lt;24.9),"Acceptable",AND(Table13[[#This Row],[Gender]]="male",R230&lt;40),"Obese",AND(Table13[[#This Row],[Gender]]="others",R230&lt;20),"Athletes",AND(Table13[[#This Row],[Gender]]="others",R230&lt;24),"Fitnesss",AND(Table13[[#This Row],[Gender]]="others",R230&lt;31),"Acceptable",AND(Table13[[#This Row],[Gender]]="others",R230&lt;40),"Obese")</f>
        <v>Fitnesss</v>
      </c>
      <c r="R230" s="8">
        <v>15.8</v>
      </c>
      <c r="S230" s="8">
        <v>2.5</v>
      </c>
      <c r="T230" s="8">
        <v>4</v>
      </c>
      <c r="U230" s="8">
        <v>2</v>
      </c>
      <c r="V230" s="8" t="str">
        <f>IF(Table13[[#This Row],[BMI]]&lt;=18.5,"Underweight",IF(Table13[[#This Row],[BMI]]&lt;=24.9,"Normal",IF(Table13[[#This Row],[BMI]]&lt;=29.9,"Overweight",IF(Table13[[#This Row],[BMI]]&lt;=39,"Obese","Severly Obese"))))</f>
        <v>Normal</v>
      </c>
      <c r="W230" s="18">
        <v>19.8</v>
      </c>
    </row>
    <row r="231" spans="6:23" x14ac:dyDescent="0.3">
      <c r="F231" s="17">
        <v>28</v>
      </c>
      <c r="G231" s="8" t="str">
        <f>IF(Table13[[#This Row],[Age]]&lt;25,"18-24",IF(Table13[[#This Row],[Age]]&lt;35,"25-34",IF(Table13[[#This Row],[Age]]&lt;45,"35-44",IF(Table13[[#This Row],[Age]]&lt;55,"45-54","55-64"))))</f>
        <v>25-34</v>
      </c>
      <c r="H231" s="8" t="s">
        <v>17</v>
      </c>
      <c r="I231" s="8">
        <v>74.2</v>
      </c>
      <c r="J231" s="8">
        <v>1.5</v>
      </c>
      <c r="K231" s="8">
        <v>191</v>
      </c>
      <c r="L231" s="8">
        <v>129</v>
      </c>
      <c r="M231" s="8">
        <v>72</v>
      </c>
      <c r="N231" s="8">
        <v>1.77</v>
      </c>
      <c r="O231" s="8">
        <v>848</v>
      </c>
      <c r="P231" s="8" t="s">
        <v>18</v>
      </c>
      <c r="Q231" s="8" t="str">
        <f>_xlfn.IFS(AND(Table13[[#This Row],[Gender]]="female",R231&lt;20),"Athletes",AND(Table13[[#This Row],[Gender]]="female",R231&lt;24),"Fitnesss",AND(Table13[[#This Row],[Gender]]="female",R231&lt;31),"Acceptable",AND(Table13[[#This Row],[Gender]]="female",R231&lt;40),"Obese",AND(Table13[[#This Row],[Gender]]="male",R231&lt;13),"Athletes",AND(Table13[[#This Row],[Gender]]="male",R231&lt;17),"Fitnesss",AND(Table13[[#This Row],[Gender]]="male",R231&lt;24.9),"Acceptable",AND(Table13[[#This Row],[Gender]]="male",R231&lt;40),"Obese",AND(Table13[[#This Row],[Gender]]="others",R231&lt;20),"Athletes",AND(Table13[[#This Row],[Gender]]="others",R231&lt;24),"Fitnesss",AND(Table13[[#This Row],[Gender]]="others",R231&lt;31),"Acceptable",AND(Table13[[#This Row],[Gender]]="others",R231&lt;40),"Obese")</f>
        <v>Athletes</v>
      </c>
      <c r="R231" s="8">
        <v>17.3</v>
      </c>
      <c r="S231" s="8">
        <v>1.5</v>
      </c>
      <c r="T231" s="8">
        <v>3</v>
      </c>
      <c r="U231" s="8">
        <v>2</v>
      </c>
      <c r="V231" s="8" t="str">
        <f>IF(Table13[[#This Row],[BMI]]&lt;=18.5,"Underweight",IF(Table13[[#This Row],[BMI]]&lt;=24.9,"Normal",IF(Table13[[#This Row],[BMI]]&lt;=29.9,"Overweight",IF(Table13[[#This Row],[BMI]]&lt;=39,"Obese","Severly Obese"))))</f>
        <v>Normal</v>
      </c>
      <c r="W231" s="18">
        <v>24.11</v>
      </c>
    </row>
    <row r="232" spans="6:23" x14ac:dyDescent="0.3">
      <c r="F232" s="17">
        <v>18</v>
      </c>
      <c r="G232" s="8" t="str">
        <f>IF(Table13[[#This Row],[Age]]&lt;25,"18-24",IF(Table13[[#This Row],[Age]]&lt;35,"25-34",IF(Table13[[#This Row],[Age]]&lt;45,"35-44",IF(Table13[[#This Row],[Age]]&lt;55,"45-54","55-64"))))</f>
        <v>18-24</v>
      </c>
      <c r="H232" s="8" t="s">
        <v>17</v>
      </c>
      <c r="I232" s="8">
        <v>64</v>
      </c>
      <c r="J232" s="8">
        <v>1.51</v>
      </c>
      <c r="K232" s="8">
        <v>176</v>
      </c>
      <c r="L232" s="8">
        <v>129</v>
      </c>
      <c r="M232" s="8">
        <v>74</v>
      </c>
      <c r="N232" s="8">
        <v>1.18</v>
      </c>
      <c r="O232" s="8">
        <v>992</v>
      </c>
      <c r="P232" s="8" t="s">
        <v>18</v>
      </c>
      <c r="Q232" s="8" t="str">
        <f>_xlfn.IFS(AND(Table13[[#This Row],[Gender]]="female",R232&lt;20),"Athletes",AND(Table13[[#This Row],[Gender]]="female",R232&lt;24),"Fitnesss",AND(Table13[[#This Row],[Gender]]="female",R232&lt;31),"Acceptable",AND(Table13[[#This Row],[Gender]]="female",R232&lt;40),"Obese",AND(Table13[[#This Row],[Gender]]="male",R232&lt;13),"Athletes",AND(Table13[[#This Row],[Gender]]="male",R232&lt;17),"Fitnesss",AND(Table13[[#This Row],[Gender]]="male",R232&lt;24.9),"Acceptable",AND(Table13[[#This Row],[Gender]]="male",R232&lt;40),"Obese",AND(Table13[[#This Row],[Gender]]="others",R232&lt;20),"Athletes",AND(Table13[[#This Row],[Gender]]="others",R232&lt;24),"Fitnesss",AND(Table13[[#This Row],[Gender]]="others",R232&lt;31),"Acceptable",AND(Table13[[#This Row],[Gender]]="others",R232&lt;40),"Obese")</f>
        <v>Acceptable</v>
      </c>
      <c r="R232" s="8">
        <v>26.7</v>
      </c>
      <c r="S232" s="8">
        <v>3.4</v>
      </c>
      <c r="T232" s="8">
        <v>5</v>
      </c>
      <c r="U232" s="8">
        <v>3</v>
      </c>
      <c r="V232" s="8" t="str">
        <f>IF(Table13[[#This Row],[BMI]]&lt;=18.5,"Underweight",IF(Table13[[#This Row],[BMI]]&lt;=24.9,"Normal",IF(Table13[[#This Row],[BMI]]&lt;=29.9,"Overweight",IF(Table13[[#This Row],[BMI]]&lt;=39,"Obese","Severly Obese"))))</f>
        <v>Underweight</v>
      </c>
      <c r="W232" s="18">
        <v>14.98</v>
      </c>
    </row>
    <row r="233" spans="6:23" x14ac:dyDescent="0.3">
      <c r="F233" s="17">
        <v>32</v>
      </c>
      <c r="G233" s="8" t="str">
        <f>IF(Table13[[#This Row],[Age]]&lt;25,"18-24",IF(Table13[[#This Row],[Age]]&lt;35,"25-34",IF(Table13[[#This Row],[Age]]&lt;45,"35-44",IF(Table13[[#This Row],[Age]]&lt;55,"45-54","55-64"))))</f>
        <v>25-34</v>
      </c>
      <c r="H233" s="8" t="s">
        <v>19</v>
      </c>
      <c r="I233" s="8">
        <v>52.8</v>
      </c>
      <c r="J233" s="8">
        <v>1.61</v>
      </c>
      <c r="K233" s="8">
        <v>169</v>
      </c>
      <c r="L233" s="8">
        <v>169</v>
      </c>
      <c r="M233" s="8">
        <v>70</v>
      </c>
      <c r="N233" s="8">
        <v>0.88</v>
      </c>
      <c r="O233" s="8">
        <v>1375</v>
      </c>
      <c r="P233" s="8" t="s">
        <v>18</v>
      </c>
      <c r="Q233" s="8" t="str">
        <f>_xlfn.IFS(AND(Table13[[#This Row],[Gender]]="female",R233&lt;20),"Athletes",AND(Table13[[#This Row],[Gender]]="female",R233&lt;24),"Fitnesss",AND(Table13[[#This Row],[Gender]]="female",R233&lt;31),"Acceptable",AND(Table13[[#This Row],[Gender]]="female",R233&lt;40),"Obese",AND(Table13[[#This Row],[Gender]]="male",R233&lt;13),"Athletes",AND(Table13[[#This Row],[Gender]]="male",R233&lt;17),"Fitnesss",AND(Table13[[#This Row],[Gender]]="male",R233&lt;24.9),"Acceptable",AND(Table13[[#This Row],[Gender]]="male",R233&lt;40),"Obese",AND(Table13[[#This Row],[Gender]]="others",R233&lt;20),"Athletes",AND(Table13[[#This Row],[Gender]]="others",R233&lt;24),"Fitnesss",AND(Table13[[#This Row],[Gender]]="others",R233&lt;31),"Acceptable",AND(Table13[[#This Row],[Gender]]="others",R233&lt;40),"Obese")</f>
        <v>Acceptable</v>
      </c>
      <c r="R233" s="8">
        <v>24.2</v>
      </c>
      <c r="S233" s="8">
        <v>2.7</v>
      </c>
      <c r="T233" s="8">
        <v>5</v>
      </c>
      <c r="U233" s="8">
        <v>1</v>
      </c>
      <c r="V233" s="8" t="str">
        <f>IF(Table13[[#This Row],[BMI]]&lt;=18.5,"Underweight",IF(Table13[[#This Row],[BMI]]&lt;=24.9,"Normal",IF(Table13[[#This Row],[BMI]]&lt;=29.9,"Overweight",IF(Table13[[#This Row],[BMI]]&lt;=39,"Obese","Severly Obese"))))</f>
        <v>Underweight</v>
      </c>
      <c r="W233" s="18">
        <v>18.100000000000001</v>
      </c>
    </row>
    <row r="234" spans="6:23" x14ac:dyDescent="0.3">
      <c r="F234" s="17">
        <v>26</v>
      </c>
      <c r="G234" s="8" t="str">
        <f>IF(Table13[[#This Row],[Age]]&lt;25,"18-24",IF(Table13[[#This Row],[Age]]&lt;35,"25-34",IF(Table13[[#This Row],[Age]]&lt;45,"35-44",IF(Table13[[#This Row],[Age]]&lt;55,"45-54","55-64"))))</f>
        <v>25-34</v>
      </c>
      <c r="H234" s="8" t="s">
        <v>19</v>
      </c>
      <c r="I234" s="8"/>
      <c r="J234" s="8">
        <v>1.77</v>
      </c>
      <c r="K234" s="8">
        <v>164</v>
      </c>
      <c r="L234" s="8">
        <v>147</v>
      </c>
      <c r="M234" s="8">
        <v>56</v>
      </c>
      <c r="N234" s="8">
        <v>1.2</v>
      </c>
      <c r="O234" s="8">
        <v>1091</v>
      </c>
      <c r="P234" s="8" t="s">
        <v>22</v>
      </c>
      <c r="Q234" s="8" t="str">
        <f>_xlfn.IFS(AND(Table13[[#This Row],[Gender]]="female",R234&lt;20),"Athletes",AND(Table13[[#This Row],[Gender]]="female",R234&lt;24),"Fitnesss",AND(Table13[[#This Row],[Gender]]="female",R234&lt;31),"Acceptable",AND(Table13[[#This Row],[Gender]]="female",R234&lt;40),"Obese",AND(Table13[[#This Row],[Gender]]="male",R234&lt;13),"Athletes",AND(Table13[[#This Row],[Gender]]="male",R234&lt;17),"Fitnesss",AND(Table13[[#This Row],[Gender]]="male",R234&lt;24.9),"Acceptable",AND(Table13[[#This Row],[Gender]]="male",R234&lt;40),"Obese",AND(Table13[[#This Row],[Gender]]="others",R234&lt;20),"Athletes",AND(Table13[[#This Row],[Gender]]="others",R234&lt;24),"Fitnesss",AND(Table13[[#This Row],[Gender]]="others",R234&lt;31),"Acceptable",AND(Table13[[#This Row],[Gender]]="others",R234&lt;40),"Obese")</f>
        <v>Obese</v>
      </c>
      <c r="R234" s="8">
        <v>30.8</v>
      </c>
      <c r="S234" s="8">
        <v>1.6</v>
      </c>
      <c r="T234" s="8">
        <v>3</v>
      </c>
      <c r="U234" s="8">
        <v>3</v>
      </c>
      <c r="V234" s="8" t="str">
        <f>IF(Table13[[#This Row],[BMI]]&lt;=18.5,"Underweight",IF(Table13[[#This Row],[BMI]]&lt;=24.9,"Normal",IF(Table13[[#This Row],[BMI]]&lt;=29.9,"Overweight",IF(Table13[[#This Row],[BMI]]&lt;=39,"Obese","Severly Obese"))))</f>
        <v>Normal</v>
      </c>
      <c r="W234" s="18">
        <v>21.49</v>
      </c>
    </row>
    <row r="235" spans="6:23" x14ac:dyDescent="0.3">
      <c r="F235" s="17">
        <v>47</v>
      </c>
      <c r="G235" s="8" t="str">
        <f>IF(Table13[[#This Row],[Age]]&lt;25,"18-24",IF(Table13[[#This Row],[Age]]&lt;35,"25-34",IF(Table13[[#This Row],[Age]]&lt;45,"35-44",IF(Table13[[#This Row],[Age]]&lt;55,"45-54","55-64"))))</f>
        <v>45-54</v>
      </c>
      <c r="H235" s="8" t="s">
        <v>19</v>
      </c>
      <c r="I235" s="8">
        <v>40</v>
      </c>
      <c r="J235" s="8">
        <v>1.73</v>
      </c>
      <c r="K235" s="8">
        <v>170</v>
      </c>
      <c r="L235" s="8">
        <v>160</v>
      </c>
      <c r="M235" s="8">
        <v>66</v>
      </c>
      <c r="N235" s="8">
        <v>1.27</v>
      </c>
      <c r="O235" s="8">
        <v>1249</v>
      </c>
      <c r="P235" s="8" t="s">
        <v>20</v>
      </c>
      <c r="Q235" s="8" t="str">
        <f>_xlfn.IFS(AND(Table13[[#This Row],[Gender]]="female",R235&lt;20),"Athletes",AND(Table13[[#This Row],[Gender]]="female",R235&lt;24),"Fitnesss",AND(Table13[[#This Row],[Gender]]="female",R235&lt;31),"Acceptable",AND(Table13[[#This Row],[Gender]]="female",R235&lt;40),"Obese",AND(Table13[[#This Row],[Gender]]="male",R235&lt;13),"Athletes",AND(Table13[[#This Row],[Gender]]="male",R235&lt;17),"Fitnesss",AND(Table13[[#This Row],[Gender]]="male",R235&lt;24.9),"Acceptable",AND(Table13[[#This Row],[Gender]]="male",R235&lt;40),"Obese",AND(Table13[[#This Row],[Gender]]="others",R235&lt;20),"Athletes",AND(Table13[[#This Row],[Gender]]="others",R235&lt;24),"Fitnesss",AND(Table13[[#This Row],[Gender]]="others",R235&lt;31),"Acceptable",AND(Table13[[#This Row],[Gender]]="others",R235&lt;40),"Obese")</f>
        <v>Acceptable</v>
      </c>
      <c r="R235" s="8">
        <v>22.8</v>
      </c>
      <c r="S235" s="8">
        <v>3.6</v>
      </c>
      <c r="T235" s="8">
        <v>2</v>
      </c>
      <c r="U235" s="8">
        <v>1</v>
      </c>
      <c r="V235" s="8" t="str">
        <f>IF(Table13[[#This Row],[BMI]]&lt;=18.5,"Underweight",IF(Table13[[#This Row],[BMI]]&lt;=24.9,"Normal",IF(Table13[[#This Row],[BMI]]&lt;=29.9,"Overweight",IF(Table13[[#This Row],[BMI]]&lt;=39,"Obese","Severly Obese"))))</f>
        <v>Overweight</v>
      </c>
      <c r="W235" s="18">
        <v>26.91</v>
      </c>
    </row>
    <row r="236" spans="6:23" x14ac:dyDescent="0.3">
      <c r="F236" s="17">
        <v>26</v>
      </c>
      <c r="G236" s="8" t="str">
        <f>IF(Table13[[#This Row],[Age]]&lt;25,"18-24",IF(Table13[[#This Row],[Age]]&lt;35,"25-34",IF(Table13[[#This Row],[Age]]&lt;45,"35-44",IF(Table13[[#This Row],[Age]]&lt;55,"45-54","55-64"))))</f>
        <v>25-34</v>
      </c>
      <c r="H236" s="8" t="s">
        <v>17</v>
      </c>
      <c r="I236" s="8">
        <v>85.8</v>
      </c>
      <c r="J236" s="8">
        <v>1.87</v>
      </c>
      <c r="K236" s="8">
        <v>188</v>
      </c>
      <c r="L236" s="8">
        <v>162</v>
      </c>
      <c r="M236" s="8">
        <v>58</v>
      </c>
      <c r="N236" s="8">
        <v>1.33</v>
      </c>
      <c r="O236" s="8">
        <v>938</v>
      </c>
      <c r="P236" s="8" t="s">
        <v>21</v>
      </c>
      <c r="Q236" s="8" t="str">
        <f>_xlfn.IFS(AND(Table13[[#This Row],[Gender]]="female",R236&lt;20),"Athletes",AND(Table13[[#This Row],[Gender]]="female",R236&lt;24),"Fitnesss",AND(Table13[[#This Row],[Gender]]="female",R236&lt;31),"Acceptable",AND(Table13[[#This Row],[Gender]]="female",R236&lt;40),"Obese",AND(Table13[[#This Row],[Gender]]="male",R236&lt;13),"Athletes",AND(Table13[[#This Row],[Gender]]="male",R236&lt;17),"Fitnesss",AND(Table13[[#This Row],[Gender]]="male",R236&lt;24.9),"Acceptable",AND(Table13[[#This Row],[Gender]]="male",R236&lt;40),"Obese",AND(Table13[[#This Row],[Gender]]="others",R236&lt;20),"Athletes",AND(Table13[[#This Row],[Gender]]="others",R236&lt;24),"Fitnesss",AND(Table13[[#This Row],[Gender]]="others",R236&lt;31),"Acceptable",AND(Table13[[#This Row],[Gender]]="others",R236&lt;40),"Obese")</f>
        <v>Acceptable</v>
      </c>
      <c r="R236" s="8">
        <v>24.3</v>
      </c>
      <c r="S236" s="8"/>
      <c r="T236" s="8">
        <v>4</v>
      </c>
      <c r="U236" s="8">
        <v>2</v>
      </c>
      <c r="V236" s="8" t="str">
        <f>IF(Table13[[#This Row],[BMI]]&lt;=18.5,"Underweight",IF(Table13[[#This Row],[BMI]]&lt;=24.9,"Normal",IF(Table13[[#This Row],[BMI]]&lt;=29.9,"Overweight",IF(Table13[[#This Row],[BMI]]&lt;=39,"Obese","Severly Obese"))))</f>
        <v>Underweight</v>
      </c>
      <c r="W236" s="18">
        <v>18.34</v>
      </c>
    </row>
    <row r="237" spans="6:23" x14ac:dyDescent="0.3">
      <c r="F237" s="17">
        <v>19</v>
      </c>
      <c r="G237" s="8" t="str">
        <f>IF(Table13[[#This Row],[Age]]&lt;25,"18-24",IF(Table13[[#This Row],[Age]]&lt;35,"25-34",IF(Table13[[#This Row],[Age]]&lt;45,"35-44",IF(Table13[[#This Row],[Age]]&lt;55,"45-54","55-64"))))</f>
        <v>18-24</v>
      </c>
      <c r="H237" s="8" t="s">
        <v>19</v>
      </c>
      <c r="I237" s="8">
        <v>40</v>
      </c>
      <c r="J237" s="8">
        <v>1.59</v>
      </c>
      <c r="K237" s="8">
        <v>187</v>
      </c>
      <c r="L237" s="8">
        <v>152</v>
      </c>
      <c r="M237" s="8">
        <v>73</v>
      </c>
      <c r="N237" s="8">
        <v>1.52</v>
      </c>
      <c r="O237" s="8">
        <v>948</v>
      </c>
      <c r="P237" s="8" t="s">
        <v>22</v>
      </c>
      <c r="Q237" s="8" t="str">
        <f>_xlfn.IFS(AND(Table13[[#This Row],[Gender]]="female",R237&lt;20),"Athletes",AND(Table13[[#This Row],[Gender]]="female",R237&lt;24),"Fitnesss",AND(Table13[[#This Row],[Gender]]="female",R237&lt;31),"Acceptable",AND(Table13[[#This Row],[Gender]]="female",R237&lt;40),"Obese",AND(Table13[[#This Row],[Gender]]="male",R237&lt;13),"Athletes",AND(Table13[[#This Row],[Gender]]="male",R237&lt;17),"Fitnesss",AND(Table13[[#This Row],[Gender]]="male",R237&lt;24.9),"Acceptable",AND(Table13[[#This Row],[Gender]]="male",R237&lt;40),"Obese",AND(Table13[[#This Row],[Gender]]="others",R237&lt;20),"Athletes",AND(Table13[[#This Row],[Gender]]="others",R237&lt;24),"Fitnesss",AND(Table13[[#This Row],[Gender]]="others",R237&lt;31),"Acceptable",AND(Table13[[#This Row],[Gender]]="others",R237&lt;40),"Obese")</f>
        <v>Obese</v>
      </c>
      <c r="R237" s="8">
        <v>27.1</v>
      </c>
      <c r="S237" s="8">
        <v>1.6</v>
      </c>
      <c r="T237" s="8">
        <v>3</v>
      </c>
      <c r="U237" s="8"/>
      <c r="V237" s="8" t="str">
        <f>IF(Table13[[#This Row],[BMI]]&lt;=18.5,"Underweight",IF(Table13[[#This Row],[BMI]]&lt;=24.9,"Normal",IF(Table13[[#This Row],[BMI]]&lt;=29.9,"Overweight",IF(Table13[[#This Row],[BMI]]&lt;=39,"Obese","Severly Obese"))))</f>
        <v>Underweight</v>
      </c>
      <c r="W237" s="18">
        <v>13.85</v>
      </c>
    </row>
    <row r="238" spans="6:23" x14ac:dyDescent="0.3">
      <c r="F238" s="17">
        <v>26</v>
      </c>
      <c r="G238" s="8" t="str">
        <f>IF(Table13[[#This Row],[Age]]&lt;25,"18-24",IF(Table13[[#This Row],[Age]]&lt;35,"25-34",IF(Table13[[#This Row],[Age]]&lt;45,"35-44",IF(Table13[[#This Row],[Age]]&lt;55,"45-54","55-64"))))</f>
        <v>25-34</v>
      </c>
      <c r="H238" s="8" t="s">
        <v>17</v>
      </c>
      <c r="I238" s="8">
        <v>86.6</v>
      </c>
      <c r="J238" s="8"/>
      <c r="K238" s="8">
        <v>192</v>
      </c>
      <c r="L238" s="8">
        <v>120</v>
      </c>
      <c r="M238" s="8">
        <v>59</v>
      </c>
      <c r="N238" s="8">
        <v>1.75</v>
      </c>
      <c r="O238" s="8">
        <v>1102</v>
      </c>
      <c r="P238" s="8" t="s">
        <v>21</v>
      </c>
      <c r="Q238" s="8" t="str">
        <f>_xlfn.IFS(AND(Table13[[#This Row],[Gender]]="female",R238&lt;20),"Athletes",AND(Table13[[#This Row],[Gender]]="female",R238&lt;24),"Fitnesss",AND(Table13[[#This Row],[Gender]]="female",R238&lt;31),"Acceptable",AND(Table13[[#This Row],[Gender]]="female",R238&lt;40),"Obese",AND(Table13[[#This Row],[Gender]]="male",R238&lt;13),"Athletes",AND(Table13[[#This Row],[Gender]]="male",R238&lt;17),"Fitnesss",AND(Table13[[#This Row],[Gender]]="male",R238&lt;24.9),"Acceptable",AND(Table13[[#This Row],[Gender]]="male",R238&lt;40),"Obese",AND(Table13[[#This Row],[Gender]]="others",R238&lt;20),"Athletes",AND(Table13[[#This Row],[Gender]]="others",R238&lt;24),"Fitnesss",AND(Table13[[#This Row],[Gender]]="others",R238&lt;31),"Acceptable",AND(Table13[[#This Row],[Gender]]="others",R238&lt;40),"Obese")</f>
        <v>Athletes</v>
      </c>
      <c r="R238" s="8">
        <v>19</v>
      </c>
      <c r="S238" s="8">
        <v>1.8</v>
      </c>
      <c r="T238" s="8">
        <v>3</v>
      </c>
      <c r="U238" s="8">
        <v>1</v>
      </c>
      <c r="V238" s="8" t="str">
        <f>IF(Table13[[#This Row],[BMI]]&lt;=18.5,"Underweight",IF(Table13[[#This Row],[BMI]]&lt;=24.9,"Normal",IF(Table13[[#This Row],[BMI]]&lt;=29.9,"Overweight",IF(Table13[[#This Row],[BMI]]&lt;=39,"Obese","Severly Obese"))))</f>
        <v>Underweight</v>
      </c>
      <c r="W238" s="18">
        <v>17.940000000000001</v>
      </c>
    </row>
    <row r="239" spans="6:23" x14ac:dyDescent="0.3">
      <c r="F239" s="17">
        <v>39</v>
      </c>
      <c r="G239" s="8" t="str">
        <f>IF(Table13[[#This Row],[Age]]&lt;25,"18-24",IF(Table13[[#This Row],[Age]]&lt;35,"25-34",IF(Table13[[#This Row],[Age]]&lt;45,"35-44",IF(Table13[[#This Row],[Age]]&lt;55,"45-54","55-64"))))</f>
        <v>35-44</v>
      </c>
      <c r="H239" s="8" t="s">
        <v>19</v>
      </c>
      <c r="I239" s="8">
        <v>70.7</v>
      </c>
      <c r="J239" s="8">
        <v>1.58</v>
      </c>
      <c r="K239" s="8">
        <v>189</v>
      </c>
      <c r="L239" s="8">
        <v>163</v>
      </c>
      <c r="M239" s="8">
        <v>66</v>
      </c>
      <c r="N239" s="8">
        <v>1.69</v>
      </c>
      <c r="O239" s="8">
        <v>1146</v>
      </c>
      <c r="P239" s="8" t="s">
        <v>22</v>
      </c>
      <c r="Q239" s="8" t="str">
        <f>_xlfn.IFS(AND(Table13[[#This Row],[Gender]]="female",R239&lt;20),"Athletes",AND(Table13[[#This Row],[Gender]]="female",R239&lt;24),"Fitnesss",AND(Table13[[#This Row],[Gender]]="female",R239&lt;31),"Acceptable",AND(Table13[[#This Row],[Gender]]="female",R239&lt;40),"Obese",AND(Table13[[#This Row],[Gender]]="male",R239&lt;13),"Athletes",AND(Table13[[#This Row],[Gender]]="male",R239&lt;17),"Fitnesss",AND(Table13[[#This Row],[Gender]]="male",R239&lt;24.9),"Acceptable",AND(Table13[[#This Row],[Gender]]="male",R239&lt;40),"Obese",AND(Table13[[#This Row],[Gender]]="others",R239&lt;20),"Athletes",AND(Table13[[#This Row],[Gender]]="others",R239&lt;24),"Fitnesss",AND(Table13[[#This Row],[Gender]]="others",R239&lt;31),"Acceptable",AND(Table13[[#This Row],[Gender]]="others",R239&lt;40),"Obese")</f>
        <v>Acceptable</v>
      </c>
      <c r="R239" s="8">
        <v>21.9</v>
      </c>
      <c r="S239" s="8">
        <v>3.2</v>
      </c>
      <c r="T239" s="8">
        <v>3</v>
      </c>
      <c r="U239" s="8">
        <v>1</v>
      </c>
      <c r="V239" s="8" t="str">
        <f>IF(Table13[[#This Row],[BMI]]&lt;=18.5,"Underweight",IF(Table13[[#This Row],[BMI]]&lt;=24.9,"Normal",IF(Table13[[#This Row],[BMI]]&lt;=29.9,"Overweight",IF(Table13[[#This Row],[BMI]]&lt;=39,"Obese","Severly Obese"))))</f>
        <v>Normal</v>
      </c>
      <c r="W239" s="18">
        <v>21.17</v>
      </c>
    </row>
    <row r="240" spans="6:23" x14ac:dyDescent="0.3">
      <c r="F240" s="17">
        <v>37</v>
      </c>
      <c r="G240" s="8" t="str">
        <f>IF(Table13[[#This Row],[Age]]&lt;25,"18-24",IF(Table13[[#This Row],[Age]]&lt;35,"25-34",IF(Table13[[#This Row],[Age]]&lt;45,"35-44",IF(Table13[[#This Row],[Age]]&lt;55,"45-54","55-64"))))</f>
        <v>35-44</v>
      </c>
      <c r="H240" s="8" t="s">
        <v>17</v>
      </c>
      <c r="I240" s="8">
        <v>40</v>
      </c>
      <c r="J240" s="8">
        <v>1.59</v>
      </c>
      <c r="K240" s="8">
        <v>190</v>
      </c>
      <c r="L240" s="8">
        <v>161</v>
      </c>
      <c r="M240" s="8">
        <v>70</v>
      </c>
      <c r="N240" s="8">
        <v>1.1599999999999999</v>
      </c>
      <c r="O240" s="8">
        <v>670</v>
      </c>
      <c r="P240" s="8" t="s">
        <v>23</v>
      </c>
      <c r="Q240" s="8" t="str">
        <f>_xlfn.IFS(AND(Table13[[#This Row],[Gender]]="female",R240&lt;20),"Athletes",AND(Table13[[#This Row],[Gender]]="female",R240&lt;24),"Fitnesss",AND(Table13[[#This Row],[Gender]]="female",R240&lt;31),"Acceptable",AND(Table13[[#This Row],[Gender]]="female",R240&lt;40),"Obese",AND(Table13[[#This Row],[Gender]]="male",R240&lt;13),"Athletes",AND(Table13[[#This Row],[Gender]]="male",R240&lt;17),"Fitnesss",AND(Table13[[#This Row],[Gender]]="male",R240&lt;24.9),"Acceptable",AND(Table13[[#This Row],[Gender]]="male",R240&lt;40),"Obese",AND(Table13[[#This Row],[Gender]]="others",R240&lt;20),"Athletes",AND(Table13[[#This Row],[Gender]]="others",R240&lt;24),"Fitnesss",AND(Table13[[#This Row],[Gender]]="others",R240&lt;31),"Acceptable",AND(Table13[[#This Row],[Gender]]="others",R240&lt;40),"Obese")</f>
        <v>Acceptable</v>
      </c>
      <c r="R240" s="8">
        <v>24.5</v>
      </c>
      <c r="S240" s="8">
        <v>3.3</v>
      </c>
      <c r="T240" s="8">
        <v>4</v>
      </c>
      <c r="U240" s="8">
        <v>2</v>
      </c>
      <c r="V240" s="8" t="str">
        <f>IF(Table13[[#This Row],[BMI]]&lt;=18.5,"Underweight",IF(Table13[[#This Row],[BMI]]&lt;=24.9,"Normal",IF(Table13[[#This Row],[BMI]]&lt;=29.9,"Overweight",IF(Table13[[#This Row],[BMI]]&lt;=39,"Obese","Severly Obese"))))</f>
        <v>Underweight</v>
      </c>
      <c r="W240" s="18"/>
    </row>
    <row r="241" spans="6:23" x14ac:dyDescent="0.3">
      <c r="F241" s="17">
        <v>19</v>
      </c>
      <c r="G241" s="8" t="str">
        <f>IF(Table13[[#This Row],[Age]]&lt;25,"18-24",IF(Table13[[#This Row],[Age]]&lt;35,"25-34",IF(Table13[[#This Row],[Age]]&lt;45,"35-44",IF(Table13[[#This Row],[Age]]&lt;55,"45-54","55-64"))))</f>
        <v>18-24</v>
      </c>
      <c r="H241" s="8" t="s">
        <v>17</v>
      </c>
      <c r="I241" s="8">
        <v>66.7</v>
      </c>
      <c r="J241" s="8">
        <v>1.73</v>
      </c>
      <c r="K241" s="8">
        <v>172</v>
      </c>
      <c r="L241" s="8"/>
      <c r="M241" s="8">
        <v>71</v>
      </c>
      <c r="N241" s="8">
        <v>1.18</v>
      </c>
      <c r="O241" s="8">
        <v>589</v>
      </c>
      <c r="P241" s="8" t="s">
        <v>21</v>
      </c>
      <c r="Q241" s="8" t="str">
        <f>_xlfn.IFS(AND(Table13[[#This Row],[Gender]]="female",R241&lt;20),"Athletes",AND(Table13[[#This Row],[Gender]]="female",R241&lt;24),"Fitnesss",AND(Table13[[#This Row],[Gender]]="female",R241&lt;31),"Acceptable",AND(Table13[[#This Row],[Gender]]="female",R241&lt;40),"Obese",AND(Table13[[#This Row],[Gender]]="male",R241&lt;13),"Athletes",AND(Table13[[#This Row],[Gender]]="male",R241&lt;17),"Fitnesss",AND(Table13[[#This Row],[Gender]]="male",R241&lt;24.9),"Acceptable",AND(Table13[[#This Row],[Gender]]="male",R241&lt;40),"Obese",AND(Table13[[#This Row],[Gender]]="others",R241&lt;20),"Athletes",AND(Table13[[#This Row],[Gender]]="others",R241&lt;24),"Fitnesss",AND(Table13[[#This Row],[Gender]]="others",R241&lt;31),"Acceptable",AND(Table13[[#This Row],[Gender]]="others",R241&lt;40),"Obese")</f>
        <v>Acceptable</v>
      </c>
      <c r="R241" s="8">
        <v>24.9</v>
      </c>
      <c r="S241" s="8">
        <v>1.8</v>
      </c>
      <c r="T241" s="8">
        <v>3</v>
      </c>
      <c r="U241" s="8">
        <v>1</v>
      </c>
      <c r="V241" s="8" t="str">
        <f>IF(Table13[[#This Row],[BMI]]&lt;=18.5,"Underweight",IF(Table13[[#This Row],[BMI]]&lt;=24.9,"Normal",IF(Table13[[#This Row],[BMI]]&lt;=29.9,"Overweight",IF(Table13[[#This Row],[BMI]]&lt;=39,"Obese","Severly Obese"))))</f>
        <v>Normal</v>
      </c>
      <c r="W241" s="18">
        <v>19.239999999999998</v>
      </c>
    </row>
    <row r="242" spans="6:23" x14ac:dyDescent="0.3">
      <c r="F242" s="17">
        <v>39</v>
      </c>
      <c r="G242" s="8" t="str">
        <f>IF(Table13[[#This Row],[Age]]&lt;25,"18-24",IF(Table13[[#This Row],[Age]]&lt;35,"25-34",IF(Table13[[#This Row],[Age]]&lt;45,"35-44",IF(Table13[[#This Row],[Age]]&lt;55,"45-54","55-64"))))</f>
        <v>35-44</v>
      </c>
      <c r="H242" s="8" t="s">
        <v>17</v>
      </c>
      <c r="I242" s="8">
        <v>72.099999999999994</v>
      </c>
      <c r="J242" s="8">
        <v>1.52</v>
      </c>
      <c r="K242" s="8">
        <v>172</v>
      </c>
      <c r="L242" s="8">
        <v>151</v>
      </c>
      <c r="M242" s="8">
        <v>18</v>
      </c>
      <c r="N242" s="8">
        <v>1.0900000000000001</v>
      </c>
      <c r="O242" s="8">
        <v>1093</v>
      </c>
      <c r="P242" s="8" t="s">
        <v>21</v>
      </c>
      <c r="Q242" s="8" t="str">
        <f>_xlfn.IFS(AND(Table13[[#This Row],[Gender]]="female",R242&lt;20),"Athletes",AND(Table13[[#This Row],[Gender]]="female",R242&lt;24),"Fitnesss",AND(Table13[[#This Row],[Gender]]="female",R242&lt;31),"Acceptable",AND(Table13[[#This Row],[Gender]]="female",R242&lt;40),"Obese",AND(Table13[[#This Row],[Gender]]="male",R242&lt;13),"Athletes",AND(Table13[[#This Row],[Gender]]="male",R242&lt;17),"Fitnesss",AND(Table13[[#This Row],[Gender]]="male",R242&lt;24.9),"Acceptable",AND(Table13[[#This Row],[Gender]]="male",R242&lt;40),"Obese",AND(Table13[[#This Row],[Gender]]="others",R242&lt;20),"Athletes",AND(Table13[[#This Row],[Gender]]="others",R242&lt;24),"Fitnesss",AND(Table13[[#This Row],[Gender]]="others",R242&lt;31),"Acceptable",AND(Table13[[#This Row],[Gender]]="others",R242&lt;40),"Obese")</f>
        <v>Acceptable</v>
      </c>
      <c r="R242" s="8">
        <v>28.2</v>
      </c>
      <c r="S242" s="8">
        <v>2.7</v>
      </c>
      <c r="T242" s="8">
        <v>2</v>
      </c>
      <c r="U242" s="8">
        <v>1</v>
      </c>
      <c r="V242" s="8" t="str">
        <f>IF(Table13[[#This Row],[BMI]]&lt;=18.5,"Underweight",IF(Table13[[#This Row],[BMI]]&lt;=24.9,"Normal",IF(Table13[[#This Row],[BMI]]&lt;=29.9,"Overweight",IF(Table13[[#This Row],[BMI]]&lt;=39,"Obese","Severly Obese"))))</f>
        <v>Normal</v>
      </c>
      <c r="W242" s="18">
        <v>20.85</v>
      </c>
    </row>
    <row r="243" spans="6:23" x14ac:dyDescent="0.3">
      <c r="F243" s="17">
        <v>53</v>
      </c>
      <c r="G243" s="8" t="str">
        <f>IF(Table13[[#This Row],[Age]]&lt;25,"18-24",IF(Table13[[#This Row],[Age]]&lt;35,"25-34",IF(Table13[[#This Row],[Age]]&lt;45,"35-44",IF(Table13[[#This Row],[Age]]&lt;55,"45-54","55-64"))))</f>
        <v>45-54</v>
      </c>
      <c r="H243" s="8" t="s">
        <v>19</v>
      </c>
      <c r="I243" s="8">
        <v>80.5</v>
      </c>
      <c r="J243" s="8">
        <v>1.64</v>
      </c>
      <c r="K243" s="8">
        <v>173</v>
      </c>
      <c r="L243" s="8">
        <v>120</v>
      </c>
      <c r="M243" s="8">
        <v>60</v>
      </c>
      <c r="N243" s="8">
        <v>1.26</v>
      </c>
      <c r="O243" s="8">
        <v>735</v>
      </c>
      <c r="P243" s="8" t="s">
        <v>22</v>
      </c>
      <c r="Q243" s="8" t="str">
        <f>_xlfn.IFS(AND(Table13[[#This Row],[Gender]]="female",R243&lt;20),"Athletes",AND(Table13[[#This Row],[Gender]]="female",R243&lt;24),"Fitnesss",AND(Table13[[#This Row],[Gender]]="female",R243&lt;31),"Acceptable",AND(Table13[[#This Row],[Gender]]="female",R243&lt;40),"Obese",AND(Table13[[#This Row],[Gender]]="male",R243&lt;13),"Athletes",AND(Table13[[#This Row],[Gender]]="male",R243&lt;17),"Fitnesss",AND(Table13[[#This Row],[Gender]]="male",R243&lt;24.9),"Acceptable",AND(Table13[[#This Row],[Gender]]="male",R243&lt;40),"Obese",AND(Table13[[#This Row],[Gender]]="others",R243&lt;20),"Athletes",AND(Table13[[#This Row],[Gender]]="others",R243&lt;24),"Fitnesss",AND(Table13[[#This Row],[Gender]]="others",R243&lt;31),"Acceptable",AND(Table13[[#This Row],[Gender]]="others",R243&lt;40),"Obese")</f>
        <v>Obese</v>
      </c>
      <c r="R243" s="8">
        <v>26.3</v>
      </c>
      <c r="S243" s="8"/>
      <c r="T243" s="8">
        <v>4</v>
      </c>
      <c r="U243" s="8">
        <v>2</v>
      </c>
      <c r="V243" s="8" t="str">
        <f>IF(Table13[[#This Row],[BMI]]&lt;=18.5,"Underweight",IF(Table13[[#This Row],[BMI]]&lt;=24.9,"Normal",IF(Table13[[#This Row],[BMI]]&lt;=29.9,"Overweight",IF(Table13[[#This Row],[BMI]]&lt;=39,"Obese","Severly Obese"))))</f>
        <v>Underweight</v>
      </c>
      <c r="W243" s="18">
        <v>12.32</v>
      </c>
    </row>
    <row r="244" spans="6:23" x14ac:dyDescent="0.3">
      <c r="F244" s="17">
        <v>41</v>
      </c>
      <c r="G244" s="8" t="str">
        <f>IF(Table13[[#This Row],[Age]]&lt;25,"18-24",IF(Table13[[#This Row],[Age]]&lt;35,"25-34",IF(Table13[[#This Row],[Age]]&lt;45,"35-44",IF(Table13[[#This Row],[Age]]&lt;55,"45-54","55-64"))))</f>
        <v>35-44</v>
      </c>
      <c r="H244" s="8" t="s">
        <v>19</v>
      </c>
      <c r="I244" s="8">
        <v>77</v>
      </c>
      <c r="J244" s="8">
        <v>1.5</v>
      </c>
      <c r="K244" s="8">
        <v>190</v>
      </c>
      <c r="L244" s="8">
        <v>146</v>
      </c>
      <c r="M244" s="8">
        <v>56</v>
      </c>
      <c r="N244" s="8">
        <v>1.3</v>
      </c>
      <c r="O244" s="8">
        <v>1067</v>
      </c>
      <c r="P244" s="8" t="s">
        <v>18</v>
      </c>
      <c r="Q244" s="8" t="str">
        <f>_xlfn.IFS(AND(Table13[[#This Row],[Gender]]="female",R244&lt;20),"Athletes",AND(Table13[[#This Row],[Gender]]="female",R244&lt;24),"Fitnesss",AND(Table13[[#This Row],[Gender]]="female",R244&lt;31),"Acceptable",AND(Table13[[#This Row],[Gender]]="female",R244&lt;40),"Obese",AND(Table13[[#This Row],[Gender]]="male",R244&lt;13),"Athletes",AND(Table13[[#This Row],[Gender]]="male",R244&lt;17),"Fitnesss",AND(Table13[[#This Row],[Gender]]="male",R244&lt;24.9),"Acceptable",AND(Table13[[#This Row],[Gender]]="male",R244&lt;40),"Obese",AND(Table13[[#This Row],[Gender]]="others",R244&lt;20),"Athletes",AND(Table13[[#This Row],[Gender]]="others",R244&lt;24),"Fitnesss",AND(Table13[[#This Row],[Gender]]="others",R244&lt;31),"Acceptable",AND(Table13[[#This Row],[Gender]]="others",R244&lt;40),"Obese")</f>
        <v>Obese</v>
      </c>
      <c r="R244" s="8">
        <v>27.5</v>
      </c>
      <c r="S244" s="8">
        <v>3.3</v>
      </c>
      <c r="T244" s="8">
        <v>4</v>
      </c>
      <c r="U244" s="8">
        <v>2</v>
      </c>
      <c r="V244" s="8" t="str">
        <f>IF(Table13[[#This Row],[BMI]]&lt;=18.5,"Underweight",IF(Table13[[#This Row],[BMI]]&lt;=24.9,"Normal",IF(Table13[[#This Row],[BMI]]&lt;=29.9,"Overweight",IF(Table13[[#This Row],[BMI]]&lt;=39,"Obese","Severly Obese"))))</f>
        <v>Overweight</v>
      </c>
      <c r="W244" s="18">
        <v>26.26</v>
      </c>
    </row>
    <row r="245" spans="6:23" x14ac:dyDescent="0.3">
      <c r="F245" s="17">
        <v>23</v>
      </c>
      <c r="G245" s="8" t="str">
        <f>IF(Table13[[#This Row],[Age]]&lt;25,"18-24",IF(Table13[[#This Row],[Age]]&lt;35,"25-34",IF(Table13[[#This Row],[Age]]&lt;45,"35-44",IF(Table13[[#This Row],[Age]]&lt;55,"45-54","55-64"))))</f>
        <v>18-24</v>
      </c>
      <c r="H245" s="8" t="s">
        <v>19</v>
      </c>
      <c r="I245" s="8">
        <v>117.8</v>
      </c>
      <c r="J245" s="8">
        <v>1.88</v>
      </c>
      <c r="K245" s="8">
        <v>168</v>
      </c>
      <c r="L245" s="8">
        <v>167</v>
      </c>
      <c r="M245" s="8">
        <v>55</v>
      </c>
      <c r="N245" s="8">
        <v>1.35</v>
      </c>
      <c r="O245" s="8">
        <v>1259</v>
      </c>
      <c r="P245" s="8" t="s">
        <v>18</v>
      </c>
      <c r="Q245" s="8" t="str">
        <f>_xlfn.IFS(AND(Table13[[#This Row],[Gender]]="female",R245&lt;20),"Athletes",AND(Table13[[#This Row],[Gender]]="female",R245&lt;24),"Fitnesss",AND(Table13[[#This Row],[Gender]]="female",R245&lt;31),"Acceptable",AND(Table13[[#This Row],[Gender]]="female",R245&lt;40),"Obese",AND(Table13[[#This Row],[Gender]]="male",R245&lt;13),"Athletes",AND(Table13[[#This Row],[Gender]]="male",R245&lt;17),"Fitnesss",AND(Table13[[#This Row],[Gender]]="male",R245&lt;24.9),"Acceptable",AND(Table13[[#This Row],[Gender]]="male",R245&lt;40),"Obese",AND(Table13[[#This Row],[Gender]]="others",R245&lt;20),"Athletes",AND(Table13[[#This Row],[Gender]]="others",R245&lt;24),"Fitnesss",AND(Table13[[#This Row],[Gender]]="others",R245&lt;31),"Acceptable",AND(Table13[[#This Row],[Gender]]="others",R245&lt;40),"Obese")</f>
        <v>Obese</v>
      </c>
      <c r="R245" s="8">
        <v>32.299999999999997</v>
      </c>
      <c r="S245" s="8">
        <v>1.6</v>
      </c>
      <c r="T245" s="8">
        <v>3</v>
      </c>
      <c r="U245" s="8">
        <v>2</v>
      </c>
      <c r="V245" s="8" t="str">
        <f>IF(Table13[[#This Row],[BMI]]&lt;=18.5,"Underweight",IF(Table13[[#This Row],[BMI]]&lt;=24.9,"Normal",IF(Table13[[#This Row],[BMI]]&lt;=29.9,"Overweight",IF(Table13[[#This Row],[BMI]]&lt;=39,"Obese","Severly Obese"))))</f>
        <v>Underweight</v>
      </c>
      <c r="W245" s="18">
        <v>14.24</v>
      </c>
    </row>
    <row r="246" spans="6:23" x14ac:dyDescent="0.3">
      <c r="F246" s="17">
        <v>31</v>
      </c>
      <c r="G246" s="8" t="str">
        <f>IF(Table13[[#This Row],[Age]]&lt;25,"18-24",IF(Table13[[#This Row],[Age]]&lt;35,"25-34",IF(Table13[[#This Row],[Age]]&lt;45,"35-44",IF(Table13[[#This Row],[Age]]&lt;55,"45-54","55-64"))))</f>
        <v>25-34</v>
      </c>
      <c r="H246" s="8" t="s">
        <v>17</v>
      </c>
      <c r="I246" s="8">
        <v>76.2</v>
      </c>
      <c r="J246" s="8">
        <v>1.64</v>
      </c>
      <c r="K246" s="8">
        <v>169</v>
      </c>
      <c r="L246" s="8">
        <v>137</v>
      </c>
      <c r="M246" s="8">
        <v>72</v>
      </c>
      <c r="N246" s="8">
        <v>0.74</v>
      </c>
      <c r="O246" s="8">
        <v>1207</v>
      </c>
      <c r="P246" s="8" t="s">
        <v>18</v>
      </c>
      <c r="Q246" s="8" t="str">
        <f>_xlfn.IFS(AND(Table13[[#This Row],[Gender]]="female",R246&lt;20),"Athletes",AND(Table13[[#This Row],[Gender]]="female",R246&lt;24),"Fitnesss",AND(Table13[[#This Row],[Gender]]="female",R246&lt;31),"Acceptable",AND(Table13[[#This Row],[Gender]]="female",R246&lt;40),"Obese",AND(Table13[[#This Row],[Gender]]="male",R246&lt;13),"Athletes",AND(Table13[[#This Row],[Gender]]="male",R246&lt;17),"Fitnesss",AND(Table13[[#This Row],[Gender]]="male",R246&lt;24.9),"Acceptable",AND(Table13[[#This Row],[Gender]]="male",R246&lt;40),"Obese",AND(Table13[[#This Row],[Gender]]="others",R246&lt;20),"Athletes",AND(Table13[[#This Row],[Gender]]="others",R246&lt;24),"Fitnesss",AND(Table13[[#This Row],[Gender]]="others",R246&lt;31),"Acceptable",AND(Table13[[#This Row],[Gender]]="others",R246&lt;40),"Obese")</f>
        <v>Fitnesss</v>
      </c>
      <c r="R246" s="8">
        <v>23.3</v>
      </c>
      <c r="S246" s="8">
        <v>2.7</v>
      </c>
      <c r="T246" s="8"/>
      <c r="U246" s="8">
        <v>3</v>
      </c>
      <c r="V246" s="8" t="str">
        <f>IF(Table13[[#This Row],[BMI]]&lt;=18.5,"Underweight",IF(Table13[[#This Row],[BMI]]&lt;=24.9,"Normal",IF(Table13[[#This Row],[BMI]]&lt;=29.9,"Overweight",IF(Table13[[#This Row],[BMI]]&lt;=39,"Obese","Severly Obese"))))</f>
        <v>Severly Obese</v>
      </c>
      <c r="W246" s="18">
        <v>40.630000000000003</v>
      </c>
    </row>
    <row r="247" spans="6:23" x14ac:dyDescent="0.3">
      <c r="F247" s="17">
        <v>50</v>
      </c>
      <c r="G247" s="8" t="str">
        <f>IF(Table13[[#This Row],[Age]]&lt;25,"18-24",IF(Table13[[#This Row],[Age]]&lt;35,"25-34",IF(Table13[[#This Row],[Age]]&lt;45,"35-44",IF(Table13[[#This Row],[Age]]&lt;55,"45-54","55-64"))))</f>
        <v>45-54</v>
      </c>
      <c r="H247" s="8" t="s">
        <v>17</v>
      </c>
      <c r="I247" s="8">
        <v>57.3</v>
      </c>
      <c r="J247" s="8">
        <v>1.72</v>
      </c>
      <c r="K247" s="8">
        <v>197</v>
      </c>
      <c r="L247" s="8">
        <v>133</v>
      </c>
      <c r="M247" s="8">
        <v>56</v>
      </c>
      <c r="N247" s="8">
        <v>2</v>
      </c>
      <c r="O247" s="8">
        <v>950</v>
      </c>
      <c r="P247" s="8" t="s">
        <v>22</v>
      </c>
      <c r="Q247" s="8" t="str">
        <f>_xlfn.IFS(AND(Table13[[#This Row],[Gender]]="female",R247&lt;20),"Athletes",AND(Table13[[#This Row],[Gender]]="female",R247&lt;24),"Fitnesss",AND(Table13[[#This Row],[Gender]]="female",R247&lt;31),"Acceptable",AND(Table13[[#This Row],[Gender]]="female",R247&lt;40),"Obese",AND(Table13[[#This Row],[Gender]]="male",R247&lt;13),"Athletes",AND(Table13[[#This Row],[Gender]]="male",R247&lt;17),"Fitnesss",AND(Table13[[#This Row],[Gender]]="male",R247&lt;24.9),"Acceptable",AND(Table13[[#This Row],[Gender]]="male",R247&lt;40),"Obese",AND(Table13[[#This Row],[Gender]]="others",R247&lt;20),"Athletes",AND(Table13[[#This Row],[Gender]]="others",R247&lt;24),"Fitnesss",AND(Table13[[#This Row],[Gender]]="others",R247&lt;31),"Acceptable",AND(Table13[[#This Row],[Gender]]="others",R247&lt;40),"Obese")</f>
        <v>Athletes</v>
      </c>
      <c r="R247" s="8">
        <v>11.1</v>
      </c>
      <c r="S247" s="8">
        <v>3.2</v>
      </c>
      <c r="T247" s="8">
        <v>2</v>
      </c>
      <c r="U247" s="8">
        <v>3</v>
      </c>
      <c r="V247" s="8" t="str">
        <f>IF(Table13[[#This Row],[BMI]]&lt;=18.5,"Underweight",IF(Table13[[#This Row],[BMI]]&lt;=24.9,"Normal",IF(Table13[[#This Row],[BMI]]&lt;=29.9,"Overweight",IF(Table13[[#This Row],[BMI]]&lt;=39,"Obese","Severly Obese"))))</f>
        <v>Normal</v>
      </c>
      <c r="W247" s="18">
        <v>22.6</v>
      </c>
    </row>
    <row r="248" spans="6:23" x14ac:dyDescent="0.3">
      <c r="F248" s="17">
        <v>22</v>
      </c>
      <c r="G248" s="8" t="str">
        <f>IF(Table13[[#This Row],[Age]]&lt;25,"18-24",IF(Table13[[#This Row],[Age]]&lt;35,"25-34",IF(Table13[[#This Row],[Age]]&lt;45,"35-44",IF(Table13[[#This Row],[Age]]&lt;55,"45-54","55-64"))))</f>
        <v>18-24</v>
      </c>
      <c r="H248" s="8" t="s">
        <v>17</v>
      </c>
      <c r="I248" s="8">
        <v>103.1</v>
      </c>
      <c r="J248" s="8">
        <v>1.72</v>
      </c>
      <c r="K248" s="8">
        <v>168</v>
      </c>
      <c r="L248" s="8">
        <v>166</v>
      </c>
      <c r="M248" s="8">
        <v>59</v>
      </c>
      <c r="N248" s="8">
        <v>1.07</v>
      </c>
      <c r="O248" s="8">
        <v>978</v>
      </c>
      <c r="P248" s="8" t="s">
        <v>21</v>
      </c>
      <c r="Q248" s="8" t="str">
        <f>_xlfn.IFS(AND(Table13[[#This Row],[Gender]]="female",R248&lt;20),"Athletes",AND(Table13[[#This Row],[Gender]]="female",R248&lt;24),"Fitnesss",AND(Table13[[#This Row],[Gender]]="female",R248&lt;31),"Acceptable",AND(Table13[[#This Row],[Gender]]="female",R248&lt;40),"Obese",AND(Table13[[#This Row],[Gender]]="male",R248&lt;13),"Athletes",AND(Table13[[#This Row],[Gender]]="male",R248&lt;17),"Fitnesss",AND(Table13[[#This Row],[Gender]]="male",R248&lt;24.9),"Acceptable",AND(Table13[[#This Row],[Gender]]="male",R248&lt;40),"Obese",AND(Table13[[#This Row],[Gender]]="others",R248&lt;20),"Athletes",AND(Table13[[#This Row],[Gender]]="others",R248&lt;24),"Fitnesss",AND(Table13[[#This Row],[Gender]]="others",R248&lt;31),"Acceptable",AND(Table13[[#This Row],[Gender]]="others",R248&lt;40),"Obese")</f>
        <v>Fitnesss</v>
      </c>
      <c r="R248" s="8">
        <v>23.1</v>
      </c>
      <c r="S248" s="8">
        <v>1.9</v>
      </c>
      <c r="T248" s="8">
        <v>2</v>
      </c>
      <c r="U248" s="8">
        <v>2</v>
      </c>
      <c r="V248" s="8" t="str">
        <f>IF(Table13[[#This Row],[BMI]]&lt;=18.5,"Underweight",IF(Table13[[#This Row],[BMI]]&lt;=24.9,"Normal",IF(Table13[[#This Row],[BMI]]&lt;=29.9,"Overweight",IF(Table13[[#This Row],[BMI]]&lt;=39,"Obese","Severly Obese"))))</f>
        <v>Underweight</v>
      </c>
      <c r="W248" s="18">
        <v>16.79</v>
      </c>
    </row>
    <row r="249" spans="6:23" x14ac:dyDescent="0.3">
      <c r="F249" s="17">
        <v>29</v>
      </c>
      <c r="G249" s="8" t="str">
        <f>IF(Table13[[#This Row],[Age]]&lt;25,"18-24",IF(Table13[[#This Row],[Age]]&lt;35,"25-34",IF(Table13[[#This Row],[Age]]&lt;45,"35-44",IF(Table13[[#This Row],[Age]]&lt;55,"45-54","55-64"))))</f>
        <v>25-34</v>
      </c>
      <c r="H249" s="8" t="s">
        <v>17</v>
      </c>
      <c r="I249" s="8">
        <v>77.400000000000006</v>
      </c>
      <c r="J249" s="8">
        <v>1.69</v>
      </c>
      <c r="K249" s="8">
        <v>179</v>
      </c>
      <c r="L249" s="8">
        <v>132</v>
      </c>
      <c r="M249" s="8">
        <v>74</v>
      </c>
      <c r="N249" s="8">
        <v>1.1100000000000001</v>
      </c>
      <c r="O249" s="8">
        <v>712</v>
      </c>
      <c r="P249" s="8" t="s">
        <v>22</v>
      </c>
      <c r="Q249" s="8" t="str">
        <f>_xlfn.IFS(AND(Table13[[#This Row],[Gender]]="female",R249&lt;20),"Athletes",AND(Table13[[#This Row],[Gender]]="female",R249&lt;24),"Fitnesss",AND(Table13[[#This Row],[Gender]]="female",R249&lt;31),"Acceptable",AND(Table13[[#This Row],[Gender]]="female",R249&lt;40),"Obese",AND(Table13[[#This Row],[Gender]]="male",R249&lt;13),"Athletes",AND(Table13[[#This Row],[Gender]]="male",R249&lt;17),"Fitnesss",AND(Table13[[#This Row],[Gender]]="male",R249&lt;24.9),"Acceptable",AND(Table13[[#This Row],[Gender]]="male",R249&lt;40),"Obese",AND(Table13[[#This Row],[Gender]]="others",R249&lt;20),"Athletes",AND(Table13[[#This Row],[Gender]]="others",R249&lt;24),"Fitnesss",AND(Table13[[#This Row],[Gender]]="others",R249&lt;31),"Acceptable",AND(Table13[[#This Row],[Gender]]="others",R249&lt;40),"Obese")</f>
        <v>Acceptable</v>
      </c>
      <c r="R249" s="8">
        <v>27</v>
      </c>
      <c r="S249" s="8">
        <v>3.5</v>
      </c>
      <c r="T249" s="8">
        <v>2</v>
      </c>
      <c r="U249" s="8">
        <v>3</v>
      </c>
      <c r="V249" s="8" t="str">
        <f>IF(Table13[[#This Row],[BMI]]&lt;=18.5,"Underweight",IF(Table13[[#This Row],[BMI]]&lt;=24.9,"Normal",IF(Table13[[#This Row],[BMI]]&lt;=29.9,"Overweight",IF(Table13[[#This Row],[BMI]]&lt;=39,"Obese","Severly Obese"))))</f>
        <v>Underweight</v>
      </c>
      <c r="W249" s="18">
        <v>16.23</v>
      </c>
    </row>
    <row r="250" spans="6:23" x14ac:dyDescent="0.3">
      <c r="F250" s="17">
        <v>18</v>
      </c>
      <c r="G250" s="8" t="str">
        <f>IF(Table13[[#This Row],[Age]]&lt;25,"18-24",IF(Table13[[#This Row],[Age]]&lt;35,"25-34",IF(Table13[[#This Row],[Age]]&lt;45,"35-44",IF(Table13[[#This Row],[Age]]&lt;55,"45-54","55-64"))))</f>
        <v>18-24</v>
      </c>
      <c r="H250" s="8" t="s">
        <v>19</v>
      </c>
      <c r="I250" s="8">
        <v>84.1</v>
      </c>
      <c r="J250" s="8">
        <v>1.78</v>
      </c>
      <c r="K250" s="8">
        <v>194</v>
      </c>
      <c r="L250" s="8">
        <v>145</v>
      </c>
      <c r="M250" s="8">
        <v>64</v>
      </c>
      <c r="N250" s="8">
        <v>2</v>
      </c>
      <c r="O250" s="8">
        <v>686</v>
      </c>
      <c r="P250" s="8" t="s">
        <v>20</v>
      </c>
      <c r="Q250" s="8" t="str">
        <f>_xlfn.IFS(AND(Table13[[#This Row],[Gender]]="female",R250&lt;20),"Athletes",AND(Table13[[#This Row],[Gender]]="female",R250&lt;24),"Fitnesss",AND(Table13[[#This Row],[Gender]]="female",R250&lt;31),"Acceptable",AND(Table13[[#This Row],[Gender]]="female",R250&lt;40),"Obese",AND(Table13[[#This Row],[Gender]]="male",R250&lt;13),"Athletes",AND(Table13[[#This Row],[Gender]]="male",R250&lt;17),"Fitnesss",AND(Table13[[#This Row],[Gender]]="male",R250&lt;24.9),"Acceptable",AND(Table13[[#This Row],[Gender]]="male",R250&lt;40),"Obese",AND(Table13[[#This Row],[Gender]]="others",R250&lt;20),"Athletes",AND(Table13[[#This Row],[Gender]]="others",R250&lt;24),"Fitnesss",AND(Table13[[#This Row],[Gender]]="others",R250&lt;31),"Acceptable",AND(Table13[[#This Row],[Gender]]="others",R250&lt;40),"Obese")</f>
        <v>Obese</v>
      </c>
      <c r="R250" s="8">
        <v>30.3</v>
      </c>
      <c r="S250" s="8">
        <v>3.3</v>
      </c>
      <c r="T250" s="8">
        <v>3</v>
      </c>
      <c r="U250" s="8">
        <v>3</v>
      </c>
      <c r="V250" s="8" t="str">
        <f>IF(Table13[[#This Row],[BMI]]&lt;=18.5,"Underweight",IF(Table13[[#This Row],[BMI]]&lt;=24.9,"Normal",IF(Table13[[#This Row],[BMI]]&lt;=29.9,"Overweight",IF(Table13[[#This Row],[BMI]]&lt;=39,"Obese","Severly Obese"))))</f>
        <v>Underweight</v>
      </c>
      <c r="W250" s="18">
        <v>14.46</v>
      </c>
    </row>
    <row r="251" spans="6:23" x14ac:dyDescent="0.3">
      <c r="F251" s="17">
        <v>29</v>
      </c>
      <c r="G251" s="8" t="str">
        <f>IF(Table13[[#This Row],[Age]]&lt;25,"18-24",IF(Table13[[#This Row],[Age]]&lt;35,"25-34",IF(Table13[[#This Row],[Age]]&lt;45,"35-44",IF(Table13[[#This Row],[Age]]&lt;55,"45-54","55-64"))))</f>
        <v>25-34</v>
      </c>
      <c r="H251" s="8" t="s">
        <v>19</v>
      </c>
      <c r="I251" s="8">
        <v>40</v>
      </c>
      <c r="J251" s="8">
        <v>1.86</v>
      </c>
      <c r="K251" s="8">
        <v>180</v>
      </c>
      <c r="L251" s="8">
        <v>169</v>
      </c>
      <c r="M251" s="8">
        <v>63</v>
      </c>
      <c r="N251" s="8">
        <v>1.26</v>
      </c>
      <c r="O251" s="8">
        <v>986</v>
      </c>
      <c r="P251" s="8" t="s">
        <v>22</v>
      </c>
      <c r="Q251" s="8" t="str">
        <f>_xlfn.IFS(AND(Table13[[#This Row],[Gender]]="female",R251&lt;20),"Athletes",AND(Table13[[#This Row],[Gender]]="female",R251&lt;24),"Fitnesss",AND(Table13[[#This Row],[Gender]]="female",R251&lt;31),"Acceptable",AND(Table13[[#This Row],[Gender]]="female",R251&lt;40),"Obese",AND(Table13[[#This Row],[Gender]]="male",R251&lt;13),"Athletes",AND(Table13[[#This Row],[Gender]]="male",R251&lt;17),"Fitnesss",AND(Table13[[#This Row],[Gender]]="male",R251&lt;24.9),"Acceptable",AND(Table13[[#This Row],[Gender]]="male",R251&lt;40),"Obese",AND(Table13[[#This Row],[Gender]]="others",R251&lt;20),"Athletes",AND(Table13[[#This Row],[Gender]]="others",R251&lt;24),"Fitnesss",AND(Table13[[#This Row],[Gender]]="others",R251&lt;31),"Acceptable",AND(Table13[[#This Row],[Gender]]="others",R251&lt;40),"Obese")</f>
        <v>Obese</v>
      </c>
      <c r="R251" s="8">
        <v>25.3</v>
      </c>
      <c r="S251" s="8">
        <v>1.5</v>
      </c>
      <c r="T251" s="8">
        <v>3</v>
      </c>
      <c r="U251" s="8">
        <v>1</v>
      </c>
      <c r="V251" s="8" t="str">
        <f>IF(Table13[[#This Row],[BMI]]&lt;=18.5,"Underweight",IF(Table13[[#This Row],[BMI]]&lt;=24.9,"Normal",IF(Table13[[#This Row],[BMI]]&lt;=29.9,"Overweight",IF(Table13[[#This Row],[BMI]]&lt;=39,"Obese","Severly Obese"))))</f>
        <v>Normal</v>
      </c>
      <c r="W251" s="18">
        <v>19.920000000000002</v>
      </c>
    </row>
    <row r="252" spans="6:23" x14ac:dyDescent="0.3">
      <c r="F252" s="17">
        <v>42</v>
      </c>
      <c r="G252" s="8" t="str">
        <f>IF(Table13[[#This Row],[Age]]&lt;25,"18-24",IF(Table13[[#This Row],[Age]]&lt;35,"25-34",IF(Table13[[#This Row],[Age]]&lt;45,"35-44",IF(Table13[[#This Row],[Age]]&lt;55,"45-54","55-64"))))</f>
        <v>35-44</v>
      </c>
      <c r="H252" s="8" t="s">
        <v>19</v>
      </c>
      <c r="I252" s="8">
        <v>66</v>
      </c>
      <c r="J252" s="8">
        <v>1.6</v>
      </c>
      <c r="K252" s="8">
        <v>196</v>
      </c>
      <c r="L252" s="8">
        <v>159</v>
      </c>
      <c r="M252" s="8">
        <v>52</v>
      </c>
      <c r="N252" s="8">
        <v>1.93</v>
      </c>
      <c r="O252" s="8">
        <v>1042</v>
      </c>
      <c r="P252" s="8" t="s">
        <v>18</v>
      </c>
      <c r="Q252" s="8" t="str">
        <f>_xlfn.IFS(AND(Table13[[#This Row],[Gender]]="female",R252&lt;20),"Athletes",AND(Table13[[#This Row],[Gender]]="female",R252&lt;24),"Fitnesss",AND(Table13[[#This Row],[Gender]]="female",R252&lt;31),"Acceptable",AND(Table13[[#This Row],[Gender]]="female",R252&lt;40),"Obese",AND(Table13[[#This Row],[Gender]]="male",R252&lt;13),"Athletes",AND(Table13[[#This Row],[Gender]]="male",R252&lt;17),"Fitnesss",AND(Table13[[#This Row],[Gender]]="male",R252&lt;24.9),"Acceptable",AND(Table13[[#This Row],[Gender]]="male",R252&lt;40),"Obese",AND(Table13[[#This Row],[Gender]]="others",R252&lt;20),"Athletes",AND(Table13[[#This Row],[Gender]]="others",R252&lt;24),"Fitnesss",AND(Table13[[#This Row],[Gender]]="others",R252&lt;31),"Acceptable",AND(Table13[[#This Row],[Gender]]="others",R252&lt;40),"Obese")</f>
        <v>Fitnesss</v>
      </c>
      <c r="R252" s="8">
        <v>16.399999999999999</v>
      </c>
      <c r="S252" s="8">
        <v>3.5</v>
      </c>
      <c r="T252" s="8">
        <v>4</v>
      </c>
      <c r="U252" s="8">
        <v>2</v>
      </c>
      <c r="V252" s="8" t="str">
        <f>IF(Table13[[#This Row],[BMI]]&lt;=18.5,"Underweight",IF(Table13[[#This Row],[BMI]]&lt;=24.9,"Normal",IF(Table13[[#This Row],[BMI]]&lt;=29.9,"Overweight",IF(Table13[[#This Row],[BMI]]&lt;=39,"Obese","Severly Obese"))))</f>
        <v>Underweight</v>
      </c>
      <c r="W252" s="18">
        <v>17.809999999999999</v>
      </c>
    </row>
    <row r="253" spans="6:23" x14ac:dyDescent="0.3">
      <c r="F253" s="17">
        <v>51</v>
      </c>
      <c r="G253" s="8" t="str">
        <f>IF(Table13[[#This Row],[Age]]&lt;25,"18-24",IF(Table13[[#This Row],[Age]]&lt;35,"25-34",IF(Table13[[#This Row],[Age]]&lt;45,"35-44",IF(Table13[[#This Row],[Age]]&lt;55,"45-54","55-64"))))</f>
        <v>45-54</v>
      </c>
      <c r="H253" s="8" t="s">
        <v>17</v>
      </c>
      <c r="I253" s="8">
        <v>84.6</v>
      </c>
      <c r="J253" s="8">
        <v>1.77</v>
      </c>
      <c r="K253" s="8">
        <v>197</v>
      </c>
      <c r="L253" s="8">
        <v>141</v>
      </c>
      <c r="M253" s="8">
        <v>55</v>
      </c>
      <c r="N253" s="8">
        <v>1.44</v>
      </c>
      <c r="O253" s="8">
        <v>543</v>
      </c>
      <c r="P253" s="8" t="s">
        <v>21</v>
      </c>
      <c r="Q253" s="8" t="str">
        <f>_xlfn.IFS(AND(Table13[[#This Row],[Gender]]="female",R253&lt;20),"Athletes",AND(Table13[[#This Row],[Gender]]="female",R253&lt;24),"Fitnesss",AND(Table13[[#This Row],[Gender]]="female",R253&lt;31),"Acceptable",AND(Table13[[#This Row],[Gender]]="female",R253&lt;40),"Obese",AND(Table13[[#This Row],[Gender]]="male",R253&lt;13),"Athletes",AND(Table13[[#This Row],[Gender]]="male",R253&lt;17),"Fitnesss",AND(Table13[[#This Row],[Gender]]="male",R253&lt;24.9),"Acceptable",AND(Table13[[#This Row],[Gender]]="male",R253&lt;40),"Obese",AND(Table13[[#This Row],[Gender]]="others",R253&lt;20),"Athletes",AND(Table13[[#This Row],[Gender]]="others",R253&lt;24),"Fitnesss",AND(Table13[[#This Row],[Gender]]="others",R253&lt;31),"Acceptable",AND(Table13[[#This Row],[Gender]]="others",R253&lt;40),"Obese")</f>
        <v>Fitnesss</v>
      </c>
      <c r="R253" s="8">
        <v>23.4</v>
      </c>
      <c r="S253" s="8">
        <v>2.9</v>
      </c>
      <c r="T253" s="8">
        <v>5</v>
      </c>
      <c r="U253" s="8">
        <v>3</v>
      </c>
      <c r="V253" s="8" t="str">
        <f>IF(Table13[[#This Row],[BMI]]&lt;=18.5,"Underweight",IF(Table13[[#This Row],[BMI]]&lt;=24.9,"Normal",IF(Table13[[#This Row],[BMI]]&lt;=29.9,"Overweight",IF(Table13[[#This Row],[BMI]]&lt;=39,"Obese","Severly Obese"))))</f>
        <v>Normal</v>
      </c>
      <c r="W253" s="18">
        <v>24.89</v>
      </c>
    </row>
    <row r="254" spans="6:23" x14ac:dyDescent="0.3">
      <c r="F254" s="17">
        <v>51</v>
      </c>
      <c r="G254" s="8" t="str">
        <f>IF(Table13[[#This Row],[Age]]&lt;25,"18-24",IF(Table13[[#This Row],[Age]]&lt;35,"25-34",IF(Table13[[#This Row],[Age]]&lt;45,"35-44",IF(Table13[[#This Row],[Age]]&lt;55,"45-54","55-64"))))</f>
        <v>45-54</v>
      </c>
      <c r="H254" s="8" t="s">
        <v>19</v>
      </c>
      <c r="I254" s="8">
        <v>100.7</v>
      </c>
      <c r="J254" s="8">
        <v>1.75</v>
      </c>
      <c r="K254" s="8">
        <v>185</v>
      </c>
      <c r="L254" s="8">
        <v>138</v>
      </c>
      <c r="M254" s="8">
        <v>73</v>
      </c>
      <c r="N254" s="8">
        <v>1.5</v>
      </c>
      <c r="O254" s="8">
        <v>703</v>
      </c>
      <c r="P254" s="8" t="s">
        <v>18</v>
      </c>
      <c r="Q254" s="8" t="str">
        <f>_xlfn.IFS(AND(Table13[[#This Row],[Gender]]="female",R254&lt;20),"Athletes",AND(Table13[[#This Row],[Gender]]="female",R254&lt;24),"Fitnesss",AND(Table13[[#This Row],[Gender]]="female",R254&lt;31),"Acceptable",AND(Table13[[#This Row],[Gender]]="female",R254&lt;40),"Obese",AND(Table13[[#This Row],[Gender]]="male",R254&lt;13),"Athletes",AND(Table13[[#This Row],[Gender]]="male",R254&lt;17),"Fitnesss",AND(Table13[[#This Row],[Gender]]="male",R254&lt;24.9),"Acceptable",AND(Table13[[#This Row],[Gender]]="male",R254&lt;40),"Obese",AND(Table13[[#This Row],[Gender]]="others",R254&lt;20),"Athletes",AND(Table13[[#This Row],[Gender]]="others",R254&lt;24),"Fitnesss",AND(Table13[[#This Row],[Gender]]="others",R254&lt;31),"Acceptable",AND(Table13[[#This Row],[Gender]]="others",R254&lt;40),"Obese")</f>
        <v>Obese</v>
      </c>
      <c r="R254" s="8">
        <v>25.5</v>
      </c>
      <c r="S254" s="8">
        <v>1.8</v>
      </c>
      <c r="T254" s="8">
        <v>4</v>
      </c>
      <c r="U254" s="8">
        <v>3</v>
      </c>
      <c r="V254" s="8" t="str">
        <f>IF(Table13[[#This Row],[BMI]]&lt;=18.5,"Underweight",IF(Table13[[#This Row],[BMI]]&lt;=24.9,"Normal",IF(Table13[[#This Row],[BMI]]&lt;=29.9,"Overweight",IF(Table13[[#This Row],[BMI]]&lt;=39,"Obese","Severly Obese"))))</f>
        <v>Underweight</v>
      </c>
      <c r="W254" s="18">
        <v>15.9</v>
      </c>
    </row>
    <row r="255" spans="6:23" x14ac:dyDescent="0.3">
      <c r="F255" s="17">
        <v>22</v>
      </c>
      <c r="G255" s="8" t="str">
        <f>IF(Table13[[#This Row],[Age]]&lt;25,"18-24",IF(Table13[[#This Row],[Age]]&lt;35,"25-34",IF(Table13[[#This Row],[Age]]&lt;45,"35-44",IF(Table13[[#This Row],[Age]]&lt;55,"45-54","55-64"))))</f>
        <v>18-24</v>
      </c>
      <c r="H255" s="8" t="s">
        <v>19</v>
      </c>
      <c r="I255" s="8">
        <v>58.6</v>
      </c>
      <c r="J255" s="8">
        <v>2</v>
      </c>
      <c r="K255" s="8">
        <v>165</v>
      </c>
      <c r="L255" s="8">
        <v>169</v>
      </c>
      <c r="M255" s="8">
        <v>57</v>
      </c>
      <c r="N255" s="8">
        <v>2</v>
      </c>
      <c r="O255" s="8">
        <v>1402</v>
      </c>
      <c r="P255" s="8" t="s">
        <v>18</v>
      </c>
      <c r="Q255" s="8" t="str">
        <f>_xlfn.IFS(AND(Table13[[#This Row],[Gender]]="female",R255&lt;20),"Athletes",AND(Table13[[#This Row],[Gender]]="female",R255&lt;24),"Fitnesss",AND(Table13[[#This Row],[Gender]]="female",R255&lt;31),"Acceptable",AND(Table13[[#This Row],[Gender]]="female",R255&lt;40),"Obese",AND(Table13[[#This Row],[Gender]]="male",R255&lt;13),"Athletes",AND(Table13[[#This Row],[Gender]]="male",R255&lt;17),"Fitnesss",AND(Table13[[#This Row],[Gender]]="male",R255&lt;24.9),"Acceptable",AND(Table13[[#This Row],[Gender]]="male",R255&lt;40),"Obese",AND(Table13[[#This Row],[Gender]]="others",R255&lt;20),"Athletes",AND(Table13[[#This Row],[Gender]]="others",R255&lt;24),"Fitnesss",AND(Table13[[#This Row],[Gender]]="others",R255&lt;31),"Acceptable",AND(Table13[[#This Row],[Gender]]="others",R255&lt;40),"Obese")</f>
        <v>Obese</v>
      </c>
      <c r="R255" s="8">
        <v>30</v>
      </c>
      <c r="S255" s="8">
        <v>3.5</v>
      </c>
      <c r="T255" s="8">
        <v>4</v>
      </c>
      <c r="U255" s="8">
        <v>2</v>
      </c>
      <c r="V255" s="8" t="str">
        <f>IF(Table13[[#This Row],[BMI]]&lt;=18.5,"Underweight",IF(Table13[[#This Row],[BMI]]&lt;=24.9,"Normal",IF(Table13[[#This Row],[BMI]]&lt;=29.9,"Overweight",IF(Table13[[#This Row],[BMI]]&lt;=39,"Obese","Severly Obese"))))</f>
        <v>Normal</v>
      </c>
      <c r="W255" s="18">
        <v>20.99</v>
      </c>
    </row>
    <row r="256" spans="6:23" x14ac:dyDescent="0.3">
      <c r="F256" s="17">
        <v>21</v>
      </c>
      <c r="G256" s="8" t="str">
        <f>IF(Table13[[#This Row],[Age]]&lt;25,"18-24",IF(Table13[[#This Row],[Age]]&lt;35,"25-34",IF(Table13[[#This Row],[Age]]&lt;45,"35-44",IF(Table13[[#This Row],[Age]]&lt;55,"45-54","55-64"))))</f>
        <v>18-24</v>
      </c>
      <c r="H256" s="8" t="s">
        <v>17</v>
      </c>
      <c r="I256" s="8">
        <v>57.4</v>
      </c>
      <c r="J256" s="8">
        <v>1.74</v>
      </c>
      <c r="K256" s="8">
        <v>179</v>
      </c>
      <c r="L256" s="8">
        <v>161</v>
      </c>
      <c r="M256" s="8">
        <v>73</v>
      </c>
      <c r="N256" s="8">
        <v>2</v>
      </c>
      <c r="O256" s="8">
        <v>457</v>
      </c>
      <c r="P256" s="8" t="s">
        <v>21</v>
      </c>
      <c r="Q256" s="8" t="str">
        <f>_xlfn.IFS(AND(Table13[[#This Row],[Gender]]="female",R256&lt;20),"Athletes",AND(Table13[[#This Row],[Gender]]="female",R256&lt;24),"Fitnesss",AND(Table13[[#This Row],[Gender]]="female",R256&lt;31),"Acceptable",AND(Table13[[#This Row],[Gender]]="female",R256&lt;40),"Obese",AND(Table13[[#This Row],[Gender]]="male",R256&lt;13),"Athletes",AND(Table13[[#This Row],[Gender]]="male",R256&lt;17),"Fitnesss",AND(Table13[[#This Row],[Gender]]="male",R256&lt;24.9),"Acceptable",AND(Table13[[#This Row],[Gender]]="male",R256&lt;40),"Obese",AND(Table13[[#This Row],[Gender]]="others",R256&lt;20),"Athletes",AND(Table13[[#This Row],[Gender]]="others",R256&lt;24),"Fitnesss",AND(Table13[[#This Row],[Gender]]="others",R256&lt;31),"Acceptable",AND(Table13[[#This Row],[Gender]]="others",R256&lt;40),"Obese")</f>
        <v>Acceptable</v>
      </c>
      <c r="R256" s="8">
        <v>27.7</v>
      </c>
      <c r="S256" s="8">
        <v>2.5</v>
      </c>
      <c r="T256" s="8">
        <v>3</v>
      </c>
      <c r="U256" s="8">
        <v>1</v>
      </c>
      <c r="V256" s="8" t="str">
        <f>IF(Table13[[#This Row],[BMI]]&lt;=18.5,"Underweight",IF(Table13[[#This Row],[BMI]]&lt;=24.9,"Normal",IF(Table13[[#This Row],[BMI]]&lt;=29.9,"Overweight",IF(Table13[[#This Row],[BMI]]&lt;=39,"Obese","Severly Obese"))))</f>
        <v>Normal</v>
      </c>
      <c r="W256" s="18">
        <v>24.67</v>
      </c>
    </row>
    <row r="257" spans="6:23" x14ac:dyDescent="0.3">
      <c r="F257" s="17">
        <v>21</v>
      </c>
      <c r="G257" s="8" t="str">
        <f>IF(Table13[[#This Row],[Age]]&lt;25,"18-24",IF(Table13[[#This Row],[Age]]&lt;35,"25-34",IF(Table13[[#This Row],[Age]]&lt;45,"35-44",IF(Table13[[#This Row],[Age]]&lt;55,"45-54","55-64"))))</f>
        <v>18-24</v>
      </c>
      <c r="H257" s="8" t="s">
        <v>19</v>
      </c>
      <c r="I257" s="8">
        <v>69.5</v>
      </c>
      <c r="J257" s="8">
        <v>1.54</v>
      </c>
      <c r="K257" s="8">
        <v>167</v>
      </c>
      <c r="L257" s="8">
        <v>158</v>
      </c>
      <c r="M257" s="8">
        <v>72</v>
      </c>
      <c r="N257" s="8">
        <v>1.28</v>
      </c>
      <c r="O257" s="8">
        <v>1044</v>
      </c>
      <c r="P257" s="8" t="s">
        <v>22</v>
      </c>
      <c r="Q257" s="8" t="str">
        <f>_xlfn.IFS(AND(Table13[[#This Row],[Gender]]="female",R257&lt;20),"Athletes",AND(Table13[[#This Row],[Gender]]="female",R257&lt;24),"Fitnesss",AND(Table13[[#This Row],[Gender]]="female",R257&lt;31),"Acceptable",AND(Table13[[#This Row],[Gender]]="female",R257&lt;40),"Obese",AND(Table13[[#This Row],[Gender]]="male",R257&lt;13),"Athletes",AND(Table13[[#This Row],[Gender]]="male",R257&lt;17),"Fitnesss",AND(Table13[[#This Row],[Gender]]="male",R257&lt;24.9),"Acceptable",AND(Table13[[#This Row],[Gender]]="male",R257&lt;40),"Obese",AND(Table13[[#This Row],[Gender]]="others",R257&lt;20),"Athletes",AND(Table13[[#This Row],[Gender]]="others",R257&lt;24),"Fitnesss",AND(Table13[[#This Row],[Gender]]="others",R257&lt;31),"Acceptable",AND(Table13[[#This Row],[Gender]]="others",R257&lt;40),"Obese")</f>
        <v>Obese</v>
      </c>
      <c r="R257" s="8">
        <v>27.9</v>
      </c>
      <c r="S257" s="8">
        <v>2.9</v>
      </c>
      <c r="T257" s="8">
        <v>2</v>
      </c>
      <c r="U257" s="8"/>
      <c r="V257" s="8" t="str">
        <f>IF(Table13[[#This Row],[BMI]]&lt;=18.5,"Underweight",IF(Table13[[#This Row],[BMI]]&lt;=24.9,"Normal",IF(Table13[[#This Row],[BMI]]&lt;=29.9,"Overweight",IF(Table13[[#This Row],[BMI]]&lt;=39,"Obese","Severly Obese"))))</f>
        <v>Underweight</v>
      </c>
      <c r="W257" s="18">
        <v>14.68</v>
      </c>
    </row>
    <row r="258" spans="6:23" x14ac:dyDescent="0.3">
      <c r="F258" s="17">
        <v>26</v>
      </c>
      <c r="G258" s="8" t="str">
        <f>IF(Table13[[#This Row],[Age]]&lt;25,"18-24",IF(Table13[[#This Row],[Age]]&lt;35,"25-34",IF(Table13[[#This Row],[Age]]&lt;45,"35-44",IF(Table13[[#This Row],[Age]]&lt;55,"45-54","55-64"))))</f>
        <v>25-34</v>
      </c>
      <c r="H258" s="8" t="s">
        <v>17</v>
      </c>
      <c r="I258" s="8">
        <v>42.2</v>
      </c>
      <c r="J258" s="8">
        <v>1.91</v>
      </c>
      <c r="K258" s="8">
        <v>174</v>
      </c>
      <c r="L258" s="8">
        <v>127</v>
      </c>
      <c r="M258" s="8">
        <v>72</v>
      </c>
      <c r="N258" s="8">
        <v>1.65</v>
      </c>
      <c r="O258" s="8">
        <v>455</v>
      </c>
      <c r="P258" s="8" t="s">
        <v>18</v>
      </c>
      <c r="Q258" s="8" t="str">
        <f>_xlfn.IFS(AND(Table13[[#This Row],[Gender]]="female",R258&lt;20),"Athletes",AND(Table13[[#This Row],[Gender]]="female",R258&lt;24),"Fitnesss",AND(Table13[[#This Row],[Gender]]="female",R258&lt;31),"Acceptable",AND(Table13[[#This Row],[Gender]]="female",R258&lt;40),"Obese",AND(Table13[[#This Row],[Gender]]="male",R258&lt;13),"Athletes",AND(Table13[[#This Row],[Gender]]="male",R258&lt;17),"Fitnesss",AND(Table13[[#This Row],[Gender]]="male",R258&lt;24.9),"Acceptable",AND(Table13[[#This Row],[Gender]]="male",R258&lt;40),"Obese",AND(Table13[[#This Row],[Gender]]="others",R258&lt;20),"Athletes",AND(Table13[[#This Row],[Gender]]="others",R258&lt;24),"Fitnesss",AND(Table13[[#This Row],[Gender]]="others",R258&lt;31),"Acceptable",AND(Table13[[#This Row],[Gender]]="others",R258&lt;40),"Obese")</f>
        <v>Fitnesss</v>
      </c>
      <c r="R258" s="8">
        <v>23.6</v>
      </c>
      <c r="S258" s="8">
        <v>2.9</v>
      </c>
      <c r="T258" s="8">
        <v>3</v>
      </c>
      <c r="U258" s="8">
        <v>2</v>
      </c>
      <c r="V258" s="8" t="str">
        <f>IF(Table13[[#This Row],[BMI]]&lt;=18.5,"Underweight",IF(Table13[[#This Row],[BMI]]&lt;=24.9,"Normal",IF(Table13[[#This Row],[BMI]]&lt;=29.9,"Overweight",IF(Table13[[#This Row],[BMI]]&lt;=39,"Obese","Severly Obese"))))</f>
        <v>Normal</v>
      </c>
      <c r="W258" s="18">
        <v>24.27</v>
      </c>
    </row>
    <row r="259" spans="6:23" x14ac:dyDescent="0.3">
      <c r="F259" s="17">
        <v>18</v>
      </c>
      <c r="G259" s="8" t="str">
        <f>IF(Table13[[#This Row],[Age]]&lt;25,"18-24",IF(Table13[[#This Row],[Age]]&lt;35,"25-34",IF(Table13[[#This Row],[Age]]&lt;45,"35-44",IF(Table13[[#This Row],[Age]]&lt;55,"45-54","55-64"))))</f>
        <v>18-24</v>
      </c>
      <c r="H259" s="8" t="s">
        <v>19</v>
      </c>
      <c r="I259" s="8">
        <v>61.3</v>
      </c>
      <c r="J259" s="8">
        <v>1.6</v>
      </c>
      <c r="K259" s="8">
        <v>191</v>
      </c>
      <c r="L259" s="8">
        <v>135</v>
      </c>
      <c r="M259" s="8">
        <v>67</v>
      </c>
      <c r="N259" s="8">
        <v>1.0900000000000001</v>
      </c>
      <c r="O259" s="8">
        <v>609</v>
      </c>
      <c r="P259" s="8" t="s">
        <v>23</v>
      </c>
      <c r="Q259" s="8" t="str">
        <f>_xlfn.IFS(AND(Table13[[#This Row],[Gender]]="female",R259&lt;20),"Athletes",AND(Table13[[#This Row],[Gender]]="female",R259&lt;24),"Fitnesss",AND(Table13[[#This Row],[Gender]]="female",R259&lt;31),"Acceptable",AND(Table13[[#This Row],[Gender]]="female",R259&lt;40),"Obese",AND(Table13[[#This Row],[Gender]]="male",R259&lt;13),"Athletes",AND(Table13[[#This Row],[Gender]]="male",R259&lt;17),"Fitnesss",AND(Table13[[#This Row],[Gender]]="male",R259&lt;24.9),"Acceptable",AND(Table13[[#This Row],[Gender]]="male",R259&lt;40),"Obese",AND(Table13[[#This Row],[Gender]]="others",R259&lt;20),"Athletes",AND(Table13[[#This Row],[Gender]]="others",R259&lt;24),"Fitnesss",AND(Table13[[#This Row],[Gender]]="others",R259&lt;31),"Acceptable",AND(Table13[[#This Row],[Gender]]="others",R259&lt;40),"Obese")</f>
        <v>Fitnesss</v>
      </c>
      <c r="R259" s="8">
        <v>13.7</v>
      </c>
      <c r="S259" s="8">
        <v>1.6</v>
      </c>
      <c r="T259" s="8">
        <v>2</v>
      </c>
      <c r="U259" s="8">
        <v>3</v>
      </c>
      <c r="V259" s="8" t="str">
        <f>IF(Table13[[#This Row],[BMI]]&lt;=18.5,"Underweight",IF(Table13[[#This Row],[BMI]]&lt;=24.9,"Normal",IF(Table13[[#This Row],[BMI]]&lt;=29.9,"Overweight",IF(Table13[[#This Row],[BMI]]&lt;=39,"Obese","Severly Obese"))))</f>
        <v>Underweight</v>
      </c>
      <c r="W259" s="18">
        <v>14.7</v>
      </c>
    </row>
    <row r="260" spans="6:23" x14ac:dyDescent="0.3">
      <c r="F260" s="17">
        <v>18</v>
      </c>
      <c r="G260" s="8" t="str">
        <f>IF(Table13[[#This Row],[Age]]&lt;25,"18-24",IF(Table13[[#This Row],[Age]]&lt;35,"25-34",IF(Table13[[#This Row],[Age]]&lt;45,"35-44",IF(Table13[[#This Row],[Age]]&lt;55,"45-54","55-64"))))</f>
        <v>18-24</v>
      </c>
      <c r="H260" s="8" t="s">
        <v>19</v>
      </c>
      <c r="I260" s="8">
        <v>66.599999999999994</v>
      </c>
      <c r="J260" s="8">
        <v>1.62</v>
      </c>
      <c r="K260" s="8">
        <v>192</v>
      </c>
      <c r="L260" s="8">
        <v>156</v>
      </c>
      <c r="M260" s="8">
        <v>58</v>
      </c>
      <c r="N260" s="8">
        <v>1.3</v>
      </c>
      <c r="O260" s="8">
        <v>1250</v>
      </c>
      <c r="P260" s="8" t="s">
        <v>20</v>
      </c>
      <c r="Q260" s="8" t="str">
        <f>_xlfn.IFS(AND(Table13[[#This Row],[Gender]]="female",R260&lt;20),"Athletes",AND(Table13[[#This Row],[Gender]]="female",R260&lt;24),"Fitnesss",AND(Table13[[#This Row],[Gender]]="female",R260&lt;31),"Acceptable",AND(Table13[[#This Row],[Gender]]="female",R260&lt;40),"Obese",AND(Table13[[#This Row],[Gender]]="male",R260&lt;13),"Athletes",AND(Table13[[#This Row],[Gender]]="male",R260&lt;17),"Fitnesss",AND(Table13[[#This Row],[Gender]]="male",R260&lt;24.9),"Acceptable",AND(Table13[[#This Row],[Gender]]="male",R260&lt;40),"Obese",AND(Table13[[#This Row],[Gender]]="others",R260&lt;20),"Athletes",AND(Table13[[#This Row],[Gender]]="others",R260&lt;24),"Fitnesss",AND(Table13[[#This Row],[Gender]]="others",R260&lt;31),"Acceptable",AND(Table13[[#This Row],[Gender]]="others",R260&lt;40),"Obese")</f>
        <v>Acceptable</v>
      </c>
      <c r="R260" s="8">
        <v>21.3</v>
      </c>
      <c r="S260" s="8">
        <v>3.2</v>
      </c>
      <c r="T260" s="8">
        <v>5</v>
      </c>
      <c r="U260" s="8">
        <v>1</v>
      </c>
      <c r="V260" s="8" t="str">
        <f>IF(Table13[[#This Row],[BMI]]&lt;=18.5,"Underweight",IF(Table13[[#This Row],[BMI]]&lt;=24.9,"Normal",IF(Table13[[#This Row],[BMI]]&lt;=29.9,"Overweight",IF(Table13[[#This Row],[BMI]]&lt;=39,"Obese","Severly Obese"))))</f>
        <v>Underweight</v>
      </c>
      <c r="W260" s="18">
        <v>12.58</v>
      </c>
    </row>
    <row r="261" spans="6:23" x14ac:dyDescent="0.3">
      <c r="F261" s="17">
        <v>37</v>
      </c>
      <c r="G261" s="8" t="str">
        <f>IF(Table13[[#This Row],[Age]]&lt;25,"18-24",IF(Table13[[#This Row],[Age]]&lt;35,"25-34",IF(Table13[[#This Row],[Age]]&lt;45,"35-44",IF(Table13[[#This Row],[Age]]&lt;55,"45-54","55-64"))))</f>
        <v>35-44</v>
      </c>
      <c r="H261" s="8" t="s">
        <v>17</v>
      </c>
      <c r="I261" s="8">
        <v>94.4</v>
      </c>
      <c r="J261" s="8">
        <v>1.7</v>
      </c>
      <c r="K261" s="8">
        <v>193</v>
      </c>
      <c r="L261" s="8">
        <v>127</v>
      </c>
      <c r="M261" s="8">
        <v>70</v>
      </c>
      <c r="N261" s="8">
        <v>1.27</v>
      </c>
      <c r="O261" s="8">
        <v>1183</v>
      </c>
      <c r="P261" s="8" t="s">
        <v>21</v>
      </c>
      <c r="Q261" s="8" t="str">
        <f>_xlfn.IFS(AND(Table13[[#This Row],[Gender]]="female",R261&lt;20),"Athletes",AND(Table13[[#This Row],[Gender]]="female",R261&lt;24),"Fitnesss",AND(Table13[[#This Row],[Gender]]="female",R261&lt;31),"Acceptable",AND(Table13[[#This Row],[Gender]]="female",R261&lt;40),"Obese",AND(Table13[[#This Row],[Gender]]="male",R261&lt;13),"Athletes",AND(Table13[[#This Row],[Gender]]="male",R261&lt;17),"Fitnesss",AND(Table13[[#This Row],[Gender]]="male",R261&lt;24.9),"Acceptable",AND(Table13[[#This Row],[Gender]]="male",R261&lt;40),"Obese",AND(Table13[[#This Row],[Gender]]="others",R261&lt;20),"Athletes",AND(Table13[[#This Row],[Gender]]="others",R261&lt;24),"Fitnesss",AND(Table13[[#This Row],[Gender]]="others",R261&lt;31),"Acceptable",AND(Table13[[#This Row],[Gender]]="others",R261&lt;40),"Obese")</f>
        <v>Athletes</v>
      </c>
      <c r="R261" s="8">
        <v>16.399999999999999</v>
      </c>
      <c r="S261" s="8">
        <v>3.4</v>
      </c>
      <c r="T261" s="8">
        <v>4</v>
      </c>
      <c r="U261" s="8">
        <v>1</v>
      </c>
      <c r="V261" s="8" t="str">
        <f>IF(Table13[[#This Row],[BMI]]&lt;=18.5,"Underweight",IF(Table13[[#This Row],[BMI]]&lt;=24.9,"Normal",IF(Table13[[#This Row],[BMI]]&lt;=29.9,"Overweight",IF(Table13[[#This Row],[BMI]]&lt;=39,"Obese","Severly Obese"))))</f>
        <v>Normal</v>
      </c>
      <c r="W261" s="18">
        <v>19.3</v>
      </c>
    </row>
    <row r="262" spans="6:23" x14ac:dyDescent="0.3">
      <c r="F262" s="17">
        <v>45</v>
      </c>
      <c r="G262" s="8" t="str">
        <f>IF(Table13[[#This Row],[Age]]&lt;25,"18-24",IF(Table13[[#This Row],[Age]]&lt;35,"25-34",IF(Table13[[#This Row],[Age]]&lt;45,"35-44",IF(Table13[[#This Row],[Age]]&lt;55,"45-54","55-64"))))</f>
        <v>45-54</v>
      </c>
      <c r="H262" s="8" t="s">
        <v>19</v>
      </c>
      <c r="I262" s="8">
        <v>111.9</v>
      </c>
      <c r="J262" s="8">
        <v>1.73</v>
      </c>
      <c r="K262" s="8">
        <v>177</v>
      </c>
      <c r="L262" s="8">
        <v>129</v>
      </c>
      <c r="M262" s="8">
        <v>54</v>
      </c>
      <c r="N262" s="8">
        <v>0.92</v>
      </c>
      <c r="O262" s="8">
        <v>1267</v>
      </c>
      <c r="P262" s="8" t="s">
        <v>18</v>
      </c>
      <c r="Q262" s="8" t="str">
        <f>_xlfn.IFS(AND(Table13[[#This Row],[Gender]]="female",R262&lt;20),"Athletes",AND(Table13[[#This Row],[Gender]]="female",R262&lt;24),"Fitnesss",AND(Table13[[#This Row],[Gender]]="female",R262&lt;31),"Acceptable",AND(Table13[[#This Row],[Gender]]="female",R262&lt;40),"Obese",AND(Table13[[#This Row],[Gender]]="male",R262&lt;13),"Athletes",AND(Table13[[#This Row],[Gender]]="male",R262&lt;17),"Fitnesss",AND(Table13[[#This Row],[Gender]]="male",R262&lt;24.9),"Acceptable",AND(Table13[[#This Row],[Gender]]="male",R262&lt;40),"Obese",AND(Table13[[#This Row],[Gender]]="others",R262&lt;20),"Athletes",AND(Table13[[#This Row],[Gender]]="others",R262&lt;24),"Fitnesss",AND(Table13[[#This Row],[Gender]]="others",R262&lt;31),"Acceptable",AND(Table13[[#This Row],[Gender]]="others",R262&lt;40),"Obese")</f>
        <v>Acceptable</v>
      </c>
      <c r="R262" s="8">
        <v>18.3</v>
      </c>
      <c r="S262" s="8">
        <v>2.6</v>
      </c>
      <c r="T262" s="8">
        <v>4</v>
      </c>
      <c r="U262" s="8">
        <v>1</v>
      </c>
      <c r="V262" s="8" t="str">
        <f>IF(Table13[[#This Row],[BMI]]&lt;=18.5,"Underweight",IF(Table13[[#This Row],[BMI]]&lt;=24.9,"Normal",IF(Table13[[#This Row],[BMI]]&lt;=29.9,"Overweight",IF(Table13[[#This Row],[BMI]]&lt;=39,"Obese","Severly Obese"))))</f>
        <v>Underweight</v>
      </c>
      <c r="W262" s="18">
        <v>12.32</v>
      </c>
    </row>
    <row r="263" spans="6:23" x14ac:dyDescent="0.3">
      <c r="F263" s="17">
        <v>18</v>
      </c>
      <c r="G263" s="8" t="str">
        <f>IF(Table13[[#This Row],[Age]]&lt;25,"18-24",IF(Table13[[#This Row],[Age]]&lt;35,"25-34",IF(Table13[[#This Row],[Age]]&lt;45,"35-44",IF(Table13[[#This Row],[Age]]&lt;55,"45-54","55-64"))))</f>
        <v>18-24</v>
      </c>
      <c r="H263" s="8" t="s">
        <v>17</v>
      </c>
      <c r="I263" s="8">
        <v>92</v>
      </c>
      <c r="J263" s="8">
        <v>1.79</v>
      </c>
      <c r="K263" s="8">
        <v>199</v>
      </c>
      <c r="L263" s="8">
        <v>169</v>
      </c>
      <c r="M263" s="8">
        <v>56</v>
      </c>
      <c r="N263" s="8">
        <v>1.77</v>
      </c>
      <c r="O263" s="8">
        <v>1105</v>
      </c>
      <c r="P263" s="8" t="s">
        <v>18</v>
      </c>
      <c r="Q263" s="8" t="str">
        <f>_xlfn.IFS(AND(Table13[[#This Row],[Gender]]="female",R263&lt;20),"Athletes",AND(Table13[[#This Row],[Gender]]="female",R263&lt;24),"Fitnesss",AND(Table13[[#This Row],[Gender]]="female",R263&lt;31),"Acceptable",AND(Table13[[#This Row],[Gender]]="female",R263&lt;40),"Obese",AND(Table13[[#This Row],[Gender]]="male",R263&lt;13),"Athletes",AND(Table13[[#This Row],[Gender]]="male",R263&lt;17),"Fitnesss",AND(Table13[[#This Row],[Gender]]="male",R263&lt;24.9),"Acceptable",AND(Table13[[#This Row],[Gender]]="male",R263&lt;40),"Obese",AND(Table13[[#This Row],[Gender]]="others",R263&lt;20),"Athletes",AND(Table13[[#This Row],[Gender]]="others",R263&lt;24),"Fitnesss",AND(Table13[[#This Row],[Gender]]="others",R263&lt;31),"Acceptable",AND(Table13[[#This Row],[Gender]]="others",R263&lt;40),"Obese")</f>
        <v>Athletes</v>
      </c>
      <c r="R263" s="8">
        <v>14.4</v>
      </c>
      <c r="S263" s="8"/>
      <c r="T263" s="8">
        <v>2</v>
      </c>
      <c r="U263" s="8">
        <v>1</v>
      </c>
      <c r="V263" s="8" t="str">
        <f>IF(Table13[[#This Row],[BMI]]&lt;=18.5,"Underweight",IF(Table13[[#This Row],[BMI]]&lt;=24.9,"Normal",IF(Table13[[#This Row],[BMI]]&lt;=29.9,"Overweight",IF(Table13[[#This Row],[BMI]]&lt;=39,"Obese","Severly Obese"))))</f>
        <v>Normal</v>
      </c>
      <c r="W263" s="18">
        <v>20.25</v>
      </c>
    </row>
    <row r="264" spans="6:23" x14ac:dyDescent="0.3">
      <c r="F264" s="17">
        <v>18</v>
      </c>
      <c r="G264" s="8" t="str">
        <f>IF(Table13[[#This Row],[Age]]&lt;25,"18-24",IF(Table13[[#This Row],[Age]]&lt;35,"25-34",IF(Table13[[#This Row],[Age]]&lt;45,"35-44",IF(Table13[[#This Row],[Age]]&lt;55,"45-54","55-64"))))</f>
        <v>18-24</v>
      </c>
      <c r="H264" s="8" t="s">
        <v>17</v>
      </c>
      <c r="I264" s="8"/>
      <c r="J264" s="8">
        <v>1.76</v>
      </c>
      <c r="K264" s="8">
        <v>176</v>
      </c>
      <c r="L264" s="8">
        <v>167</v>
      </c>
      <c r="M264" s="8">
        <v>58</v>
      </c>
      <c r="N264" s="8">
        <v>1.21</v>
      </c>
      <c r="O264" s="8">
        <v>912</v>
      </c>
      <c r="P264" s="8" t="s">
        <v>18</v>
      </c>
      <c r="Q264" s="8" t="str">
        <f>_xlfn.IFS(AND(Table13[[#This Row],[Gender]]="female",R264&lt;20),"Athletes",AND(Table13[[#This Row],[Gender]]="female",R264&lt;24),"Fitnesss",AND(Table13[[#This Row],[Gender]]="female",R264&lt;31),"Acceptable",AND(Table13[[#This Row],[Gender]]="female",R264&lt;40),"Obese",AND(Table13[[#This Row],[Gender]]="male",R264&lt;13),"Athletes",AND(Table13[[#This Row],[Gender]]="male",R264&lt;17),"Fitnesss",AND(Table13[[#This Row],[Gender]]="male",R264&lt;24.9),"Acceptable",AND(Table13[[#This Row],[Gender]]="male",R264&lt;40),"Obese",AND(Table13[[#This Row],[Gender]]="others",R264&lt;20),"Athletes",AND(Table13[[#This Row],[Gender]]="others",R264&lt;24),"Fitnesss",AND(Table13[[#This Row],[Gender]]="others",R264&lt;31),"Acceptable",AND(Table13[[#This Row],[Gender]]="others",R264&lt;40),"Obese")</f>
        <v>Acceptable</v>
      </c>
      <c r="R264" s="8">
        <v>28.4</v>
      </c>
      <c r="S264" s="8">
        <v>3.6</v>
      </c>
      <c r="T264" s="8">
        <v>2</v>
      </c>
      <c r="U264" s="8">
        <v>2</v>
      </c>
      <c r="V264" s="8" t="str">
        <f>IF(Table13[[#This Row],[BMI]]&lt;=18.5,"Underweight",IF(Table13[[#This Row],[BMI]]&lt;=24.9,"Normal",IF(Table13[[#This Row],[BMI]]&lt;=29.9,"Overweight",IF(Table13[[#This Row],[BMI]]&lt;=39,"Obese","Severly Obese"))))</f>
        <v>Overweight</v>
      </c>
      <c r="W264" s="18">
        <v>25.72</v>
      </c>
    </row>
    <row r="265" spans="6:23" x14ac:dyDescent="0.3">
      <c r="F265" s="17">
        <v>51</v>
      </c>
      <c r="G265" s="8" t="str">
        <f>IF(Table13[[#This Row],[Age]]&lt;25,"18-24",IF(Table13[[#This Row],[Age]]&lt;35,"25-34",IF(Table13[[#This Row],[Age]]&lt;45,"35-44",IF(Table13[[#This Row],[Age]]&lt;55,"45-54","55-64"))))</f>
        <v>45-54</v>
      </c>
      <c r="H265" s="8" t="s">
        <v>19</v>
      </c>
      <c r="I265" s="8">
        <v>61.1</v>
      </c>
      <c r="J265" s="8">
        <v>1.82</v>
      </c>
      <c r="K265" s="8">
        <v>165</v>
      </c>
      <c r="L265" s="8">
        <v>163</v>
      </c>
      <c r="M265" s="8">
        <v>57</v>
      </c>
      <c r="N265" s="8">
        <v>1.19</v>
      </c>
      <c r="O265" s="8">
        <v>1171</v>
      </c>
      <c r="P265" s="8" t="s">
        <v>22</v>
      </c>
      <c r="Q265" s="8" t="str">
        <f>_xlfn.IFS(AND(Table13[[#This Row],[Gender]]="female",R265&lt;20),"Athletes",AND(Table13[[#This Row],[Gender]]="female",R265&lt;24),"Fitnesss",AND(Table13[[#This Row],[Gender]]="female",R265&lt;31),"Acceptable",AND(Table13[[#This Row],[Gender]]="female",R265&lt;40),"Obese",AND(Table13[[#This Row],[Gender]]="male",R265&lt;13),"Athletes",AND(Table13[[#This Row],[Gender]]="male",R265&lt;17),"Fitnesss",AND(Table13[[#This Row],[Gender]]="male",R265&lt;24.9),"Acceptable",AND(Table13[[#This Row],[Gender]]="male",R265&lt;40),"Obese",AND(Table13[[#This Row],[Gender]]="others",R265&lt;20),"Athletes",AND(Table13[[#This Row],[Gender]]="others",R265&lt;24),"Fitnesss",AND(Table13[[#This Row],[Gender]]="others",R265&lt;31),"Acceptable",AND(Table13[[#This Row],[Gender]]="others",R265&lt;40),"Obese")</f>
        <v>Obese</v>
      </c>
      <c r="R265" s="8">
        <v>31.7</v>
      </c>
      <c r="S265" s="8">
        <v>2.5</v>
      </c>
      <c r="T265" s="8">
        <v>4</v>
      </c>
      <c r="U265" s="8">
        <v>3</v>
      </c>
      <c r="V265" s="8" t="str">
        <f>IF(Table13[[#This Row],[BMI]]&lt;=18.5,"Underweight",IF(Table13[[#This Row],[BMI]]&lt;=24.9,"Normal",IF(Table13[[#This Row],[BMI]]&lt;=29.9,"Overweight",IF(Table13[[#This Row],[BMI]]&lt;=39,"Obese","Severly Obese"))))</f>
        <v>Severly Obese</v>
      </c>
      <c r="W265" s="18">
        <v>45.75</v>
      </c>
    </row>
    <row r="266" spans="6:23" x14ac:dyDescent="0.3">
      <c r="F266" s="17">
        <v>18</v>
      </c>
      <c r="G266" s="8" t="str">
        <f>IF(Table13[[#This Row],[Age]]&lt;25,"18-24",IF(Table13[[#This Row],[Age]]&lt;35,"25-34",IF(Table13[[#This Row],[Age]]&lt;45,"35-44",IF(Table13[[#This Row],[Age]]&lt;55,"45-54","55-64"))))</f>
        <v>18-24</v>
      </c>
      <c r="H266" s="8" t="s">
        <v>17</v>
      </c>
      <c r="I266" s="8">
        <v>96</v>
      </c>
      <c r="J266" s="8">
        <v>1.82</v>
      </c>
      <c r="K266" s="8">
        <v>198</v>
      </c>
      <c r="L266" s="8">
        <v>144</v>
      </c>
      <c r="M266" s="8">
        <v>58</v>
      </c>
      <c r="N266" s="8">
        <v>1.19</v>
      </c>
      <c r="O266" s="8">
        <v>323</v>
      </c>
      <c r="P266" s="8" t="s">
        <v>22</v>
      </c>
      <c r="Q266" s="8" t="str">
        <f>_xlfn.IFS(AND(Table13[[#This Row],[Gender]]="female",R266&lt;20),"Athletes",AND(Table13[[#This Row],[Gender]]="female",R266&lt;24),"Fitnesss",AND(Table13[[#This Row],[Gender]]="female",R266&lt;31),"Acceptable",AND(Table13[[#This Row],[Gender]]="female",R266&lt;40),"Obese",AND(Table13[[#This Row],[Gender]]="male",R266&lt;13),"Athletes",AND(Table13[[#This Row],[Gender]]="male",R266&lt;17),"Fitnesss",AND(Table13[[#This Row],[Gender]]="male",R266&lt;24.9),"Acceptable",AND(Table13[[#This Row],[Gender]]="male",R266&lt;40),"Obese",AND(Table13[[#This Row],[Gender]]="others",R266&lt;20),"Athletes",AND(Table13[[#This Row],[Gender]]="others",R266&lt;24),"Fitnesss",AND(Table13[[#This Row],[Gender]]="others",R266&lt;31),"Acceptable",AND(Table13[[#This Row],[Gender]]="others",R266&lt;40),"Obese")</f>
        <v>Fitnesss</v>
      </c>
      <c r="R266" s="8">
        <v>23.8</v>
      </c>
      <c r="S266" s="8">
        <v>1.8</v>
      </c>
      <c r="T266" s="8">
        <v>3</v>
      </c>
      <c r="U266" s="8">
        <v>1</v>
      </c>
      <c r="V266" s="8" t="str">
        <f>IF(Table13[[#This Row],[BMI]]&lt;=18.5,"Underweight",IF(Table13[[#This Row],[BMI]]&lt;=24.9,"Normal",IF(Table13[[#This Row],[BMI]]&lt;=29.9,"Overweight",IF(Table13[[#This Row],[BMI]]&lt;=39,"Obese","Severly Obese"))))</f>
        <v>Underweight</v>
      </c>
      <c r="W266" s="18">
        <v>12.32</v>
      </c>
    </row>
    <row r="267" spans="6:23" x14ac:dyDescent="0.3">
      <c r="F267" s="17">
        <v>27</v>
      </c>
      <c r="G267" s="8" t="str">
        <f>IF(Table13[[#This Row],[Age]]&lt;25,"18-24",IF(Table13[[#This Row],[Age]]&lt;35,"25-34",IF(Table13[[#This Row],[Age]]&lt;45,"35-44",IF(Table13[[#This Row],[Age]]&lt;55,"45-54","55-64"))))</f>
        <v>25-34</v>
      </c>
      <c r="H267" s="8" t="s">
        <v>17</v>
      </c>
      <c r="I267" s="8">
        <v>89.7</v>
      </c>
      <c r="J267" s="8">
        <v>1.67</v>
      </c>
      <c r="K267" s="8">
        <v>172</v>
      </c>
      <c r="L267" s="8">
        <v>130</v>
      </c>
      <c r="M267" s="8">
        <v>64</v>
      </c>
      <c r="N267" s="8">
        <v>1.46</v>
      </c>
      <c r="O267" s="8">
        <v>729</v>
      </c>
      <c r="P267" s="8" t="s">
        <v>22</v>
      </c>
      <c r="Q267" s="8" t="str">
        <f>_xlfn.IFS(AND(Table13[[#This Row],[Gender]]="female",R267&lt;20),"Athletes",AND(Table13[[#This Row],[Gender]]="female",R267&lt;24),"Fitnesss",AND(Table13[[#This Row],[Gender]]="female",R267&lt;31),"Acceptable",AND(Table13[[#This Row],[Gender]]="female",R267&lt;40),"Obese",AND(Table13[[#This Row],[Gender]]="male",R267&lt;13),"Athletes",AND(Table13[[#This Row],[Gender]]="male",R267&lt;17),"Fitnesss",AND(Table13[[#This Row],[Gender]]="male",R267&lt;24.9),"Acceptable",AND(Table13[[#This Row],[Gender]]="male",R267&lt;40),"Obese",AND(Table13[[#This Row],[Gender]]="others",R267&lt;20),"Athletes",AND(Table13[[#This Row],[Gender]]="others",R267&lt;24),"Fitnesss",AND(Table13[[#This Row],[Gender]]="others",R267&lt;31),"Acceptable",AND(Table13[[#This Row],[Gender]]="others",R267&lt;40),"Obese")</f>
        <v>Acceptable</v>
      </c>
      <c r="R267" s="8">
        <v>27.7</v>
      </c>
      <c r="S267" s="8">
        <v>3.4</v>
      </c>
      <c r="T267" s="8">
        <v>4</v>
      </c>
      <c r="U267" s="8">
        <v>2</v>
      </c>
      <c r="V267" s="8" t="str">
        <f>IF(Table13[[#This Row],[BMI]]&lt;=18.5,"Underweight",IF(Table13[[#This Row],[BMI]]&lt;=24.9,"Normal",IF(Table13[[#This Row],[BMI]]&lt;=29.9,"Overweight",IF(Table13[[#This Row],[BMI]]&lt;=39,"Obese","Severly Obese"))))</f>
        <v>Underweight</v>
      </c>
      <c r="W267" s="18">
        <v>17.559999999999999</v>
      </c>
    </row>
    <row r="268" spans="6:23" x14ac:dyDescent="0.3">
      <c r="F268" s="17">
        <v>34</v>
      </c>
      <c r="G268" s="8" t="str">
        <f>IF(Table13[[#This Row],[Age]]&lt;25,"18-24",IF(Table13[[#This Row],[Age]]&lt;35,"25-34",IF(Table13[[#This Row],[Age]]&lt;45,"35-44",IF(Table13[[#This Row],[Age]]&lt;55,"45-54","55-64"))))</f>
        <v>25-34</v>
      </c>
      <c r="H268" s="8" t="s">
        <v>17</v>
      </c>
      <c r="I268" s="8">
        <v>61</v>
      </c>
      <c r="J268" s="8">
        <v>1.69</v>
      </c>
      <c r="K268" s="8">
        <v>190</v>
      </c>
      <c r="L268" s="8">
        <v>159</v>
      </c>
      <c r="M268" s="8">
        <v>63</v>
      </c>
      <c r="N268" s="8">
        <v>0.99</v>
      </c>
      <c r="O268" s="8">
        <v>1040</v>
      </c>
      <c r="P268" s="8" t="s">
        <v>20</v>
      </c>
      <c r="Q268" s="8" t="str">
        <f>_xlfn.IFS(AND(Table13[[#This Row],[Gender]]="female",R268&lt;20),"Athletes",AND(Table13[[#This Row],[Gender]]="female",R268&lt;24),"Fitnesss",AND(Table13[[#This Row],[Gender]]="female",R268&lt;31),"Acceptable",AND(Table13[[#This Row],[Gender]]="female",R268&lt;40),"Obese",AND(Table13[[#This Row],[Gender]]="male",R268&lt;13),"Athletes",AND(Table13[[#This Row],[Gender]]="male",R268&lt;17),"Fitnesss",AND(Table13[[#This Row],[Gender]]="male",R268&lt;24.9),"Acceptable",AND(Table13[[#This Row],[Gender]]="male",R268&lt;40),"Obese",AND(Table13[[#This Row],[Gender]]="others",R268&lt;20),"Athletes",AND(Table13[[#This Row],[Gender]]="others",R268&lt;24),"Fitnesss",AND(Table13[[#This Row],[Gender]]="others",R268&lt;31),"Acceptable",AND(Table13[[#This Row],[Gender]]="others",R268&lt;40),"Obese")</f>
        <v>Fitnesss</v>
      </c>
      <c r="R268" s="8">
        <v>23.6</v>
      </c>
      <c r="S268" s="8">
        <v>3.6</v>
      </c>
      <c r="T268" s="8">
        <v>5</v>
      </c>
      <c r="U268" s="8">
        <v>3</v>
      </c>
      <c r="V268" s="8" t="str">
        <f>IF(Table13[[#This Row],[BMI]]&lt;=18.5,"Underweight",IF(Table13[[#This Row],[BMI]]&lt;=24.9,"Normal",IF(Table13[[#This Row],[BMI]]&lt;=29.9,"Overweight",IF(Table13[[#This Row],[BMI]]&lt;=39,"Obese","Severly Obese"))))</f>
        <v>Underweight</v>
      </c>
      <c r="W268" s="18">
        <v>18.07</v>
      </c>
    </row>
    <row r="269" spans="6:23" x14ac:dyDescent="0.3">
      <c r="F269" s="17">
        <v>31</v>
      </c>
      <c r="G269" s="8" t="str">
        <f>IF(Table13[[#This Row],[Age]]&lt;25,"18-24",IF(Table13[[#This Row],[Age]]&lt;35,"25-34",IF(Table13[[#This Row],[Age]]&lt;45,"35-44",IF(Table13[[#This Row],[Age]]&lt;55,"45-54","55-64"))))</f>
        <v>25-34</v>
      </c>
      <c r="H269" s="8" t="s">
        <v>17</v>
      </c>
      <c r="I269" s="8">
        <v>75.599999999999994</v>
      </c>
      <c r="J269" s="8">
        <v>1.57</v>
      </c>
      <c r="K269" s="8">
        <v>163</v>
      </c>
      <c r="L269" s="8">
        <v>152</v>
      </c>
      <c r="M269" s="8">
        <v>71</v>
      </c>
      <c r="N269" s="8">
        <v>0.96</v>
      </c>
      <c r="O269" s="8">
        <v>668</v>
      </c>
      <c r="P269" s="8" t="s">
        <v>22</v>
      </c>
      <c r="Q269" s="8" t="str">
        <f>_xlfn.IFS(AND(Table13[[#This Row],[Gender]]="female",R269&lt;20),"Athletes",AND(Table13[[#This Row],[Gender]]="female",R269&lt;24),"Fitnesss",AND(Table13[[#This Row],[Gender]]="female",R269&lt;31),"Acceptable",AND(Table13[[#This Row],[Gender]]="female",R269&lt;40),"Obese",AND(Table13[[#This Row],[Gender]]="male",R269&lt;13),"Athletes",AND(Table13[[#This Row],[Gender]]="male",R269&lt;17),"Fitnesss",AND(Table13[[#This Row],[Gender]]="male",R269&lt;24.9),"Acceptable",AND(Table13[[#This Row],[Gender]]="male",R269&lt;40),"Obese",AND(Table13[[#This Row],[Gender]]="others",R269&lt;20),"Athletes",AND(Table13[[#This Row],[Gender]]="others",R269&lt;24),"Fitnesss",AND(Table13[[#This Row],[Gender]]="others",R269&lt;31),"Acceptable",AND(Table13[[#This Row],[Gender]]="others",R269&lt;40),"Obese")</f>
        <v>Acceptable</v>
      </c>
      <c r="R269" s="8">
        <v>25.8</v>
      </c>
      <c r="S269" s="8">
        <v>2.2999999999999998</v>
      </c>
      <c r="T269" s="8">
        <v>4</v>
      </c>
      <c r="U269" s="8">
        <v>1</v>
      </c>
      <c r="V269" s="8" t="str">
        <f>IF(Table13[[#This Row],[BMI]]&lt;=18.5,"Underweight",IF(Table13[[#This Row],[BMI]]&lt;=24.9,"Normal",IF(Table13[[#This Row],[BMI]]&lt;=29.9,"Overweight",IF(Table13[[#This Row],[BMI]]&lt;=39,"Obese","Severly Obese"))))</f>
        <v>Overweight</v>
      </c>
      <c r="W269" s="18">
        <v>26.35</v>
      </c>
    </row>
    <row r="270" spans="6:23" x14ac:dyDescent="0.3">
      <c r="F270" s="17">
        <v>23</v>
      </c>
      <c r="G270" s="8" t="str">
        <f>IF(Table13[[#This Row],[Age]]&lt;25,"18-24",IF(Table13[[#This Row],[Age]]&lt;35,"25-34",IF(Table13[[#This Row],[Age]]&lt;45,"35-44",IF(Table13[[#This Row],[Age]]&lt;55,"45-54","55-64"))))</f>
        <v>18-24</v>
      </c>
      <c r="H270" s="8" t="s">
        <v>17</v>
      </c>
      <c r="I270" s="8">
        <v>40</v>
      </c>
      <c r="J270" s="8">
        <v>1.76</v>
      </c>
      <c r="K270" s="8"/>
      <c r="L270" s="8">
        <v>143</v>
      </c>
      <c r="M270" s="8">
        <v>71</v>
      </c>
      <c r="N270" s="8">
        <v>1.08</v>
      </c>
      <c r="O270" s="8">
        <v>1442</v>
      </c>
      <c r="P270" s="8" t="s">
        <v>22</v>
      </c>
      <c r="Q270" s="8" t="str">
        <f>_xlfn.IFS(AND(Table13[[#This Row],[Gender]]="female",R270&lt;20),"Athletes",AND(Table13[[#This Row],[Gender]]="female",R270&lt;24),"Fitnesss",AND(Table13[[#This Row],[Gender]]="female",R270&lt;31),"Acceptable",AND(Table13[[#This Row],[Gender]]="female",R270&lt;40),"Obese",AND(Table13[[#This Row],[Gender]]="male",R270&lt;13),"Athletes",AND(Table13[[#This Row],[Gender]]="male",R270&lt;17),"Fitnesss",AND(Table13[[#This Row],[Gender]]="male",R270&lt;24.9),"Acceptable",AND(Table13[[#This Row],[Gender]]="male",R270&lt;40),"Obese",AND(Table13[[#This Row],[Gender]]="others",R270&lt;20),"Athletes",AND(Table13[[#This Row],[Gender]]="others",R270&lt;24),"Fitnesss",AND(Table13[[#This Row],[Gender]]="others",R270&lt;31),"Acceptable",AND(Table13[[#This Row],[Gender]]="others",R270&lt;40),"Obese")</f>
        <v>Acceptable</v>
      </c>
      <c r="R270" s="8">
        <v>25.7</v>
      </c>
      <c r="S270" s="8">
        <v>3.3</v>
      </c>
      <c r="T270" s="8">
        <v>5</v>
      </c>
      <c r="U270" s="8">
        <v>3</v>
      </c>
      <c r="V270" s="8" t="str">
        <f>IF(Table13[[#This Row],[BMI]]&lt;=18.5,"Underweight",IF(Table13[[#This Row],[BMI]]&lt;=24.9,"Normal",IF(Table13[[#This Row],[BMI]]&lt;=29.9,"Overweight",IF(Table13[[#This Row],[BMI]]&lt;=39,"Obese","Severly Obese"))))</f>
        <v>Underweight</v>
      </c>
      <c r="W270" s="18">
        <v>12.32</v>
      </c>
    </row>
    <row r="271" spans="6:23" x14ac:dyDescent="0.3">
      <c r="F271" s="17">
        <v>54</v>
      </c>
      <c r="G271" s="8" t="str">
        <f>IF(Table13[[#This Row],[Age]]&lt;25,"18-24",IF(Table13[[#This Row],[Age]]&lt;35,"25-34",IF(Table13[[#This Row],[Age]]&lt;45,"35-44",IF(Table13[[#This Row],[Age]]&lt;55,"45-54","55-64"))))</f>
        <v>45-54</v>
      </c>
      <c r="H271" s="8" t="s">
        <v>23</v>
      </c>
      <c r="I271" s="8">
        <v>46.8</v>
      </c>
      <c r="J271" s="8">
        <v>1.67</v>
      </c>
      <c r="K271" s="8">
        <v>181</v>
      </c>
      <c r="L271" s="8">
        <v>169</v>
      </c>
      <c r="M271" s="8">
        <v>74</v>
      </c>
      <c r="N271" s="8">
        <v>1.48</v>
      </c>
      <c r="O271" s="8"/>
      <c r="P271" s="8" t="s">
        <v>18</v>
      </c>
      <c r="Q271" s="8" t="str">
        <f>_xlfn.IFS(AND(Table13[[#This Row],[Gender]]="female",R271&lt;20),"Athletes",AND(Table13[[#This Row],[Gender]]="female",R271&lt;24),"Fitnesss",AND(Table13[[#This Row],[Gender]]="female",R271&lt;31),"Acceptable",AND(Table13[[#This Row],[Gender]]="female",R271&lt;40),"Obese",AND(Table13[[#This Row],[Gender]]="male",R271&lt;13),"Athletes",AND(Table13[[#This Row],[Gender]]="male",R271&lt;17),"Fitnesss",AND(Table13[[#This Row],[Gender]]="male",R271&lt;24.9),"Acceptable",AND(Table13[[#This Row],[Gender]]="male",R271&lt;40),"Obese",AND(Table13[[#This Row],[Gender]]="others",R271&lt;20),"Athletes",AND(Table13[[#This Row],[Gender]]="others",R271&lt;24),"Fitnesss",AND(Table13[[#This Row],[Gender]]="others",R271&lt;31),"Acceptable",AND(Table13[[#This Row],[Gender]]="others",R271&lt;40),"Obese")</f>
        <v>Acceptable</v>
      </c>
      <c r="R271" s="8">
        <v>25.5</v>
      </c>
      <c r="S271" s="8">
        <v>1.5</v>
      </c>
      <c r="T271" s="8">
        <v>4</v>
      </c>
      <c r="U271" s="8">
        <v>1</v>
      </c>
      <c r="V271" s="8" t="str">
        <f>IF(Table13[[#This Row],[BMI]]&lt;=18.5,"Underweight",IF(Table13[[#This Row],[BMI]]&lt;=24.9,"Normal",IF(Table13[[#This Row],[BMI]]&lt;=29.9,"Overweight",IF(Table13[[#This Row],[BMI]]&lt;=39,"Obese","Severly Obese"))))</f>
        <v>Normal</v>
      </c>
      <c r="W271" s="18">
        <v>22.04</v>
      </c>
    </row>
    <row r="272" spans="6:23" x14ac:dyDescent="0.3">
      <c r="F272" s="17">
        <v>19</v>
      </c>
      <c r="G272" s="8" t="str">
        <f>IF(Table13[[#This Row],[Age]]&lt;25,"18-24",IF(Table13[[#This Row],[Age]]&lt;35,"25-34",IF(Table13[[#This Row],[Age]]&lt;45,"35-44",IF(Table13[[#This Row],[Age]]&lt;55,"45-54","55-64"))))</f>
        <v>18-24</v>
      </c>
      <c r="H272" s="8" t="s">
        <v>17</v>
      </c>
      <c r="I272" s="8">
        <v>90.6</v>
      </c>
      <c r="J272" s="8">
        <v>1.85</v>
      </c>
      <c r="K272" s="8">
        <v>187</v>
      </c>
      <c r="L272" s="8">
        <v>131</v>
      </c>
      <c r="M272" s="8">
        <v>68</v>
      </c>
      <c r="N272" s="8">
        <v>1.67</v>
      </c>
      <c r="O272" s="8">
        <v>607</v>
      </c>
      <c r="P272" s="8" t="s">
        <v>21</v>
      </c>
      <c r="Q272" s="8" t="str">
        <f>_xlfn.IFS(AND(Table13[[#This Row],[Gender]]="female",R272&lt;20),"Athletes",AND(Table13[[#This Row],[Gender]]="female",R272&lt;24),"Fitnesss",AND(Table13[[#This Row],[Gender]]="female",R272&lt;31),"Acceptable",AND(Table13[[#This Row],[Gender]]="female",R272&lt;40),"Obese",AND(Table13[[#This Row],[Gender]]="male",R272&lt;13),"Athletes",AND(Table13[[#This Row],[Gender]]="male",R272&lt;17),"Fitnesss",AND(Table13[[#This Row],[Gender]]="male",R272&lt;24.9),"Acceptable",AND(Table13[[#This Row],[Gender]]="male",R272&lt;40),"Obese",AND(Table13[[#This Row],[Gender]]="others",R272&lt;20),"Athletes",AND(Table13[[#This Row],[Gender]]="others",R272&lt;24),"Fitnesss",AND(Table13[[#This Row],[Gender]]="others",R272&lt;31),"Acceptable",AND(Table13[[#This Row],[Gender]]="others",R272&lt;40),"Obese")</f>
        <v>Acceptable</v>
      </c>
      <c r="R272" s="8">
        <v>27.5</v>
      </c>
      <c r="S272" s="8">
        <v>3.3</v>
      </c>
      <c r="T272" s="8">
        <v>2</v>
      </c>
      <c r="U272" s="8">
        <v>2</v>
      </c>
      <c r="V272" s="8" t="str">
        <f>IF(Table13[[#This Row],[BMI]]&lt;=18.5,"Underweight",IF(Table13[[#This Row],[BMI]]&lt;=24.9,"Normal",IF(Table13[[#This Row],[BMI]]&lt;=29.9,"Overweight",IF(Table13[[#This Row],[BMI]]&lt;=39,"Obese","Severly Obese"))))</f>
        <v>Normal</v>
      </c>
      <c r="W272" s="18">
        <v>19.149999999999999</v>
      </c>
    </row>
    <row r="273" spans="6:23" x14ac:dyDescent="0.3">
      <c r="F273" s="17">
        <v>47</v>
      </c>
      <c r="G273" s="8" t="str">
        <f>IF(Table13[[#This Row],[Age]]&lt;25,"18-24",IF(Table13[[#This Row],[Age]]&lt;35,"25-34",IF(Table13[[#This Row],[Age]]&lt;45,"35-44",IF(Table13[[#This Row],[Age]]&lt;55,"45-54","55-64"))))</f>
        <v>45-54</v>
      </c>
      <c r="H273" s="8" t="s">
        <v>17</v>
      </c>
      <c r="I273" s="8">
        <v>90.8</v>
      </c>
      <c r="J273" s="8">
        <v>1.67</v>
      </c>
      <c r="K273" s="8">
        <v>186</v>
      </c>
      <c r="L273" s="8">
        <v>120</v>
      </c>
      <c r="M273" s="8">
        <v>74</v>
      </c>
      <c r="N273" s="8">
        <v>1.43</v>
      </c>
      <c r="O273" s="8">
        <v>506</v>
      </c>
      <c r="P273" s="8" t="s">
        <v>18</v>
      </c>
      <c r="Q273" s="8" t="str">
        <f>_xlfn.IFS(AND(Table13[[#This Row],[Gender]]="female",R273&lt;20),"Athletes",AND(Table13[[#This Row],[Gender]]="female",R273&lt;24),"Fitnesss",AND(Table13[[#This Row],[Gender]]="female",R273&lt;31),"Acceptable",AND(Table13[[#This Row],[Gender]]="female",R273&lt;40),"Obese",AND(Table13[[#This Row],[Gender]]="male",R273&lt;13),"Athletes",AND(Table13[[#This Row],[Gender]]="male",R273&lt;17),"Fitnesss",AND(Table13[[#This Row],[Gender]]="male",R273&lt;24.9),"Acceptable",AND(Table13[[#This Row],[Gender]]="male",R273&lt;40),"Obese",AND(Table13[[#This Row],[Gender]]="others",R273&lt;20),"Athletes",AND(Table13[[#This Row],[Gender]]="others",R273&lt;24),"Fitnesss",AND(Table13[[#This Row],[Gender]]="others",R273&lt;31),"Acceptable",AND(Table13[[#This Row],[Gender]]="others",R273&lt;40),"Obese")</f>
        <v>Obese</v>
      </c>
      <c r="R273" s="8">
        <v>32</v>
      </c>
      <c r="S273" s="8">
        <v>2.7</v>
      </c>
      <c r="T273" s="8">
        <v>3</v>
      </c>
      <c r="U273" s="8">
        <v>3</v>
      </c>
      <c r="V273" s="8" t="str">
        <f>IF(Table13[[#This Row],[BMI]]&lt;=18.5,"Underweight",IF(Table13[[#This Row],[BMI]]&lt;=24.9,"Normal",IF(Table13[[#This Row],[BMI]]&lt;=29.9,"Overweight",IF(Table13[[#This Row],[BMI]]&lt;=39,"Obese","Severly Obese"))))</f>
        <v>Underweight</v>
      </c>
      <c r="W273" s="18">
        <v>18.39</v>
      </c>
    </row>
    <row r="274" spans="6:23" x14ac:dyDescent="0.3">
      <c r="F274" s="17">
        <v>33</v>
      </c>
      <c r="G274" s="8" t="str">
        <f>IF(Table13[[#This Row],[Age]]&lt;25,"18-24",IF(Table13[[#This Row],[Age]]&lt;35,"25-34",IF(Table13[[#This Row],[Age]]&lt;45,"35-44",IF(Table13[[#This Row],[Age]]&lt;55,"45-54","55-64"))))</f>
        <v>25-34</v>
      </c>
      <c r="H274" s="8" t="s">
        <v>17</v>
      </c>
      <c r="I274" s="8">
        <v>129.9</v>
      </c>
      <c r="J274" s="8">
        <v>1.69</v>
      </c>
      <c r="K274" s="8">
        <v>168</v>
      </c>
      <c r="L274" s="8">
        <v>152</v>
      </c>
      <c r="M274" s="8">
        <v>74</v>
      </c>
      <c r="N274" s="8">
        <v>1.61</v>
      </c>
      <c r="O274" s="8">
        <v>810</v>
      </c>
      <c r="P274" s="8" t="s">
        <v>18</v>
      </c>
      <c r="Q274" s="8" t="str">
        <f>_xlfn.IFS(AND(Table13[[#This Row],[Gender]]="female",R274&lt;20),"Athletes",AND(Table13[[#This Row],[Gender]]="female",R274&lt;24),"Fitnesss",AND(Table13[[#This Row],[Gender]]="female",R274&lt;31),"Acceptable",AND(Table13[[#This Row],[Gender]]="female",R274&lt;40),"Obese",AND(Table13[[#This Row],[Gender]]="male",R274&lt;13),"Athletes",AND(Table13[[#This Row],[Gender]]="male",R274&lt;17),"Fitnesss",AND(Table13[[#This Row],[Gender]]="male",R274&lt;24.9),"Acceptable",AND(Table13[[#This Row],[Gender]]="male",R274&lt;40),"Obese",AND(Table13[[#This Row],[Gender]]="others",R274&lt;20),"Athletes",AND(Table13[[#This Row],[Gender]]="others",R274&lt;24),"Fitnesss",AND(Table13[[#This Row],[Gender]]="others",R274&lt;31),"Acceptable",AND(Table13[[#This Row],[Gender]]="others",R274&lt;40),"Obese")</f>
        <v>Acceptable</v>
      </c>
      <c r="R274" s="8">
        <v>27.5</v>
      </c>
      <c r="S274" s="8">
        <v>3.5</v>
      </c>
      <c r="T274" s="8"/>
      <c r="U274" s="8">
        <v>2</v>
      </c>
      <c r="V274" s="8" t="str">
        <f>IF(Table13[[#This Row],[BMI]]&lt;=18.5,"Underweight",IF(Table13[[#This Row],[BMI]]&lt;=24.9,"Normal",IF(Table13[[#This Row],[BMI]]&lt;=29.9,"Overweight",IF(Table13[[#This Row],[BMI]]&lt;=39,"Obese","Severly Obese"))))</f>
        <v>Normal</v>
      </c>
      <c r="W274" s="18">
        <v>23.37</v>
      </c>
    </row>
    <row r="275" spans="6:23" x14ac:dyDescent="0.3">
      <c r="F275" s="17">
        <v>50</v>
      </c>
      <c r="G275" s="8" t="str">
        <f>IF(Table13[[#This Row],[Age]]&lt;25,"18-24",IF(Table13[[#This Row],[Age]]&lt;35,"25-34",IF(Table13[[#This Row],[Age]]&lt;45,"35-44",IF(Table13[[#This Row],[Age]]&lt;55,"45-54","55-64"))))</f>
        <v>45-54</v>
      </c>
      <c r="H275" s="8" t="s">
        <v>17</v>
      </c>
      <c r="I275" s="8">
        <v>69.3</v>
      </c>
      <c r="J275" s="8"/>
      <c r="K275" s="8">
        <v>162</v>
      </c>
      <c r="L275" s="8">
        <v>126</v>
      </c>
      <c r="M275" s="8">
        <v>62</v>
      </c>
      <c r="N275" s="8">
        <v>1.33</v>
      </c>
      <c r="O275" s="8">
        <v>1138</v>
      </c>
      <c r="P275" s="8" t="s">
        <v>18</v>
      </c>
      <c r="Q275" s="8" t="str">
        <f>_xlfn.IFS(AND(Table13[[#This Row],[Gender]]="female",R275&lt;20),"Athletes",AND(Table13[[#This Row],[Gender]]="female",R275&lt;24),"Fitnesss",AND(Table13[[#This Row],[Gender]]="female",R275&lt;31),"Acceptable",AND(Table13[[#This Row],[Gender]]="female",R275&lt;40),"Obese",AND(Table13[[#This Row],[Gender]]="male",R275&lt;13),"Athletes",AND(Table13[[#This Row],[Gender]]="male",R275&lt;17),"Fitnesss",AND(Table13[[#This Row],[Gender]]="male",R275&lt;24.9),"Acceptable",AND(Table13[[#This Row],[Gender]]="male",R275&lt;40),"Obese",AND(Table13[[#This Row],[Gender]]="others",R275&lt;20),"Athletes",AND(Table13[[#This Row],[Gender]]="others",R275&lt;24),"Fitnesss",AND(Table13[[#This Row],[Gender]]="others",R275&lt;31),"Acceptable",AND(Table13[[#This Row],[Gender]]="others",R275&lt;40),"Obese")</f>
        <v>Acceptable</v>
      </c>
      <c r="R275" s="8">
        <v>25.6</v>
      </c>
      <c r="S275" s="8">
        <v>1.5</v>
      </c>
      <c r="T275" s="8">
        <v>3</v>
      </c>
      <c r="U275" s="8">
        <v>1</v>
      </c>
      <c r="V275" s="8" t="str">
        <f>IF(Table13[[#This Row],[BMI]]&lt;=18.5,"Underweight",IF(Table13[[#This Row],[BMI]]&lt;=24.9,"Normal",IF(Table13[[#This Row],[BMI]]&lt;=29.9,"Overweight",IF(Table13[[#This Row],[BMI]]&lt;=39,"Obese","Severly Obese"))))</f>
        <v>Normal</v>
      </c>
      <c r="W275" s="18">
        <v>22.79</v>
      </c>
    </row>
    <row r="276" spans="6:23" x14ac:dyDescent="0.3">
      <c r="F276" s="17">
        <v>19</v>
      </c>
      <c r="G276" s="8" t="str">
        <f>IF(Table13[[#This Row],[Age]]&lt;25,"18-24",IF(Table13[[#This Row],[Age]]&lt;35,"25-34",IF(Table13[[#This Row],[Age]]&lt;45,"35-44",IF(Table13[[#This Row],[Age]]&lt;55,"45-54","55-64"))))</f>
        <v>18-24</v>
      </c>
      <c r="H276" s="8" t="s">
        <v>17</v>
      </c>
      <c r="I276" s="8">
        <v>40</v>
      </c>
      <c r="J276" s="8">
        <v>1.77</v>
      </c>
      <c r="K276" s="8">
        <v>179</v>
      </c>
      <c r="L276" s="8">
        <v>139</v>
      </c>
      <c r="M276" s="8">
        <v>74</v>
      </c>
      <c r="N276" s="8">
        <v>1.22</v>
      </c>
      <c r="O276" s="8">
        <v>1173</v>
      </c>
      <c r="P276" s="8" t="s">
        <v>22</v>
      </c>
      <c r="Q276" s="8" t="str">
        <f>_xlfn.IFS(AND(Table13[[#This Row],[Gender]]="female",R276&lt;20),"Athletes",AND(Table13[[#This Row],[Gender]]="female",R276&lt;24),"Fitnesss",AND(Table13[[#This Row],[Gender]]="female",R276&lt;31),"Acceptable",AND(Table13[[#This Row],[Gender]]="female",R276&lt;40),"Obese",AND(Table13[[#This Row],[Gender]]="male",R276&lt;13),"Athletes",AND(Table13[[#This Row],[Gender]]="male",R276&lt;17),"Fitnesss",AND(Table13[[#This Row],[Gender]]="male",R276&lt;24.9),"Acceptable",AND(Table13[[#This Row],[Gender]]="male",R276&lt;40),"Obese",AND(Table13[[#This Row],[Gender]]="others",R276&lt;20),"Athletes",AND(Table13[[#This Row],[Gender]]="others",R276&lt;24),"Fitnesss",AND(Table13[[#This Row],[Gender]]="others",R276&lt;31),"Acceptable",AND(Table13[[#This Row],[Gender]]="others",R276&lt;40),"Obese")</f>
        <v>Acceptable</v>
      </c>
      <c r="R276" s="8">
        <v>27.7</v>
      </c>
      <c r="S276" s="8">
        <v>1.6</v>
      </c>
      <c r="T276" s="8">
        <v>3</v>
      </c>
      <c r="U276" s="8">
        <v>3</v>
      </c>
      <c r="V276" s="8" t="str">
        <f>IF(Table13[[#This Row],[BMI]]&lt;=18.5,"Underweight",IF(Table13[[#This Row],[BMI]]&lt;=24.9,"Normal",IF(Table13[[#This Row],[BMI]]&lt;=29.9,"Overweight",IF(Table13[[#This Row],[BMI]]&lt;=39,"Obese","Severly Obese"))))</f>
        <v>Normal</v>
      </c>
      <c r="W276" s="18">
        <v>19.2</v>
      </c>
    </row>
    <row r="277" spans="6:23" x14ac:dyDescent="0.3">
      <c r="F277" s="17">
        <v>27</v>
      </c>
      <c r="G277" s="8" t="str">
        <f>IF(Table13[[#This Row],[Age]]&lt;25,"18-24",IF(Table13[[#This Row],[Age]]&lt;35,"25-34",IF(Table13[[#This Row],[Age]]&lt;45,"35-44",IF(Table13[[#This Row],[Age]]&lt;55,"45-54","55-64"))))</f>
        <v>25-34</v>
      </c>
      <c r="H277" s="8" t="s">
        <v>19</v>
      </c>
      <c r="I277" s="8">
        <v>112.6</v>
      </c>
      <c r="J277" s="8">
        <v>1.79</v>
      </c>
      <c r="K277" s="8">
        <v>174</v>
      </c>
      <c r="L277" s="8">
        <v>167</v>
      </c>
      <c r="M277" s="8">
        <v>60</v>
      </c>
      <c r="N277" s="8">
        <v>0.69</v>
      </c>
      <c r="O277" s="8">
        <v>1282</v>
      </c>
      <c r="P277" s="8" t="s">
        <v>18</v>
      </c>
      <c r="Q277" s="8" t="str">
        <f>_xlfn.IFS(AND(Table13[[#This Row],[Gender]]="female",R277&lt;20),"Athletes",AND(Table13[[#This Row],[Gender]]="female",R277&lt;24),"Fitnesss",AND(Table13[[#This Row],[Gender]]="female",R277&lt;31),"Acceptable",AND(Table13[[#This Row],[Gender]]="female",R277&lt;40),"Obese",AND(Table13[[#This Row],[Gender]]="male",R277&lt;13),"Athletes",AND(Table13[[#This Row],[Gender]]="male",R277&lt;17),"Fitnesss",AND(Table13[[#This Row],[Gender]]="male",R277&lt;24.9),"Acceptable",AND(Table13[[#This Row],[Gender]]="male",R277&lt;40),"Obese",AND(Table13[[#This Row],[Gender]]="others",R277&lt;20),"Athletes",AND(Table13[[#This Row],[Gender]]="others",R277&lt;24),"Fitnesss",AND(Table13[[#This Row],[Gender]]="others",R277&lt;31),"Acceptable",AND(Table13[[#This Row],[Gender]]="others",R277&lt;40),"Obese")</f>
        <v>Obese</v>
      </c>
      <c r="R277" s="8">
        <v>28.6</v>
      </c>
      <c r="S277" s="8">
        <v>1.5</v>
      </c>
      <c r="T277" s="8">
        <v>2</v>
      </c>
      <c r="U277" s="8">
        <v>1</v>
      </c>
      <c r="V277" s="8" t="str">
        <f>IF(Table13[[#This Row],[BMI]]&lt;=18.5,"Underweight",IF(Table13[[#This Row],[BMI]]&lt;=24.9,"Normal",IF(Table13[[#This Row],[BMI]]&lt;=29.9,"Overweight",IF(Table13[[#This Row],[BMI]]&lt;=39,"Obese","Severly Obese"))))</f>
        <v>Normal</v>
      </c>
      <c r="W277" s="18">
        <v>22.96</v>
      </c>
    </row>
    <row r="278" spans="6:23" x14ac:dyDescent="0.3">
      <c r="F278" s="17">
        <v>49</v>
      </c>
      <c r="G278" s="8" t="str">
        <f>IF(Table13[[#This Row],[Age]]&lt;25,"18-24",IF(Table13[[#This Row],[Age]]&lt;35,"25-34",IF(Table13[[#This Row],[Age]]&lt;45,"35-44",IF(Table13[[#This Row],[Age]]&lt;55,"45-54","55-64"))))</f>
        <v>45-54</v>
      </c>
      <c r="H278" s="8" t="s">
        <v>19</v>
      </c>
      <c r="I278" s="8">
        <v>54.2</v>
      </c>
      <c r="J278" s="8">
        <v>1.64</v>
      </c>
      <c r="K278" s="8">
        <v>182</v>
      </c>
      <c r="L278" s="8">
        <v>147</v>
      </c>
      <c r="M278" s="8">
        <v>64</v>
      </c>
      <c r="N278" s="8">
        <v>0.95</v>
      </c>
      <c r="O278" s="8">
        <v>914</v>
      </c>
      <c r="P278" s="8" t="s">
        <v>23</v>
      </c>
      <c r="Q278" s="8" t="str">
        <f>_xlfn.IFS(AND(Table13[[#This Row],[Gender]]="female",R278&lt;20),"Athletes",AND(Table13[[#This Row],[Gender]]="female",R278&lt;24),"Fitnesss",AND(Table13[[#This Row],[Gender]]="female",R278&lt;31),"Acceptable",AND(Table13[[#This Row],[Gender]]="female",R278&lt;40),"Obese",AND(Table13[[#This Row],[Gender]]="male",R278&lt;13),"Athletes",AND(Table13[[#This Row],[Gender]]="male",R278&lt;17),"Fitnesss",AND(Table13[[#This Row],[Gender]]="male",R278&lt;24.9),"Acceptable",AND(Table13[[#This Row],[Gender]]="male",R278&lt;40),"Obese",AND(Table13[[#This Row],[Gender]]="others",R278&lt;20),"Athletes",AND(Table13[[#This Row],[Gender]]="others",R278&lt;24),"Fitnesss",AND(Table13[[#This Row],[Gender]]="others",R278&lt;31),"Acceptable",AND(Table13[[#This Row],[Gender]]="others",R278&lt;40),"Obese")</f>
        <v>Acceptable</v>
      </c>
      <c r="R278" s="8">
        <v>19</v>
      </c>
      <c r="S278" s="8">
        <v>3.2</v>
      </c>
      <c r="T278" s="8">
        <v>2</v>
      </c>
      <c r="U278" s="8">
        <v>2</v>
      </c>
      <c r="V278" s="8" t="str">
        <f>IF(Table13[[#This Row],[BMI]]&lt;=18.5,"Underweight",IF(Table13[[#This Row],[BMI]]&lt;=24.9,"Normal",IF(Table13[[#This Row],[BMI]]&lt;=29.9,"Overweight",IF(Table13[[#This Row],[BMI]]&lt;=39,"Obese","Severly Obese"))))</f>
        <v>Normal</v>
      </c>
      <c r="W278" s="18">
        <v>23.01</v>
      </c>
    </row>
    <row r="279" spans="6:23" x14ac:dyDescent="0.3">
      <c r="F279" s="17">
        <v>46</v>
      </c>
      <c r="G279" s="8" t="str">
        <f>IF(Table13[[#This Row],[Age]]&lt;25,"18-24",IF(Table13[[#This Row],[Age]]&lt;35,"25-34",IF(Table13[[#This Row],[Age]]&lt;45,"35-44",IF(Table13[[#This Row],[Age]]&lt;55,"45-54","55-64"))))</f>
        <v>45-54</v>
      </c>
      <c r="H279" s="8" t="s">
        <v>19</v>
      </c>
      <c r="I279" s="8">
        <v>108.9</v>
      </c>
      <c r="J279" s="8">
        <v>1.86</v>
      </c>
      <c r="K279" s="8">
        <v>162</v>
      </c>
      <c r="L279" s="8">
        <v>165</v>
      </c>
      <c r="M279" s="8">
        <v>74</v>
      </c>
      <c r="N279" s="8">
        <v>1.42</v>
      </c>
      <c r="O279" s="8">
        <v>936</v>
      </c>
      <c r="P279" s="8" t="s">
        <v>18</v>
      </c>
      <c r="Q279" s="8" t="str">
        <f>_xlfn.IFS(AND(Table13[[#This Row],[Gender]]="female",R279&lt;20),"Athletes",AND(Table13[[#This Row],[Gender]]="female",R279&lt;24),"Fitnesss",AND(Table13[[#This Row],[Gender]]="female",R279&lt;31),"Acceptable",AND(Table13[[#This Row],[Gender]]="female",R279&lt;40),"Obese",AND(Table13[[#This Row],[Gender]]="male",R279&lt;13),"Athletes",AND(Table13[[#This Row],[Gender]]="male",R279&lt;17),"Fitnesss",AND(Table13[[#This Row],[Gender]]="male",R279&lt;24.9),"Acceptable",AND(Table13[[#This Row],[Gender]]="male",R279&lt;40),"Obese",AND(Table13[[#This Row],[Gender]]="others",R279&lt;20),"Athletes",AND(Table13[[#This Row],[Gender]]="others",R279&lt;24),"Fitnesss",AND(Table13[[#This Row],[Gender]]="others",R279&lt;31),"Acceptable",AND(Table13[[#This Row],[Gender]]="others",R279&lt;40),"Obese")</f>
        <v>Acceptable</v>
      </c>
      <c r="R279" s="8">
        <v>22.2</v>
      </c>
      <c r="S279" s="8">
        <v>1.9</v>
      </c>
      <c r="T279" s="8">
        <v>4</v>
      </c>
      <c r="U279" s="8">
        <v>2</v>
      </c>
      <c r="V279" s="8" t="str">
        <f>IF(Table13[[#This Row],[BMI]]&lt;=18.5,"Underweight",IF(Table13[[#This Row],[BMI]]&lt;=24.9,"Normal",IF(Table13[[#This Row],[BMI]]&lt;=29.9,"Overweight",IF(Table13[[#This Row],[BMI]]&lt;=39,"Obese","Severly Obese"))))</f>
        <v>Overweight</v>
      </c>
      <c r="W279" s="18">
        <v>27.29</v>
      </c>
    </row>
    <row r="280" spans="6:23" x14ac:dyDescent="0.3">
      <c r="F280" s="17">
        <v>37</v>
      </c>
      <c r="G280" s="8" t="str">
        <f>IF(Table13[[#This Row],[Age]]&lt;25,"18-24",IF(Table13[[#This Row],[Age]]&lt;35,"25-34",IF(Table13[[#This Row],[Age]]&lt;45,"35-44",IF(Table13[[#This Row],[Age]]&lt;55,"45-54","55-64"))))</f>
        <v>35-44</v>
      </c>
      <c r="H280" s="8" t="s">
        <v>23</v>
      </c>
      <c r="I280" s="8">
        <v>69.400000000000006</v>
      </c>
      <c r="J280" s="8">
        <v>1.61</v>
      </c>
      <c r="K280" s="8">
        <v>173</v>
      </c>
      <c r="L280" s="8">
        <v>169</v>
      </c>
      <c r="M280" s="8">
        <v>66</v>
      </c>
      <c r="N280" s="8">
        <v>1.0900000000000001</v>
      </c>
      <c r="O280" s="8">
        <v>948</v>
      </c>
      <c r="P280" s="8" t="s">
        <v>18</v>
      </c>
      <c r="Q280" s="8" t="str">
        <f>_xlfn.IFS(AND(Table13[[#This Row],[Gender]]="female",R280&lt;20),"Athletes",AND(Table13[[#This Row],[Gender]]="female",R280&lt;24),"Fitnesss",AND(Table13[[#This Row],[Gender]]="female",R280&lt;31),"Acceptable",AND(Table13[[#This Row],[Gender]]="female",R280&lt;40),"Obese",AND(Table13[[#This Row],[Gender]]="male",R280&lt;13),"Athletes",AND(Table13[[#This Row],[Gender]]="male",R280&lt;17),"Fitnesss",AND(Table13[[#This Row],[Gender]]="male",R280&lt;24.9),"Acceptable",AND(Table13[[#This Row],[Gender]]="male",R280&lt;40),"Obese",AND(Table13[[#This Row],[Gender]]="others",R280&lt;20),"Athletes",AND(Table13[[#This Row],[Gender]]="others",R280&lt;24),"Fitnesss",AND(Table13[[#This Row],[Gender]]="others",R280&lt;31),"Acceptable",AND(Table13[[#This Row],[Gender]]="others",R280&lt;40),"Obese")</f>
        <v>Acceptable</v>
      </c>
      <c r="R280" s="8">
        <v>28.3</v>
      </c>
      <c r="S280" s="8">
        <v>1.5</v>
      </c>
      <c r="T280" s="8">
        <v>2</v>
      </c>
      <c r="U280" s="8">
        <v>1</v>
      </c>
      <c r="V280" s="8" t="str">
        <f>IF(Table13[[#This Row],[BMI]]&lt;=18.5,"Underweight",IF(Table13[[#This Row],[BMI]]&lt;=24.9,"Normal",IF(Table13[[#This Row],[BMI]]&lt;=29.9,"Overweight",IF(Table13[[#This Row],[BMI]]&lt;=39,"Obese","Severly Obese"))))</f>
        <v>Underweight</v>
      </c>
      <c r="W280" s="18">
        <v>12.32</v>
      </c>
    </row>
    <row r="281" spans="6:23" x14ac:dyDescent="0.3">
      <c r="F281" s="17">
        <v>52</v>
      </c>
      <c r="G281" s="8" t="str">
        <f>IF(Table13[[#This Row],[Age]]&lt;25,"18-24",IF(Table13[[#This Row],[Age]]&lt;35,"25-34",IF(Table13[[#This Row],[Age]]&lt;45,"35-44",IF(Table13[[#This Row],[Age]]&lt;55,"45-54","55-64"))))</f>
        <v>45-54</v>
      </c>
      <c r="H281" s="8" t="s">
        <v>19</v>
      </c>
      <c r="I281" s="8">
        <v>40</v>
      </c>
      <c r="J281" s="8">
        <v>1.6</v>
      </c>
      <c r="K281" s="8">
        <v>194</v>
      </c>
      <c r="L281" s="8"/>
      <c r="M281" s="8">
        <v>73</v>
      </c>
      <c r="N281" s="8">
        <v>1.48</v>
      </c>
      <c r="O281" s="8">
        <v>1156</v>
      </c>
      <c r="P281" s="8" t="s">
        <v>22</v>
      </c>
      <c r="Q281" s="8" t="str">
        <f>_xlfn.IFS(AND(Table13[[#This Row],[Gender]]="female",R281&lt;20),"Athletes",AND(Table13[[#This Row],[Gender]]="female",R281&lt;24),"Fitnesss",AND(Table13[[#This Row],[Gender]]="female",R281&lt;31),"Acceptable",AND(Table13[[#This Row],[Gender]]="female",R281&lt;40),"Obese",AND(Table13[[#This Row],[Gender]]="male",R281&lt;13),"Athletes",AND(Table13[[#This Row],[Gender]]="male",R281&lt;17),"Fitnesss",AND(Table13[[#This Row],[Gender]]="male",R281&lt;24.9),"Acceptable",AND(Table13[[#This Row],[Gender]]="male",R281&lt;40),"Obese",AND(Table13[[#This Row],[Gender]]="others",R281&lt;20),"Athletes",AND(Table13[[#This Row],[Gender]]="others",R281&lt;24),"Fitnesss",AND(Table13[[#This Row],[Gender]]="others",R281&lt;31),"Acceptable",AND(Table13[[#This Row],[Gender]]="others",R281&lt;40),"Obese")</f>
        <v>Acceptable</v>
      </c>
      <c r="R281" s="8">
        <v>23.4</v>
      </c>
      <c r="S281" s="8">
        <v>2.2999999999999998</v>
      </c>
      <c r="T281" s="8">
        <v>4</v>
      </c>
      <c r="U281" s="8">
        <v>2</v>
      </c>
      <c r="V281" s="8" t="str">
        <f>IF(Table13[[#This Row],[BMI]]&lt;=18.5,"Underweight",IF(Table13[[#This Row],[BMI]]&lt;=24.9,"Normal",IF(Table13[[#This Row],[BMI]]&lt;=29.9,"Overweight",IF(Table13[[#This Row],[BMI]]&lt;=39,"Obese","Severly Obese"))))</f>
        <v>Overweight</v>
      </c>
      <c r="W281" s="18">
        <v>27.66</v>
      </c>
    </row>
    <row r="282" spans="6:23" x14ac:dyDescent="0.3">
      <c r="F282" s="17">
        <v>26</v>
      </c>
      <c r="G282" s="8" t="str">
        <f>IF(Table13[[#This Row],[Age]]&lt;25,"18-24",IF(Table13[[#This Row],[Age]]&lt;35,"25-34",IF(Table13[[#This Row],[Age]]&lt;45,"35-44",IF(Table13[[#This Row],[Age]]&lt;55,"45-54","55-64"))))</f>
        <v>25-34</v>
      </c>
      <c r="H282" s="8" t="s">
        <v>19</v>
      </c>
      <c r="I282" s="8">
        <v>43.2</v>
      </c>
      <c r="J282" s="8">
        <v>1.8</v>
      </c>
      <c r="K282" s="8">
        <v>185</v>
      </c>
      <c r="L282" s="8">
        <v>149</v>
      </c>
      <c r="M282" s="8">
        <v>52</v>
      </c>
      <c r="N282" s="8">
        <v>1.87</v>
      </c>
      <c r="O282" s="8">
        <v>1019</v>
      </c>
      <c r="P282" s="8" t="s">
        <v>20</v>
      </c>
      <c r="Q282" s="8" t="str">
        <f>_xlfn.IFS(AND(Table13[[#This Row],[Gender]]="female",R282&lt;20),"Athletes",AND(Table13[[#This Row],[Gender]]="female",R282&lt;24),"Fitnesss",AND(Table13[[#This Row],[Gender]]="female",R282&lt;31),"Acceptable",AND(Table13[[#This Row],[Gender]]="female",R282&lt;40),"Obese",AND(Table13[[#This Row],[Gender]]="male",R282&lt;13),"Athletes",AND(Table13[[#This Row],[Gender]]="male",R282&lt;17),"Fitnesss",AND(Table13[[#This Row],[Gender]]="male",R282&lt;24.9),"Acceptable",AND(Table13[[#This Row],[Gender]]="male",R282&lt;40),"Obese",AND(Table13[[#This Row],[Gender]]="others",R282&lt;20),"Athletes",AND(Table13[[#This Row],[Gender]]="others",R282&lt;24),"Fitnesss",AND(Table13[[#This Row],[Gender]]="others",R282&lt;31),"Acceptable",AND(Table13[[#This Row],[Gender]]="others",R282&lt;40),"Obese")</f>
        <v>Acceptable</v>
      </c>
      <c r="R282" s="8">
        <v>23.5</v>
      </c>
      <c r="S282" s="8">
        <v>2.1</v>
      </c>
      <c r="T282" s="8">
        <v>4</v>
      </c>
      <c r="U282" s="8">
        <v>2</v>
      </c>
      <c r="V282" s="8" t="str">
        <f>IF(Table13[[#This Row],[BMI]]&lt;=18.5,"Underweight",IF(Table13[[#This Row],[BMI]]&lt;=24.9,"Normal",IF(Table13[[#This Row],[BMI]]&lt;=29.9,"Overweight",IF(Table13[[#This Row],[BMI]]&lt;=39,"Obese","Severly Obese"))))</f>
        <v>Overweight</v>
      </c>
      <c r="W282" s="18">
        <v>27.59</v>
      </c>
    </row>
    <row r="283" spans="6:23" x14ac:dyDescent="0.3">
      <c r="F283" s="17">
        <v>45</v>
      </c>
      <c r="G283" s="8" t="str">
        <f>IF(Table13[[#This Row],[Age]]&lt;25,"18-24",IF(Table13[[#This Row],[Age]]&lt;35,"25-34",IF(Table13[[#This Row],[Age]]&lt;45,"35-44",IF(Table13[[#This Row],[Age]]&lt;55,"45-54","55-64"))))</f>
        <v>45-54</v>
      </c>
      <c r="H283" s="8" t="s">
        <v>23</v>
      </c>
      <c r="I283" s="8">
        <v>68.7</v>
      </c>
      <c r="J283" s="8">
        <v>1.7</v>
      </c>
      <c r="K283" s="8">
        <v>179</v>
      </c>
      <c r="L283" s="8">
        <v>126</v>
      </c>
      <c r="M283" s="8">
        <v>74</v>
      </c>
      <c r="N283" s="8">
        <v>1.05</v>
      </c>
      <c r="O283" s="8">
        <v>1161</v>
      </c>
      <c r="P283" s="8" t="s">
        <v>20</v>
      </c>
      <c r="Q283" s="8" t="str">
        <f>_xlfn.IFS(AND(Table13[[#This Row],[Gender]]="female",R283&lt;20),"Athletes",AND(Table13[[#This Row],[Gender]]="female",R283&lt;24),"Fitnesss",AND(Table13[[#This Row],[Gender]]="female",R283&lt;31),"Acceptable",AND(Table13[[#This Row],[Gender]]="female",R283&lt;40),"Obese",AND(Table13[[#This Row],[Gender]]="male",R283&lt;13),"Athletes",AND(Table13[[#This Row],[Gender]]="male",R283&lt;17),"Fitnesss",AND(Table13[[#This Row],[Gender]]="male",R283&lt;24.9),"Acceptable",AND(Table13[[#This Row],[Gender]]="male",R283&lt;40),"Obese",AND(Table13[[#This Row],[Gender]]="others",R283&lt;20),"Athletes",AND(Table13[[#This Row],[Gender]]="others",R283&lt;24),"Fitnesss",AND(Table13[[#This Row],[Gender]]="others",R283&lt;31),"Acceptable",AND(Table13[[#This Row],[Gender]]="others",R283&lt;40),"Obese")</f>
        <v>Fitnesss</v>
      </c>
      <c r="R283" s="8">
        <v>22.9</v>
      </c>
      <c r="S283" s="8">
        <v>3.1</v>
      </c>
      <c r="T283" s="8">
        <v>4</v>
      </c>
      <c r="U283" s="8">
        <v>3</v>
      </c>
      <c r="V283" s="8" t="str">
        <f>IF(Table13[[#This Row],[BMI]]&lt;=18.5,"Underweight",IF(Table13[[#This Row],[BMI]]&lt;=24.9,"Normal",IF(Table13[[#This Row],[BMI]]&lt;=29.9,"Overweight",IF(Table13[[#This Row],[BMI]]&lt;=39,"Obese","Severly Obese"))))</f>
        <v>Normal</v>
      </c>
      <c r="W283" s="18">
        <v>24.13</v>
      </c>
    </row>
    <row r="284" spans="6:23" x14ac:dyDescent="0.3">
      <c r="F284" s="17">
        <v>18</v>
      </c>
      <c r="G284" s="8" t="str">
        <f>IF(Table13[[#This Row],[Age]]&lt;25,"18-24",IF(Table13[[#This Row],[Age]]&lt;35,"25-34",IF(Table13[[#This Row],[Age]]&lt;45,"35-44",IF(Table13[[#This Row],[Age]]&lt;55,"45-54","55-64"))))</f>
        <v>18-24</v>
      </c>
      <c r="H284" s="8" t="s">
        <v>17</v>
      </c>
      <c r="I284" s="8">
        <v>61.1</v>
      </c>
      <c r="J284" s="8">
        <v>1.74</v>
      </c>
      <c r="K284" s="8">
        <v>191</v>
      </c>
      <c r="L284" s="8">
        <v>159</v>
      </c>
      <c r="M284" s="8">
        <v>69</v>
      </c>
      <c r="N284" s="8">
        <v>1.36</v>
      </c>
      <c r="O284" s="8">
        <v>1311</v>
      </c>
      <c r="P284" s="8" t="s">
        <v>21</v>
      </c>
      <c r="Q284" s="8" t="str">
        <f>_xlfn.IFS(AND(Table13[[#This Row],[Gender]]="female",R284&lt;20),"Athletes",AND(Table13[[#This Row],[Gender]]="female",R284&lt;24),"Fitnesss",AND(Table13[[#This Row],[Gender]]="female",R284&lt;31),"Acceptable",AND(Table13[[#This Row],[Gender]]="female",R284&lt;40),"Obese",AND(Table13[[#This Row],[Gender]]="male",R284&lt;13),"Athletes",AND(Table13[[#This Row],[Gender]]="male",R284&lt;17),"Fitnesss",AND(Table13[[#This Row],[Gender]]="male",R284&lt;24.9),"Acceptable",AND(Table13[[#This Row],[Gender]]="male",R284&lt;40),"Obese",AND(Table13[[#This Row],[Gender]]="others",R284&lt;20),"Athletes",AND(Table13[[#This Row],[Gender]]="others",R284&lt;24),"Fitnesss",AND(Table13[[#This Row],[Gender]]="others",R284&lt;31),"Acceptable",AND(Table13[[#This Row],[Gender]]="others",R284&lt;40),"Obese")</f>
        <v>Athletes</v>
      </c>
      <c r="R284" s="8">
        <v>15.6</v>
      </c>
      <c r="S284" s="8">
        <v>3.4</v>
      </c>
      <c r="T284" s="8">
        <v>2</v>
      </c>
      <c r="U284" s="8">
        <v>2</v>
      </c>
      <c r="V284" s="8" t="str">
        <f>IF(Table13[[#This Row],[BMI]]&lt;=18.5,"Underweight",IF(Table13[[#This Row],[BMI]]&lt;=24.9,"Normal",IF(Table13[[#This Row],[BMI]]&lt;=29.9,"Overweight",IF(Table13[[#This Row],[BMI]]&lt;=39,"Obese","Severly Obese"))))</f>
        <v>Underweight</v>
      </c>
      <c r="W284" s="18">
        <v>16.61</v>
      </c>
    </row>
    <row r="285" spans="6:23" x14ac:dyDescent="0.3">
      <c r="F285" s="17">
        <v>38</v>
      </c>
      <c r="G285" s="8" t="str">
        <f>IF(Table13[[#This Row],[Age]]&lt;25,"18-24",IF(Table13[[#This Row],[Age]]&lt;35,"25-34",IF(Table13[[#This Row],[Age]]&lt;45,"35-44",IF(Table13[[#This Row],[Age]]&lt;55,"45-54","55-64"))))</f>
        <v>35-44</v>
      </c>
      <c r="H285" s="8" t="s">
        <v>19</v>
      </c>
      <c r="I285" s="8">
        <v>85.5</v>
      </c>
      <c r="J285" s="8">
        <v>1.77</v>
      </c>
      <c r="K285" s="8">
        <v>175</v>
      </c>
      <c r="L285" s="8">
        <v>156</v>
      </c>
      <c r="M285" s="8">
        <v>50</v>
      </c>
      <c r="N285" s="8">
        <v>1.1299999999999999</v>
      </c>
      <c r="O285" s="8">
        <v>766</v>
      </c>
      <c r="P285" s="8" t="s">
        <v>21</v>
      </c>
      <c r="Q285" s="8" t="str">
        <f>_xlfn.IFS(AND(Table13[[#This Row],[Gender]]="female",R285&lt;20),"Athletes",AND(Table13[[#This Row],[Gender]]="female",R285&lt;24),"Fitnesss",AND(Table13[[#This Row],[Gender]]="female",R285&lt;31),"Acceptable",AND(Table13[[#This Row],[Gender]]="female",R285&lt;40),"Obese",AND(Table13[[#This Row],[Gender]]="male",R285&lt;13),"Athletes",AND(Table13[[#This Row],[Gender]]="male",R285&lt;17),"Fitnesss",AND(Table13[[#This Row],[Gender]]="male",R285&lt;24.9),"Acceptable",AND(Table13[[#This Row],[Gender]]="male",R285&lt;40),"Obese",AND(Table13[[#This Row],[Gender]]="others",R285&lt;20),"Athletes",AND(Table13[[#This Row],[Gender]]="others",R285&lt;24),"Fitnesss",AND(Table13[[#This Row],[Gender]]="others",R285&lt;31),"Acceptable",AND(Table13[[#This Row],[Gender]]="others",R285&lt;40),"Obese")</f>
        <v>Fitnesss</v>
      </c>
      <c r="R285" s="8">
        <v>14.6</v>
      </c>
      <c r="S285" s="8">
        <v>3.4</v>
      </c>
      <c r="T285" s="8">
        <v>2</v>
      </c>
      <c r="U285" s="8">
        <v>1</v>
      </c>
      <c r="V285" s="8" t="str">
        <f>IF(Table13[[#This Row],[BMI]]&lt;=18.5,"Underweight",IF(Table13[[#This Row],[BMI]]&lt;=24.9,"Normal",IF(Table13[[#This Row],[BMI]]&lt;=29.9,"Overweight",IF(Table13[[#This Row],[BMI]]&lt;=39,"Obese","Severly Obese"))))</f>
        <v>Underweight</v>
      </c>
      <c r="W285" s="18">
        <v>16.38</v>
      </c>
    </row>
    <row r="286" spans="6:23" x14ac:dyDescent="0.3">
      <c r="F286" s="17">
        <v>18</v>
      </c>
      <c r="G286" s="8" t="str">
        <f>IF(Table13[[#This Row],[Age]]&lt;25,"18-24",IF(Table13[[#This Row],[Age]]&lt;35,"25-34",IF(Table13[[#This Row],[Age]]&lt;45,"35-44",IF(Table13[[#This Row],[Age]]&lt;55,"45-54","55-64"))))</f>
        <v>18-24</v>
      </c>
      <c r="H286" s="8" t="s">
        <v>17</v>
      </c>
      <c r="I286" s="8">
        <v>50.1</v>
      </c>
      <c r="J286" s="8">
        <v>1.8</v>
      </c>
      <c r="K286" s="8">
        <v>174</v>
      </c>
      <c r="L286" s="8">
        <v>125</v>
      </c>
      <c r="M286" s="8">
        <v>50</v>
      </c>
      <c r="N286" s="8">
        <v>1.38</v>
      </c>
      <c r="O286" s="8">
        <v>1185</v>
      </c>
      <c r="P286" s="8" t="s">
        <v>21</v>
      </c>
      <c r="Q286" s="8" t="str">
        <f>_xlfn.IFS(AND(Table13[[#This Row],[Gender]]="female",R286&lt;20),"Athletes",AND(Table13[[#This Row],[Gender]]="female",R286&lt;24),"Fitnesss",AND(Table13[[#This Row],[Gender]]="female",R286&lt;31),"Acceptable",AND(Table13[[#This Row],[Gender]]="female",R286&lt;40),"Obese",AND(Table13[[#This Row],[Gender]]="male",R286&lt;13),"Athletes",AND(Table13[[#This Row],[Gender]]="male",R286&lt;17),"Fitnesss",AND(Table13[[#This Row],[Gender]]="male",R286&lt;24.9),"Acceptable",AND(Table13[[#This Row],[Gender]]="male",R286&lt;40),"Obese",AND(Table13[[#This Row],[Gender]]="others",R286&lt;20),"Athletes",AND(Table13[[#This Row],[Gender]]="others",R286&lt;24),"Fitnesss",AND(Table13[[#This Row],[Gender]]="others",R286&lt;31),"Acceptable",AND(Table13[[#This Row],[Gender]]="others",R286&lt;40),"Obese")</f>
        <v>Acceptable</v>
      </c>
      <c r="R286" s="8">
        <v>30.8</v>
      </c>
      <c r="S286" s="8">
        <v>3.4</v>
      </c>
      <c r="T286" s="8">
        <v>3</v>
      </c>
      <c r="U286" s="8">
        <v>2</v>
      </c>
      <c r="V286" s="8" t="str">
        <f>IF(Table13[[#This Row],[BMI]]&lt;=18.5,"Underweight",IF(Table13[[#This Row],[BMI]]&lt;=24.9,"Normal",IF(Table13[[#This Row],[BMI]]&lt;=29.9,"Overweight",IF(Table13[[#This Row],[BMI]]&lt;=39,"Obese","Severly Obese"))))</f>
        <v>Overweight</v>
      </c>
      <c r="W286" s="18">
        <v>29.04</v>
      </c>
    </row>
    <row r="287" spans="6:23" x14ac:dyDescent="0.3">
      <c r="F287" s="17">
        <v>45</v>
      </c>
      <c r="G287" s="8" t="str">
        <f>IF(Table13[[#This Row],[Age]]&lt;25,"18-24",IF(Table13[[#This Row],[Age]]&lt;35,"25-34",IF(Table13[[#This Row],[Age]]&lt;45,"35-44",IF(Table13[[#This Row],[Age]]&lt;55,"45-54","55-64"))))</f>
        <v>45-54</v>
      </c>
      <c r="H287" s="8" t="s">
        <v>19</v>
      </c>
      <c r="I287" s="8">
        <v>129.9</v>
      </c>
      <c r="J287" s="8">
        <v>1.75</v>
      </c>
      <c r="K287" s="8">
        <v>197</v>
      </c>
      <c r="L287" s="8">
        <v>154</v>
      </c>
      <c r="M287" s="8">
        <v>73</v>
      </c>
      <c r="N287" s="8">
        <v>1.97</v>
      </c>
      <c r="O287" s="8">
        <v>757</v>
      </c>
      <c r="P287" s="8" t="s">
        <v>20</v>
      </c>
      <c r="Q287" s="8" t="str">
        <f>_xlfn.IFS(AND(Table13[[#This Row],[Gender]]="female",R287&lt;20),"Athletes",AND(Table13[[#This Row],[Gender]]="female",R287&lt;24),"Fitnesss",AND(Table13[[#This Row],[Gender]]="female",R287&lt;31),"Acceptable",AND(Table13[[#This Row],[Gender]]="female",R287&lt;40),"Obese",AND(Table13[[#This Row],[Gender]]="male",R287&lt;13),"Athletes",AND(Table13[[#This Row],[Gender]]="male",R287&lt;17),"Fitnesss",AND(Table13[[#This Row],[Gender]]="male",R287&lt;24.9),"Acceptable",AND(Table13[[#This Row],[Gender]]="male",R287&lt;40),"Obese",AND(Table13[[#This Row],[Gender]]="others",R287&lt;20),"Athletes",AND(Table13[[#This Row],[Gender]]="others",R287&lt;24),"Fitnesss",AND(Table13[[#This Row],[Gender]]="others",R287&lt;31),"Acceptable",AND(Table13[[#This Row],[Gender]]="others",R287&lt;40),"Obese")</f>
        <v>Acceptable</v>
      </c>
      <c r="R287" s="8">
        <v>23.5</v>
      </c>
      <c r="S287" s="8">
        <v>2.4</v>
      </c>
      <c r="T287" s="8">
        <v>5</v>
      </c>
      <c r="U287" s="8">
        <v>1</v>
      </c>
      <c r="V287" s="8" t="str">
        <f>IF(Table13[[#This Row],[BMI]]&lt;=18.5,"Underweight",IF(Table13[[#This Row],[BMI]]&lt;=24.9,"Normal",IF(Table13[[#This Row],[BMI]]&lt;=29.9,"Overweight",IF(Table13[[#This Row],[BMI]]&lt;=39,"Obese","Severly Obese"))))</f>
        <v>Obese</v>
      </c>
      <c r="W287" s="18">
        <v>36.130000000000003</v>
      </c>
    </row>
    <row r="288" spans="6:23" x14ac:dyDescent="0.3">
      <c r="F288" s="17">
        <v>47</v>
      </c>
      <c r="G288" s="8" t="str">
        <f>IF(Table13[[#This Row],[Age]]&lt;25,"18-24",IF(Table13[[#This Row],[Age]]&lt;35,"25-34",IF(Table13[[#This Row],[Age]]&lt;45,"35-44",IF(Table13[[#This Row],[Age]]&lt;55,"45-54","55-64"))))</f>
        <v>45-54</v>
      </c>
      <c r="H288" s="8" t="s">
        <v>17</v>
      </c>
      <c r="I288" s="8">
        <v>93.3</v>
      </c>
      <c r="J288" s="8">
        <v>1.73</v>
      </c>
      <c r="K288" s="8">
        <v>184</v>
      </c>
      <c r="L288" s="8">
        <v>123</v>
      </c>
      <c r="M288" s="8">
        <v>62</v>
      </c>
      <c r="N288" s="8">
        <v>1.45</v>
      </c>
      <c r="O288" s="8">
        <v>998</v>
      </c>
      <c r="P288" s="8" t="s">
        <v>22</v>
      </c>
      <c r="Q288" s="8" t="str">
        <f>_xlfn.IFS(AND(Table13[[#This Row],[Gender]]="female",R288&lt;20),"Athletes",AND(Table13[[#This Row],[Gender]]="female",R288&lt;24),"Fitnesss",AND(Table13[[#This Row],[Gender]]="female",R288&lt;31),"Acceptable",AND(Table13[[#This Row],[Gender]]="female",R288&lt;40),"Obese",AND(Table13[[#This Row],[Gender]]="male",R288&lt;13),"Athletes",AND(Table13[[#This Row],[Gender]]="male",R288&lt;17),"Fitnesss",AND(Table13[[#This Row],[Gender]]="male",R288&lt;24.9),"Acceptable",AND(Table13[[#This Row],[Gender]]="male",R288&lt;40),"Obese",AND(Table13[[#This Row],[Gender]]="others",R288&lt;20),"Athletes",AND(Table13[[#This Row],[Gender]]="others",R288&lt;24),"Fitnesss",AND(Table13[[#This Row],[Gender]]="others",R288&lt;31),"Acceptable",AND(Table13[[#This Row],[Gender]]="others",R288&lt;40),"Obese")</f>
        <v>Athletes</v>
      </c>
      <c r="R288" s="8">
        <v>15.1</v>
      </c>
      <c r="S288" s="8">
        <v>1.7</v>
      </c>
      <c r="T288" s="8">
        <v>4</v>
      </c>
      <c r="U288" s="8">
        <v>2</v>
      </c>
      <c r="V288" s="8" t="str">
        <f>IF(Table13[[#This Row],[BMI]]&lt;=18.5,"Underweight",IF(Table13[[#This Row],[BMI]]&lt;=24.9,"Normal",IF(Table13[[#This Row],[BMI]]&lt;=29.9,"Overweight",IF(Table13[[#This Row],[BMI]]&lt;=39,"Obese","Severly Obese"))))</f>
        <v>Underweight</v>
      </c>
      <c r="W288" s="18">
        <v>12.32</v>
      </c>
    </row>
    <row r="289" spans="6:23" x14ac:dyDescent="0.3">
      <c r="F289" s="17">
        <v>45</v>
      </c>
      <c r="G289" s="8" t="str">
        <f>IF(Table13[[#This Row],[Age]]&lt;25,"18-24",IF(Table13[[#This Row],[Age]]&lt;35,"25-34",IF(Table13[[#This Row],[Age]]&lt;45,"35-44",IF(Table13[[#This Row],[Age]]&lt;55,"45-54","55-64"))))</f>
        <v>45-54</v>
      </c>
      <c r="H289" s="8" t="s">
        <v>17</v>
      </c>
      <c r="I289" s="8">
        <v>73.7</v>
      </c>
      <c r="J289" s="8">
        <v>1.7</v>
      </c>
      <c r="K289" s="8">
        <v>190</v>
      </c>
      <c r="L289" s="8">
        <v>167</v>
      </c>
      <c r="M289" s="8">
        <v>67</v>
      </c>
      <c r="N289" s="8">
        <v>1.1100000000000001</v>
      </c>
      <c r="O289" s="8">
        <v>1100</v>
      </c>
      <c r="P289" s="8" t="s">
        <v>22</v>
      </c>
      <c r="Q289" s="8" t="str">
        <f>_xlfn.IFS(AND(Table13[[#This Row],[Gender]]="female",R289&lt;20),"Athletes",AND(Table13[[#This Row],[Gender]]="female",R289&lt;24),"Fitnesss",AND(Table13[[#This Row],[Gender]]="female",R289&lt;31),"Acceptable",AND(Table13[[#This Row],[Gender]]="female",R289&lt;40),"Obese",AND(Table13[[#This Row],[Gender]]="male",R289&lt;13),"Athletes",AND(Table13[[#This Row],[Gender]]="male",R289&lt;17),"Fitnesss",AND(Table13[[#This Row],[Gender]]="male",R289&lt;24.9),"Acceptable",AND(Table13[[#This Row],[Gender]]="male",R289&lt;40),"Obese",AND(Table13[[#This Row],[Gender]]="others",R289&lt;20),"Athletes",AND(Table13[[#This Row],[Gender]]="others",R289&lt;24),"Fitnesss",AND(Table13[[#This Row],[Gender]]="others",R289&lt;31),"Acceptable",AND(Table13[[#This Row],[Gender]]="others",R289&lt;40),"Obese")</f>
        <v>Acceptable</v>
      </c>
      <c r="R289" s="8">
        <v>29.1</v>
      </c>
      <c r="S289" s="8">
        <v>1.8</v>
      </c>
      <c r="T289" s="8">
        <v>2</v>
      </c>
      <c r="U289" s="8">
        <v>1</v>
      </c>
      <c r="V289" s="8" t="str">
        <f>IF(Table13[[#This Row],[BMI]]&lt;=18.5,"Underweight",IF(Table13[[#This Row],[BMI]]&lt;=24.9,"Normal",IF(Table13[[#This Row],[BMI]]&lt;=29.9,"Overweight",IF(Table13[[#This Row],[BMI]]&lt;=39,"Obese","Severly Obese"))))</f>
        <v>Underweight</v>
      </c>
      <c r="W289" s="18">
        <v>15.88</v>
      </c>
    </row>
    <row r="290" spans="6:23" x14ac:dyDescent="0.3">
      <c r="F290" s="17">
        <v>55</v>
      </c>
      <c r="G290" s="8" t="str">
        <f>IF(Table13[[#This Row],[Age]]&lt;25,"18-24",IF(Table13[[#This Row],[Age]]&lt;35,"25-34",IF(Table13[[#This Row],[Age]]&lt;45,"35-44",IF(Table13[[#This Row],[Age]]&lt;55,"45-54","55-64"))))</f>
        <v>55-64</v>
      </c>
      <c r="H290" s="8" t="s">
        <v>17</v>
      </c>
      <c r="I290" s="8">
        <v>69.400000000000006</v>
      </c>
      <c r="J290" s="8">
        <v>1.56</v>
      </c>
      <c r="K290" s="8">
        <v>175</v>
      </c>
      <c r="L290" s="8">
        <v>134</v>
      </c>
      <c r="M290" s="8">
        <v>70</v>
      </c>
      <c r="N290" s="8">
        <v>1.48</v>
      </c>
      <c r="O290" s="8">
        <v>734</v>
      </c>
      <c r="P290" s="8" t="s">
        <v>22</v>
      </c>
      <c r="Q290" s="8" t="str">
        <f>_xlfn.IFS(AND(Table13[[#This Row],[Gender]]="female",R290&lt;20),"Athletes",AND(Table13[[#This Row],[Gender]]="female",R290&lt;24),"Fitnesss",AND(Table13[[#This Row],[Gender]]="female",R290&lt;31),"Acceptable",AND(Table13[[#This Row],[Gender]]="female",R290&lt;40),"Obese",AND(Table13[[#This Row],[Gender]]="male",R290&lt;13),"Athletes",AND(Table13[[#This Row],[Gender]]="male",R290&lt;17),"Fitnesss",AND(Table13[[#This Row],[Gender]]="male",R290&lt;24.9),"Acceptable",AND(Table13[[#This Row],[Gender]]="male",R290&lt;40),"Obese",AND(Table13[[#This Row],[Gender]]="others",R290&lt;20),"Athletes",AND(Table13[[#This Row],[Gender]]="others",R290&lt;24),"Fitnesss",AND(Table13[[#This Row],[Gender]]="others",R290&lt;31),"Acceptable",AND(Table13[[#This Row],[Gender]]="others",R290&lt;40),"Obese")</f>
        <v>Athletes</v>
      </c>
      <c r="R290" s="8">
        <v>16.8</v>
      </c>
      <c r="S290" s="8"/>
      <c r="T290" s="8">
        <v>4</v>
      </c>
      <c r="U290" s="8">
        <v>2</v>
      </c>
      <c r="V290" s="8" t="str">
        <f>IF(Table13[[#This Row],[BMI]]&lt;=18.5,"Underweight",IF(Table13[[#This Row],[BMI]]&lt;=24.9,"Normal",IF(Table13[[#This Row],[BMI]]&lt;=29.9,"Overweight",IF(Table13[[#This Row],[BMI]]&lt;=39,"Obese","Severly Obese"))))</f>
        <v>Normal</v>
      </c>
      <c r="W290" s="18">
        <v>23.63</v>
      </c>
    </row>
    <row r="291" spans="6:23" x14ac:dyDescent="0.3">
      <c r="F291" s="17">
        <v>18</v>
      </c>
      <c r="G291" s="8" t="str">
        <f>IF(Table13[[#This Row],[Age]]&lt;25,"18-24",IF(Table13[[#This Row],[Age]]&lt;35,"25-34",IF(Table13[[#This Row],[Age]]&lt;45,"35-44",IF(Table13[[#This Row],[Age]]&lt;55,"45-54","55-64"))))</f>
        <v>18-24</v>
      </c>
      <c r="H291" s="8" t="s">
        <v>19</v>
      </c>
      <c r="I291" s="8">
        <v>86.1</v>
      </c>
      <c r="J291" s="8">
        <v>2</v>
      </c>
      <c r="K291" s="8">
        <v>180</v>
      </c>
      <c r="L291" s="8">
        <v>158</v>
      </c>
      <c r="M291" s="8">
        <v>72</v>
      </c>
      <c r="N291" s="8">
        <v>1.27</v>
      </c>
      <c r="O291" s="8">
        <v>1173</v>
      </c>
      <c r="P291" s="8" t="s">
        <v>21</v>
      </c>
      <c r="Q291" s="8" t="str">
        <f>_xlfn.IFS(AND(Table13[[#This Row],[Gender]]="female",R291&lt;20),"Athletes",AND(Table13[[#This Row],[Gender]]="female",R291&lt;24),"Fitnesss",AND(Table13[[#This Row],[Gender]]="female",R291&lt;31),"Acceptable",AND(Table13[[#This Row],[Gender]]="female",R291&lt;40),"Obese",AND(Table13[[#This Row],[Gender]]="male",R291&lt;13),"Athletes",AND(Table13[[#This Row],[Gender]]="male",R291&lt;17),"Fitnesss",AND(Table13[[#This Row],[Gender]]="male",R291&lt;24.9),"Acceptable",AND(Table13[[#This Row],[Gender]]="male",R291&lt;40),"Obese",AND(Table13[[#This Row],[Gender]]="others",R291&lt;20),"Athletes",AND(Table13[[#This Row],[Gender]]="others",R291&lt;24),"Fitnesss",AND(Table13[[#This Row],[Gender]]="others",R291&lt;31),"Acceptable",AND(Table13[[#This Row],[Gender]]="others",R291&lt;40),"Obese")</f>
        <v>Acceptable</v>
      </c>
      <c r="R291" s="8">
        <v>19.7</v>
      </c>
      <c r="S291" s="8">
        <v>3.5</v>
      </c>
      <c r="T291" s="8">
        <v>2</v>
      </c>
      <c r="U291" s="8">
        <v>3</v>
      </c>
      <c r="V291" s="8" t="str">
        <f>IF(Table13[[#This Row],[BMI]]&lt;=18.5,"Underweight",IF(Table13[[#This Row],[BMI]]&lt;=24.9,"Normal",IF(Table13[[#This Row],[BMI]]&lt;=29.9,"Overweight",IF(Table13[[#This Row],[BMI]]&lt;=39,"Obese","Severly Obese"))))</f>
        <v>Underweight</v>
      </c>
      <c r="W291" s="18">
        <v>13.06</v>
      </c>
    </row>
    <row r="292" spans="6:23" x14ac:dyDescent="0.3">
      <c r="F292" s="17">
        <v>20</v>
      </c>
      <c r="G292" s="8" t="str">
        <f>IF(Table13[[#This Row],[Age]]&lt;25,"18-24",IF(Table13[[#This Row],[Age]]&lt;35,"25-34",IF(Table13[[#This Row],[Age]]&lt;45,"35-44",IF(Table13[[#This Row],[Age]]&lt;55,"45-54","55-64"))))</f>
        <v>18-24</v>
      </c>
      <c r="H292" s="8" t="s">
        <v>17</v>
      </c>
      <c r="I292" s="8"/>
      <c r="J292" s="8">
        <v>1.5</v>
      </c>
      <c r="K292" s="8">
        <v>198</v>
      </c>
      <c r="L292" s="8">
        <v>128</v>
      </c>
      <c r="M292" s="8">
        <v>50</v>
      </c>
      <c r="N292" s="8">
        <v>0.97</v>
      </c>
      <c r="O292" s="8">
        <v>906</v>
      </c>
      <c r="P292" s="8" t="s">
        <v>20</v>
      </c>
      <c r="Q292" s="8" t="str">
        <f>_xlfn.IFS(AND(Table13[[#This Row],[Gender]]="female",R292&lt;20),"Athletes",AND(Table13[[#This Row],[Gender]]="female",R292&lt;24),"Fitnesss",AND(Table13[[#This Row],[Gender]]="female",R292&lt;31),"Acceptable",AND(Table13[[#This Row],[Gender]]="female",R292&lt;40),"Obese",AND(Table13[[#This Row],[Gender]]="male",R292&lt;13),"Athletes",AND(Table13[[#This Row],[Gender]]="male",R292&lt;17),"Fitnesss",AND(Table13[[#This Row],[Gender]]="male",R292&lt;24.9),"Acceptable",AND(Table13[[#This Row],[Gender]]="male",R292&lt;40),"Obese",AND(Table13[[#This Row],[Gender]]="others",R292&lt;20),"Athletes",AND(Table13[[#This Row],[Gender]]="others",R292&lt;24),"Fitnesss",AND(Table13[[#This Row],[Gender]]="others",R292&lt;31),"Acceptable",AND(Table13[[#This Row],[Gender]]="others",R292&lt;40),"Obese")</f>
        <v>Obese</v>
      </c>
      <c r="R292" s="8">
        <v>31.2</v>
      </c>
      <c r="S292" s="8">
        <v>3.4</v>
      </c>
      <c r="T292" s="8">
        <v>2</v>
      </c>
      <c r="U292" s="8">
        <v>1</v>
      </c>
      <c r="V292" s="8" t="str">
        <f>IF(Table13[[#This Row],[BMI]]&lt;=18.5,"Underweight",IF(Table13[[#This Row],[BMI]]&lt;=24.9,"Normal",IF(Table13[[#This Row],[BMI]]&lt;=29.9,"Overweight",IF(Table13[[#This Row],[BMI]]&lt;=39,"Obese","Severly Obese"))))</f>
        <v>Normal</v>
      </c>
      <c r="W292" s="18">
        <v>21.03</v>
      </c>
    </row>
    <row r="293" spans="6:23" x14ac:dyDescent="0.3">
      <c r="F293" s="17">
        <v>18</v>
      </c>
      <c r="G293" s="8" t="str">
        <f>IF(Table13[[#This Row],[Age]]&lt;25,"18-24",IF(Table13[[#This Row],[Age]]&lt;35,"25-34",IF(Table13[[#This Row],[Age]]&lt;45,"35-44",IF(Table13[[#This Row],[Age]]&lt;55,"45-54","55-64"))))</f>
        <v>18-24</v>
      </c>
      <c r="H293" s="8" t="s">
        <v>17</v>
      </c>
      <c r="I293" s="8">
        <v>40</v>
      </c>
      <c r="J293" s="8">
        <v>1.77</v>
      </c>
      <c r="K293" s="8">
        <v>189</v>
      </c>
      <c r="L293" s="8">
        <v>137</v>
      </c>
      <c r="M293" s="8">
        <v>74</v>
      </c>
      <c r="N293" s="8">
        <v>0.6</v>
      </c>
      <c r="O293" s="8">
        <v>829</v>
      </c>
      <c r="P293" s="8" t="s">
        <v>20</v>
      </c>
      <c r="Q293" s="8" t="str">
        <f>_xlfn.IFS(AND(Table13[[#This Row],[Gender]]="female",R293&lt;20),"Athletes",AND(Table13[[#This Row],[Gender]]="female",R293&lt;24),"Fitnesss",AND(Table13[[#This Row],[Gender]]="female",R293&lt;31),"Acceptable",AND(Table13[[#This Row],[Gender]]="female",R293&lt;40),"Obese",AND(Table13[[#This Row],[Gender]]="male",R293&lt;13),"Athletes",AND(Table13[[#This Row],[Gender]]="male",R293&lt;17),"Fitnesss",AND(Table13[[#This Row],[Gender]]="male",R293&lt;24.9),"Acceptable",AND(Table13[[#This Row],[Gender]]="male",R293&lt;40),"Obese",AND(Table13[[#This Row],[Gender]]="others",R293&lt;20),"Athletes",AND(Table13[[#This Row],[Gender]]="others",R293&lt;24),"Fitnesss",AND(Table13[[#This Row],[Gender]]="others",R293&lt;31),"Acceptable",AND(Table13[[#This Row],[Gender]]="others",R293&lt;40),"Obese")</f>
        <v>Acceptable</v>
      </c>
      <c r="R293" s="8">
        <v>24.7</v>
      </c>
      <c r="S293" s="8">
        <v>2.6</v>
      </c>
      <c r="T293" s="8">
        <v>4</v>
      </c>
      <c r="U293" s="8">
        <v>1</v>
      </c>
      <c r="V293" s="8" t="str">
        <f>IF(Table13[[#This Row],[BMI]]&lt;=18.5,"Underweight",IF(Table13[[#This Row],[BMI]]&lt;=24.9,"Normal",IF(Table13[[#This Row],[BMI]]&lt;=29.9,"Overweight",IF(Table13[[#This Row],[BMI]]&lt;=39,"Obese","Severly Obese"))))</f>
        <v>Underweight</v>
      </c>
      <c r="W293" s="18">
        <v>16.350000000000001</v>
      </c>
    </row>
    <row r="294" spans="6:23" x14ac:dyDescent="0.3">
      <c r="F294" s="17">
        <v>46</v>
      </c>
      <c r="G294" s="8" t="str">
        <f>IF(Table13[[#This Row],[Age]]&lt;25,"18-24",IF(Table13[[#This Row],[Age]]&lt;35,"25-34",IF(Table13[[#This Row],[Age]]&lt;45,"35-44",IF(Table13[[#This Row],[Age]]&lt;55,"45-54","55-64"))))</f>
        <v>45-54</v>
      </c>
      <c r="H294" s="8" t="s">
        <v>17</v>
      </c>
      <c r="I294" s="8">
        <v>40.799999999999997</v>
      </c>
      <c r="J294" s="8">
        <v>1.71</v>
      </c>
      <c r="K294" s="8">
        <v>191</v>
      </c>
      <c r="L294" s="8">
        <v>162</v>
      </c>
      <c r="M294" s="8">
        <v>52</v>
      </c>
      <c r="N294" s="8">
        <v>0.93</v>
      </c>
      <c r="O294" s="8">
        <v>903</v>
      </c>
      <c r="P294" s="8" t="s">
        <v>22</v>
      </c>
      <c r="Q294" s="8" t="str">
        <f>_xlfn.IFS(AND(Table13[[#This Row],[Gender]]="female",R294&lt;20),"Athletes",AND(Table13[[#This Row],[Gender]]="female",R294&lt;24),"Fitnesss",AND(Table13[[#This Row],[Gender]]="female",R294&lt;31),"Acceptable",AND(Table13[[#This Row],[Gender]]="female",R294&lt;40),"Obese",AND(Table13[[#This Row],[Gender]]="male",R294&lt;13),"Athletes",AND(Table13[[#This Row],[Gender]]="male",R294&lt;17),"Fitnesss",AND(Table13[[#This Row],[Gender]]="male",R294&lt;24.9),"Acceptable",AND(Table13[[#This Row],[Gender]]="male",R294&lt;40),"Obese",AND(Table13[[#This Row],[Gender]]="others",R294&lt;20),"Athletes",AND(Table13[[#This Row],[Gender]]="others",R294&lt;24),"Fitnesss",AND(Table13[[#This Row],[Gender]]="others",R294&lt;31),"Acceptable",AND(Table13[[#This Row],[Gender]]="others",R294&lt;40),"Obese")</f>
        <v>Athletes</v>
      </c>
      <c r="R294" s="8">
        <v>14.2</v>
      </c>
      <c r="S294" s="8">
        <v>1.9</v>
      </c>
      <c r="T294" s="8">
        <v>2</v>
      </c>
      <c r="U294" s="8"/>
      <c r="V294" s="8" t="str">
        <f>IF(Table13[[#This Row],[BMI]]&lt;=18.5,"Underweight",IF(Table13[[#This Row],[BMI]]&lt;=24.9,"Normal",IF(Table13[[#This Row],[BMI]]&lt;=29.9,"Overweight",IF(Table13[[#This Row],[BMI]]&lt;=39,"Obese","Severly Obese"))))</f>
        <v>Severly Obese</v>
      </c>
      <c r="W294" s="18">
        <v>39.04</v>
      </c>
    </row>
    <row r="295" spans="6:23" x14ac:dyDescent="0.3">
      <c r="F295" s="17">
        <v>43</v>
      </c>
      <c r="G295" s="8" t="str">
        <f>IF(Table13[[#This Row],[Age]]&lt;25,"18-24",IF(Table13[[#This Row],[Age]]&lt;35,"25-34",IF(Table13[[#This Row],[Age]]&lt;45,"35-44",IF(Table13[[#This Row],[Age]]&lt;55,"45-54","55-64"))))</f>
        <v>35-44</v>
      </c>
      <c r="H295" s="8" t="s">
        <v>19</v>
      </c>
      <c r="I295" s="8">
        <v>56.4</v>
      </c>
      <c r="J295" s="8">
        <v>1.8</v>
      </c>
      <c r="K295" s="8">
        <v>174</v>
      </c>
      <c r="L295" s="8">
        <v>161</v>
      </c>
      <c r="M295" s="8">
        <v>74</v>
      </c>
      <c r="N295" s="8">
        <v>1.03</v>
      </c>
      <c r="O295" s="8">
        <v>327</v>
      </c>
      <c r="P295" s="8" t="s">
        <v>18</v>
      </c>
      <c r="Q295" s="8" t="str">
        <f>_xlfn.IFS(AND(Table13[[#This Row],[Gender]]="female",R295&lt;20),"Athletes",AND(Table13[[#This Row],[Gender]]="female",R295&lt;24),"Fitnesss",AND(Table13[[#This Row],[Gender]]="female",R295&lt;31),"Acceptable",AND(Table13[[#This Row],[Gender]]="female",R295&lt;40),"Obese",AND(Table13[[#This Row],[Gender]]="male",R295&lt;13),"Athletes",AND(Table13[[#This Row],[Gender]]="male",R295&lt;17),"Fitnesss",AND(Table13[[#This Row],[Gender]]="male",R295&lt;24.9),"Acceptable",AND(Table13[[#This Row],[Gender]]="male",R295&lt;40),"Obese",AND(Table13[[#This Row],[Gender]]="others",R295&lt;20),"Athletes",AND(Table13[[#This Row],[Gender]]="others",R295&lt;24),"Fitnesss",AND(Table13[[#This Row],[Gender]]="others",R295&lt;31),"Acceptable",AND(Table13[[#This Row],[Gender]]="others",R295&lt;40),"Obese")</f>
        <v>Athletes</v>
      </c>
      <c r="R295" s="8">
        <v>10</v>
      </c>
      <c r="S295" s="8">
        <v>3.2</v>
      </c>
      <c r="T295" s="8">
        <v>3</v>
      </c>
      <c r="U295" s="8">
        <v>1</v>
      </c>
      <c r="V295" s="8" t="str">
        <f>IF(Table13[[#This Row],[BMI]]&lt;=18.5,"Underweight",IF(Table13[[#This Row],[BMI]]&lt;=24.9,"Normal",IF(Table13[[#This Row],[BMI]]&lt;=29.9,"Overweight",IF(Table13[[#This Row],[BMI]]&lt;=39,"Obese","Severly Obese"))))</f>
        <v>Normal</v>
      </c>
      <c r="W295" s="18">
        <v>21.21</v>
      </c>
    </row>
    <row r="296" spans="6:23" x14ac:dyDescent="0.3">
      <c r="F296" s="17">
        <v>45</v>
      </c>
      <c r="G296" s="8" t="str">
        <f>IF(Table13[[#This Row],[Age]]&lt;25,"18-24",IF(Table13[[#This Row],[Age]]&lt;35,"25-34",IF(Table13[[#This Row],[Age]]&lt;45,"35-44",IF(Table13[[#This Row],[Age]]&lt;55,"45-54","55-64"))))</f>
        <v>45-54</v>
      </c>
      <c r="H296" s="8" t="s">
        <v>17</v>
      </c>
      <c r="I296" s="8">
        <v>60.7</v>
      </c>
      <c r="J296" s="8">
        <v>1.63</v>
      </c>
      <c r="K296" s="8">
        <v>170</v>
      </c>
      <c r="L296" s="8">
        <v>139</v>
      </c>
      <c r="M296" s="8">
        <v>74</v>
      </c>
      <c r="N296" s="8">
        <v>1.18</v>
      </c>
      <c r="O296" s="8">
        <v>1356</v>
      </c>
      <c r="P296" s="8" t="s">
        <v>20</v>
      </c>
      <c r="Q296" s="8" t="str">
        <f>_xlfn.IFS(AND(Table13[[#This Row],[Gender]]="female",R296&lt;20),"Athletes",AND(Table13[[#This Row],[Gender]]="female",R296&lt;24),"Fitnesss",AND(Table13[[#This Row],[Gender]]="female",R296&lt;31),"Acceptable",AND(Table13[[#This Row],[Gender]]="female",R296&lt;40),"Obese",AND(Table13[[#This Row],[Gender]]="male",R296&lt;13),"Athletes",AND(Table13[[#This Row],[Gender]]="male",R296&lt;17),"Fitnesss",AND(Table13[[#This Row],[Gender]]="male",R296&lt;24.9),"Acceptable",AND(Table13[[#This Row],[Gender]]="male",R296&lt;40),"Obese",AND(Table13[[#This Row],[Gender]]="others",R296&lt;20),"Athletes",AND(Table13[[#This Row],[Gender]]="others",R296&lt;24),"Fitnesss",AND(Table13[[#This Row],[Gender]]="others",R296&lt;31),"Acceptable",AND(Table13[[#This Row],[Gender]]="others",R296&lt;40),"Obese")</f>
        <v>Athletes</v>
      </c>
      <c r="R296" s="8">
        <v>10</v>
      </c>
      <c r="S296" s="8">
        <v>3.3</v>
      </c>
      <c r="T296" s="8">
        <v>3</v>
      </c>
      <c r="U296" s="8">
        <v>3</v>
      </c>
      <c r="V296" s="8" t="str">
        <f>IF(Table13[[#This Row],[BMI]]&lt;=18.5,"Underweight",IF(Table13[[#This Row],[BMI]]&lt;=24.9,"Normal",IF(Table13[[#This Row],[BMI]]&lt;=29.9,"Overweight",IF(Table13[[#This Row],[BMI]]&lt;=39,"Obese","Severly Obese"))))</f>
        <v>Underweight</v>
      </c>
      <c r="W296" s="18">
        <v>12.32</v>
      </c>
    </row>
    <row r="297" spans="6:23" x14ac:dyDescent="0.3">
      <c r="F297" s="17">
        <v>43</v>
      </c>
      <c r="G297" s="8" t="str">
        <f>IF(Table13[[#This Row],[Age]]&lt;25,"18-24",IF(Table13[[#This Row],[Age]]&lt;35,"25-34",IF(Table13[[#This Row],[Age]]&lt;45,"35-44",IF(Table13[[#This Row],[Age]]&lt;55,"45-54","55-64"))))</f>
        <v>35-44</v>
      </c>
      <c r="H297" s="8" t="s">
        <v>17</v>
      </c>
      <c r="I297" s="8">
        <v>40</v>
      </c>
      <c r="J297" s="8">
        <v>1.69</v>
      </c>
      <c r="K297" s="8">
        <v>187</v>
      </c>
      <c r="L297" s="8">
        <v>162</v>
      </c>
      <c r="M297" s="8">
        <v>66</v>
      </c>
      <c r="N297" s="8">
        <v>0.9</v>
      </c>
      <c r="O297" s="8">
        <v>886</v>
      </c>
      <c r="P297" s="8" t="s">
        <v>18</v>
      </c>
      <c r="Q297" s="8" t="str">
        <f>_xlfn.IFS(AND(Table13[[#This Row],[Gender]]="female",R297&lt;20),"Athletes",AND(Table13[[#This Row],[Gender]]="female",R297&lt;24),"Fitnesss",AND(Table13[[#This Row],[Gender]]="female",R297&lt;31),"Acceptable",AND(Table13[[#This Row],[Gender]]="female",R297&lt;40),"Obese",AND(Table13[[#This Row],[Gender]]="male",R297&lt;13),"Athletes",AND(Table13[[#This Row],[Gender]]="male",R297&lt;17),"Fitnesss",AND(Table13[[#This Row],[Gender]]="male",R297&lt;24.9),"Acceptable",AND(Table13[[#This Row],[Gender]]="male",R297&lt;40),"Obese",AND(Table13[[#This Row],[Gender]]="others",R297&lt;20),"Athletes",AND(Table13[[#This Row],[Gender]]="others",R297&lt;24),"Fitnesss",AND(Table13[[#This Row],[Gender]]="others",R297&lt;31),"Acceptable",AND(Table13[[#This Row],[Gender]]="others",R297&lt;40),"Obese")</f>
        <v>Acceptable</v>
      </c>
      <c r="R297" s="8">
        <v>28</v>
      </c>
      <c r="S297" s="8">
        <v>2.2000000000000002</v>
      </c>
      <c r="T297" s="8">
        <v>2</v>
      </c>
      <c r="U297" s="8">
        <v>1</v>
      </c>
      <c r="V297" s="8" t="str">
        <f>IF(Table13[[#This Row],[BMI]]&lt;=18.5,"Underweight",IF(Table13[[#This Row],[BMI]]&lt;=24.9,"Normal",IF(Table13[[#This Row],[BMI]]&lt;=29.9,"Overweight",IF(Table13[[#This Row],[BMI]]&lt;=39,"Obese","Severly Obese"))))</f>
        <v>Overweight</v>
      </c>
      <c r="W297" s="18">
        <v>26.48</v>
      </c>
    </row>
    <row r="298" spans="6:23" x14ac:dyDescent="0.3">
      <c r="F298" s="17">
        <v>29</v>
      </c>
      <c r="G298" s="8" t="str">
        <f>IF(Table13[[#This Row],[Age]]&lt;25,"18-24",IF(Table13[[#This Row],[Age]]&lt;35,"25-34",IF(Table13[[#This Row],[Age]]&lt;45,"35-44",IF(Table13[[#This Row],[Age]]&lt;55,"45-54","55-64"))))</f>
        <v>25-34</v>
      </c>
      <c r="H298" s="8" t="s">
        <v>17</v>
      </c>
      <c r="I298" s="8">
        <v>84.4</v>
      </c>
      <c r="J298" s="8">
        <v>1.67</v>
      </c>
      <c r="K298" s="8">
        <v>184</v>
      </c>
      <c r="L298" s="8">
        <v>160</v>
      </c>
      <c r="M298" s="8">
        <v>74</v>
      </c>
      <c r="N298" s="8">
        <v>1.28</v>
      </c>
      <c r="O298" s="8">
        <v>1475</v>
      </c>
      <c r="P298" s="8" t="s">
        <v>22</v>
      </c>
      <c r="Q298" s="8" t="str">
        <f>_xlfn.IFS(AND(Table13[[#This Row],[Gender]]="female",R298&lt;20),"Athletes",AND(Table13[[#This Row],[Gender]]="female",R298&lt;24),"Fitnesss",AND(Table13[[#This Row],[Gender]]="female",R298&lt;31),"Acceptable",AND(Table13[[#This Row],[Gender]]="female",R298&lt;40),"Obese",AND(Table13[[#This Row],[Gender]]="male",R298&lt;13),"Athletes",AND(Table13[[#This Row],[Gender]]="male",R298&lt;17),"Fitnesss",AND(Table13[[#This Row],[Gender]]="male",R298&lt;24.9),"Acceptable",AND(Table13[[#This Row],[Gender]]="male",R298&lt;40),"Obese",AND(Table13[[#This Row],[Gender]]="others",R298&lt;20),"Athletes",AND(Table13[[#This Row],[Gender]]="others",R298&lt;24),"Fitnesss",AND(Table13[[#This Row],[Gender]]="others",R298&lt;31),"Acceptable",AND(Table13[[#This Row],[Gender]]="others",R298&lt;40),"Obese")</f>
        <v>Athletes</v>
      </c>
      <c r="R298" s="8">
        <v>10</v>
      </c>
      <c r="S298" s="8">
        <v>2.1</v>
      </c>
      <c r="T298" s="8">
        <v>5</v>
      </c>
      <c r="U298" s="8">
        <v>2</v>
      </c>
      <c r="V298" s="8" t="str">
        <f>IF(Table13[[#This Row],[BMI]]&lt;=18.5,"Underweight",IF(Table13[[#This Row],[BMI]]&lt;=24.9,"Normal",IF(Table13[[#This Row],[BMI]]&lt;=29.9,"Overweight",IF(Table13[[#This Row],[BMI]]&lt;=39,"Obese","Severly Obese"))))</f>
        <v>Underweight</v>
      </c>
      <c r="W298" s="18">
        <v>17.62</v>
      </c>
    </row>
    <row r="299" spans="6:23" x14ac:dyDescent="0.3">
      <c r="F299" s="17">
        <v>18</v>
      </c>
      <c r="G299" s="8" t="str">
        <f>IF(Table13[[#This Row],[Age]]&lt;25,"18-24",IF(Table13[[#This Row],[Age]]&lt;35,"25-34",IF(Table13[[#This Row],[Age]]&lt;45,"35-44",IF(Table13[[#This Row],[Age]]&lt;55,"45-54","55-64"))))</f>
        <v>18-24</v>
      </c>
      <c r="H299" s="8" t="s">
        <v>17</v>
      </c>
      <c r="I299" s="8">
        <v>67.5</v>
      </c>
      <c r="J299" s="8">
        <v>1.71</v>
      </c>
      <c r="K299" s="8">
        <v>185</v>
      </c>
      <c r="L299" s="8">
        <v>166</v>
      </c>
      <c r="M299" s="8">
        <v>58</v>
      </c>
      <c r="N299" s="8">
        <v>1.81</v>
      </c>
      <c r="O299" s="8">
        <v>1162</v>
      </c>
      <c r="P299" s="8" t="s">
        <v>20</v>
      </c>
      <c r="Q299" s="8" t="str">
        <f>_xlfn.IFS(AND(Table13[[#This Row],[Gender]]="female",R299&lt;20),"Athletes",AND(Table13[[#This Row],[Gender]]="female",R299&lt;24),"Fitnesss",AND(Table13[[#This Row],[Gender]]="female",R299&lt;31),"Acceptable",AND(Table13[[#This Row],[Gender]]="female",R299&lt;40),"Obese",AND(Table13[[#This Row],[Gender]]="male",R299&lt;13),"Athletes",AND(Table13[[#This Row],[Gender]]="male",R299&lt;17),"Fitnesss",AND(Table13[[#This Row],[Gender]]="male",R299&lt;24.9),"Acceptable",AND(Table13[[#This Row],[Gender]]="male",R299&lt;40),"Obese",AND(Table13[[#This Row],[Gender]]="others",R299&lt;20),"Athletes",AND(Table13[[#This Row],[Gender]]="others",R299&lt;24),"Fitnesss",AND(Table13[[#This Row],[Gender]]="others",R299&lt;31),"Acceptable",AND(Table13[[#This Row],[Gender]]="others",R299&lt;40),"Obese")</f>
        <v>Athletes</v>
      </c>
      <c r="R299" s="8">
        <v>10.6</v>
      </c>
      <c r="S299" s="8">
        <v>3.5</v>
      </c>
      <c r="T299" s="8">
        <v>3</v>
      </c>
      <c r="U299" s="8">
        <v>2</v>
      </c>
      <c r="V299" s="8" t="str">
        <f>IF(Table13[[#This Row],[BMI]]&lt;=18.5,"Underweight",IF(Table13[[#This Row],[BMI]]&lt;=24.9,"Normal",IF(Table13[[#This Row],[BMI]]&lt;=29.9,"Overweight",IF(Table13[[#This Row],[BMI]]&lt;=39,"Obese","Severly Obese"))))</f>
        <v>Obese</v>
      </c>
      <c r="W299" s="18">
        <v>37.909999999999997</v>
      </c>
    </row>
    <row r="300" spans="6:23" x14ac:dyDescent="0.3">
      <c r="F300" s="17">
        <v>21</v>
      </c>
      <c r="G300" s="8" t="str">
        <f>IF(Table13[[#This Row],[Age]]&lt;25,"18-24",IF(Table13[[#This Row],[Age]]&lt;35,"25-34",IF(Table13[[#This Row],[Age]]&lt;45,"35-44",IF(Table13[[#This Row],[Age]]&lt;55,"45-54","55-64"))))</f>
        <v>18-24</v>
      </c>
      <c r="H300" s="8" t="s">
        <v>17</v>
      </c>
      <c r="I300" s="8">
        <v>62.1</v>
      </c>
      <c r="J300" s="8">
        <v>1.68</v>
      </c>
      <c r="K300" s="8">
        <v>173</v>
      </c>
      <c r="L300" s="8">
        <v>158</v>
      </c>
      <c r="M300" s="8">
        <v>71</v>
      </c>
      <c r="N300" s="8">
        <v>1.23</v>
      </c>
      <c r="O300" s="8">
        <v>1186</v>
      </c>
      <c r="P300" s="8" t="s">
        <v>22</v>
      </c>
      <c r="Q300" s="8" t="str">
        <f>_xlfn.IFS(AND(Table13[[#This Row],[Gender]]="female",R300&lt;20),"Athletes",AND(Table13[[#This Row],[Gender]]="female",R300&lt;24),"Fitnesss",AND(Table13[[#This Row],[Gender]]="female",R300&lt;31),"Acceptable",AND(Table13[[#This Row],[Gender]]="female",R300&lt;40),"Obese",AND(Table13[[#This Row],[Gender]]="male",R300&lt;13),"Athletes",AND(Table13[[#This Row],[Gender]]="male",R300&lt;17),"Fitnesss",AND(Table13[[#This Row],[Gender]]="male",R300&lt;24.9),"Acceptable",AND(Table13[[#This Row],[Gender]]="male",R300&lt;40),"Obese",AND(Table13[[#This Row],[Gender]]="others",R300&lt;20),"Athletes",AND(Table13[[#This Row],[Gender]]="others",R300&lt;24),"Fitnesss",AND(Table13[[#This Row],[Gender]]="others",R300&lt;31),"Acceptable",AND(Table13[[#This Row],[Gender]]="others",R300&lt;40),"Obese")</f>
        <v>Acceptable</v>
      </c>
      <c r="R300" s="8">
        <v>26.4</v>
      </c>
      <c r="S300" s="8">
        <v>3.5</v>
      </c>
      <c r="T300" s="8">
        <v>4</v>
      </c>
      <c r="U300" s="8">
        <v>1</v>
      </c>
      <c r="V300" s="8" t="str">
        <f>IF(Table13[[#This Row],[BMI]]&lt;=18.5,"Underweight",IF(Table13[[#This Row],[BMI]]&lt;=24.9,"Normal",IF(Table13[[#This Row],[BMI]]&lt;=29.9,"Overweight",IF(Table13[[#This Row],[BMI]]&lt;=39,"Obese","Severly Obese"))))</f>
        <v>Underweight</v>
      </c>
      <c r="W300" s="18">
        <v>15.6</v>
      </c>
    </row>
    <row r="301" spans="6:23" x14ac:dyDescent="0.3">
      <c r="F301" s="17">
        <v>41</v>
      </c>
      <c r="G301" s="8" t="str">
        <f>IF(Table13[[#This Row],[Age]]&lt;25,"18-24",IF(Table13[[#This Row],[Age]]&lt;35,"25-34",IF(Table13[[#This Row],[Age]]&lt;45,"35-44",IF(Table13[[#This Row],[Age]]&lt;55,"45-54","55-64"))))</f>
        <v>35-44</v>
      </c>
      <c r="H301" s="8" t="s">
        <v>19</v>
      </c>
      <c r="I301" s="8">
        <v>83.7</v>
      </c>
      <c r="J301" s="8">
        <v>1.92</v>
      </c>
      <c r="K301" s="8">
        <v>161</v>
      </c>
      <c r="L301" s="8">
        <v>163</v>
      </c>
      <c r="M301" s="8">
        <v>59</v>
      </c>
      <c r="N301" s="8">
        <v>1.37</v>
      </c>
      <c r="O301" s="8">
        <v>1308</v>
      </c>
      <c r="P301" s="8" t="s">
        <v>20</v>
      </c>
      <c r="Q301" s="8" t="str">
        <f>_xlfn.IFS(AND(Table13[[#This Row],[Gender]]="female",R301&lt;20),"Athletes",AND(Table13[[#This Row],[Gender]]="female",R301&lt;24),"Fitnesss",AND(Table13[[#This Row],[Gender]]="female",R301&lt;31),"Acceptable",AND(Table13[[#This Row],[Gender]]="female",R301&lt;40),"Obese",AND(Table13[[#This Row],[Gender]]="male",R301&lt;13),"Athletes",AND(Table13[[#This Row],[Gender]]="male",R301&lt;17),"Fitnesss",AND(Table13[[#This Row],[Gender]]="male",R301&lt;24.9),"Acceptable",AND(Table13[[#This Row],[Gender]]="male",R301&lt;40),"Obese",AND(Table13[[#This Row],[Gender]]="others",R301&lt;20),"Athletes",AND(Table13[[#This Row],[Gender]]="others",R301&lt;24),"Fitnesss",AND(Table13[[#This Row],[Gender]]="others",R301&lt;31),"Acceptable",AND(Table13[[#This Row],[Gender]]="others",R301&lt;40),"Obese")</f>
        <v>Acceptable</v>
      </c>
      <c r="R301" s="8">
        <v>21.4</v>
      </c>
      <c r="S301" s="8">
        <v>1.5</v>
      </c>
      <c r="T301" s="8">
        <v>2</v>
      </c>
      <c r="U301" s="8">
        <v>2</v>
      </c>
      <c r="V301" s="8" t="str">
        <f>IF(Table13[[#This Row],[BMI]]&lt;=18.5,"Underweight",IF(Table13[[#This Row],[BMI]]&lt;=24.9,"Normal",IF(Table13[[#This Row],[BMI]]&lt;=29.9,"Overweight",IF(Table13[[#This Row],[BMI]]&lt;=39,"Obese","Severly Obese"))))</f>
        <v>Underweight</v>
      </c>
      <c r="W301" s="18">
        <v>17.48</v>
      </c>
    </row>
    <row r="302" spans="6:23" x14ac:dyDescent="0.3">
      <c r="F302" s="17">
        <v>26</v>
      </c>
      <c r="G302" s="8" t="str">
        <f>IF(Table13[[#This Row],[Age]]&lt;25,"18-24",IF(Table13[[#This Row],[Age]]&lt;35,"25-34",IF(Table13[[#This Row],[Age]]&lt;45,"35-44",IF(Table13[[#This Row],[Age]]&lt;55,"45-54","55-64"))))</f>
        <v>25-34</v>
      </c>
      <c r="H302" s="8" t="s">
        <v>17</v>
      </c>
      <c r="I302" s="8">
        <v>80.599999999999994</v>
      </c>
      <c r="J302" s="8">
        <v>1.86</v>
      </c>
      <c r="K302" s="8">
        <v>195</v>
      </c>
      <c r="L302" s="8">
        <v>127</v>
      </c>
      <c r="M302" s="8">
        <v>53</v>
      </c>
      <c r="N302" s="8">
        <v>2</v>
      </c>
      <c r="O302" s="8">
        <v>564</v>
      </c>
      <c r="P302" s="8" t="s">
        <v>18</v>
      </c>
      <c r="Q302" s="8" t="str">
        <f>_xlfn.IFS(AND(Table13[[#This Row],[Gender]]="female",R302&lt;20),"Athletes",AND(Table13[[#This Row],[Gender]]="female",R302&lt;24),"Fitnesss",AND(Table13[[#This Row],[Gender]]="female",R302&lt;31),"Acceptable",AND(Table13[[#This Row],[Gender]]="female",R302&lt;40),"Obese",AND(Table13[[#This Row],[Gender]]="male",R302&lt;13),"Athletes",AND(Table13[[#This Row],[Gender]]="male",R302&lt;17),"Fitnesss",AND(Table13[[#This Row],[Gender]]="male",R302&lt;24.9),"Acceptable",AND(Table13[[#This Row],[Gender]]="male",R302&lt;40),"Obese",AND(Table13[[#This Row],[Gender]]="others",R302&lt;20),"Athletes",AND(Table13[[#This Row],[Gender]]="others",R302&lt;24),"Fitnesss",AND(Table13[[#This Row],[Gender]]="others",R302&lt;31),"Acceptable",AND(Table13[[#This Row],[Gender]]="others",R302&lt;40),"Obese")</f>
        <v>Fitnesss</v>
      </c>
      <c r="R302" s="8">
        <v>23.1</v>
      </c>
      <c r="S302" s="8">
        <v>1.5</v>
      </c>
      <c r="T302" s="8">
        <v>3</v>
      </c>
      <c r="U302" s="8">
        <v>2</v>
      </c>
      <c r="V302" s="8" t="str">
        <f>IF(Table13[[#This Row],[BMI]]&lt;=18.5,"Underweight",IF(Table13[[#This Row],[BMI]]&lt;=24.9,"Normal",IF(Table13[[#This Row],[BMI]]&lt;=29.9,"Overweight",IF(Table13[[#This Row],[BMI]]&lt;=39,"Obese","Severly Obese"))))</f>
        <v>Overweight</v>
      </c>
      <c r="W302" s="18">
        <v>29.21</v>
      </c>
    </row>
    <row r="303" spans="6:23" x14ac:dyDescent="0.3">
      <c r="F303" s="17">
        <v>33</v>
      </c>
      <c r="G303" s="8" t="str">
        <f>IF(Table13[[#This Row],[Age]]&lt;25,"18-24",IF(Table13[[#This Row],[Age]]&lt;35,"25-34",IF(Table13[[#This Row],[Age]]&lt;45,"35-44",IF(Table13[[#This Row],[Age]]&lt;55,"45-54","55-64"))))</f>
        <v>25-34</v>
      </c>
      <c r="H303" s="8" t="s">
        <v>19</v>
      </c>
      <c r="I303" s="8">
        <v>60.8</v>
      </c>
      <c r="J303" s="8">
        <v>1.78</v>
      </c>
      <c r="K303" s="8">
        <v>189</v>
      </c>
      <c r="L303" s="8">
        <v>147</v>
      </c>
      <c r="M303" s="8">
        <v>73</v>
      </c>
      <c r="N303" s="8">
        <v>1.04</v>
      </c>
      <c r="O303" s="8">
        <v>951</v>
      </c>
      <c r="P303" s="8" t="s">
        <v>20</v>
      </c>
      <c r="Q303" s="8" t="str">
        <f>_xlfn.IFS(AND(Table13[[#This Row],[Gender]]="female",R303&lt;20),"Athletes",AND(Table13[[#This Row],[Gender]]="female",R303&lt;24),"Fitnesss",AND(Table13[[#This Row],[Gender]]="female",R303&lt;31),"Acceptable",AND(Table13[[#This Row],[Gender]]="female",R303&lt;40),"Obese",AND(Table13[[#This Row],[Gender]]="male",R303&lt;13),"Athletes",AND(Table13[[#This Row],[Gender]]="male",R303&lt;17),"Fitnesss",AND(Table13[[#This Row],[Gender]]="male",R303&lt;24.9),"Acceptable",AND(Table13[[#This Row],[Gender]]="male",R303&lt;40),"Obese",AND(Table13[[#This Row],[Gender]]="others",R303&lt;20),"Athletes",AND(Table13[[#This Row],[Gender]]="others",R303&lt;24),"Fitnesss",AND(Table13[[#This Row],[Gender]]="others",R303&lt;31),"Acceptable",AND(Table13[[#This Row],[Gender]]="others",R303&lt;40),"Obese")</f>
        <v>Obese</v>
      </c>
      <c r="R303" s="8">
        <v>27.3</v>
      </c>
      <c r="S303" s="8">
        <v>3.3</v>
      </c>
      <c r="T303" s="8">
        <v>4</v>
      </c>
      <c r="U303" s="8">
        <v>2</v>
      </c>
      <c r="V303" s="8" t="str">
        <f>IF(Table13[[#This Row],[BMI]]&lt;=18.5,"Underweight",IF(Table13[[#This Row],[BMI]]&lt;=24.9,"Normal",IF(Table13[[#This Row],[BMI]]&lt;=29.9,"Overweight",IF(Table13[[#This Row],[BMI]]&lt;=39,"Obese","Severly Obese"))))</f>
        <v>Underweight</v>
      </c>
      <c r="W303" s="18"/>
    </row>
    <row r="304" spans="6:23" x14ac:dyDescent="0.3">
      <c r="F304" s="17">
        <v>18</v>
      </c>
      <c r="G304" s="8" t="str">
        <f>IF(Table13[[#This Row],[Age]]&lt;25,"18-24",IF(Table13[[#This Row],[Age]]&lt;35,"25-34",IF(Table13[[#This Row],[Age]]&lt;45,"35-44",IF(Table13[[#This Row],[Age]]&lt;55,"45-54","55-64"))))</f>
        <v>18-24</v>
      </c>
      <c r="H304" s="8" t="s">
        <v>19</v>
      </c>
      <c r="I304" s="8">
        <v>44.8</v>
      </c>
      <c r="J304" s="8">
        <v>1.81</v>
      </c>
      <c r="K304" s="8">
        <v>164</v>
      </c>
      <c r="L304" s="8"/>
      <c r="M304" s="8">
        <v>57</v>
      </c>
      <c r="N304" s="8">
        <v>1.2</v>
      </c>
      <c r="O304" s="8">
        <v>742</v>
      </c>
      <c r="P304" s="8" t="s">
        <v>21</v>
      </c>
      <c r="Q304" s="8" t="str">
        <f>_xlfn.IFS(AND(Table13[[#This Row],[Gender]]="female",R304&lt;20),"Athletes",AND(Table13[[#This Row],[Gender]]="female",R304&lt;24),"Fitnesss",AND(Table13[[#This Row],[Gender]]="female",R304&lt;31),"Acceptable",AND(Table13[[#This Row],[Gender]]="female",R304&lt;40),"Obese",AND(Table13[[#This Row],[Gender]]="male",R304&lt;13),"Athletes",AND(Table13[[#This Row],[Gender]]="male",R304&lt;17),"Fitnesss",AND(Table13[[#This Row],[Gender]]="male",R304&lt;24.9),"Acceptable",AND(Table13[[#This Row],[Gender]]="male",R304&lt;40),"Obese",AND(Table13[[#This Row],[Gender]]="others",R304&lt;20),"Athletes",AND(Table13[[#This Row],[Gender]]="others",R304&lt;24),"Fitnesss",AND(Table13[[#This Row],[Gender]]="others",R304&lt;31),"Acceptable",AND(Table13[[#This Row],[Gender]]="others",R304&lt;40),"Obese")</f>
        <v>Acceptable</v>
      </c>
      <c r="R304" s="8">
        <v>23.5</v>
      </c>
      <c r="S304" s="8">
        <v>3.3</v>
      </c>
      <c r="T304" s="8">
        <v>4</v>
      </c>
      <c r="U304" s="8">
        <v>3</v>
      </c>
      <c r="V304" s="8" t="str">
        <f>IF(Table13[[#This Row],[BMI]]&lt;=18.5,"Underweight",IF(Table13[[#This Row],[BMI]]&lt;=24.9,"Normal",IF(Table13[[#This Row],[BMI]]&lt;=29.9,"Overweight",IF(Table13[[#This Row],[BMI]]&lt;=39,"Obese","Severly Obese"))))</f>
        <v>Normal</v>
      </c>
      <c r="W304" s="18">
        <v>19.04</v>
      </c>
    </row>
    <row r="305" spans="6:23" x14ac:dyDescent="0.3">
      <c r="F305" s="17">
        <v>21</v>
      </c>
      <c r="G305" s="8" t="str">
        <f>IF(Table13[[#This Row],[Age]]&lt;25,"18-24",IF(Table13[[#This Row],[Age]]&lt;35,"25-34",IF(Table13[[#This Row],[Age]]&lt;45,"35-44",IF(Table13[[#This Row],[Age]]&lt;55,"45-54","55-64"))))</f>
        <v>18-24</v>
      </c>
      <c r="H305" s="8" t="s">
        <v>19</v>
      </c>
      <c r="I305" s="8">
        <v>62.3</v>
      </c>
      <c r="J305" s="8">
        <v>1.91</v>
      </c>
      <c r="K305" s="8">
        <v>198</v>
      </c>
      <c r="L305" s="8">
        <v>141</v>
      </c>
      <c r="M305" s="8">
        <v>51</v>
      </c>
      <c r="N305" s="8">
        <v>1.47</v>
      </c>
      <c r="O305" s="8">
        <v>1394</v>
      </c>
      <c r="P305" s="8" t="s">
        <v>22</v>
      </c>
      <c r="Q305" s="8" t="str">
        <f>_xlfn.IFS(AND(Table13[[#This Row],[Gender]]="female",R305&lt;20),"Athletes",AND(Table13[[#This Row],[Gender]]="female",R305&lt;24),"Fitnesss",AND(Table13[[#This Row],[Gender]]="female",R305&lt;31),"Acceptable",AND(Table13[[#This Row],[Gender]]="female",R305&lt;40),"Obese",AND(Table13[[#This Row],[Gender]]="male",R305&lt;13),"Athletes",AND(Table13[[#This Row],[Gender]]="male",R305&lt;17),"Fitnesss",AND(Table13[[#This Row],[Gender]]="male",R305&lt;24.9),"Acceptable",AND(Table13[[#This Row],[Gender]]="male",R305&lt;40),"Obese",AND(Table13[[#This Row],[Gender]]="others",R305&lt;20),"Athletes",AND(Table13[[#This Row],[Gender]]="others",R305&lt;24),"Fitnesss",AND(Table13[[#This Row],[Gender]]="others",R305&lt;31),"Acceptable",AND(Table13[[#This Row],[Gender]]="others",R305&lt;40),"Obese")</f>
        <v>Acceptable</v>
      </c>
      <c r="R305" s="8">
        <v>22.7</v>
      </c>
      <c r="S305" s="8">
        <v>1.8</v>
      </c>
      <c r="T305" s="8">
        <v>3</v>
      </c>
      <c r="U305" s="8">
        <v>2</v>
      </c>
      <c r="V305" s="8" t="str">
        <f>IF(Table13[[#This Row],[BMI]]&lt;=18.5,"Underweight",IF(Table13[[#This Row],[BMI]]&lt;=24.9,"Normal",IF(Table13[[#This Row],[BMI]]&lt;=29.9,"Overweight",IF(Table13[[#This Row],[BMI]]&lt;=39,"Obese","Severly Obese"))))</f>
        <v>Underweight</v>
      </c>
      <c r="W305" s="18">
        <v>17.399999999999999</v>
      </c>
    </row>
    <row r="306" spans="6:23" x14ac:dyDescent="0.3">
      <c r="F306" s="17">
        <v>49</v>
      </c>
      <c r="G306" s="8" t="str">
        <f>IF(Table13[[#This Row],[Age]]&lt;25,"18-24",IF(Table13[[#This Row],[Age]]&lt;35,"25-34",IF(Table13[[#This Row],[Age]]&lt;45,"35-44",IF(Table13[[#This Row],[Age]]&lt;55,"45-54","55-64"))))</f>
        <v>45-54</v>
      </c>
      <c r="H306" s="8" t="s">
        <v>17</v>
      </c>
      <c r="I306" s="8">
        <v>97.4</v>
      </c>
      <c r="J306" s="8">
        <v>1.67</v>
      </c>
      <c r="K306" s="8">
        <v>171</v>
      </c>
      <c r="L306" s="8">
        <v>132</v>
      </c>
      <c r="M306" s="8">
        <v>72</v>
      </c>
      <c r="N306" s="8">
        <v>1.97</v>
      </c>
      <c r="O306" s="8">
        <v>1091</v>
      </c>
      <c r="P306" s="8" t="s">
        <v>20</v>
      </c>
      <c r="Q306" s="8" t="str">
        <f>_xlfn.IFS(AND(Table13[[#This Row],[Gender]]="female",R306&lt;20),"Athletes",AND(Table13[[#This Row],[Gender]]="female",R306&lt;24),"Fitnesss",AND(Table13[[#This Row],[Gender]]="female",R306&lt;31),"Acceptable",AND(Table13[[#This Row],[Gender]]="female",R306&lt;40),"Obese",AND(Table13[[#This Row],[Gender]]="male",R306&lt;13),"Athletes",AND(Table13[[#This Row],[Gender]]="male",R306&lt;17),"Fitnesss",AND(Table13[[#This Row],[Gender]]="male",R306&lt;24.9),"Acceptable",AND(Table13[[#This Row],[Gender]]="male",R306&lt;40),"Obese",AND(Table13[[#This Row],[Gender]]="others",R306&lt;20),"Athletes",AND(Table13[[#This Row],[Gender]]="others",R306&lt;24),"Fitnesss",AND(Table13[[#This Row],[Gender]]="others",R306&lt;31),"Acceptable",AND(Table13[[#This Row],[Gender]]="others",R306&lt;40),"Obese")</f>
        <v>Acceptable</v>
      </c>
      <c r="R306" s="8">
        <v>30.4</v>
      </c>
      <c r="S306" s="8">
        <v>3.6</v>
      </c>
      <c r="T306" s="8">
        <v>3</v>
      </c>
      <c r="U306" s="8">
        <v>1</v>
      </c>
      <c r="V306" s="8" t="str">
        <f>IF(Table13[[#This Row],[BMI]]&lt;=18.5,"Underweight",IF(Table13[[#This Row],[BMI]]&lt;=24.9,"Normal",IF(Table13[[#This Row],[BMI]]&lt;=29.9,"Overweight",IF(Table13[[#This Row],[BMI]]&lt;=39,"Obese","Severly Obese"))))</f>
        <v>Underweight</v>
      </c>
      <c r="W306" s="18">
        <v>12.32</v>
      </c>
    </row>
    <row r="307" spans="6:23" x14ac:dyDescent="0.3">
      <c r="F307" s="17">
        <v>19</v>
      </c>
      <c r="G307" s="8" t="str">
        <f>IF(Table13[[#This Row],[Age]]&lt;25,"18-24",IF(Table13[[#This Row],[Age]]&lt;35,"25-34",IF(Table13[[#This Row],[Age]]&lt;45,"35-44",IF(Table13[[#This Row],[Age]]&lt;55,"45-54","55-64"))))</f>
        <v>18-24</v>
      </c>
      <c r="H307" s="8" t="s">
        <v>19</v>
      </c>
      <c r="I307" s="8">
        <v>51.4</v>
      </c>
      <c r="J307" s="8">
        <v>1.78</v>
      </c>
      <c r="K307" s="8">
        <v>167</v>
      </c>
      <c r="L307" s="8">
        <v>154</v>
      </c>
      <c r="M307" s="8">
        <v>70</v>
      </c>
      <c r="N307" s="8">
        <v>2</v>
      </c>
      <c r="O307" s="8">
        <v>1218</v>
      </c>
      <c r="P307" s="8" t="s">
        <v>22</v>
      </c>
      <c r="Q307" s="8" t="str">
        <f>_xlfn.IFS(AND(Table13[[#This Row],[Gender]]="female",R307&lt;20),"Athletes",AND(Table13[[#This Row],[Gender]]="female",R307&lt;24),"Fitnesss",AND(Table13[[#This Row],[Gender]]="female",R307&lt;31),"Acceptable",AND(Table13[[#This Row],[Gender]]="female",R307&lt;40),"Obese",AND(Table13[[#This Row],[Gender]]="male",R307&lt;13),"Athletes",AND(Table13[[#This Row],[Gender]]="male",R307&lt;17),"Fitnesss",AND(Table13[[#This Row],[Gender]]="male",R307&lt;24.9),"Acceptable",AND(Table13[[#This Row],[Gender]]="male",R307&lt;40),"Obese",AND(Table13[[#This Row],[Gender]]="others",R307&lt;20),"Athletes",AND(Table13[[#This Row],[Gender]]="others",R307&lt;24),"Fitnesss",AND(Table13[[#This Row],[Gender]]="others",R307&lt;31),"Acceptable",AND(Table13[[#This Row],[Gender]]="others",R307&lt;40),"Obese")</f>
        <v>Obese</v>
      </c>
      <c r="R307" s="8">
        <v>29.8</v>
      </c>
      <c r="S307" s="8">
        <v>2.1</v>
      </c>
      <c r="T307" s="8">
        <v>3</v>
      </c>
      <c r="U307" s="8">
        <v>2</v>
      </c>
      <c r="V307" s="8" t="str">
        <f>IF(Table13[[#This Row],[BMI]]&lt;=18.5,"Underweight",IF(Table13[[#This Row],[BMI]]&lt;=24.9,"Normal",IF(Table13[[#This Row],[BMI]]&lt;=29.9,"Overweight",IF(Table13[[#This Row],[BMI]]&lt;=39,"Obese","Severly Obese"))))</f>
        <v>Underweight</v>
      </c>
      <c r="W307" s="18">
        <v>13.61</v>
      </c>
    </row>
    <row r="308" spans="6:23" x14ac:dyDescent="0.3">
      <c r="F308" s="17">
        <v>31</v>
      </c>
      <c r="G308" s="8" t="str">
        <f>IF(Table13[[#This Row],[Age]]&lt;25,"18-24",IF(Table13[[#This Row],[Age]]&lt;35,"25-34",IF(Table13[[#This Row],[Age]]&lt;45,"35-44",IF(Table13[[#This Row],[Age]]&lt;55,"45-54","55-64"))))</f>
        <v>25-34</v>
      </c>
      <c r="H308" s="8" t="s">
        <v>19</v>
      </c>
      <c r="I308" s="8">
        <v>79.099999999999994</v>
      </c>
      <c r="J308" s="8">
        <v>1.74</v>
      </c>
      <c r="K308" s="8">
        <v>192</v>
      </c>
      <c r="L308" s="8">
        <v>167</v>
      </c>
      <c r="M308" s="8">
        <v>74</v>
      </c>
      <c r="N308" s="8">
        <v>0.93</v>
      </c>
      <c r="O308" s="8">
        <v>1157</v>
      </c>
      <c r="P308" s="8" t="s">
        <v>20</v>
      </c>
      <c r="Q308" s="8" t="str">
        <f>_xlfn.IFS(AND(Table13[[#This Row],[Gender]]="female",R308&lt;20),"Athletes",AND(Table13[[#This Row],[Gender]]="female",R308&lt;24),"Fitnesss",AND(Table13[[#This Row],[Gender]]="female",R308&lt;31),"Acceptable",AND(Table13[[#This Row],[Gender]]="female",R308&lt;40),"Obese",AND(Table13[[#This Row],[Gender]]="male",R308&lt;13),"Athletes",AND(Table13[[#This Row],[Gender]]="male",R308&lt;17),"Fitnesss",AND(Table13[[#This Row],[Gender]]="male",R308&lt;24.9),"Acceptable",AND(Table13[[#This Row],[Gender]]="male",R308&lt;40),"Obese",AND(Table13[[#This Row],[Gender]]="others",R308&lt;20),"Athletes",AND(Table13[[#This Row],[Gender]]="others",R308&lt;24),"Fitnesss",AND(Table13[[#This Row],[Gender]]="others",R308&lt;31),"Acceptable",AND(Table13[[#This Row],[Gender]]="others",R308&lt;40),"Obese")</f>
        <v>Acceptable</v>
      </c>
      <c r="R308" s="8">
        <v>18.7</v>
      </c>
      <c r="S308" s="8">
        <v>1.9</v>
      </c>
      <c r="T308" s="8">
        <v>2</v>
      </c>
      <c r="U308" s="8">
        <v>3</v>
      </c>
      <c r="V308" s="8" t="str">
        <f>IF(Table13[[#This Row],[BMI]]&lt;=18.5,"Underweight",IF(Table13[[#This Row],[BMI]]&lt;=24.9,"Normal",IF(Table13[[#This Row],[BMI]]&lt;=29.9,"Overweight",IF(Table13[[#This Row],[BMI]]&lt;=39,"Obese","Severly Obese"))))</f>
        <v>Underweight</v>
      </c>
      <c r="W308" s="18">
        <v>13.83</v>
      </c>
    </row>
    <row r="309" spans="6:23" x14ac:dyDescent="0.3">
      <c r="F309" s="17">
        <v>43</v>
      </c>
      <c r="G309" s="8" t="str">
        <f>IF(Table13[[#This Row],[Age]]&lt;25,"18-24",IF(Table13[[#This Row],[Age]]&lt;35,"25-34",IF(Table13[[#This Row],[Age]]&lt;45,"35-44",IF(Table13[[#This Row],[Age]]&lt;55,"45-54","55-64"))))</f>
        <v>35-44</v>
      </c>
      <c r="H309" s="8" t="s">
        <v>19</v>
      </c>
      <c r="I309" s="8">
        <v>57.5</v>
      </c>
      <c r="J309" s="8">
        <v>2</v>
      </c>
      <c r="K309" s="8">
        <v>172</v>
      </c>
      <c r="L309" s="8">
        <v>126</v>
      </c>
      <c r="M309" s="8">
        <v>64</v>
      </c>
      <c r="N309" s="8">
        <v>1.4</v>
      </c>
      <c r="O309" s="8">
        <v>735</v>
      </c>
      <c r="P309" s="8" t="s">
        <v>20</v>
      </c>
      <c r="Q309" s="8" t="str">
        <f>_xlfn.IFS(AND(Table13[[#This Row],[Gender]]="female",R309&lt;20),"Athletes",AND(Table13[[#This Row],[Gender]]="female",R309&lt;24),"Fitnesss",AND(Table13[[#This Row],[Gender]]="female",R309&lt;31),"Acceptable",AND(Table13[[#This Row],[Gender]]="female",R309&lt;40),"Obese",AND(Table13[[#This Row],[Gender]]="male",R309&lt;13),"Athletes",AND(Table13[[#This Row],[Gender]]="male",R309&lt;17),"Fitnesss",AND(Table13[[#This Row],[Gender]]="male",R309&lt;24.9),"Acceptable",AND(Table13[[#This Row],[Gender]]="male",R309&lt;40),"Obese",AND(Table13[[#This Row],[Gender]]="others",R309&lt;20),"Athletes",AND(Table13[[#This Row],[Gender]]="others",R309&lt;24),"Fitnesss",AND(Table13[[#This Row],[Gender]]="others",R309&lt;31),"Acceptable",AND(Table13[[#This Row],[Gender]]="others",R309&lt;40),"Obese")</f>
        <v>Fitnesss</v>
      </c>
      <c r="R309" s="8">
        <v>16.899999999999999</v>
      </c>
      <c r="S309" s="8">
        <v>2.1</v>
      </c>
      <c r="T309" s="8">
        <v>3</v>
      </c>
      <c r="U309" s="8">
        <v>1</v>
      </c>
      <c r="V309" s="8" t="str">
        <f>IF(Table13[[#This Row],[BMI]]&lt;=18.5,"Underweight",IF(Table13[[#This Row],[BMI]]&lt;=24.9,"Normal",IF(Table13[[#This Row],[BMI]]&lt;=29.9,"Overweight",IF(Table13[[#This Row],[BMI]]&lt;=39,"Obese","Severly Obese"))))</f>
        <v>Normal</v>
      </c>
      <c r="W309" s="18">
        <v>20.98</v>
      </c>
    </row>
    <row r="310" spans="6:23" x14ac:dyDescent="0.3">
      <c r="F310" s="17">
        <v>43</v>
      </c>
      <c r="G310" s="8" t="str">
        <f>IF(Table13[[#This Row],[Age]]&lt;25,"18-24",IF(Table13[[#This Row],[Age]]&lt;35,"25-34",IF(Table13[[#This Row],[Age]]&lt;45,"35-44",IF(Table13[[#This Row],[Age]]&lt;55,"45-54","55-64"))))</f>
        <v>35-44</v>
      </c>
      <c r="H310" s="8" t="s">
        <v>17</v>
      </c>
      <c r="I310" s="8">
        <v>70.599999999999994</v>
      </c>
      <c r="J310" s="8">
        <v>1.71</v>
      </c>
      <c r="K310" s="8">
        <v>193</v>
      </c>
      <c r="L310" s="8">
        <v>148</v>
      </c>
      <c r="M310" s="8">
        <v>54</v>
      </c>
      <c r="N310" s="8">
        <v>1.28</v>
      </c>
      <c r="O310" s="8">
        <v>725</v>
      </c>
      <c r="P310" s="8" t="s">
        <v>20</v>
      </c>
      <c r="Q310" s="8" t="str">
        <f>_xlfn.IFS(AND(Table13[[#This Row],[Gender]]="female",R310&lt;20),"Athletes",AND(Table13[[#This Row],[Gender]]="female",R310&lt;24),"Fitnesss",AND(Table13[[#This Row],[Gender]]="female",R310&lt;31),"Acceptable",AND(Table13[[#This Row],[Gender]]="female",R310&lt;40),"Obese",AND(Table13[[#This Row],[Gender]]="male",R310&lt;13),"Athletes",AND(Table13[[#This Row],[Gender]]="male",R310&lt;17),"Fitnesss",AND(Table13[[#This Row],[Gender]]="male",R310&lt;24.9),"Acceptable",AND(Table13[[#This Row],[Gender]]="male",R310&lt;40),"Obese",AND(Table13[[#This Row],[Gender]]="others",R310&lt;20),"Athletes",AND(Table13[[#This Row],[Gender]]="others",R310&lt;24),"Fitnesss",AND(Table13[[#This Row],[Gender]]="others",R310&lt;31),"Acceptable",AND(Table13[[#This Row],[Gender]]="others",R310&lt;40),"Obese")</f>
        <v>Acceptable</v>
      </c>
      <c r="R310" s="8">
        <v>27.1</v>
      </c>
      <c r="S310" s="8">
        <v>3.6</v>
      </c>
      <c r="T310" s="8">
        <v>3</v>
      </c>
      <c r="U310" s="8">
        <v>1</v>
      </c>
      <c r="V310" s="8" t="str">
        <f>IF(Table13[[#This Row],[BMI]]&lt;=18.5,"Underweight",IF(Table13[[#This Row],[BMI]]&lt;=24.9,"Normal",IF(Table13[[#This Row],[BMI]]&lt;=29.9,"Overweight",IF(Table13[[#This Row],[BMI]]&lt;=39,"Obese","Severly Obese"))))</f>
        <v>Normal</v>
      </c>
      <c r="W310" s="18">
        <v>22.55</v>
      </c>
    </row>
    <row r="311" spans="6:23" x14ac:dyDescent="0.3">
      <c r="F311" s="17">
        <v>18</v>
      </c>
      <c r="G311" s="8" t="str">
        <f>IF(Table13[[#This Row],[Age]]&lt;25,"18-24",IF(Table13[[#This Row],[Age]]&lt;35,"25-34",IF(Table13[[#This Row],[Age]]&lt;45,"35-44",IF(Table13[[#This Row],[Age]]&lt;55,"45-54","55-64"))))</f>
        <v>18-24</v>
      </c>
      <c r="H311" s="8" t="s">
        <v>17</v>
      </c>
      <c r="I311" s="8">
        <v>72.5</v>
      </c>
      <c r="J311" s="8">
        <v>1.79</v>
      </c>
      <c r="K311" s="8">
        <v>173</v>
      </c>
      <c r="L311" s="8">
        <v>140</v>
      </c>
      <c r="M311" s="8">
        <v>67</v>
      </c>
      <c r="N311" s="8">
        <v>1.34</v>
      </c>
      <c r="O311" s="8">
        <v>1629</v>
      </c>
      <c r="P311" s="8" t="s">
        <v>18</v>
      </c>
      <c r="Q311" s="8" t="str">
        <f>_xlfn.IFS(AND(Table13[[#This Row],[Gender]]="female",R311&lt;20),"Athletes",AND(Table13[[#This Row],[Gender]]="female",R311&lt;24),"Fitnesss",AND(Table13[[#This Row],[Gender]]="female",R311&lt;31),"Acceptable",AND(Table13[[#This Row],[Gender]]="female",R311&lt;40),"Obese",AND(Table13[[#This Row],[Gender]]="male",R311&lt;13),"Athletes",AND(Table13[[#This Row],[Gender]]="male",R311&lt;17),"Fitnesss",AND(Table13[[#This Row],[Gender]]="male",R311&lt;24.9),"Acceptable",AND(Table13[[#This Row],[Gender]]="male",R311&lt;40),"Obese",AND(Table13[[#This Row],[Gender]]="others",R311&lt;20),"Athletes",AND(Table13[[#This Row],[Gender]]="others",R311&lt;24),"Fitnesss",AND(Table13[[#This Row],[Gender]]="others",R311&lt;31),"Acceptable",AND(Table13[[#This Row],[Gender]]="others",R311&lt;40),"Obese")</f>
        <v>Acceptable</v>
      </c>
      <c r="R311" s="8">
        <v>27.3</v>
      </c>
      <c r="S311" s="8">
        <v>2.7</v>
      </c>
      <c r="T311" s="8">
        <v>5</v>
      </c>
      <c r="U311" s="8">
        <v>1</v>
      </c>
      <c r="V311" s="8" t="str">
        <f>IF(Table13[[#This Row],[BMI]]&lt;=18.5,"Underweight",IF(Table13[[#This Row],[BMI]]&lt;=24.9,"Normal",IF(Table13[[#This Row],[BMI]]&lt;=29.9,"Overweight",IF(Table13[[#This Row],[BMI]]&lt;=39,"Obese","Severly Obese"))))</f>
        <v>Normal</v>
      </c>
      <c r="W311" s="18">
        <v>19.579999999999998</v>
      </c>
    </row>
    <row r="312" spans="6:23" x14ac:dyDescent="0.3">
      <c r="F312" s="17">
        <v>44</v>
      </c>
      <c r="G312" s="8" t="str">
        <f>IF(Table13[[#This Row],[Age]]&lt;25,"18-24",IF(Table13[[#This Row],[Age]]&lt;35,"25-34",IF(Table13[[#This Row],[Age]]&lt;45,"35-44",IF(Table13[[#This Row],[Age]]&lt;55,"45-54","55-64"))))</f>
        <v>35-44</v>
      </c>
      <c r="H312" s="8" t="s">
        <v>17</v>
      </c>
      <c r="I312" s="8">
        <v>68</v>
      </c>
      <c r="J312" s="8">
        <v>1.66</v>
      </c>
      <c r="K312" s="8">
        <v>182</v>
      </c>
      <c r="L312" s="8">
        <v>146</v>
      </c>
      <c r="M312" s="8">
        <v>68</v>
      </c>
      <c r="N312" s="8">
        <v>0.82</v>
      </c>
      <c r="O312" s="8">
        <v>1278</v>
      </c>
      <c r="P312" s="8" t="s">
        <v>21</v>
      </c>
      <c r="Q312" s="8" t="str">
        <f>_xlfn.IFS(AND(Table13[[#This Row],[Gender]]="female",R312&lt;20),"Athletes",AND(Table13[[#This Row],[Gender]]="female",R312&lt;24),"Fitnesss",AND(Table13[[#This Row],[Gender]]="female",R312&lt;31),"Acceptable",AND(Table13[[#This Row],[Gender]]="female",R312&lt;40),"Obese",AND(Table13[[#This Row],[Gender]]="male",R312&lt;13),"Athletes",AND(Table13[[#This Row],[Gender]]="male",R312&lt;17),"Fitnesss",AND(Table13[[#This Row],[Gender]]="male",R312&lt;24.9),"Acceptable",AND(Table13[[#This Row],[Gender]]="male",R312&lt;40),"Obese",AND(Table13[[#This Row],[Gender]]="others",R312&lt;20),"Athletes",AND(Table13[[#This Row],[Gender]]="others",R312&lt;24),"Fitnesss",AND(Table13[[#This Row],[Gender]]="others",R312&lt;31),"Acceptable",AND(Table13[[#This Row],[Gender]]="others",R312&lt;40),"Obese")</f>
        <v>Fitnesss</v>
      </c>
      <c r="R312" s="8">
        <v>20.7</v>
      </c>
      <c r="S312" s="8">
        <v>3</v>
      </c>
      <c r="T312" s="8">
        <v>5</v>
      </c>
      <c r="U312" s="8">
        <v>1</v>
      </c>
      <c r="V312" s="8" t="str">
        <f>IF(Table13[[#This Row],[BMI]]&lt;=18.5,"Underweight",IF(Table13[[#This Row],[BMI]]&lt;=24.9,"Normal",IF(Table13[[#This Row],[BMI]]&lt;=29.9,"Overweight",IF(Table13[[#This Row],[BMI]]&lt;=39,"Obese","Severly Obese"))))</f>
        <v>Underweight</v>
      </c>
      <c r="W312" s="18">
        <v>16.02</v>
      </c>
    </row>
    <row r="313" spans="6:23" x14ac:dyDescent="0.3">
      <c r="F313" s="17">
        <v>21</v>
      </c>
      <c r="G313" s="8" t="str">
        <f>IF(Table13[[#This Row],[Age]]&lt;25,"18-24",IF(Table13[[#This Row],[Age]]&lt;35,"25-34",IF(Table13[[#This Row],[Age]]&lt;45,"35-44",IF(Table13[[#This Row],[Age]]&lt;55,"45-54","55-64"))))</f>
        <v>18-24</v>
      </c>
      <c r="H313" s="8" t="s">
        <v>17</v>
      </c>
      <c r="I313" s="8">
        <v>121.6</v>
      </c>
      <c r="J313" s="8">
        <v>1.78</v>
      </c>
      <c r="K313" s="8">
        <v>182</v>
      </c>
      <c r="L313" s="8">
        <v>151</v>
      </c>
      <c r="M313" s="8">
        <v>50</v>
      </c>
      <c r="N313" s="8">
        <v>1.81</v>
      </c>
      <c r="O313" s="8">
        <v>1242</v>
      </c>
      <c r="P313" s="8" t="s">
        <v>22</v>
      </c>
      <c r="Q313" s="8" t="str">
        <f>_xlfn.IFS(AND(Table13[[#This Row],[Gender]]="female",R313&lt;20),"Athletes",AND(Table13[[#This Row],[Gender]]="female",R313&lt;24),"Fitnesss",AND(Table13[[#This Row],[Gender]]="female",R313&lt;31),"Acceptable",AND(Table13[[#This Row],[Gender]]="female",R313&lt;40),"Obese",AND(Table13[[#This Row],[Gender]]="male",R313&lt;13),"Athletes",AND(Table13[[#This Row],[Gender]]="male",R313&lt;17),"Fitnesss",AND(Table13[[#This Row],[Gender]]="male",R313&lt;24.9),"Acceptable",AND(Table13[[#This Row],[Gender]]="male",R313&lt;40),"Obese",AND(Table13[[#This Row],[Gender]]="others",R313&lt;20),"Athletes",AND(Table13[[#This Row],[Gender]]="others",R313&lt;24),"Fitnesss",AND(Table13[[#This Row],[Gender]]="others",R313&lt;31),"Acceptable",AND(Table13[[#This Row],[Gender]]="others",R313&lt;40),"Obese")</f>
        <v>Fitnesss</v>
      </c>
      <c r="R313" s="8">
        <v>21</v>
      </c>
      <c r="S313" s="8">
        <v>3.5</v>
      </c>
      <c r="T313" s="8">
        <v>4</v>
      </c>
      <c r="U313" s="8">
        <v>2</v>
      </c>
      <c r="V313" s="8" t="str">
        <f>IF(Table13[[#This Row],[BMI]]&lt;=18.5,"Underweight",IF(Table13[[#This Row],[BMI]]&lt;=24.9,"Normal",IF(Table13[[#This Row],[BMI]]&lt;=29.9,"Overweight",IF(Table13[[#This Row],[BMI]]&lt;=39,"Obese","Severly Obese"))))</f>
        <v>Underweight</v>
      </c>
      <c r="W313" s="18">
        <v>16.63</v>
      </c>
    </row>
    <row r="314" spans="6:23" x14ac:dyDescent="0.3">
      <c r="F314" s="17">
        <v>44</v>
      </c>
      <c r="G314" s="8" t="str">
        <f>IF(Table13[[#This Row],[Age]]&lt;25,"18-24",IF(Table13[[#This Row],[Age]]&lt;35,"25-34",IF(Table13[[#This Row],[Age]]&lt;45,"35-44",IF(Table13[[#This Row],[Age]]&lt;55,"45-54","55-64"))))</f>
        <v>35-44</v>
      </c>
      <c r="H314" s="8" t="s">
        <v>19</v>
      </c>
      <c r="I314" s="8">
        <v>55.1</v>
      </c>
      <c r="J314" s="8">
        <v>1.9</v>
      </c>
      <c r="K314" s="8">
        <v>196</v>
      </c>
      <c r="L314" s="8">
        <v>165</v>
      </c>
      <c r="M314" s="8">
        <v>55</v>
      </c>
      <c r="N314" s="8">
        <v>1.26</v>
      </c>
      <c r="O314" s="8">
        <v>901</v>
      </c>
      <c r="P314" s="8" t="s">
        <v>23</v>
      </c>
      <c r="Q314" s="8" t="str">
        <f>_xlfn.IFS(AND(Table13[[#This Row],[Gender]]="female",R314&lt;20),"Athletes",AND(Table13[[#This Row],[Gender]]="female",R314&lt;24),"Fitnesss",AND(Table13[[#This Row],[Gender]]="female",R314&lt;31),"Acceptable",AND(Table13[[#This Row],[Gender]]="female",R314&lt;40),"Obese",AND(Table13[[#This Row],[Gender]]="male",R314&lt;13),"Athletes",AND(Table13[[#This Row],[Gender]]="male",R314&lt;17),"Fitnesss",AND(Table13[[#This Row],[Gender]]="male",R314&lt;24.9),"Acceptable",AND(Table13[[#This Row],[Gender]]="male",R314&lt;40),"Obese",AND(Table13[[#This Row],[Gender]]="others",R314&lt;20),"Athletes",AND(Table13[[#This Row],[Gender]]="others",R314&lt;24),"Fitnesss",AND(Table13[[#This Row],[Gender]]="others",R314&lt;31),"Acceptable",AND(Table13[[#This Row],[Gender]]="others",R314&lt;40),"Obese")</f>
        <v>Obese</v>
      </c>
      <c r="R314" s="8">
        <v>26.9</v>
      </c>
      <c r="S314" s="8">
        <v>2.6</v>
      </c>
      <c r="T314" s="8">
        <v>3</v>
      </c>
      <c r="U314" s="8">
        <v>1</v>
      </c>
      <c r="V314" s="8" t="str">
        <f>IF(Table13[[#This Row],[BMI]]&lt;=18.5,"Underweight",IF(Table13[[#This Row],[BMI]]&lt;=24.9,"Normal",IF(Table13[[#This Row],[BMI]]&lt;=29.9,"Overweight",IF(Table13[[#This Row],[BMI]]&lt;=39,"Obese","Severly Obese"))))</f>
        <v>Normal</v>
      </c>
      <c r="W314" s="18">
        <v>22.13</v>
      </c>
    </row>
    <row r="315" spans="6:23" x14ac:dyDescent="0.3">
      <c r="F315" s="17">
        <v>58</v>
      </c>
      <c r="G315" s="8" t="str">
        <f>IF(Table13[[#This Row],[Age]]&lt;25,"18-24",IF(Table13[[#This Row],[Age]]&lt;35,"25-34",IF(Table13[[#This Row],[Age]]&lt;45,"35-44",IF(Table13[[#This Row],[Age]]&lt;55,"45-54","55-64"))))</f>
        <v>55-64</v>
      </c>
      <c r="H315" s="8" t="s">
        <v>17</v>
      </c>
      <c r="I315" s="8">
        <v>51.2</v>
      </c>
      <c r="J315" s="8">
        <v>1.72</v>
      </c>
      <c r="K315" s="8">
        <v>165</v>
      </c>
      <c r="L315" s="8">
        <v>139</v>
      </c>
      <c r="M315" s="8">
        <v>70</v>
      </c>
      <c r="N315" s="8">
        <v>0.79</v>
      </c>
      <c r="O315" s="8">
        <v>1612</v>
      </c>
      <c r="P315" s="8" t="s">
        <v>22</v>
      </c>
      <c r="Q315" s="8" t="str">
        <f>_xlfn.IFS(AND(Table13[[#This Row],[Gender]]="female",R315&lt;20),"Athletes",AND(Table13[[#This Row],[Gender]]="female",R315&lt;24),"Fitnesss",AND(Table13[[#This Row],[Gender]]="female",R315&lt;31),"Acceptable",AND(Table13[[#This Row],[Gender]]="female",R315&lt;40),"Obese",AND(Table13[[#This Row],[Gender]]="male",R315&lt;13),"Athletes",AND(Table13[[#This Row],[Gender]]="male",R315&lt;17),"Fitnesss",AND(Table13[[#This Row],[Gender]]="male",R315&lt;24.9),"Acceptable",AND(Table13[[#This Row],[Gender]]="male",R315&lt;40),"Obese",AND(Table13[[#This Row],[Gender]]="others",R315&lt;20),"Athletes",AND(Table13[[#This Row],[Gender]]="others",R315&lt;24),"Fitnesss",AND(Table13[[#This Row],[Gender]]="others",R315&lt;31),"Acceptable",AND(Table13[[#This Row],[Gender]]="others",R315&lt;40),"Obese")</f>
        <v>Fitnesss</v>
      </c>
      <c r="R315" s="8">
        <v>20.6</v>
      </c>
      <c r="S315" s="8">
        <v>2.1</v>
      </c>
      <c r="T315" s="8">
        <v>3</v>
      </c>
      <c r="U315" s="8">
        <v>3</v>
      </c>
      <c r="V315" s="8" t="str">
        <f>IF(Table13[[#This Row],[BMI]]&lt;=18.5,"Underweight",IF(Table13[[#This Row],[BMI]]&lt;=24.9,"Normal",IF(Table13[[#This Row],[BMI]]&lt;=29.9,"Overweight",IF(Table13[[#This Row],[BMI]]&lt;=39,"Obese","Severly Obese"))))</f>
        <v>Obese</v>
      </c>
      <c r="W315" s="18">
        <v>36.29</v>
      </c>
    </row>
    <row r="316" spans="6:23" x14ac:dyDescent="0.3">
      <c r="F316" s="17">
        <v>35</v>
      </c>
      <c r="G316" s="8" t="str">
        <f>IF(Table13[[#This Row],[Age]]&lt;25,"18-24",IF(Table13[[#This Row],[Age]]&lt;35,"25-34",IF(Table13[[#This Row],[Age]]&lt;45,"35-44",IF(Table13[[#This Row],[Age]]&lt;55,"45-54","55-64"))))</f>
        <v>35-44</v>
      </c>
      <c r="H316" s="8" t="s">
        <v>17</v>
      </c>
      <c r="I316" s="8">
        <v>60.8</v>
      </c>
      <c r="J316" s="8">
        <v>1.64</v>
      </c>
      <c r="K316" s="8">
        <v>161</v>
      </c>
      <c r="L316" s="8">
        <v>127</v>
      </c>
      <c r="M316" s="8">
        <v>74</v>
      </c>
      <c r="N316" s="8">
        <v>1.57</v>
      </c>
      <c r="O316" s="8">
        <v>1132</v>
      </c>
      <c r="P316" s="8" t="s">
        <v>22</v>
      </c>
      <c r="Q316" s="8" t="str">
        <f>_xlfn.IFS(AND(Table13[[#This Row],[Gender]]="female",R316&lt;20),"Athletes",AND(Table13[[#This Row],[Gender]]="female",R316&lt;24),"Fitnesss",AND(Table13[[#This Row],[Gender]]="female",R316&lt;31),"Acceptable",AND(Table13[[#This Row],[Gender]]="female",R316&lt;40),"Obese",AND(Table13[[#This Row],[Gender]]="male",R316&lt;13),"Athletes",AND(Table13[[#This Row],[Gender]]="male",R316&lt;17),"Fitnesss",AND(Table13[[#This Row],[Gender]]="male",R316&lt;24.9),"Acceptable",AND(Table13[[#This Row],[Gender]]="male",R316&lt;40),"Obese",AND(Table13[[#This Row],[Gender]]="others",R316&lt;20),"Athletes",AND(Table13[[#This Row],[Gender]]="others",R316&lt;24),"Fitnesss",AND(Table13[[#This Row],[Gender]]="others",R316&lt;31),"Acceptable",AND(Table13[[#This Row],[Gender]]="others",R316&lt;40),"Obese")</f>
        <v>Fitnesss</v>
      </c>
      <c r="R316" s="8">
        <v>20.7</v>
      </c>
      <c r="S316" s="8">
        <v>3.7</v>
      </c>
      <c r="T316" s="8">
        <v>3</v>
      </c>
      <c r="U316" s="8">
        <v>3</v>
      </c>
      <c r="V316" s="8" t="str">
        <f>IF(Table13[[#This Row],[BMI]]&lt;=18.5,"Underweight",IF(Table13[[#This Row],[BMI]]&lt;=24.9,"Normal",IF(Table13[[#This Row],[BMI]]&lt;=29.9,"Overweight",IF(Table13[[#This Row],[BMI]]&lt;=39,"Obese","Severly Obese"))))</f>
        <v>Normal</v>
      </c>
      <c r="W316" s="18">
        <v>19.54</v>
      </c>
    </row>
    <row r="317" spans="6:23" x14ac:dyDescent="0.3">
      <c r="F317" s="17">
        <v>18</v>
      </c>
      <c r="G317" s="8" t="str">
        <f>IF(Table13[[#This Row],[Age]]&lt;25,"18-24",IF(Table13[[#This Row],[Age]]&lt;35,"25-34",IF(Table13[[#This Row],[Age]]&lt;45,"35-44",IF(Table13[[#This Row],[Age]]&lt;55,"45-54","55-64"))))</f>
        <v>18-24</v>
      </c>
      <c r="H317" s="8" t="s">
        <v>19</v>
      </c>
      <c r="I317" s="8">
        <v>49.8</v>
      </c>
      <c r="J317" s="8">
        <v>1.96</v>
      </c>
      <c r="K317" s="8">
        <v>199</v>
      </c>
      <c r="L317" s="8">
        <v>162</v>
      </c>
      <c r="M317" s="8">
        <v>74</v>
      </c>
      <c r="N317" s="8">
        <v>1.64</v>
      </c>
      <c r="O317" s="8">
        <v>996</v>
      </c>
      <c r="P317" s="8" t="s">
        <v>18</v>
      </c>
      <c r="Q317" s="8" t="str">
        <f>_xlfn.IFS(AND(Table13[[#This Row],[Gender]]="female",R317&lt;20),"Athletes",AND(Table13[[#This Row],[Gender]]="female",R317&lt;24),"Fitnesss",AND(Table13[[#This Row],[Gender]]="female",R317&lt;31),"Acceptable",AND(Table13[[#This Row],[Gender]]="female",R317&lt;40),"Obese",AND(Table13[[#This Row],[Gender]]="male",R317&lt;13),"Athletes",AND(Table13[[#This Row],[Gender]]="male",R317&lt;17),"Fitnesss",AND(Table13[[#This Row],[Gender]]="male",R317&lt;24.9),"Acceptable",AND(Table13[[#This Row],[Gender]]="male",R317&lt;40),"Obese",AND(Table13[[#This Row],[Gender]]="others",R317&lt;20),"Athletes",AND(Table13[[#This Row],[Gender]]="others",R317&lt;24),"Fitnesss",AND(Table13[[#This Row],[Gender]]="others",R317&lt;31),"Acceptable",AND(Table13[[#This Row],[Gender]]="others",R317&lt;40),"Obese")</f>
        <v>Athletes</v>
      </c>
      <c r="R317" s="8"/>
      <c r="S317" s="8">
        <v>2.2999999999999998</v>
      </c>
      <c r="T317" s="8">
        <v>4</v>
      </c>
      <c r="U317" s="8">
        <v>2</v>
      </c>
      <c r="V317" s="8" t="str">
        <f>IF(Table13[[#This Row],[BMI]]&lt;=18.5,"Underweight",IF(Table13[[#This Row],[BMI]]&lt;=24.9,"Normal",IF(Table13[[#This Row],[BMI]]&lt;=29.9,"Overweight",IF(Table13[[#This Row],[BMI]]&lt;=39,"Obese","Severly Obese"))))</f>
        <v>Underweight</v>
      </c>
      <c r="W317" s="18">
        <v>14.35</v>
      </c>
    </row>
    <row r="318" spans="6:23" x14ac:dyDescent="0.3">
      <c r="F318" s="17">
        <v>26</v>
      </c>
      <c r="G318" s="8" t="str">
        <f>IF(Table13[[#This Row],[Age]]&lt;25,"18-24",IF(Table13[[#This Row],[Age]]&lt;35,"25-34",IF(Table13[[#This Row],[Age]]&lt;45,"35-44",IF(Table13[[#This Row],[Age]]&lt;55,"45-54","55-64"))))</f>
        <v>25-34</v>
      </c>
      <c r="H318" s="8" t="s">
        <v>17</v>
      </c>
      <c r="I318" s="8">
        <v>64.7</v>
      </c>
      <c r="J318" s="8">
        <v>1.75</v>
      </c>
      <c r="K318" s="8">
        <v>172</v>
      </c>
      <c r="L318" s="8">
        <v>157</v>
      </c>
      <c r="M318" s="8">
        <v>52</v>
      </c>
      <c r="N318" s="8">
        <v>1.35</v>
      </c>
      <c r="O318" s="8">
        <v>1193</v>
      </c>
      <c r="P318" s="8" t="s">
        <v>22</v>
      </c>
      <c r="Q318" s="8" t="str">
        <f>_xlfn.IFS(AND(Table13[[#This Row],[Gender]]="female",R318&lt;20),"Athletes",AND(Table13[[#This Row],[Gender]]="female",R318&lt;24),"Fitnesss",AND(Table13[[#This Row],[Gender]]="female",R318&lt;31),"Acceptable",AND(Table13[[#This Row],[Gender]]="female",R318&lt;40),"Obese",AND(Table13[[#This Row],[Gender]]="male",R318&lt;13),"Athletes",AND(Table13[[#This Row],[Gender]]="male",R318&lt;17),"Fitnesss",AND(Table13[[#This Row],[Gender]]="male",R318&lt;24.9),"Acceptable",AND(Table13[[#This Row],[Gender]]="male",R318&lt;40),"Obese",AND(Table13[[#This Row],[Gender]]="others",R318&lt;20),"Athletes",AND(Table13[[#This Row],[Gender]]="others",R318&lt;24),"Fitnesss",AND(Table13[[#This Row],[Gender]]="others",R318&lt;31),"Acceptable",AND(Table13[[#This Row],[Gender]]="others",R318&lt;40),"Obese")</f>
        <v>Fitnesss</v>
      </c>
      <c r="R318" s="8">
        <v>23.5</v>
      </c>
      <c r="S318" s="8">
        <v>1.6</v>
      </c>
      <c r="T318" s="8">
        <v>3</v>
      </c>
      <c r="U318" s="8">
        <v>2</v>
      </c>
      <c r="V318" s="8" t="str">
        <f>IF(Table13[[#This Row],[BMI]]&lt;=18.5,"Underweight",IF(Table13[[#This Row],[BMI]]&lt;=24.9,"Normal",IF(Table13[[#This Row],[BMI]]&lt;=29.9,"Overweight",IF(Table13[[#This Row],[BMI]]&lt;=39,"Obese","Severly Obese"))))</f>
        <v>Underweight</v>
      </c>
      <c r="W318" s="18">
        <v>18.21</v>
      </c>
    </row>
    <row r="319" spans="6:23" x14ac:dyDescent="0.3">
      <c r="F319" s="17">
        <v>24</v>
      </c>
      <c r="G319" s="8" t="str">
        <f>IF(Table13[[#This Row],[Age]]&lt;25,"18-24",IF(Table13[[#This Row],[Age]]&lt;35,"25-34",IF(Table13[[#This Row],[Age]]&lt;45,"35-44",IF(Table13[[#This Row],[Age]]&lt;55,"45-54","55-64"))))</f>
        <v>18-24</v>
      </c>
      <c r="H319" s="8" t="s">
        <v>17</v>
      </c>
      <c r="I319" s="8">
        <v>58.5</v>
      </c>
      <c r="J319" s="8">
        <v>1.87</v>
      </c>
      <c r="K319" s="8">
        <v>183</v>
      </c>
      <c r="L319" s="8">
        <v>128</v>
      </c>
      <c r="M319" s="8">
        <v>74</v>
      </c>
      <c r="N319" s="8">
        <v>1.36</v>
      </c>
      <c r="O319" s="8">
        <v>1034</v>
      </c>
      <c r="P319" s="8" t="s">
        <v>21</v>
      </c>
      <c r="Q319" s="8" t="str">
        <f>_xlfn.IFS(AND(Table13[[#This Row],[Gender]]="female",R319&lt;20),"Athletes",AND(Table13[[#This Row],[Gender]]="female",R319&lt;24),"Fitnesss",AND(Table13[[#This Row],[Gender]]="female",R319&lt;31),"Acceptable",AND(Table13[[#This Row],[Gender]]="female",R319&lt;40),"Obese",AND(Table13[[#This Row],[Gender]]="male",R319&lt;13),"Athletes",AND(Table13[[#This Row],[Gender]]="male",R319&lt;17),"Fitnesss",AND(Table13[[#This Row],[Gender]]="male",R319&lt;24.9),"Acceptable",AND(Table13[[#This Row],[Gender]]="male",R319&lt;40),"Obese",AND(Table13[[#This Row],[Gender]]="others",R319&lt;20),"Athletes",AND(Table13[[#This Row],[Gender]]="others",R319&lt;24),"Fitnesss",AND(Table13[[#This Row],[Gender]]="others",R319&lt;31),"Acceptable",AND(Table13[[#This Row],[Gender]]="others",R319&lt;40),"Obese")</f>
        <v>Acceptable</v>
      </c>
      <c r="R319" s="8">
        <v>24.8</v>
      </c>
      <c r="S319" s="8">
        <v>3.3</v>
      </c>
      <c r="T319" s="8">
        <v>4</v>
      </c>
      <c r="U319" s="8">
        <v>1</v>
      </c>
      <c r="V319" s="8" t="str">
        <f>IF(Table13[[#This Row],[BMI]]&lt;=18.5,"Underweight",IF(Table13[[#This Row],[BMI]]&lt;=24.9,"Normal",IF(Table13[[#This Row],[BMI]]&lt;=29.9,"Overweight",IF(Table13[[#This Row],[BMI]]&lt;=39,"Obese","Severly Obese"))))</f>
        <v>Normal</v>
      </c>
      <c r="W319" s="18">
        <v>24.49</v>
      </c>
    </row>
    <row r="320" spans="6:23" x14ac:dyDescent="0.3">
      <c r="F320" s="17">
        <v>31</v>
      </c>
      <c r="G320" s="8" t="str">
        <f>IF(Table13[[#This Row],[Age]]&lt;25,"18-24",IF(Table13[[#This Row],[Age]]&lt;35,"25-34",IF(Table13[[#This Row],[Age]]&lt;45,"35-44",IF(Table13[[#This Row],[Age]]&lt;55,"45-54","55-64"))))</f>
        <v>25-34</v>
      </c>
      <c r="H320" s="8" t="s">
        <v>17</v>
      </c>
      <c r="I320" s="8">
        <v>49.1</v>
      </c>
      <c r="J320" s="8">
        <v>1.7</v>
      </c>
      <c r="K320" s="8">
        <v>162</v>
      </c>
      <c r="L320" s="8">
        <v>167</v>
      </c>
      <c r="M320" s="8">
        <v>63</v>
      </c>
      <c r="N320" s="8">
        <v>1.1000000000000001</v>
      </c>
      <c r="O320" s="8">
        <v>891</v>
      </c>
      <c r="P320" s="8" t="s">
        <v>18</v>
      </c>
      <c r="Q320" s="8" t="str">
        <f>_xlfn.IFS(AND(Table13[[#This Row],[Gender]]="female",R320&lt;20),"Athletes",AND(Table13[[#This Row],[Gender]]="female",R320&lt;24),"Fitnesss",AND(Table13[[#This Row],[Gender]]="female",R320&lt;31),"Acceptable",AND(Table13[[#This Row],[Gender]]="female",R320&lt;40),"Obese",AND(Table13[[#This Row],[Gender]]="male",R320&lt;13),"Athletes",AND(Table13[[#This Row],[Gender]]="male",R320&lt;17),"Fitnesss",AND(Table13[[#This Row],[Gender]]="male",R320&lt;24.9),"Acceptable",AND(Table13[[#This Row],[Gender]]="male",R320&lt;40),"Obese",AND(Table13[[#This Row],[Gender]]="others",R320&lt;20),"Athletes",AND(Table13[[#This Row],[Gender]]="others",R320&lt;24),"Fitnesss",AND(Table13[[#This Row],[Gender]]="others",R320&lt;31),"Acceptable",AND(Table13[[#This Row],[Gender]]="others",R320&lt;40),"Obese")</f>
        <v>Fitnesss</v>
      </c>
      <c r="R320" s="8">
        <v>23.5</v>
      </c>
      <c r="S320" s="8">
        <v>2.9</v>
      </c>
      <c r="T320" s="8">
        <v>3</v>
      </c>
      <c r="U320" s="8">
        <v>1</v>
      </c>
      <c r="V320" s="8" t="str">
        <f>IF(Table13[[#This Row],[BMI]]&lt;=18.5,"Underweight",IF(Table13[[#This Row],[BMI]]&lt;=24.9,"Normal",IF(Table13[[#This Row],[BMI]]&lt;=29.9,"Overweight",IF(Table13[[#This Row],[BMI]]&lt;=39,"Obese","Severly Obese"))))</f>
        <v>Underweight</v>
      </c>
      <c r="W320" s="18">
        <v>15.73</v>
      </c>
    </row>
    <row r="321" spans="6:23" x14ac:dyDescent="0.3">
      <c r="F321" s="17">
        <v>39</v>
      </c>
      <c r="G321" s="8" t="str">
        <f>IF(Table13[[#This Row],[Age]]&lt;25,"18-24",IF(Table13[[#This Row],[Age]]&lt;35,"25-34",IF(Table13[[#This Row],[Age]]&lt;45,"35-44",IF(Table13[[#This Row],[Age]]&lt;55,"45-54","55-64"))))</f>
        <v>35-44</v>
      </c>
      <c r="H321" s="8" t="s">
        <v>17</v>
      </c>
      <c r="I321" s="8">
        <v>67.8</v>
      </c>
      <c r="J321" s="8">
        <v>1.59</v>
      </c>
      <c r="K321" s="8">
        <v>164</v>
      </c>
      <c r="L321" s="8">
        <v>158</v>
      </c>
      <c r="M321" s="8">
        <v>74</v>
      </c>
      <c r="N321" s="8">
        <v>1.65</v>
      </c>
      <c r="O321" s="8">
        <v>1374</v>
      </c>
      <c r="P321" s="8" t="s">
        <v>18</v>
      </c>
      <c r="Q321" s="8" t="str">
        <f>_xlfn.IFS(AND(Table13[[#This Row],[Gender]]="female",R321&lt;20),"Athletes",AND(Table13[[#This Row],[Gender]]="female",R321&lt;24),"Fitnesss",AND(Table13[[#This Row],[Gender]]="female",R321&lt;31),"Acceptable",AND(Table13[[#This Row],[Gender]]="female",R321&lt;40),"Obese",AND(Table13[[#This Row],[Gender]]="male",R321&lt;13),"Athletes",AND(Table13[[#This Row],[Gender]]="male",R321&lt;17),"Fitnesss",AND(Table13[[#This Row],[Gender]]="male",R321&lt;24.9),"Acceptable",AND(Table13[[#This Row],[Gender]]="male",R321&lt;40),"Obese",AND(Table13[[#This Row],[Gender]]="others",R321&lt;20),"Athletes",AND(Table13[[#This Row],[Gender]]="others",R321&lt;24),"Fitnesss",AND(Table13[[#This Row],[Gender]]="others",R321&lt;31),"Acceptable",AND(Table13[[#This Row],[Gender]]="others",R321&lt;40),"Obese")</f>
        <v>Acceptable</v>
      </c>
      <c r="R321" s="8">
        <v>25.9</v>
      </c>
      <c r="S321" s="8">
        <v>2.6</v>
      </c>
      <c r="T321" s="8">
        <v>5</v>
      </c>
      <c r="U321" s="8">
        <v>2</v>
      </c>
      <c r="V321" s="8" t="str">
        <f>IF(Table13[[#This Row],[BMI]]&lt;=18.5,"Underweight",IF(Table13[[#This Row],[BMI]]&lt;=24.9,"Normal",IF(Table13[[#This Row],[BMI]]&lt;=29.9,"Overweight",IF(Table13[[#This Row],[BMI]]&lt;=39,"Obese","Severly Obese"))))</f>
        <v>Overweight</v>
      </c>
      <c r="W321" s="18">
        <v>25</v>
      </c>
    </row>
    <row r="322" spans="6:23" x14ac:dyDescent="0.3">
      <c r="F322" s="17">
        <v>22</v>
      </c>
      <c r="G322" s="8" t="str">
        <f>IF(Table13[[#This Row],[Age]]&lt;25,"18-24",IF(Table13[[#This Row],[Age]]&lt;35,"25-34",IF(Table13[[#This Row],[Age]]&lt;45,"35-44",IF(Table13[[#This Row],[Age]]&lt;55,"45-54","55-64"))))</f>
        <v>18-24</v>
      </c>
      <c r="H322" s="8" t="s">
        <v>19</v>
      </c>
      <c r="I322" s="8">
        <v>43.3</v>
      </c>
      <c r="J322" s="8">
        <v>1.69</v>
      </c>
      <c r="K322" s="8">
        <v>176</v>
      </c>
      <c r="L322" s="8">
        <v>158</v>
      </c>
      <c r="M322" s="8">
        <v>53</v>
      </c>
      <c r="N322" s="8">
        <v>1.31</v>
      </c>
      <c r="O322" s="8">
        <v>500</v>
      </c>
      <c r="P322" s="8" t="s">
        <v>23</v>
      </c>
      <c r="Q322" s="8" t="str">
        <f>_xlfn.IFS(AND(Table13[[#This Row],[Gender]]="female",R322&lt;20),"Athletes",AND(Table13[[#This Row],[Gender]]="female",R322&lt;24),"Fitnesss",AND(Table13[[#This Row],[Gender]]="female",R322&lt;31),"Acceptable",AND(Table13[[#This Row],[Gender]]="female",R322&lt;40),"Obese",AND(Table13[[#This Row],[Gender]]="male",R322&lt;13),"Athletes",AND(Table13[[#This Row],[Gender]]="male",R322&lt;17),"Fitnesss",AND(Table13[[#This Row],[Gender]]="male",R322&lt;24.9),"Acceptable",AND(Table13[[#This Row],[Gender]]="male",R322&lt;40),"Obese",AND(Table13[[#This Row],[Gender]]="others",R322&lt;20),"Athletes",AND(Table13[[#This Row],[Gender]]="others",R322&lt;24),"Fitnesss",AND(Table13[[#This Row],[Gender]]="others",R322&lt;31),"Acceptable",AND(Table13[[#This Row],[Gender]]="others",R322&lt;40),"Obese")</f>
        <v>Acceptable</v>
      </c>
      <c r="R322" s="8">
        <v>23.7</v>
      </c>
      <c r="S322" s="8">
        <v>1.5</v>
      </c>
      <c r="T322" s="8">
        <v>2</v>
      </c>
      <c r="U322" s="8">
        <v>2</v>
      </c>
      <c r="V322" s="8" t="str">
        <f>IF(Table13[[#This Row],[BMI]]&lt;=18.5,"Underweight",IF(Table13[[#This Row],[BMI]]&lt;=24.9,"Normal",IF(Table13[[#This Row],[BMI]]&lt;=29.9,"Overweight",IF(Table13[[#This Row],[BMI]]&lt;=39,"Obese","Severly Obese"))))</f>
        <v>Underweight</v>
      </c>
      <c r="W322" s="18">
        <v>13.83</v>
      </c>
    </row>
    <row r="323" spans="6:23" x14ac:dyDescent="0.3">
      <c r="F323" s="17">
        <v>44</v>
      </c>
      <c r="G323" s="8" t="str">
        <f>IF(Table13[[#This Row],[Age]]&lt;25,"18-24",IF(Table13[[#This Row],[Age]]&lt;35,"25-34",IF(Table13[[#This Row],[Age]]&lt;45,"35-44",IF(Table13[[#This Row],[Age]]&lt;55,"45-54","55-64"))))</f>
        <v>35-44</v>
      </c>
      <c r="H323" s="8" t="s">
        <v>17</v>
      </c>
      <c r="I323" s="8">
        <v>40.799999999999997</v>
      </c>
      <c r="J323" s="8">
        <v>1.74</v>
      </c>
      <c r="K323" s="8">
        <v>177</v>
      </c>
      <c r="L323" s="8">
        <v>165</v>
      </c>
      <c r="M323" s="8">
        <v>72</v>
      </c>
      <c r="N323" s="8"/>
      <c r="O323" s="8">
        <v>384</v>
      </c>
      <c r="P323" s="8" t="s">
        <v>21</v>
      </c>
      <c r="Q323" s="8" t="str">
        <f>_xlfn.IFS(AND(Table13[[#This Row],[Gender]]="female",R323&lt;20),"Athletes",AND(Table13[[#This Row],[Gender]]="female",R323&lt;24),"Fitnesss",AND(Table13[[#This Row],[Gender]]="female",R323&lt;31),"Acceptable",AND(Table13[[#This Row],[Gender]]="female",R323&lt;40),"Obese",AND(Table13[[#This Row],[Gender]]="male",R323&lt;13),"Athletes",AND(Table13[[#This Row],[Gender]]="male",R323&lt;17),"Fitnesss",AND(Table13[[#This Row],[Gender]]="male",R323&lt;24.9),"Acceptable",AND(Table13[[#This Row],[Gender]]="male",R323&lt;40),"Obese",AND(Table13[[#This Row],[Gender]]="others",R323&lt;20),"Athletes",AND(Table13[[#This Row],[Gender]]="others",R323&lt;24),"Fitnesss",AND(Table13[[#This Row],[Gender]]="others",R323&lt;31),"Acceptable",AND(Table13[[#This Row],[Gender]]="others",R323&lt;40),"Obese")</f>
        <v>Athletes</v>
      </c>
      <c r="R323" s="8">
        <v>10</v>
      </c>
      <c r="S323" s="8"/>
      <c r="T323" s="8">
        <v>3</v>
      </c>
      <c r="U323" s="8">
        <v>1</v>
      </c>
      <c r="V323" s="8" t="str">
        <f>IF(Table13[[#This Row],[BMI]]&lt;=18.5,"Underweight",IF(Table13[[#This Row],[BMI]]&lt;=24.9,"Normal",IF(Table13[[#This Row],[BMI]]&lt;=29.9,"Overweight",IF(Table13[[#This Row],[BMI]]&lt;=39,"Obese","Severly Obese"))))</f>
        <v>Underweight</v>
      </c>
      <c r="W323" s="18">
        <v>13.11</v>
      </c>
    </row>
    <row r="324" spans="6:23" x14ac:dyDescent="0.3">
      <c r="F324" s="17">
        <v>18</v>
      </c>
      <c r="G324" s="8" t="str">
        <f>IF(Table13[[#This Row],[Age]]&lt;25,"18-24",IF(Table13[[#This Row],[Age]]&lt;35,"25-34",IF(Table13[[#This Row],[Age]]&lt;45,"35-44",IF(Table13[[#This Row],[Age]]&lt;55,"45-54","55-64"))))</f>
        <v>18-24</v>
      </c>
      <c r="H324" s="8" t="s">
        <v>19</v>
      </c>
      <c r="I324" s="8">
        <v>71.5</v>
      </c>
      <c r="J324" s="8">
        <v>1.69</v>
      </c>
      <c r="K324" s="8">
        <v>186</v>
      </c>
      <c r="L324" s="8">
        <v>124</v>
      </c>
      <c r="M324" s="8">
        <v>60</v>
      </c>
      <c r="N324" s="8">
        <v>1.53</v>
      </c>
      <c r="O324" s="8">
        <v>763</v>
      </c>
      <c r="P324" s="8" t="s">
        <v>22</v>
      </c>
      <c r="Q324" s="8" t="str">
        <f>_xlfn.IFS(AND(Table13[[#This Row],[Gender]]="female",R324&lt;20),"Athletes",AND(Table13[[#This Row],[Gender]]="female",R324&lt;24),"Fitnesss",AND(Table13[[#This Row],[Gender]]="female",R324&lt;31),"Acceptable",AND(Table13[[#This Row],[Gender]]="female",R324&lt;40),"Obese",AND(Table13[[#This Row],[Gender]]="male",R324&lt;13),"Athletes",AND(Table13[[#This Row],[Gender]]="male",R324&lt;17),"Fitnesss",AND(Table13[[#This Row],[Gender]]="male",R324&lt;24.9),"Acceptable",AND(Table13[[#This Row],[Gender]]="male",R324&lt;40),"Obese",AND(Table13[[#This Row],[Gender]]="others",R324&lt;20),"Athletes",AND(Table13[[#This Row],[Gender]]="others",R324&lt;24),"Fitnesss",AND(Table13[[#This Row],[Gender]]="others",R324&lt;31),"Acceptable",AND(Table13[[#This Row],[Gender]]="others",R324&lt;40),"Obese")</f>
        <v>Fitnesss</v>
      </c>
      <c r="R324" s="8">
        <v>16.899999999999999</v>
      </c>
      <c r="S324" s="8">
        <v>2.5</v>
      </c>
      <c r="T324" s="8">
        <v>2</v>
      </c>
      <c r="U324" s="8">
        <v>1</v>
      </c>
      <c r="V324" s="8" t="str">
        <f>IF(Table13[[#This Row],[BMI]]&lt;=18.5,"Underweight",IF(Table13[[#This Row],[BMI]]&lt;=24.9,"Normal",IF(Table13[[#This Row],[BMI]]&lt;=29.9,"Overweight",IF(Table13[[#This Row],[BMI]]&lt;=39,"Obese","Severly Obese"))))</f>
        <v>Underweight</v>
      </c>
      <c r="W324" s="18">
        <v>15.8</v>
      </c>
    </row>
    <row r="325" spans="6:23" x14ac:dyDescent="0.3">
      <c r="F325" s="17">
        <v>50</v>
      </c>
      <c r="G325" s="8" t="str">
        <f>IF(Table13[[#This Row],[Age]]&lt;25,"18-24",IF(Table13[[#This Row],[Age]]&lt;35,"25-34",IF(Table13[[#This Row],[Age]]&lt;45,"35-44",IF(Table13[[#This Row],[Age]]&lt;55,"45-54","55-64"))))</f>
        <v>45-54</v>
      </c>
      <c r="H325" s="8" t="s">
        <v>19</v>
      </c>
      <c r="I325" s="8">
        <v>41.1</v>
      </c>
      <c r="J325" s="8">
        <v>1.51</v>
      </c>
      <c r="K325" s="8">
        <v>169</v>
      </c>
      <c r="L325" s="8">
        <v>152</v>
      </c>
      <c r="M325" s="8">
        <v>63</v>
      </c>
      <c r="N325" s="8">
        <v>2</v>
      </c>
      <c r="O325" s="8">
        <v>1069</v>
      </c>
      <c r="P325" s="8" t="s">
        <v>18</v>
      </c>
      <c r="Q325" s="8" t="str">
        <f>_xlfn.IFS(AND(Table13[[#This Row],[Gender]]="female",R325&lt;20),"Athletes",AND(Table13[[#This Row],[Gender]]="female",R325&lt;24),"Fitnesss",AND(Table13[[#This Row],[Gender]]="female",R325&lt;31),"Acceptable",AND(Table13[[#This Row],[Gender]]="female",R325&lt;40),"Obese",AND(Table13[[#This Row],[Gender]]="male",R325&lt;13),"Athletes",AND(Table13[[#This Row],[Gender]]="male",R325&lt;17),"Fitnesss",AND(Table13[[#This Row],[Gender]]="male",R325&lt;24.9),"Acceptable",AND(Table13[[#This Row],[Gender]]="male",R325&lt;40),"Obese",AND(Table13[[#This Row],[Gender]]="others",R325&lt;20),"Athletes",AND(Table13[[#This Row],[Gender]]="others",R325&lt;24),"Fitnesss",AND(Table13[[#This Row],[Gender]]="others",R325&lt;31),"Acceptable",AND(Table13[[#This Row],[Gender]]="others",R325&lt;40),"Obese")</f>
        <v>Obese</v>
      </c>
      <c r="R325" s="8">
        <v>24.9</v>
      </c>
      <c r="S325" s="8">
        <v>1.5</v>
      </c>
      <c r="T325" s="8">
        <v>4</v>
      </c>
      <c r="U325" s="8">
        <v>2</v>
      </c>
      <c r="V325" s="8" t="str">
        <f>IF(Table13[[#This Row],[BMI]]&lt;=18.5,"Underweight",IF(Table13[[#This Row],[BMI]]&lt;=24.9,"Normal",IF(Table13[[#This Row],[BMI]]&lt;=29.9,"Overweight",IF(Table13[[#This Row],[BMI]]&lt;=39,"Obese","Severly Obese"))))</f>
        <v>Obese</v>
      </c>
      <c r="W325" s="18">
        <v>31.59</v>
      </c>
    </row>
    <row r="326" spans="6:23" x14ac:dyDescent="0.3">
      <c r="F326" s="17">
        <v>27</v>
      </c>
      <c r="G326" s="8" t="str">
        <f>IF(Table13[[#This Row],[Age]]&lt;25,"18-24",IF(Table13[[#This Row],[Age]]&lt;35,"25-34",IF(Table13[[#This Row],[Age]]&lt;45,"35-44",IF(Table13[[#This Row],[Age]]&lt;55,"45-54","55-64"))))</f>
        <v>25-34</v>
      </c>
      <c r="H326" s="8" t="s">
        <v>19</v>
      </c>
      <c r="I326" s="8">
        <v>52.3</v>
      </c>
      <c r="J326" s="8">
        <v>1.6</v>
      </c>
      <c r="K326" s="8">
        <v>177</v>
      </c>
      <c r="L326" s="8">
        <v>124</v>
      </c>
      <c r="M326" s="8">
        <v>66</v>
      </c>
      <c r="N326" s="8">
        <v>0.93</v>
      </c>
      <c r="O326" s="8">
        <v>416</v>
      </c>
      <c r="P326" s="8" t="s">
        <v>18</v>
      </c>
      <c r="Q326" s="8" t="str">
        <f>_xlfn.IFS(AND(Table13[[#This Row],[Gender]]="female",R326&lt;20),"Athletes",AND(Table13[[#This Row],[Gender]]="female",R326&lt;24),"Fitnesss",AND(Table13[[#This Row],[Gender]]="female",R326&lt;31),"Acceptable",AND(Table13[[#This Row],[Gender]]="female",R326&lt;40),"Obese",AND(Table13[[#This Row],[Gender]]="male",R326&lt;13),"Athletes",AND(Table13[[#This Row],[Gender]]="male",R326&lt;17),"Fitnesss",AND(Table13[[#This Row],[Gender]]="male",R326&lt;24.9),"Acceptable",AND(Table13[[#This Row],[Gender]]="male",R326&lt;40),"Obese",AND(Table13[[#This Row],[Gender]]="others",R326&lt;20),"Athletes",AND(Table13[[#This Row],[Gender]]="others",R326&lt;24),"Fitnesss",AND(Table13[[#This Row],[Gender]]="others",R326&lt;31),"Acceptable",AND(Table13[[#This Row],[Gender]]="others",R326&lt;40),"Obese")</f>
        <v>Acceptable</v>
      </c>
      <c r="R326" s="8">
        <v>22.5</v>
      </c>
      <c r="S326" s="8"/>
      <c r="T326" s="8">
        <v>5</v>
      </c>
      <c r="U326" s="8">
        <v>2</v>
      </c>
      <c r="V326" s="8" t="str">
        <f>IF(Table13[[#This Row],[BMI]]&lt;=18.5,"Underweight",IF(Table13[[#This Row],[BMI]]&lt;=24.9,"Normal",IF(Table13[[#This Row],[BMI]]&lt;=29.9,"Overweight",IF(Table13[[#This Row],[BMI]]&lt;=39,"Obese","Severly Obese"))))</f>
        <v>Obese</v>
      </c>
      <c r="W326" s="18">
        <v>31.64</v>
      </c>
    </row>
    <row r="327" spans="6:23" x14ac:dyDescent="0.3">
      <c r="F327" s="17">
        <v>28</v>
      </c>
      <c r="G327" s="8" t="str">
        <f>IF(Table13[[#This Row],[Age]]&lt;25,"18-24",IF(Table13[[#This Row],[Age]]&lt;35,"25-34",IF(Table13[[#This Row],[Age]]&lt;45,"35-44",IF(Table13[[#This Row],[Age]]&lt;55,"45-54","55-64"))))</f>
        <v>25-34</v>
      </c>
      <c r="H327" s="8" t="s">
        <v>19</v>
      </c>
      <c r="I327" s="8">
        <v>73.2</v>
      </c>
      <c r="J327" s="8">
        <v>1.76</v>
      </c>
      <c r="K327" s="8">
        <v>171</v>
      </c>
      <c r="L327" s="8">
        <v>159</v>
      </c>
      <c r="M327" s="8">
        <v>61</v>
      </c>
      <c r="N327" s="8">
        <v>1.21</v>
      </c>
      <c r="O327" s="8">
        <v>973</v>
      </c>
      <c r="P327" s="8" t="s">
        <v>21</v>
      </c>
      <c r="Q327" s="8" t="str">
        <f>_xlfn.IFS(AND(Table13[[#This Row],[Gender]]="female",R327&lt;20),"Athletes",AND(Table13[[#This Row],[Gender]]="female",R327&lt;24),"Fitnesss",AND(Table13[[#This Row],[Gender]]="female",R327&lt;31),"Acceptable",AND(Table13[[#This Row],[Gender]]="female",R327&lt;40),"Obese",AND(Table13[[#This Row],[Gender]]="male",R327&lt;13),"Athletes",AND(Table13[[#This Row],[Gender]]="male",R327&lt;17),"Fitnesss",AND(Table13[[#This Row],[Gender]]="male",R327&lt;24.9),"Acceptable",AND(Table13[[#This Row],[Gender]]="male",R327&lt;40),"Obese",AND(Table13[[#This Row],[Gender]]="others",R327&lt;20),"Athletes",AND(Table13[[#This Row],[Gender]]="others",R327&lt;24),"Fitnesss",AND(Table13[[#This Row],[Gender]]="others",R327&lt;31),"Acceptable",AND(Table13[[#This Row],[Gender]]="others",R327&lt;40),"Obese")</f>
        <v>Obese</v>
      </c>
      <c r="R327" s="8">
        <v>26.4</v>
      </c>
      <c r="S327" s="8">
        <v>2</v>
      </c>
      <c r="T327" s="8">
        <v>4</v>
      </c>
      <c r="U327" s="8">
        <v>1</v>
      </c>
      <c r="V327" s="8" t="str">
        <f>IF(Table13[[#This Row],[BMI]]&lt;=18.5,"Underweight",IF(Table13[[#This Row],[BMI]]&lt;=24.9,"Normal",IF(Table13[[#This Row],[BMI]]&lt;=29.9,"Overweight",IF(Table13[[#This Row],[BMI]]&lt;=39,"Obese","Severly Obese"))))</f>
        <v>Underweight</v>
      </c>
      <c r="W327" s="18">
        <v>12.32</v>
      </c>
    </row>
    <row r="328" spans="6:23" x14ac:dyDescent="0.3">
      <c r="F328" s="17">
        <v>41</v>
      </c>
      <c r="G328" s="8" t="str">
        <f>IF(Table13[[#This Row],[Age]]&lt;25,"18-24",IF(Table13[[#This Row],[Age]]&lt;35,"25-34",IF(Table13[[#This Row],[Age]]&lt;45,"35-44",IF(Table13[[#This Row],[Age]]&lt;55,"45-54","55-64"))))</f>
        <v>35-44</v>
      </c>
      <c r="H328" s="8" t="s">
        <v>17</v>
      </c>
      <c r="I328" s="8">
        <v>117.7</v>
      </c>
      <c r="J328" s="8">
        <v>1.67</v>
      </c>
      <c r="K328" s="8">
        <v>189</v>
      </c>
      <c r="L328" s="8">
        <v>123</v>
      </c>
      <c r="M328" s="8">
        <v>58</v>
      </c>
      <c r="N328" s="8">
        <v>2</v>
      </c>
      <c r="O328" s="8">
        <v>1243</v>
      </c>
      <c r="P328" s="8" t="s">
        <v>22</v>
      </c>
      <c r="Q328" s="8" t="str">
        <f>_xlfn.IFS(AND(Table13[[#This Row],[Gender]]="female",R328&lt;20),"Athletes",AND(Table13[[#This Row],[Gender]]="female",R328&lt;24),"Fitnesss",AND(Table13[[#This Row],[Gender]]="female",R328&lt;31),"Acceptable",AND(Table13[[#This Row],[Gender]]="female",R328&lt;40),"Obese",AND(Table13[[#This Row],[Gender]]="male",R328&lt;13),"Athletes",AND(Table13[[#This Row],[Gender]]="male",R328&lt;17),"Fitnesss",AND(Table13[[#This Row],[Gender]]="male",R328&lt;24.9),"Acceptable",AND(Table13[[#This Row],[Gender]]="male",R328&lt;40),"Obese",AND(Table13[[#This Row],[Gender]]="others",R328&lt;20),"Athletes",AND(Table13[[#This Row],[Gender]]="others",R328&lt;24),"Fitnesss",AND(Table13[[#This Row],[Gender]]="others",R328&lt;31),"Acceptable",AND(Table13[[#This Row],[Gender]]="others",R328&lt;40),"Obese")</f>
        <v>Acceptable</v>
      </c>
      <c r="R328" s="8">
        <v>26.2</v>
      </c>
      <c r="S328" s="8">
        <v>3.2</v>
      </c>
      <c r="T328" s="8">
        <v>2</v>
      </c>
      <c r="U328" s="8">
        <v>1</v>
      </c>
      <c r="V328" s="8" t="str">
        <f>IF(Table13[[#This Row],[BMI]]&lt;=18.5,"Underweight",IF(Table13[[#This Row],[BMI]]&lt;=24.9,"Normal",IF(Table13[[#This Row],[BMI]]&lt;=29.9,"Overweight",IF(Table13[[#This Row],[BMI]]&lt;=39,"Obese","Severly Obese"))))</f>
        <v>Underweight</v>
      </c>
      <c r="W328" s="18">
        <v>17.260000000000002</v>
      </c>
    </row>
    <row r="329" spans="6:23" x14ac:dyDescent="0.3">
      <c r="F329" s="17">
        <v>31</v>
      </c>
      <c r="G329" s="8" t="str">
        <f>IF(Table13[[#This Row],[Age]]&lt;25,"18-24",IF(Table13[[#This Row],[Age]]&lt;35,"25-34",IF(Table13[[#This Row],[Age]]&lt;45,"35-44",IF(Table13[[#This Row],[Age]]&lt;55,"45-54","55-64"))))</f>
        <v>25-34</v>
      </c>
      <c r="H329" s="8" t="s">
        <v>19</v>
      </c>
      <c r="I329" s="8">
        <v>63.8</v>
      </c>
      <c r="J329" s="8">
        <v>1.74</v>
      </c>
      <c r="K329" s="8">
        <v>199</v>
      </c>
      <c r="L329" s="8">
        <v>140</v>
      </c>
      <c r="M329" s="8">
        <v>55</v>
      </c>
      <c r="N329" s="8">
        <v>1.5</v>
      </c>
      <c r="O329" s="8">
        <v>741</v>
      </c>
      <c r="P329" s="8" t="s">
        <v>21</v>
      </c>
      <c r="Q329" s="8" t="str">
        <f>_xlfn.IFS(AND(Table13[[#This Row],[Gender]]="female",R329&lt;20),"Athletes",AND(Table13[[#This Row],[Gender]]="female",R329&lt;24),"Fitnesss",AND(Table13[[#This Row],[Gender]]="female",R329&lt;31),"Acceptable",AND(Table13[[#This Row],[Gender]]="female",R329&lt;40),"Obese",AND(Table13[[#This Row],[Gender]]="male",R329&lt;13),"Athletes",AND(Table13[[#This Row],[Gender]]="male",R329&lt;17),"Fitnesss",AND(Table13[[#This Row],[Gender]]="male",R329&lt;24.9),"Acceptable",AND(Table13[[#This Row],[Gender]]="male",R329&lt;40),"Obese",AND(Table13[[#This Row],[Gender]]="others",R329&lt;20),"Athletes",AND(Table13[[#This Row],[Gender]]="others",R329&lt;24),"Fitnesss",AND(Table13[[#This Row],[Gender]]="others",R329&lt;31),"Acceptable",AND(Table13[[#This Row],[Gender]]="others",R329&lt;40),"Obese")</f>
        <v>Obese</v>
      </c>
      <c r="R329" s="8">
        <v>28.1</v>
      </c>
      <c r="S329" s="8">
        <v>1.6</v>
      </c>
      <c r="T329" s="8">
        <v>3</v>
      </c>
      <c r="U329" s="8">
        <v>2</v>
      </c>
      <c r="V329" s="8" t="str">
        <f>IF(Table13[[#This Row],[BMI]]&lt;=18.5,"Underweight",IF(Table13[[#This Row],[BMI]]&lt;=24.9,"Normal",IF(Table13[[#This Row],[BMI]]&lt;=29.9,"Overweight",IF(Table13[[#This Row],[BMI]]&lt;=39,"Obese","Severly Obese"))))</f>
        <v>Overweight</v>
      </c>
      <c r="W329" s="18">
        <v>25.22</v>
      </c>
    </row>
    <row r="330" spans="6:23" x14ac:dyDescent="0.3">
      <c r="F330" s="17">
        <v>31</v>
      </c>
      <c r="G330" s="8" t="str">
        <f>IF(Table13[[#This Row],[Age]]&lt;25,"18-24",IF(Table13[[#This Row],[Age]]&lt;35,"25-34",IF(Table13[[#This Row],[Age]]&lt;45,"35-44",IF(Table13[[#This Row],[Age]]&lt;55,"45-54","55-64"))))</f>
        <v>25-34</v>
      </c>
      <c r="H330" s="8" t="s">
        <v>19</v>
      </c>
      <c r="I330" s="8">
        <v>62.1</v>
      </c>
      <c r="J330" s="8">
        <v>1.71</v>
      </c>
      <c r="K330" s="8">
        <v>172</v>
      </c>
      <c r="L330" s="8">
        <v>169</v>
      </c>
      <c r="M330" s="8">
        <v>55</v>
      </c>
      <c r="N330" s="8">
        <v>1.52</v>
      </c>
      <c r="O330" s="8">
        <v>854</v>
      </c>
      <c r="P330" s="8" t="s">
        <v>21</v>
      </c>
      <c r="Q330" s="8" t="str">
        <f>_xlfn.IFS(AND(Table13[[#This Row],[Gender]]="female",R330&lt;20),"Athletes",AND(Table13[[#This Row],[Gender]]="female",R330&lt;24),"Fitnesss",AND(Table13[[#This Row],[Gender]]="female",R330&lt;31),"Acceptable",AND(Table13[[#This Row],[Gender]]="female",R330&lt;40),"Obese",AND(Table13[[#This Row],[Gender]]="male",R330&lt;13),"Athletes",AND(Table13[[#This Row],[Gender]]="male",R330&lt;17),"Fitnesss",AND(Table13[[#This Row],[Gender]]="male",R330&lt;24.9),"Acceptable",AND(Table13[[#This Row],[Gender]]="male",R330&lt;40),"Obese",AND(Table13[[#This Row],[Gender]]="others",R330&lt;20),"Athletes",AND(Table13[[#This Row],[Gender]]="others",R330&lt;24),"Fitnesss",AND(Table13[[#This Row],[Gender]]="others",R330&lt;31),"Acceptable",AND(Table13[[#This Row],[Gender]]="others",R330&lt;40),"Obese")</f>
        <v>Obese</v>
      </c>
      <c r="R330" s="8">
        <v>27.4</v>
      </c>
      <c r="S330" s="8">
        <v>3.7</v>
      </c>
      <c r="T330" s="8">
        <v>3</v>
      </c>
      <c r="U330" s="8">
        <v>3</v>
      </c>
      <c r="V330" s="8" t="str">
        <f>IF(Table13[[#This Row],[BMI]]&lt;=18.5,"Underweight",IF(Table13[[#This Row],[BMI]]&lt;=24.9,"Normal",IF(Table13[[#This Row],[BMI]]&lt;=29.9,"Overweight",IF(Table13[[#This Row],[BMI]]&lt;=39,"Obese","Severly Obese"))))</f>
        <v>Underweight</v>
      </c>
      <c r="W330" s="18"/>
    </row>
    <row r="331" spans="6:23" x14ac:dyDescent="0.3">
      <c r="F331" s="17">
        <v>18</v>
      </c>
      <c r="G331" s="8" t="str">
        <f>IF(Table13[[#This Row],[Age]]&lt;25,"18-24",IF(Table13[[#This Row],[Age]]&lt;35,"25-34",IF(Table13[[#This Row],[Age]]&lt;45,"35-44",IF(Table13[[#This Row],[Age]]&lt;55,"45-54","55-64"))))</f>
        <v>18-24</v>
      </c>
      <c r="H331" s="8" t="s">
        <v>19</v>
      </c>
      <c r="I331" s="8">
        <v>52</v>
      </c>
      <c r="J331" s="8">
        <v>1.66</v>
      </c>
      <c r="K331" s="8">
        <v>199</v>
      </c>
      <c r="L331" s="8">
        <v>137</v>
      </c>
      <c r="M331" s="8">
        <v>74</v>
      </c>
      <c r="N331" s="8">
        <v>2</v>
      </c>
      <c r="O331" s="8">
        <v>1314</v>
      </c>
      <c r="P331" s="8" t="s">
        <v>20</v>
      </c>
      <c r="Q331" s="8" t="str">
        <f>_xlfn.IFS(AND(Table13[[#This Row],[Gender]]="female",R331&lt;20),"Athletes",AND(Table13[[#This Row],[Gender]]="female",R331&lt;24),"Fitnesss",AND(Table13[[#This Row],[Gender]]="female",R331&lt;31),"Acceptable",AND(Table13[[#This Row],[Gender]]="female",R331&lt;40),"Obese",AND(Table13[[#This Row],[Gender]]="male",R331&lt;13),"Athletes",AND(Table13[[#This Row],[Gender]]="male",R331&lt;17),"Fitnesss",AND(Table13[[#This Row],[Gender]]="male",R331&lt;24.9),"Acceptable",AND(Table13[[#This Row],[Gender]]="male",R331&lt;40),"Obese",AND(Table13[[#This Row],[Gender]]="others",R331&lt;20),"Athletes",AND(Table13[[#This Row],[Gender]]="others",R331&lt;24),"Fitnesss",AND(Table13[[#This Row],[Gender]]="others",R331&lt;31),"Acceptable",AND(Table13[[#This Row],[Gender]]="others",R331&lt;40),"Obese")</f>
        <v>Obese</v>
      </c>
      <c r="R331" s="8">
        <v>26.7</v>
      </c>
      <c r="S331" s="8">
        <v>3.3</v>
      </c>
      <c r="T331" s="8">
        <v>3</v>
      </c>
      <c r="U331" s="8">
        <v>1</v>
      </c>
      <c r="V331" s="8" t="str">
        <f>IF(Table13[[#This Row],[BMI]]&lt;=18.5,"Underweight",IF(Table13[[#This Row],[BMI]]&lt;=24.9,"Normal",IF(Table13[[#This Row],[BMI]]&lt;=29.9,"Overweight",IF(Table13[[#This Row],[BMI]]&lt;=39,"Obese","Severly Obese"))))</f>
        <v>Normal</v>
      </c>
      <c r="W331" s="18">
        <v>20.41</v>
      </c>
    </row>
    <row r="332" spans="6:23" x14ac:dyDescent="0.3">
      <c r="F332" s="17">
        <v>25</v>
      </c>
      <c r="G332" s="8" t="str">
        <f>IF(Table13[[#This Row],[Age]]&lt;25,"18-24",IF(Table13[[#This Row],[Age]]&lt;35,"25-34",IF(Table13[[#This Row],[Age]]&lt;45,"35-44",IF(Table13[[#This Row],[Age]]&lt;55,"45-54","55-64"))))</f>
        <v>25-34</v>
      </c>
      <c r="H332" s="8" t="s">
        <v>17</v>
      </c>
      <c r="I332" s="8">
        <v>73.3</v>
      </c>
      <c r="J332" s="8">
        <v>1.5</v>
      </c>
      <c r="K332" s="8">
        <v>185</v>
      </c>
      <c r="L332" s="8">
        <v>169</v>
      </c>
      <c r="M332" s="8">
        <v>67</v>
      </c>
      <c r="N332" s="8">
        <v>1.38</v>
      </c>
      <c r="O332" s="8">
        <v>433</v>
      </c>
      <c r="P332" s="8" t="s">
        <v>18</v>
      </c>
      <c r="Q332" s="8" t="str">
        <f>_xlfn.IFS(AND(Table13[[#This Row],[Gender]]="female",R332&lt;20),"Athletes",AND(Table13[[#This Row],[Gender]]="female",R332&lt;24),"Fitnesss",AND(Table13[[#This Row],[Gender]]="female",R332&lt;31),"Acceptable",AND(Table13[[#This Row],[Gender]]="female",R332&lt;40),"Obese",AND(Table13[[#This Row],[Gender]]="male",R332&lt;13),"Athletes",AND(Table13[[#This Row],[Gender]]="male",R332&lt;17),"Fitnesss",AND(Table13[[#This Row],[Gender]]="male",R332&lt;24.9),"Acceptable",AND(Table13[[#This Row],[Gender]]="male",R332&lt;40),"Obese",AND(Table13[[#This Row],[Gender]]="others",R332&lt;20),"Athletes",AND(Table13[[#This Row],[Gender]]="others",R332&lt;24),"Fitnesss",AND(Table13[[#This Row],[Gender]]="others",R332&lt;31),"Acceptable",AND(Table13[[#This Row],[Gender]]="others",R332&lt;40),"Obese")</f>
        <v>Acceptable</v>
      </c>
      <c r="R332" s="8">
        <v>30.6</v>
      </c>
      <c r="S332" s="8">
        <v>1.5</v>
      </c>
      <c r="T332" s="8">
        <v>4</v>
      </c>
      <c r="U332" s="8">
        <v>1</v>
      </c>
      <c r="V332" s="8" t="str">
        <f>IF(Table13[[#This Row],[BMI]]&lt;=18.5,"Underweight",IF(Table13[[#This Row],[BMI]]&lt;=24.9,"Normal",IF(Table13[[#This Row],[BMI]]&lt;=29.9,"Overweight",IF(Table13[[#This Row],[BMI]]&lt;=39,"Obese","Severly Obese"))))</f>
        <v>Normal</v>
      </c>
      <c r="W332" s="18">
        <v>22.55</v>
      </c>
    </row>
    <row r="333" spans="6:23" x14ac:dyDescent="0.3">
      <c r="F333" s="17">
        <v>18</v>
      </c>
      <c r="G333" s="8" t="str">
        <f>IF(Table13[[#This Row],[Age]]&lt;25,"18-24",IF(Table13[[#This Row],[Age]]&lt;35,"25-34",IF(Table13[[#This Row],[Age]]&lt;45,"35-44",IF(Table13[[#This Row],[Age]]&lt;55,"45-54","55-64"))))</f>
        <v>18-24</v>
      </c>
      <c r="H333" s="8" t="s">
        <v>19</v>
      </c>
      <c r="I333" s="8">
        <v>50</v>
      </c>
      <c r="J333" s="8">
        <v>1.83</v>
      </c>
      <c r="K333" s="8">
        <v>163</v>
      </c>
      <c r="L333" s="8">
        <v>140</v>
      </c>
      <c r="M333" s="8">
        <v>64</v>
      </c>
      <c r="N333" s="8">
        <v>1.41</v>
      </c>
      <c r="O333" s="8">
        <v>969</v>
      </c>
      <c r="P333" s="8" t="s">
        <v>22</v>
      </c>
      <c r="Q333" s="8" t="str">
        <f>_xlfn.IFS(AND(Table13[[#This Row],[Gender]]="female",R333&lt;20),"Athletes",AND(Table13[[#This Row],[Gender]]="female",R333&lt;24),"Fitnesss",AND(Table13[[#This Row],[Gender]]="female",R333&lt;31),"Acceptable",AND(Table13[[#This Row],[Gender]]="female",R333&lt;40),"Obese",AND(Table13[[#This Row],[Gender]]="male",R333&lt;13),"Athletes",AND(Table13[[#This Row],[Gender]]="male",R333&lt;17),"Fitnesss",AND(Table13[[#This Row],[Gender]]="male",R333&lt;24.9),"Acceptable",AND(Table13[[#This Row],[Gender]]="male",R333&lt;40),"Obese",AND(Table13[[#This Row],[Gender]]="others",R333&lt;20),"Athletes",AND(Table13[[#This Row],[Gender]]="others",R333&lt;24),"Fitnesss",AND(Table13[[#This Row],[Gender]]="others",R333&lt;31),"Acceptable",AND(Table13[[#This Row],[Gender]]="others",R333&lt;40),"Obese")</f>
        <v>Acceptable</v>
      </c>
      <c r="R333" s="8">
        <v>19</v>
      </c>
      <c r="S333" s="8">
        <v>1.9</v>
      </c>
      <c r="T333" s="8">
        <v>3</v>
      </c>
      <c r="U333" s="8">
        <v>2</v>
      </c>
      <c r="V333" s="8" t="str">
        <f>IF(Table13[[#This Row],[BMI]]&lt;=18.5,"Underweight",IF(Table13[[#This Row],[BMI]]&lt;=24.9,"Normal",IF(Table13[[#This Row],[BMI]]&lt;=29.9,"Overweight",IF(Table13[[#This Row],[BMI]]&lt;=39,"Obese","Severly Obese"))))</f>
        <v>Underweight</v>
      </c>
      <c r="W333" s="18">
        <v>14.29</v>
      </c>
    </row>
    <row r="334" spans="6:23" x14ac:dyDescent="0.3">
      <c r="F334" s="17">
        <v>34</v>
      </c>
      <c r="G334" s="8" t="str">
        <f>IF(Table13[[#This Row],[Age]]&lt;25,"18-24",IF(Table13[[#This Row],[Age]]&lt;35,"25-34",IF(Table13[[#This Row],[Age]]&lt;45,"35-44",IF(Table13[[#This Row],[Age]]&lt;55,"45-54","55-64"))))</f>
        <v>25-34</v>
      </c>
      <c r="H334" s="8" t="s">
        <v>19</v>
      </c>
      <c r="I334" s="8">
        <v>90</v>
      </c>
      <c r="J334" s="8">
        <v>1.74</v>
      </c>
      <c r="K334" s="8">
        <v>194</v>
      </c>
      <c r="L334" s="8">
        <v>167</v>
      </c>
      <c r="M334" s="8">
        <v>57</v>
      </c>
      <c r="N334" s="8">
        <v>1.36</v>
      </c>
      <c r="O334" s="8">
        <v>764</v>
      </c>
      <c r="P334" s="8" t="s">
        <v>20</v>
      </c>
      <c r="Q334" s="8" t="str">
        <f>_xlfn.IFS(AND(Table13[[#This Row],[Gender]]="female",R334&lt;20),"Athletes",AND(Table13[[#This Row],[Gender]]="female",R334&lt;24),"Fitnesss",AND(Table13[[#This Row],[Gender]]="female",R334&lt;31),"Acceptable",AND(Table13[[#This Row],[Gender]]="female",R334&lt;40),"Obese",AND(Table13[[#This Row],[Gender]]="male",R334&lt;13),"Athletes",AND(Table13[[#This Row],[Gender]]="male",R334&lt;17),"Fitnesss",AND(Table13[[#This Row],[Gender]]="male",R334&lt;24.9),"Acceptable",AND(Table13[[#This Row],[Gender]]="male",R334&lt;40),"Obese",AND(Table13[[#This Row],[Gender]]="others",R334&lt;20),"Athletes",AND(Table13[[#This Row],[Gender]]="others",R334&lt;24),"Fitnesss",AND(Table13[[#This Row],[Gender]]="others",R334&lt;31),"Acceptable",AND(Table13[[#This Row],[Gender]]="others",R334&lt;40),"Obese")</f>
        <v>Obese</v>
      </c>
      <c r="R334" s="8">
        <v>25</v>
      </c>
      <c r="S334" s="8">
        <v>2.6</v>
      </c>
      <c r="T334" s="8">
        <v>4</v>
      </c>
      <c r="U334" s="8">
        <v>2</v>
      </c>
      <c r="V334" s="8" t="str">
        <f>IF(Table13[[#This Row],[BMI]]&lt;=18.5,"Underweight",IF(Table13[[#This Row],[BMI]]&lt;=24.9,"Normal",IF(Table13[[#This Row],[BMI]]&lt;=29.9,"Overweight",IF(Table13[[#This Row],[BMI]]&lt;=39,"Obese","Severly Obese"))))</f>
        <v>Underweight</v>
      </c>
      <c r="W334" s="18">
        <v>13.77</v>
      </c>
    </row>
    <row r="335" spans="6:23" x14ac:dyDescent="0.3">
      <c r="F335" s="17">
        <v>39</v>
      </c>
      <c r="G335" s="8" t="str">
        <f>IF(Table13[[#This Row],[Age]]&lt;25,"18-24",IF(Table13[[#This Row],[Age]]&lt;35,"25-34",IF(Table13[[#This Row],[Age]]&lt;45,"35-44",IF(Table13[[#This Row],[Age]]&lt;55,"45-54","55-64"))))</f>
        <v>35-44</v>
      </c>
      <c r="H335" s="8" t="s">
        <v>19</v>
      </c>
      <c r="I335" s="8">
        <v>109.6</v>
      </c>
      <c r="J335" s="8">
        <v>1.84</v>
      </c>
      <c r="K335" s="8">
        <v>199</v>
      </c>
      <c r="L335" s="8">
        <v>152</v>
      </c>
      <c r="M335" s="8">
        <v>74</v>
      </c>
      <c r="N335" s="8">
        <v>1.27</v>
      </c>
      <c r="O335" s="8">
        <v>790</v>
      </c>
      <c r="P335" s="8" t="s">
        <v>21</v>
      </c>
      <c r="Q335" s="8" t="str">
        <f>_xlfn.IFS(AND(Table13[[#This Row],[Gender]]="female",R335&lt;20),"Athletes",AND(Table13[[#This Row],[Gender]]="female",R335&lt;24),"Fitnesss",AND(Table13[[#This Row],[Gender]]="female",R335&lt;31),"Acceptable",AND(Table13[[#This Row],[Gender]]="female",R335&lt;40),"Obese",AND(Table13[[#This Row],[Gender]]="male",R335&lt;13),"Athletes",AND(Table13[[#This Row],[Gender]]="male",R335&lt;17),"Fitnesss",AND(Table13[[#This Row],[Gender]]="male",R335&lt;24.9),"Acceptable",AND(Table13[[#This Row],[Gender]]="male",R335&lt;40),"Obese",AND(Table13[[#This Row],[Gender]]="others",R335&lt;20),"Athletes",AND(Table13[[#This Row],[Gender]]="others",R335&lt;24),"Fitnesss",AND(Table13[[#This Row],[Gender]]="others",R335&lt;31),"Acceptable",AND(Table13[[#This Row],[Gender]]="others",R335&lt;40),"Obese")</f>
        <v>Obese</v>
      </c>
      <c r="R335" s="8">
        <v>26.7</v>
      </c>
      <c r="S335" s="8">
        <v>3.5</v>
      </c>
      <c r="T335" s="8">
        <v>2</v>
      </c>
      <c r="U335" s="8">
        <v>2</v>
      </c>
      <c r="V335" s="8" t="str">
        <f>IF(Table13[[#This Row],[BMI]]&lt;=18.5,"Underweight",IF(Table13[[#This Row],[BMI]]&lt;=24.9,"Normal",IF(Table13[[#This Row],[BMI]]&lt;=29.9,"Overweight",IF(Table13[[#This Row],[BMI]]&lt;=39,"Obese","Severly Obese"))))</f>
        <v>Normal</v>
      </c>
      <c r="W335" s="18">
        <v>19.77</v>
      </c>
    </row>
    <row r="336" spans="6:23" x14ac:dyDescent="0.3">
      <c r="F336" s="17">
        <v>18</v>
      </c>
      <c r="G336" s="8" t="str">
        <f>IF(Table13[[#This Row],[Age]]&lt;25,"18-24",IF(Table13[[#This Row],[Age]]&lt;35,"25-34",IF(Table13[[#This Row],[Age]]&lt;45,"35-44",IF(Table13[[#This Row],[Age]]&lt;55,"45-54","55-64"))))</f>
        <v>18-24</v>
      </c>
      <c r="H336" s="8" t="s">
        <v>19</v>
      </c>
      <c r="I336" s="8">
        <v>43.5</v>
      </c>
      <c r="J336" s="8">
        <v>1.77</v>
      </c>
      <c r="K336" s="8">
        <v>161</v>
      </c>
      <c r="L336" s="8">
        <v>136</v>
      </c>
      <c r="M336" s="8">
        <v>57</v>
      </c>
      <c r="N336" s="8">
        <v>2</v>
      </c>
      <c r="O336" s="8">
        <v>452</v>
      </c>
      <c r="P336" s="8" t="s">
        <v>20</v>
      </c>
      <c r="Q336" s="8" t="str">
        <f>_xlfn.IFS(AND(Table13[[#This Row],[Gender]]="female",R336&lt;20),"Athletes",AND(Table13[[#This Row],[Gender]]="female",R336&lt;24),"Fitnesss",AND(Table13[[#This Row],[Gender]]="female",R336&lt;31),"Acceptable",AND(Table13[[#This Row],[Gender]]="female",R336&lt;40),"Obese",AND(Table13[[#This Row],[Gender]]="male",R336&lt;13),"Athletes",AND(Table13[[#This Row],[Gender]]="male",R336&lt;17),"Fitnesss",AND(Table13[[#This Row],[Gender]]="male",R336&lt;24.9),"Acceptable",AND(Table13[[#This Row],[Gender]]="male",R336&lt;40),"Obese",AND(Table13[[#This Row],[Gender]]="others",R336&lt;20),"Athletes",AND(Table13[[#This Row],[Gender]]="others",R336&lt;24),"Fitnesss",AND(Table13[[#This Row],[Gender]]="others",R336&lt;31),"Acceptable",AND(Table13[[#This Row],[Gender]]="others",R336&lt;40),"Obese")</f>
        <v>Acceptable</v>
      </c>
      <c r="R336" s="8">
        <v>24.4</v>
      </c>
      <c r="S336" s="8">
        <v>3.3</v>
      </c>
      <c r="T336" s="8">
        <v>5</v>
      </c>
      <c r="U336" s="8">
        <v>1</v>
      </c>
      <c r="V336" s="8" t="str">
        <f>IF(Table13[[#This Row],[BMI]]&lt;=18.5,"Underweight",IF(Table13[[#This Row],[BMI]]&lt;=24.9,"Normal",IF(Table13[[#This Row],[BMI]]&lt;=29.9,"Overweight",IF(Table13[[#This Row],[BMI]]&lt;=39,"Obese","Severly Obese"))))</f>
        <v>Normal</v>
      </c>
      <c r="W336" s="18">
        <v>21.96</v>
      </c>
    </row>
    <row r="337" spans="6:23" x14ac:dyDescent="0.3">
      <c r="F337" s="17">
        <v>20</v>
      </c>
      <c r="G337" s="8" t="str">
        <f>IF(Table13[[#This Row],[Age]]&lt;25,"18-24",IF(Table13[[#This Row],[Age]]&lt;35,"25-34",IF(Table13[[#This Row],[Age]]&lt;45,"35-44",IF(Table13[[#This Row],[Age]]&lt;55,"45-54","55-64"))))</f>
        <v>18-24</v>
      </c>
      <c r="H337" s="8" t="s">
        <v>19</v>
      </c>
      <c r="I337" s="8">
        <v>115.4</v>
      </c>
      <c r="J337" s="8">
        <v>1.73</v>
      </c>
      <c r="K337" s="8">
        <v>187</v>
      </c>
      <c r="L337" s="8">
        <v>154</v>
      </c>
      <c r="M337" s="8">
        <v>63</v>
      </c>
      <c r="N337" s="8">
        <v>1.1200000000000001</v>
      </c>
      <c r="O337" s="8">
        <v>878</v>
      </c>
      <c r="P337" s="8" t="s">
        <v>22</v>
      </c>
      <c r="Q337" s="8" t="str">
        <f>_xlfn.IFS(AND(Table13[[#This Row],[Gender]]="female",R337&lt;20),"Athletes",AND(Table13[[#This Row],[Gender]]="female",R337&lt;24),"Fitnesss",AND(Table13[[#This Row],[Gender]]="female",R337&lt;31),"Acceptable",AND(Table13[[#This Row],[Gender]]="female",R337&lt;40),"Obese",AND(Table13[[#This Row],[Gender]]="male",R337&lt;13),"Athletes",AND(Table13[[#This Row],[Gender]]="male",R337&lt;17),"Fitnesss",AND(Table13[[#This Row],[Gender]]="male",R337&lt;24.9),"Acceptable",AND(Table13[[#This Row],[Gender]]="male",R337&lt;40),"Obese",AND(Table13[[#This Row],[Gender]]="others",R337&lt;20),"Athletes",AND(Table13[[#This Row],[Gender]]="others",R337&lt;24),"Fitnesss",AND(Table13[[#This Row],[Gender]]="others",R337&lt;31),"Acceptable",AND(Table13[[#This Row],[Gender]]="others",R337&lt;40),"Obese")</f>
        <v>Obese</v>
      </c>
      <c r="R337" s="8">
        <v>30.7</v>
      </c>
      <c r="S337" s="8">
        <v>3.5</v>
      </c>
      <c r="T337" s="8">
        <v>3</v>
      </c>
      <c r="U337" s="8">
        <v>1</v>
      </c>
      <c r="V337" s="8" t="str">
        <f>IF(Table13[[#This Row],[BMI]]&lt;=18.5,"Underweight",IF(Table13[[#This Row],[BMI]]&lt;=24.9,"Normal",IF(Table13[[#This Row],[BMI]]&lt;=29.9,"Overweight",IF(Table13[[#This Row],[BMI]]&lt;=39,"Obese","Severly Obese"))))</f>
        <v>Overweight</v>
      </c>
      <c r="W337" s="18">
        <v>27.02</v>
      </c>
    </row>
    <row r="338" spans="6:23" x14ac:dyDescent="0.3">
      <c r="F338" s="17">
        <v>22</v>
      </c>
      <c r="G338" s="8" t="str">
        <f>IF(Table13[[#This Row],[Age]]&lt;25,"18-24",IF(Table13[[#This Row],[Age]]&lt;35,"25-34",IF(Table13[[#This Row],[Age]]&lt;45,"35-44",IF(Table13[[#This Row],[Age]]&lt;55,"45-54","55-64"))))</f>
        <v>18-24</v>
      </c>
      <c r="H338" s="8" t="s">
        <v>19</v>
      </c>
      <c r="I338" s="8">
        <v>47.4</v>
      </c>
      <c r="J338" s="8">
        <v>1.91</v>
      </c>
      <c r="K338" s="8">
        <v>161</v>
      </c>
      <c r="L338" s="8">
        <v>164</v>
      </c>
      <c r="M338" s="8">
        <v>73</v>
      </c>
      <c r="N338" s="8">
        <v>2</v>
      </c>
      <c r="O338" s="8">
        <v>1206</v>
      </c>
      <c r="P338" s="8" t="s">
        <v>20</v>
      </c>
      <c r="Q338" s="8" t="str">
        <f>_xlfn.IFS(AND(Table13[[#This Row],[Gender]]="female",R338&lt;20),"Athletes",AND(Table13[[#This Row],[Gender]]="female",R338&lt;24),"Fitnesss",AND(Table13[[#This Row],[Gender]]="female",R338&lt;31),"Acceptable",AND(Table13[[#This Row],[Gender]]="female",R338&lt;40),"Obese",AND(Table13[[#This Row],[Gender]]="male",R338&lt;13),"Athletes",AND(Table13[[#This Row],[Gender]]="male",R338&lt;17),"Fitnesss",AND(Table13[[#This Row],[Gender]]="male",R338&lt;24.9),"Acceptable",AND(Table13[[#This Row],[Gender]]="male",R338&lt;40),"Obese",AND(Table13[[#This Row],[Gender]]="others",R338&lt;20),"Athletes",AND(Table13[[#This Row],[Gender]]="others",R338&lt;24),"Fitnesss",AND(Table13[[#This Row],[Gender]]="others",R338&lt;31),"Acceptable",AND(Table13[[#This Row],[Gender]]="others",R338&lt;40),"Obese")</f>
        <v>Obese</v>
      </c>
      <c r="R338" s="8">
        <v>26.6</v>
      </c>
      <c r="S338" s="8">
        <v>3.5</v>
      </c>
      <c r="T338" s="8">
        <v>5</v>
      </c>
      <c r="U338" s="8">
        <v>3</v>
      </c>
      <c r="V338" s="8" t="str">
        <f>IF(Table13[[#This Row],[BMI]]&lt;=18.5,"Underweight",IF(Table13[[#This Row],[BMI]]&lt;=24.9,"Normal",IF(Table13[[#This Row],[BMI]]&lt;=29.9,"Overweight",IF(Table13[[#This Row],[BMI]]&lt;=39,"Obese","Severly Obese"))))</f>
        <v>Underweight</v>
      </c>
      <c r="W338" s="18">
        <v>15.36</v>
      </c>
    </row>
    <row r="339" spans="6:23" x14ac:dyDescent="0.3">
      <c r="F339" s="17">
        <v>18</v>
      </c>
      <c r="G339" s="8" t="str">
        <f>IF(Table13[[#This Row],[Age]]&lt;25,"18-24",IF(Table13[[#This Row],[Age]]&lt;35,"25-34",IF(Table13[[#This Row],[Age]]&lt;45,"35-44",IF(Table13[[#This Row],[Age]]&lt;55,"45-54","55-64"))))</f>
        <v>18-24</v>
      </c>
      <c r="H339" s="8" t="s">
        <v>19</v>
      </c>
      <c r="I339" s="8">
        <v>54.6</v>
      </c>
      <c r="J339" s="8">
        <v>1.66</v>
      </c>
      <c r="K339" s="8">
        <v>189</v>
      </c>
      <c r="L339" s="8">
        <v>142</v>
      </c>
      <c r="M339" s="8">
        <v>64</v>
      </c>
      <c r="N339" s="8">
        <v>1.19</v>
      </c>
      <c r="O339" s="8">
        <v>523</v>
      </c>
      <c r="P339" s="8" t="s">
        <v>21</v>
      </c>
      <c r="Q339" s="8" t="str">
        <f>_xlfn.IFS(AND(Table13[[#This Row],[Gender]]="female",R339&lt;20),"Athletes",AND(Table13[[#This Row],[Gender]]="female",R339&lt;24),"Fitnesss",AND(Table13[[#This Row],[Gender]]="female",R339&lt;31),"Acceptable",AND(Table13[[#This Row],[Gender]]="female",R339&lt;40),"Obese",AND(Table13[[#This Row],[Gender]]="male",R339&lt;13),"Athletes",AND(Table13[[#This Row],[Gender]]="male",R339&lt;17),"Fitnesss",AND(Table13[[#This Row],[Gender]]="male",R339&lt;24.9),"Acceptable",AND(Table13[[#This Row],[Gender]]="male",R339&lt;40),"Obese",AND(Table13[[#This Row],[Gender]]="others",R339&lt;20),"Athletes",AND(Table13[[#This Row],[Gender]]="others",R339&lt;24),"Fitnesss",AND(Table13[[#This Row],[Gender]]="others",R339&lt;31),"Acceptable",AND(Table13[[#This Row],[Gender]]="others",R339&lt;40),"Obese")</f>
        <v>Obese</v>
      </c>
      <c r="R339" s="8">
        <v>34.700000000000003</v>
      </c>
      <c r="S339" s="8">
        <v>2.6</v>
      </c>
      <c r="T339" s="8">
        <v>2</v>
      </c>
      <c r="U339" s="8">
        <v>1</v>
      </c>
      <c r="V339" s="8" t="str">
        <f>IF(Table13[[#This Row],[BMI]]&lt;=18.5,"Underweight",IF(Table13[[#This Row],[BMI]]&lt;=24.9,"Normal",IF(Table13[[#This Row],[BMI]]&lt;=29.9,"Overweight",IF(Table13[[#This Row],[BMI]]&lt;=39,"Obese","Severly Obese"))))</f>
        <v>Normal</v>
      </c>
      <c r="W339" s="18">
        <v>18.88</v>
      </c>
    </row>
    <row r="340" spans="6:23" x14ac:dyDescent="0.3">
      <c r="F340" s="17">
        <v>36</v>
      </c>
      <c r="G340" s="8" t="str">
        <f>IF(Table13[[#This Row],[Age]]&lt;25,"18-24",IF(Table13[[#This Row],[Age]]&lt;35,"25-34",IF(Table13[[#This Row],[Age]]&lt;45,"35-44",IF(Table13[[#This Row],[Age]]&lt;55,"45-54","55-64"))))</f>
        <v>35-44</v>
      </c>
      <c r="H340" s="8" t="s">
        <v>19</v>
      </c>
      <c r="I340" s="8">
        <v>40</v>
      </c>
      <c r="J340" s="8">
        <v>2</v>
      </c>
      <c r="K340" s="8">
        <v>193</v>
      </c>
      <c r="L340" s="8">
        <v>121</v>
      </c>
      <c r="M340" s="8">
        <v>18</v>
      </c>
      <c r="N340" s="8">
        <v>1.98</v>
      </c>
      <c r="O340" s="8">
        <v>1282</v>
      </c>
      <c r="P340" s="8" t="s">
        <v>22</v>
      </c>
      <c r="Q340" s="8" t="str">
        <f>_xlfn.IFS(AND(Table13[[#This Row],[Gender]]="female",R340&lt;20),"Athletes",AND(Table13[[#This Row],[Gender]]="female",R340&lt;24),"Fitnesss",AND(Table13[[#This Row],[Gender]]="female",R340&lt;31),"Acceptable",AND(Table13[[#This Row],[Gender]]="female",R340&lt;40),"Obese",AND(Table13[[#This Row],[Gender]]="male",R340&lt;13),"Athletes",AND(Table13[[#This Row],[Gender]]="male",R340&lt;17),"Fitnesss",AND(Table13[[#This Row],[Gender]]="male",R340&lt;24.9),"Acceptable",AND(Table13[[#This Row],[Gender]]="male",R340&lt;40),"Obese",AND(Table13[[#This Row],[Gender]]="others",R340&lt;20),"Athletes",AND(Table13[[#This Row],[Gender]]="others",R340&lt;24),"Fitnesss",AND(Table13[[#This Row],[Gender]]="others",R340&lt;31),"Acceptable",AND(Table13[[#This Row],[Gender]]="others",R340&lt;40),"Obese")</f>
        <v>Obese</v>
      </c>
      <c r="R340" s="8">
        <v>25.7</v>
      </c>
      <c r="S340" s="8">
        <v>2.6</v>
      </c>
      <c r="T340" s="8">
        <v>4</v>
      </c>
      <c r="U340" s="8">
        <v>1</v>
      </c>
      <c r="V340" s="8" t="str">
        <f>IF(Table13[[#This Row],[BMI]]&lt;=18.5,"Underweight",IF(Table13[[#This Row],[BMI]]&lt;=24.9,"Normal",IF(Table13[[#This Row],[BMI]]&lt;=29.9,"Overweight",IF(Table13[[#This Row],[BMI]]&lt;=39,"Obese","Severly Obese"))))</f>
        <v>Overweight</v>
      </c>
      <c r="W340" s="18">
        <v>27.96</v>
      </c>
    </row>
    <row r="341" spans="6:23" x14ac:dyDescent="0.3">
      <c r="F341" s="17">
        <v>26</v>
      </c>
      <c r="G341" s="8" t="str">
        <f>IF(Table13[[#This Row],[Age]]&lt;25,"18-24",IF(Table13[[#This Row],[Age]]&lt;35,"25-34",IF(Table13[[#This Row],[Age]]&lt;45,"35-44",IF(Table13[[#This Row],[Age]]&lt;55,"45-54","55-64"))))</f>
        <v>25-34</v>
      </c>
      <c r="H341" s="8" t="s">
        <v>17</v>
      </c>
      <c r="I341" s="8">
        <v>71.2</v>
      </c>
      <c r="J341" s="8">
        <v>2</v>
      </c>
      <c r="K341" s="8">
        <v>169</v>
      </c>
      <c r="L341" s="8">
        <v>159</v>
      </c>
      <c r="M341" s="8">
        <v>52</v>
      </c>
      <c r="N341" s="8">
        <v>1.42</v>
      </c>
      <c r="O341" s="8">
        <v>749</v>
      </c>
      <c r="P341" s="8" t="s">
        <v>18</v>
      </c>
      <c r="Q341" s="8" t="str">
        <f>_xlfn.IFS(AND(Table13[[#This Row],[Gender]]="female",R341&lt;20),"Athletes",AND(Table13[[#This Row],[Gender]]="female",R341&lt;24),"Fitnesss",AND(Table13[[#This Row],[Gender]]="female",R341&lt;31),"Acceptable",AND(Table13[[#This Row],[Gender]]="female",R341&lt;40),"Obese",AND(Table13[[#This Row],[Gender]]="male",R341&lt;13),"Athletes",AND(Table13[[#This Row],[Gender]]="male",R341&lt;17),"Fitnesss",AND(Table13[[#This Row],[Gender]]="male",R341&lt;24.9),"Acceptable",AND(Table13[[#This Row],[Gender]]="male",R341&lt;40),"Obese",AND(Table13[[#This Row],[Gender]]="others",R341&lt;20),"Athletes",AND(Table13[[#This Row],[Gender]]="others",R341&lt;24),"Fitnesss",AND(Table13[[#This Row],[Gender]]="others",R341&lt;31),"Acceptable",AND(Table13[[#This Row],[Gender]]="others",R341&lt;40),"Obese")</f>
        <v>Acceptable</v>
      </c>
      <c r="R341" s="8">
        <v>29.8</v>
      </c>
      <c r="S341" s="8">
        <v>3.5</v>
      </c>
      <c r="T341" s="8">
        <v>4</v>
      </c>
      <c r="U341" s="8">
        <v>2</v>
      </c>
      <c r="V341" s="8" t="str">
        <f>IF(Table13[[#This Row],[BMI]]&lt;=18.5,"Underweight",IF(Table13[[#This Row],[BMI]]&lt;=24.9,"Normal",IF(Table13[[#This Row],[BMI]]&lt;=29.9,"Overweight",IF(Table13[[#This Row],[BMI]]&lt;=39,"Obese","Severly Obese"))))</f>
        <v>Overweight</v>
      </c>
      <c r="W341" s="18">
        <v>27.16</v>
      </c>
    </row>
    <row r="342" spans="6:23" x14ac:dyDescent="0.3">
      <c r="F342" s="17">
        <v>53</v>
      </c>
      <c r="G342" s="8" t="str">
        <f>IF(Table13[[#This Row],[Age]]&lt;25,"18-24",IF(Table13[[#This Row],[Age]]&lt;35,"25-34",IF(Table13[[#This Row],[Age]]&lt;45,"35-44",IF(Table13[[#This Row],[Age]]&lt;55,"45-54","55-64"))))</f>
        <v>45-54</v>
      </c>
      <c r="H342" s="8" t="s">
        <v>17</v>
      </c>
      <c r="I342" s="8">
        <v>46.4</v>
      </c>
      <c r="J342" s="8">
        <v>1.7</v>
      </c>
      <c r="K342" s="8">
        <v>169</v>
      </c>
      <c r="L342" s="8">
        <v>120</v>
      </c>
      <c r="M342" s="8">
        <v>72</v>
      </c>
      <c r="N342" s="8">
        <v>1.49</v>
      </c>
      <c r="O342" s="8">
        <v>1415</v>
      </c>
      <c r="P342" s="8" t="s">
        <v>22</v>
      </c>
      <c r="Q342" s="8" t="str">
        <f>_xlfn.IFS(AND(Table13[[#This Row],[Gender]]="female",R342&lt;20),"Athletes",AND(Table13[[#This Row],[Gender]]="female",R342&lt;24),"Fitnesss",AND(Table13[[#This Row],[Gender]]="female",R342&lt;31),"Acceptable",AND(Table13[[#This Row],[Gender]]="female",R342&lt;40),"Obese",AND(Table13[[#This Row],[Gender]]="male",R342&lt;13),"Athletes",AND(Table13[[#This Row],[Gender]]="male",R342&lt;17),"Fitnesss",AND(Table13[[#This Row],[Gender]]="male",R342&lt;24.9),"Acceptable",AND(Table13[[#This Row],[Gender]]="male",R342&lt;40),"Obese",AND(Table13[[#This Row],[Gender]]="others",R342&lt;20),"Athletes",AND(Table13[[#This Row],[Gender]]="others",R342&lt;24),"Fitnesss",AND(Table13[[#This Row],[Gender]]="others",R342&lt;31),"Acceptable",AND(Table13[[#This Row],[Gender]]="others",R342&lt;40),"Obese")</f>
        <v>Fitnesss</v>
      </c>
      <c r="R342" s="8">
        <v>21.9</v>
      </c>
      <c r="S342" s="8">
        <v>3.4</v>
      </c>
      <c r="T342" s="8">
        <v>4</v>
      </c>
      <c r="U342" s="8">
        <v>2</v>
      </c>
      <c r="V342" s="8" t="str">
        <f>IF(Table13[[#This Row],[BMI]]&lt;=18.5,"Underweight",IF(Table13[[#This Row],[BMI]]&lt;=24.9,"Normal",IF(Table13[[#This Row],[BMI]]&lt;=29.9,"Overweight",IF(Table13[[#This Row],[BMI]]&lt;=39,"Obese","Severly Obese"))))</f>
        <v>Underweight</v>
      </c>
      <c r="W342" s="18">
        <v>14.08</v>
      </c>
    </row>
    <row r="343" spans="6:23" x14ac:dyDescent="0.3">
      <c r="F343" s="17">
        <v>18</v>
      </c>
      <c r="G343" s="8" t="str">
        <f>IF(Table13[[#This Row],[Age]]&lt;25,"18-24",IF(Table13[[#This Row],[Age]]&lt;35,"25-34",IF(Table13[[#This Row],[Age]]&lt;45,"35-44",IF(Table13[[#This Row],[Age]]&lt;55,"45-54","55-64"))))</f>
        <v>18-24</v>
      </c>
      <c r="H343" s="8" t="s">
        <v>17</v>
      </c>
      <c r="I343" s="8">
        <v>69.900000000000006</v>
      </c>
      <c r="J343" s="8">
        <v>1.78</v>
      </c>
      <c r="K343" s="8">
        <v>160</v>
      </c>
      <c r="L343" s="8">
        <v>143</v>
      </c>
      <c r="M343" s="8">
        <v>74</v>
      </c>
      <c r="N343" s="8">
        <v>2</v>
      </c>
      <c r="O343" s="8">
        <v>930</v>
      </c>
      <c r="P343" s="8" t="s">
        <v>21</v>
      </c>
      <c r="Q343" s="8" t="str">
        <f>_xlfn.IFS(AND(Table13[[#This Row],[Gender]]="female",R343&lt;20),"Athletes",AND(Table13[[#This Row],[Gender]]="female",R343&lt;24),"Fitnesss",AND(Table13[[#This Row],[Gender]]="female",R343&lt;31),"Acceptable",AND(Table13[[#This Row],[Gender]]="female",R343&lt;40),"Obese",AND(Table13[[#This Row],[Gender]]="male",R343&lt;13),"Athletes",AND(Table13[[#This Row],[Gender]]="male",R343&lt;17),"Fitnesss",AND(Table13[[#This Row],[Gender]]="male",R343&lt;24.9),"Acceptable",AND(Table13[[#This Row],[Gender]]="male",R343&lt;40),"Obese",AND(Table13[[#This Row],[Gender]]="others",R343&lt;20),"Athletes",AND(Table13[[#This Row],[Gender]]="others",R343&lt;24),"Fitnesss",AND(Table13[[#This Row],[Gender]]="others",R343&lt;31),"Acceptable",AND(Table13[[#This Row],[Gender]]="others",R343&lt;40),"Obese")</f>
        <v>Athletes</v>
      </c>
      <c r="R343" s="8">
        <v>19.600000000000001</v>
      </c>
      <c r="S343" s="8">
        <v>2</v>
      </c>
      <c r="T343" s="8">
        <v>3</v>
      </c>
      <c r="U343" s="8">
        <v>3</v>
      </c>
      <c r="V343" s="8" t="str">
        <f>IF(Table13[[#This Row],[BMI]]&lt;=18.5,"Underweight",IF(Table13[[#This Row],[BMI]]&lt;=24.9,"Normal",IF(Table13[[#This Row],[BMI]]&lt;=29.9,"Overweight",IF(Table13[[#This Row],[BMI]]&lt;=39,"Obese","Severly Obese"))))</f>
        <v>Underweight</v>
      </c>
      <c r="W343" s="18">
        <v>12.32</v>
      </c>
    </row>
    <row r="344" spans="6:23" x14ac:dyDescent="0.3">
      <c r="F344" s="17">
        <v>20</v>
      </c>
      <c r="G344" s="8" t="str">
        <f>IF(Table13[[#This Row],[Age]]&lt;25,"18-24",IF(Table13[[#This Row],[Age]]&lt;35,"25-34",IF(Table13[[#This Row],[Age]]&lt;45,"35-44",IF(Table13[[#This Row],[Age]]&lt;55,"45-54","55-64"))))</f>
        <v>18-24</v>
      </c>
      <c r="H344" s="8" t="s">
        <v>19</v>
      </c>
      <c r="I344" s="8">
        <v>64.900000000000006</v>
      </c>
      <c r="J344" s="8">
        <v>1.69</v>
      </c>
      <c r="K344" s="8">
        <v>187</v>
      </c>
      <c r="L344" s="8">
        <v>128</v>
      </c>
      <c r="M344" s="8">
        <v>54</v>
      </c>
      <c r="N344" s="8">
        <v>0.68</v>
      </c>
      <c r="O344" s="8">
        <v>1303</v>
      </c>
      <c r="P344" s="8" t="s">
        <v>20</v>
      </c>
      <c r="Q344" s="8" t="str">
        <f>_xlfn.IFS(AND(Table13[[#This Row],[Gender]]="female",R344&lt;20),"Athletes",AND(Table13[[#This Row],[Gender]]="female",R344&lt;24),"Fitnesss",AND(Table13[[#This Row],[Gender]]="female",R344&lt;31),"Acceptable",AND(Table13[[#This Row],[Gender]]="female",R344&lt;40),"Obese",AND(Table13[[#This Row],[Gender]]="male",R344&lt;13),"Athletes",AND(Table13[[#This Row],[Gender]]="male",R344&lt;17),"Fitnesss",AND(Table13[[#This Row],[Gender]]="male",R344&lt;24.9),"Acceptable",AND(Table13[[#This Row],[Gender]]="male",R344&lt;40),"Obese",AND(Table13[[#This Row],[Gender]]="others",R344&lt;20),"Athletes",AND(Table13[[#This Row],[Gender]]="others",R344&lt;24),"Fitnesss",AND(Table13[[#This Row],[Gender]]="others",R344&lt;31),"Acceptable",AND(Table13[[#This Row],[Gender]]="others",R344&lt;40),"Obese")</f>
        <v>Athletes</v>
      </c>
      <c r="R344" s="8">
        <v>10</v>
      </c>
      <c r="S344" s="8">
        <v>3.3</v>
      </c>
      <c r="T344" s="8">
        <v>4</v>
      </c>
      <c r="U344" s="8">
        <v>3</v>
      </c>
      <c r="V344" s="8" t="str">
        <f>IF(Table13[[#This Row],[BMI]]&lt;=18.5,"Underweight",IF(Table13[[#This Row],[BMI]]&lt;=24.9,"Normal",IF(Table13[[#This Row],[BMI]]&lt;=29.9,"Overweight",IF(Table13[[#This Row],[BMI]]&lt;=39,"Obese","Severly Obese"))))</f>
        <v>Underweight</v>
      </c>
      <c r="W344" s="18">
        <v>14.87</v>
      </c>
    </row>
    <row r="345" spans="6:23" x14ac:dyDescent="0.3">
      <c r="F345" s="17">
        <v>43</v>
      </c>
      <c r="G345" s="8" t="str">
        <f>IF(Table13[[#This Row],[Age]]&lt;25,"18-24",IF(Table13[[#This Row],[Age]]&lt;35,"25-34",IF(Table13[[#This Row],[Age]]&lt;45,"35-44",IF(Table13[[#This Row],[Age]]&lt;55,"45-54","55-64"))))</f>
        <v>35-44</v>
      </c>
      <c r="H345" s="8" t="s">
        <v>17</v>
      </c>
      <c r="I345" s="8">
        <v>47.6</v>
      </c>
      <c r="J345" s="8">
        <v>1.65</v>
      </c>
      <c r="K345" s="8">
        <v>198</v>
      </c>
      <c r="L345" s="8">
        <v>140</v>
      </c>
      <c r="M345" s="8">
        <v>61</v>
      </c>
      <c r="N345" s="8">
        <v>2</v>
      </c>
      <c r="O345" s="8">
        <v>692</v>
      </c>
      <c r="P345" s="8" t="s">
        <v>20</v>
      </c>
      <c r="Q345" s="8" t="str">
        <f>_xlfn.IFS(AND(Table13[[#This Row],[Gender]]="female",R345&lt;20),"Athletes",AND(Table13[[#This Row],[Gender]]="female",R345&lt;24),"Fitnesss",AND(Table13[[#This Row],[Gender]]="female",R345&lt;31),"Acceptable",AND(Table13[[#This Row],[Gender]]="female",R345&lt;40),"Obese",AND(Table13[[#This Row],[Gender]]="male",R345&lt;13),"Athletes",AND(Table13[[#This Row],[Gender]]="male",R345&lt;17),"Fitnesss",AND(Table13[[#This Row],[Gender]]="male",R345&lt;24.9),"Acceptable",AND(Table13[[#This Row],[Gender]]="male",R345&lt;40),"Obese",AND(Table13[[#This Row],[Gender]]="others",R345&lt;20),"Athletes",AND(Table13[[#This Row],[Gender]]="others",R345&lt;24),"Fitnesss",AND(Table13[[#This Row],[Gender]]="others",R345&lt;31),"Acceptable",AND(Table13[[#This Row],[Gender]]="others",R345&lt;40),"Obese")</f>
        <v>Fitnesss</v>
      </c>
      <c r="R345" s="8">
        <v>22</v>
      </c>
      <c r="S345" s="8">
        <v>3.5</v>
      </c>
      <c r="T345" s="8">
        <v>3</v>
      </c>
      <c r="U345" s="8">
        <v>2</v>
      </c>
      <c r="V345" s="8" t="str">
        <f>IF(Table13[[#This Row],[BMI]]&lt;=18.5,"Underweight",IF(Table13[[#This Row],[BMI]]&lt;=24.9,"Normal",IF(Table13[[#This Row],[BMI]]&lt;=29.9,"Overweight",IF(Table13[[#This Row],[BMI]]&lt;=39,"Obese","Severly Obese"))))</f>
        <v>Normal</v>
      </c>
      <c r="W345" s="18">
        <v>22.14</v>
      </c>
    </row>
    <row r="346" spans="6:23" x14ac:dyDescent="0.3">
      <c r="F346" s="17">
        <v>23</v>
      </c>
      <c r="G346" s="8" t="str">
        <f>IF(Table13[[#This Row],[Age]]&lt;25,"18-24",IF(Table13[[#This Row],[Age]]&lt;35,"25-34",IF(Table13[[#This Row],[Age]]&lt;45,"35-44",IF(Table13[[#This Row],[Age]]&lt;55,"45-54","55-64"))))</f>
        <v>18-24</v>
      </c>
      <c r="H346" s="8" t="s">
        <v>19</v>
      </c>
      <c r="I346" s="8">
        <v>48.9</v>
      </c>
      <c r="J346" s="8">
        <v>1.7</v>
      </c>
      <c r="K346" s="8">
        <v>168</v>
      </c>
      <c r="L346" s="8">
        <v>156</v>
      </c>
      <c r="M346" s="8">
        <v>65</v>
      </c>
      <c r="N346" s="8">
        <v>1.4</v>
      </c>
      <c r="O346" s="8">
        <v>1776</v>
      </c>
      <c r="P346" s="8" t="s">
        <v>22</v>
      </c>
      <c r="Q346" s="8" t="str">
        <f>_xlfn.IFS(AND(Table13[[#This Row],[Gender]]="female",R346&lt;20),"Athletes",AND(Table13[[#This Row],[Gender]]="female",R346&lt;24),"Fitnesss",AND(Table13[[#This Row],[Gender]]="female",R346&lt;31),"Acceptable",AND(Table13[[#This Row],[Gender]]="female",R346&lt;40),"Obese",AND(Table13[[#This Row],[Gender]]="male",R346&lt;13),"Athletes",AND(Table13[[#This Row],[Gender]]="male",R346&lt;17),"Fitnesss",AND(Table13[[#This Row],[Gender]]="male",R346&lt;24.9),"Acceptable",AND(Table13[[#This Row],[Gender]]="male",R346&lt;40),"Obese",AND(Table13[[#This Row],[Gender]]="others",R346&lt;20),"Athletes",AND(Table13[[#This Row],[Gender]]="others",R346&lt;24),"Fitnesss",AND(Table13[[#This Row],[Gender]]="others",R346&lt;31),"Acceptable",AND(Table13[[#This Row],[Gender]]="others",R346&lt;40),"Obese")</f>
        <v>Obese</v>
      </c>
      <c r="R346" s="8">
        <v>32.5</v>
      </c>
      <c r="S346" s="8">
        <v>2.1</v>
      </c>
      <c r="T346" s="8"/>
      <c r="U346" s="8">
        <v>2</v>
      </c>
      <c r="V346" s="8" t="str">
        <f>IF(Table13[[#This Row],[BMI]]&lt;=18.5,"Underweight",IF(Table13[[#This Row],[BMI]]&lt;=24.9,"Normal",IF(Table13[[#This Row],[BMI]]&lt;=29.9,"Overweight",IF(Table13[[#This Row],[BMI]]&lt;=39,"Obese","Severly Obese"))))</f>
        <v>Normal</v>
      </c>
      <c r="W346" s="18">
        <v>21.36</v>
      </c>
    </row>
    <row r="347" spans="6:23" x14ac:dyDescent="0.3">
      <c r="F347" s="17">
        <v>38</v>
      </c>
      <c r="G347" s="8" t="str">
        <f>IF(Table13[[#This Row],[Age]]&lt;25,"18-24",IF(Table13[[#This Row],[Age]]&lt;35,"25-34",IF(Table13[[#This Row],[Age]]&lt;45,"35-44",IF(Table13[[#This Row],[Age]]&lt;55,"45-54","55-64"))))</f>
        <v>35-44</v>
      </c>
      <c r="H347" s="8" t="s">
        <v>23</v>
      </c>
      <c r="I347" s="8">
        <v>78.599999999999994</v>
      </c>
      <c r="J347" s="8">
        <v>1.98</v>
      </c>
      <c r="K347" s="8">
        <v>194</v>
      </c>
      <c r="L347" s="8">
        <v>136</v>
      </c>
      <c r="M347" s="8">
        <v>69</v>
      </c>
      <c r="N347" s="8">
        <v>1.3</v>
      </c>
      <c r="O347" s="8">
        <v>1590</v>
      </c>
      <c r="P347" s="8" t="s">
        <v>18</v>
      </c>
      <c r="Q347" s="8" t="str">
        <f>_xlfn.IFS(AND(Table13[[#This Row],[Gender]]="female",R347&lt;20),"Athletes",AND(Table13[[#This Row],[Gender]]="female",R347&lt;24),"Fitnesss",AND(Table13[[#This Row],[Gender]]="female",R347&lt;31),"Acceptable",AND(Table13[[#This Row],[Gender]]="female",R347&lt;40),"Obese",AND(Table13[[#This Row],[Gender]]="male",R347&lt;13),"Athletes",AND(Table13[[#This Row],[Gender]]="male",R347&lt;17),"Fitnesss",AND(Table13[[#This Row],[Gender]]="male",R347&lt;24.9),"Acceptable",AND(Table13[[#This Row],[Gender]]="male",R347&lt;40),"Obese",AND(Table13[[#This Row],[Gender]]="others",R347&lt;20),"Athletes",AND(Table13[[#This Row],[Gender]]="others",R347&lt;24),"Fitnesss",AND(Table13[[#This Row],[Gender]]="others",R347&lt;31),"Acceptable",AND(Table13[[#This Row],[Gender]]="others",R347&lt;40),"Obese")</f>
        <v>Acceptable</v>
      </c>
      <c r="R347" s="8">
        <v>27.2</v>
      </c>
      <c r="S347" s="8">
        <v>2.2999999999999998</v>
      </c>
      <c r="T347" s="8">
        <v>4</v>
      </c>
      <c r="U347" s="8">
        <v>2</v>
      </c>
      <c r="V347" s="8" t="str">
        <f>IF(Table13[[#This Row],[BMI]]&lt;=18.5,"Underweight",IF(Table13[[#This Row],[BMI]]&lt;=24.9,"Normal",IF(Table13[[#This Row],[BMI]]&lt;=29.9,"Overweight",IF(Table13[[#This Row],[BMI]]&lt;=39,"Obese","Severly Obese"))))</f>
        <v>Overweight</v>
      </c>
      <c r="W347" s="18">
        <v>25.52</v>
      </c>
    </row>
    <row r="348" spans="6:23" x14ac:dyDescent="0.3">
      <c r="F348" s="17">
        <v>51</v>
      </c>
      <c r="G348" s="8" t="str">
        <f>IF(Table13[[#This Row],[Age]]&lt;25,"18-24",IF(Table13[[#This Row],[Age]]&lt;35,"25-34",IF(Table13[[#This Row],[Age]]&lt;45,"35-44",IF(Table13[[#This Row],[Age]]&lt;55,"45-54","55-64"))))</f>
        <v>45-54</v>
      </c>
      <c r="H348" s="8" t="s">
        <v>17</v>
      </c>
      <c r="I348" s="8">
        <v>72.2</v>
      </c>
      <c r="J348" s="8">
        <v>1.91</v>
      </c>
      <c r="K348" s="8">
        <v>184</v>
      </c>
      <c r="L348" s="8">
        <v>140</v>
      </c>
      <c r="M348" s="8">
        <v>70</v>
      </c>
      <c r="N348" s="8">
        <v>1.39</v>
      </c>
      <c r="O348" s="8">
        <v>960</v>
      </c>
      <c r="P348" s="8" t="s">
        <v>21</v>
      </c>
      <c r="Q348" s="8" t="str">
        <f>_xlfn.IFS(AND(Table13[[#This Row],[Gender]]="female",R348&lt;20),"Athletes",AND(Table13[[#This Row],[Gender]]="female",R348&lt;24),"Fitnesss",AND(Table13[[#This Row],[Gender]]="female",R348&lt;31),"Acceptable",AND(Table13[[#This Row],[Gender]]="female",R348&lt;40),"Obese",AND(Table13[[#This Row],[Gender]]="male",R348&lt;13),"Athletes",AND(Table13[[#This Row],[Gender]]="male",R348&lt;17),"Fitnesss",AND(Table13[[#This Row],[Gender]]="male",R348&lt;24.9),"Acceptable",AND(Table13[[#This Row],[Gender]]="male",R348&lt;40),"Obese",AND(Table13[[#This Row],[Gender]]="others",R348&lt;20),"Athletes",AND(Table13[[#This Row],[Gender]]="others",R348&lt;24),"Fitnesss",AND(Table13[[#This Row],[Gender]]="others",R348&lt;31),"Acceptable",AND(Table13[[#This Row],[Gender]]="others",R348&lt;40),"Obese")</f>
        <v>Fitnesss</v>
      </c>
      <c r="R348" s="8">
        <v>21</v>
      </c>
      <c r="S348" s="8">
        <v>1.5</v>
      </c>
      <c r="T348" s="8">
        <v>3</v>
      </c>
      <c r="U348" s="8">
        <v>2</v>
      </c>
      <c r="V348" s="8" t="str">
        <f>IF(Table13[[#This Row],[BMI]]&lt;=18.5,"Underweight",IF(Table13[[#This Row],[BMI]]&lt;=24.9,"Normal",IF(Table13[[#This Row],[BMI]]&lt;=29.9,"Overweight",IF(Table13[[#This Row],[BMI]]&lt;=39,"Obese","Severly Obese"))))</f>
        <v>Underweight</v>
      </c>
      <c r="W348" s="18">
        <v>17.41</v>
      </c>
    </row>
    <row r="349" spans="6:23" x14ac:dyDescent="0.3">
      <c r="F349" s="17">
        <v>54</v>
      </c>
      <c r="G349" s="8" t="str">
        <f>IF(Table13[[#This Row],[Age]]&lt;25,"18-24",IF(Table13[[#This Row],[Age]]&lt;35,"25-34",IF(Table13[[#This Row],[Age]]&lt;45,"35-44",IF(Table13[[#This Row],[Age]]&lt;55,"45-54","55-64"))))</f>
        <v>45-54</v>
      </c>
      <c r="H349" s="8" t="s">
        <v>17</v>
      </c>
      <c r="I349" s="8">
        <v>79.8</v>
      </c>
      <c r="J349" s="8">
        <v>1.94</v>
      </c>
      <c r="K349" s="8">
        <v>163</v>
      </c>
      <c r="L349" s="8">
        <v>120</v>
      </c>
      <c r="M349" s="8">
        <v>63</v>
      </c>
      <c r="N349" s="8">
        <v>1.53</v>
      </c>
      <c r="O349" s="8">
        <v>827</v>
      </c>
      <c r="P349" s="8" t="s">
        <v>22</v>
      </c>
      <c r="Q349" s="8" t="str">
        <f>_xlfn.IFS(AND(Table13[[#This Row],[Gender]]="female",R349&lt;20),"Athletes",AND(Table13[[#This Row],[Gender]]="female",R349&lt;24),"Fitnesss",AND(Table13[[#This Row],[Gender]]="female",R349&lt;31),"Acceptable",AND(Table13[[#This Row],[Gender]]="female",R349&lt;40),"Obese",AND(Table13[[#This Row],[Gender]]="male",R349&lt;13),"Athletes",AND(Table13[[#This Row],[Gender]]="male",R349&lt;17),"Fitnesss",AND(Table13[[#This Row],[Gender]]="male",R349&lt;24.9),"Acceptable",AND(Table13[[#This Row],[Gender]]="male",R349&lt;40),"Obese",AND(Table13[[#This Row],[Gender]]="others",R349&lt;20),"Athletes",AND(Table13[[#This Row],[Gender]]="others",R349&lt;24),"Fitnesss",AND(Table13[[#This Row],[Gender]]="others",R349&lt;31),"Acceptable",AND(Table13[[#This Row],[Gender]]="others",R349&lt;40),"Obese")</f>
        <v>Acceptable</v>
      </c>
      <c r="R349" s="8">
        <v>25.3</v>
      </c>
      <c r="S349" s="8">
        <v>3.3</v>
      </c>
      <c r="T349" s="8">
        <v>4</v>
      </c>
      <c r="U349" s="8">
        <v>2</v>
      </c>
      <c r="V349" s="8" t="str">
        <f>IF(Table13[[#This Row],[BMI]]&lt;=18.5,"Underweight",IF(Table13[[#This Row],[BMI]]&lt;=24.9,"Normal",IF(Table13[[#This Row],[BMI]]&lt;=29.9,"Overweight",IF(Table13[[#This Row],[BMI]]&lt;=39,"Obese","Severly Obese"))))</f>
        <v>Underweight</v>
      </c>
      <c r="W349" s="18">
        <v>12.32</v>
      </c>
    </row>
    <row r="350" spans="6:23" x14ac:dyDescent="0.3">
      <c r="F350" s="17">
        <v>22</v>
      </c>
      <c r="G350" s="8" t="str">
        <f>IF(Table13[[#This Row],[Age]]&lt;25,"18-24",IF(Table13[[#This Row],[Age]]&lt;35,"25-34",IF(Table13[[#This Row],[Age]]&lt;45,"35-44",IF(Table13[[#This Row],[Age]]&lt;55,"45-54","55-64"))))</f>
        <v>18-24</v>
      </c>
      <c r="H350" s="8" t="s">
        <v>19</v>
      </c>
      <c r="I350" s="8">
        <v>62.8</v>
      </c>
      <c r="J350" s="8">
        <v>1.71</v>
      </c>
      <c r="K350" s="8">
        <v>182</v>
      </c>
      <c r="L350" s="8">
        <v>153</v>
      </c>
      <c r="M350" s="8">
        <v>70</v>
      </c>
      <c r="N350" s="8">
        <v>2</v>
      </c>
      <c r="O350" s="8">
        <v>816</v>
      </c>
      <c r="P350" s="8" t="s">
        <v>22</v>
      </c>
      <c r="Q350" s="8" t="str">
        <f>_xlfn.IFS(AND(Table13[[#This Row],[Gender]]="female",R350&lt;20),"Athletes",AND(Table13[[#This Row],[Gender]]="female",R350&lt;24),"Fitnesss",AND(Table13[[#This Row],[Gender]]="female",R350&lt;31),"Acceptable",AND(Table13[[#This Row],[Gender]]="female",R350&lt;40),"Obese",AND(Table13[[#This Row],[Gender]]="male",R350&lt;13),"Athletes",AND(Table13[[#This Row],[Gender]]="male",R350&lt;17),"Fitnesss",AND(Table13[[#This Row],[Gender]]="male",R350&lt;24.9),"Acceptable",AND(Table13[[#This Row],[Gender]]="male",R350&lt;40),"Obese",AND(Table13[[#This Row],[Gender]]="others",R350&lt;20),"Athletes",AND(Table13[[#This Row],[Gender]]="others",R350&lt;24),"Fitnesss",AND(Table13[[#This Row],[Gender]]="others",R350&lt;31),"Acceptable",AND(Table13[[#This Row],[Gender]]="others",R350&lt;40),"Obese")</f>
        <v>Fitnesss</v>
      </c>
      <c r="R350" s="8">
        <v>15.8</v>
      </c>
      <c r="S350" s="8"/>
      <c r="T350" s="8">
        <v>3</v>
      </c>
      <c r="U350" s="8">
        <v>2</v>
      </c>
      <c r="V350" s="8" t="str">
        <f>IF(Table13[[#This Row],[BMI]]&lt;=18.5,"Underweight",IF(Table13[[#This Row],[BMI]]&lt;=24.9,"Normal",IF(Table13[[#This Row],[BMI]]&lt;=29.9,"Overweight",IF(Table13[[#This Row],[BMI]]&lt;=39,"Obese","Severly Obese"))))</f>
        <v>Underweight</v>
      </c>
      <c r="W350" s="18">
        <v>14.23</v>
      </c>
    </row>
    <row r="351" spans="6:23" x14ac:dyDescent="0.3">
      <c r="F351" s="17">
        <v>26</v>
      </c>
      <c r="G351" s="8" t="str">
        <f>IF(Table13[[#This Row],[Age]]&lt;25,"18-24",IF(Table13[[#This Row],[Age]]&lt;35,"25-34",IF(Table13[[#This Row],[Age]]&lt;45,"35-44",IF(Table13[[#This Row],[Age]]&lt;55,"45-54","55-64"))))</f>
        <v>25-34</v>
      </c>
      <c r="H351" s="8" t="s">
        <v>17</v>
      </c>
      <c r="I351" s="8">
        <v>122.7</v>
      </c>
      <c r="J351" s="8"/>
      <c r="K351" s="8">
        <v>191</v>
      </c>
      <c r="L351" s="8">
        <v>151</v>
      </c>
      <c r="M351" s="8">
        <v>72</v>
      </c>
      <c r="N351" s="8">
        <v>1.1399999999999999</v>
      </c>
      <c r="O351" s="8">
        <v>524</v>
      </c>
      <c r="P351" s="8" t="s">
        <v>18</v>
      </c>
      <c r="Q351" s="8" t="str">
        <f>_xlfn.IFS(AND(Table13[[#This Row],[Gender]]="female",R351&lt;20),"Athletes",AND(Table13[[#This Row],[Gender]]="female",R351&lt;24),"Fitnesss",AND(Table13[[#This Row],[Gender]]="female",R351&lt;31),"Acceptable",AND(Table13[[#This Row],[Gender]]="female",R351&lt;40),"Obese",AND(Table13[[#This Row],[Gender]]="male",R351&lt;13),"Athletes",AND(Table13[[#This Row],[Gender]]="male",R351&lt;17),"Fitnesss",AND(Table13[[#This Row],[Gender]]="male",R351&lt;24.9),"Acceptable",AND(Table13[[#This Row],[Gender]]="male",R351&lt;40),"Obese",AND(Table13[[#This Row],[Gender]]="others",R351&lt;20),"Athletes",AND(Table13[[#This Row],[Gender]]="others",R351&lt;24),"Fitnesss",AND(Table13[[#This Row],[Gender]]="others",R351&lt;31),"Acceptable",AND(Table13[[#This Row],[Gender]]="others",R351&lt;40),"Obese")</f>
        <v>Acceptable</v>
      </c>
      <c r="R351" s="8">
        <v>24.3</v>
      </c>
      <c r="S351" s="8">
        <v>1.5</v>
      </c>
      <c r="T351" s="8">
        <v>2</v>
      </c>
      <c r="U351" s="8">
        <v>3</v>
      </c>
      <c r="V351" s="8" t="str">
        <f>IF(Table13[[#This Row],[BMI]]&lt;=18.5,"Underweight",IF(Table13[[#This Row],[BMI]]&lt;=24.9,"Normal",IF(Table13[[#This Row],[BMI]]&lt;=29.9,"Overweight",IF(Table13[[#This Row],[BMI]]&lt;=39,"Obese","Severly Obese"))))</f>
        <v>Underweight</v>
      </c>
      <c r="W351" s="18">
        <v>17.440000000000001</v>
      </c>
    </row>
    <row r="352" spans="6:23" x14ac:dyDescent="0.3">
      <c r="F352" s="17">
        <v>23</v>
      </c>
      <c r="G352" s="8" t="str">
        <f>IF(Table13[[#This Row],[Age]]&lt;25,"18-24",IF(Table13[[#This Row],[Age]]&lt;35,"25-34",IF(Table13[[#This Row],[Age]]&lt;45,"35-44",IF(Table13[[#This Row],[Age]]&lt;55,"45-54","55-64"))))</f>
        <v>18-24</v>
      </c>
      <c r="H352" s="8" t="s">
        <v>17</v>
      </c>
      <c r="I352" s="8">
        <v>52.4</v>
      </c>
      <c r="J352" s="8">
        <v>1.86</v>
      </c>
      <c r="K352" s="8">
        <v>166</v>
      </c>
      <c r="L352" s="8">
        <v>130</v>
      </c>
      <c r="M352" s="8">
        <v>59</v>
      </c>
      <c r="N352" s="8">
        <v>1.53</v>
      </c>
      <c r="O352" s="8">
        <v>880</v>
      </c>
      <c r="P352" s="8" t="s">
        <v>22</v>
      </c>
      <c r="Q352" s="8" t="str">
        <f>_xlfn.IFS(AND(Table13[[#This Row],[Gender]]="female",R352&lt;20),"Athletes",AND(Table13[[#This Row],[Gender]]="female",R352&lt;24),"Fitnesss",AND(Table13[[#This Row],[Gender]]="female",R352&lt;31),"Acceptable",AND(Table13[[#This Row],[Gender]]="female",R352&lt;40),"Obese",AND(Table13[[#This Row],[Gender]]="male",R352&lt;13),"Athletes",AND(Table13[[#This Row],[Gender]]="male",R352&lt;17),"Fitnesss",AND(Table13[[#This Row],[Gender]]="male",R352&lt;24.9),"Acceptable",AND(Table13[[#This Row],[Gender]]="male",R352&lt;40),"Obese",AND(Table13[[#This Row],[Gender]]="others",R352&lt;20),"Athletes",AND(Table13[[#This Row],[Gender]]="others",R352&lt;24),"Fitnesss",AND(Table13[[#This Row],[Gender]]="others",R352&lt;31),"Acceptable",AND(Table13[[#This Row],[Gender]]="others",R352&lt;40),"Obese")</f>
        <v>Fitnesss</v>
      </c>
      <c r="R352" s="8">
        <v>21.6</v>
      </c>
      <c r="S352" s="8">
        <v>1.5</v>
      </c>
      <c r="T352" s="8">
        <v>4</v>
      </c>
      <c r="U352" s="8">
        <v>2</v>
      </c>
      <c r="V352" s="8" t="str">
        <f>IF(Table13[[#This Row],[BMI]]&lt;=18.5,"Underweight",IF(Table13[[#This Row],[BMI]]&lt;=24.9,"Normal",IF(Table13[[#This Row],[BMI]]&lt;=29.9,"Overweight",IF(Table13[[#This Row],[BMI]]&lt;=39,"Obese","Severly Obese"))))</f>
        <v>Underweight</v>
      </c>
      <c r="W352" s="18">
        <v>12.32</v>
      </c>
    </row>
    <row r="353" spans="6:23" x14ac:dyDescent="0.3">
      <c r="F353" s="17">
        <v>42</v>
      </c>
      <c r="G353" s="8" t="str">
        <f>IF(Table13[[#This Row],[Age]]&lt;25,"18-24",IF(Table13[[#This Row],[Age]]&lt;35,"25-34",IF(Table13[[#This Row],[Age]]&lt;45,"35-44",IF(Table13[[#This Row],[Age]]&lt;55,"45-54","55-64"))))</f>
        <v>35-44</v>
      </c>
      <c r="H353" s="8" t="s">
        <v>23</v>
      </c>
      <c r="I353" s="8">
        <v>67.7</v>
      </c>
      <c r="J353" s="8">
        <v>1.82</v>
      </c>
      <c r="K353" s="8">
        <v>199</v>
      </c>
      <c r="L353" s="8">
        <v>125</v>
      </c>
      <c r="M353" s="8">
        <v>55</v>
      </c>
      <c r="N353" s="8">
        <v>0.76</v>
      </c>
      <c r="O353" s="8">
        <v>1239</v>
      </c>
      <c r="P353" s="8" t="s">
        <v>20</v>
      </c>
      <c r="Q353" s="8" t="str">
        <f>_xlfn.IFS(AND(Table13[[#This Row],[Gender]]="female",R353&lt;20),"Athletes",AND(Table13[[#This Row],[Gender]]="female",R353&lt;24),"Fitnesss",AND(Table13[[#This Row],[Gender]]="female",R353&lt;31),"Acceptable",AND(Table13[[#This Row],[Gender]]="female",R353&lt;40),"Obese",AND(Table13[[#This Row],[Gender]]="male",R353&lt;13),"Athletes",AND(Table13[[#This Row],[Gender]]="male",R353&lt;17),"Fitnesss",AND(Table13[[#This Row],[Gender]]="male",R353&lt;24.9),"Acceptable",AND(Table13[[#This Row],[Gender]]="male",R353&lt;40),"Obese",AND(Table13[[#This Row],[Gender]]="others",R353&lt;20),"Athletes",AND(Table13[[#This Row],[Gender]]="others",R353&lt;24),"Fitnesss",AND(Table13[[#This Row],[Gender]]="others",R353&lt;31),"Acceptable",AND(Table13[[#This Row],[Gender]]="others",R353&lt;40),"Obese")</f>
        <v>Athletes</v>
      </c>
      <c r="R353" s="8">
        <v>15</v>
      </c>
      <c r="S353" s="8">
        <v>3.4</v>
      </c>
      <c r="T353" s="8">
        <v>2</v>
      </c>
      <c r="U353" s="8">
        <v>2</v>
      </c>
      <c r="V353" s="8" t="str">
        <f>IF(Table13[[#This Row],[BMI]]&lt;=18.5,"Underweight",IF(Table13[[#This Row],[BMI]]&lt;=24.9,"Normal",IF(Table13[[#This Row],[BMI]]&lt;=29.9,"Overweight",IF(Table13[[#This Row],[BMI]]&lt;=39,"Obese","Severly Obese"))))</f>
        <v>Normal</v>
      </c>
      <c r="W353" s="18">
        <v>21.78</v>
      </c>
    </row>
    <row r="354" spans="6:23" x14ac:dyDescent="0.3">
      <c r="F354" s="17">
        <v>34</v>
      </c>
      <c r="G354" s="8" t="str">
        <f>IF(Table13[[#This Row],[Age]]&lt;25,"18-24",IF(Table13[[#This Row],[Age]]&lt;35,"25-34",IF(Table13[[#This Row],[Age]]&lt;45,"35-44",IF(Table13[[#This Row],[Age]]&lt;55,"45-54","55-64"))))</f>
        <v>25-34</v>
      </c>
      <c r="H354" s="8" t="s">
        <v>17</v>
      </c>
      <c r="I354" s="8">
        <v>88.8</v>
      </c>
      <c r="J354" s="8">
        <v>1.56</v>
      </c>
      <c r="K354" s="8">
        <v>198</v>
      </c>
      <c r="L354" s="8">
        <v>160</v>
      </c>
      <c r="M354" s="8">
        <v>53</v>
      </c>
      <c r="N354" s="8">
        <v>1.18</v>
      </c>
      <c r="O354" s="8">
        <v>1086</v>
      </c>
      <c r="P354" s="8" t="s">
        <v>20</v>
      </c>
      <c r="Q354" s="8" t="str">
        <f>_xlfn.IFS(AND(Table13[[#This Row],[Gender]]="female",R354&lt;20),"Athletes",AND(Table13[[#This Row],[Gender]]="female",R354&lt;24),"Fitnesss",AND(Table13[[#This Row],[Gender]]="female",R354&lt;31),"Acceptable",AND(Table13[[#This Row],[Gender]]="female",R354&lt;40),"Obese",AND(Table13[[#This Row],[Gender]]="male",R354&lt;13),"Athletes",AND(Table13[[#This Row],[Gender]]="male",R354&lt;17),"Fitnesss",AND(Table13[[#This Row],[Gender]]="male",R354&lt;24.9),"Acceptable",AND(Table13[[#This Row],[Gender]]="male",R354&lt;40),"Obese",AND(Table13[[#This Row],[Gender]]="others",R354&lt;20),"Athletes",AND(Table13[[#This Row],[Gender]]="others",R354&lt;24),"Fitnesss",AND(Table13[[#This Row],[Gender]]="others",R354&lt;31),"Acceptable",AND(Table13[[#This Row],[Gender]]="others",R354&lt;40),"Obese")</f>
        <v>Obese</v>
      </c>
      <c r="R354" s="8">
        <v>32.6</v>
      </c>
      <c r="S354" s="8">
        <v>3.4</v>
      </c>
      <c r="T354" s="8">
        <v>4</v>
      </c>
      <c r="U354" s="8">
        <v>2</v>
      </c>
      <c r="V354" s="8" t="str">
        <f>IF(Table13[[#This Row],[BMI]]&lt;=18.5,"Underweight",IF(Table13[[#This Row],[BMI]]&lt;=24.9,"Normal",IF(Table13[[#This Row],[BMI]]&lt;=29.9,"Overweight",IF(Table13[[#This Row],[BMI]]&lt;=39,"Obese","Severly Obese"))))</f>
        <v>Obese</v>
      </c>
      <c r="W354" s="18">
        <v>30.43</v>
      </c>
    </row>
    <row r="355" spans="6:23" x14ac:dyDescent="0.3">
      <c r="F355" s="17">
        <v>29</v>
      </c>
      <c r="G355" s="8" t="str">
        <f>IF(Table13[[#This Row],[Age]]&lt;25,"18-24",IF(Table13[[#This Row],[Age]]&lt;35,"25-34",IF(Table13[[#This Row],[Age]]&lt;45,"35-44",IF(Table13[[#This Row],[Age]]&lt;55,"45-54","55-64"))))</f>
        <v>25-34</v>
      </c>
      <c r="H355" s="8" t="s">
        <v>17</v>
      </c>
      <c r="I355" s="8">
        <v>101.5</v>
      </c>
      <c r="J355" s="8">
        <v>1.9</v>
      </c>
      <c r="K355" s="8">
        <v>175</v>
      </c>
      <c r="L355" s="8">
        <v>165</v>
      </c>
      <c r="M355" s="8">
        <v>74</v>
      </c>
      <c r="N355" s="8">
        <v>1.46</v>
      </c>
      <c r="O355" s="8">
        <v>1128</v>
      </c>
      <c r="P355" s="8" t="s">
        <v>22</v>
      </c>
      <c r="Q355" s="8" t="str">
        <f>_xlfn.IFS(AND(Table13[[#This Row],[Gender]]="female",R355&lt;20),"Athletes",AND(Table13[[#This Row],[Gender]]="female",R355&lt;24),"Fitnesss",AND(Table13[[#This Row],[Gender]]="female",R355&lt;31),"Acceptable",AND(Table13[[#This Row],[Gender]]="female",R355&lt;40),"Obese",AND(Table13[[#This Row],[Gender]]="male",R355&lt;13),"Athletes",AND(Table13[[#This Row],[Gender]]="male",R355&lt;17),"Fitnesss",AND(Table13[[#This Row],[Gender]]="male",R355&lt;24.9),"Acceptable",AND(Table13[[#This Row],[Gender]]="male",R355&lt;40),"Obese",AND(Table13[[#This Row],[Gender]]="others",R355&lt;20),"Athletes",AND(Table13[[#This Row],[Gender]]="others",R355&lt;24),"Fitnesss",AND(Table13[[#This Row],[Gender]]="others",R355&lt;31),"Acceptable",AND(Table13[[#This Row],[Gender]]="others",R355&lt;40),"Obese")</f>
        <v>Acceptable</v>
      </c>
      <c r="R355" s="8">
        <v>26.3</v>
      </c>
      <c r="S355" s="8">
        <v>2.7</v>
      </c>
      <c r="T355" s="8">
        <v>2</v>
      </c>
      <c r="U355" s="8">
        <v>1</v>
      </c>
      <c r="V355" s="8" t="str">
        <f>IF(Table13[[#This Row],[BMI]]&lt;=18.5,"Underweight",IF(Table13[[#This Row],[BMI]]&lt;=24.9,"Normal",IF(Table13[[#This Row],[BMI]]&lt;=29.9,"Overweight",IF(Table13[[#This Row],[BMI]]&lt;=39,"Obese","Severly Obese"))))</f>
        <v>Overweight</v>
      </c>
      <c r="W355" s="18">
        <v>25.74</v>
      </c>
    </row>
    <row r="356" spans="6:23" x14ac:dyDescent="0.3">
      <c r="F356" s="17">
        <v>18</v>
      </c>
      <c r="G356" s="8" t="str">
        <f>IF(Table13[[#This Row],[Age]]&lt;25,"18-24",IF(Table13[[#This Row],[Age]]&lt;35,"25-34",IF(Table13[[#This Row],[Age]]&lt;45,"35-44",IF(Table13[[#This Row],[Age]]&lt;55,"45-54","55-64"))))</f>
        <v>18-24</v>
      </c>
      <c r="H356" s="8" t="s">
        <v>19</v>
      </c>
      <c r="I356" s="8">
        <v>40</v>
      </c>
      <c r="J356" s="8">
        <v>1.72</v>
      </c>
      <c r="K356" s="8">
        <v>195</v>
      </c>
      <c r="L356" s="8">
        <v>137</v>
      </c>
      <c r="M356" s="8">
        <v>52</v>
      </c>
      <c r="N356" s="8">
        <v>2</v>
      </c>
      <c r="O356" s="8">
        <v>1783</v>
      </c>
      <c r="P356" s="8" t="s">
        <v>20</v>
      </c>
      <c r="Q356" s="8" t="str">
        <f>_xlfn.IFS(AND(Table13[[#This Row],[Gender]]="female",R356&lt;20),"Athletes",AND(Table13[[#This Row],[Gender]]="female",R356&lt;24),"Fitnesss",AND(Table13[[#This Row],[Gender]]="female",R356&lt;31),"Acceptable",AND(Table13[[#This Row],[Gender]]="female",R356&lt;40),"Obese",AND(Table13[[#This Row],[Gender]]="male",R356&lt;13),"Athletes",AND(Table13[[#This Row],[Gender]]="male",R356&lt;17),"Fitnesss",AND(Table13[[#This Row],[Gender]]="male",R356&lt;24.9),"Acceptable",AND(Table13[[#This Row],[Gender]]="male",R356&lt;40),"Obese",AND(Table13[[#This Row],[Gender]]="others",R356&lt;20),"Athletes",AND(Table13[[#This Row],[Gender]]="others",R356&lt;24),"Fitnesss",AND(Table13[[#This Row],[Gender]]="others",R356&lt;31),"Acceptable",AND(Table13[[#This Row],[Gender]]="others",R356&lt;40),"Obese")</f>
        <v>Acceptable</v>
      </c>
      <c r="R356" s="8">
        <v>18.600000000000001</v>
      </c>
      <c r="S356" s="8">
        <v>1.5</v>
      </c>
      <c r="T356" s="8">
        <v>4</v>
      </c>
      <c r="U356" s="8">
        <v>1</v>
      </c>
      <c r="V356" s="8" t="str">
        <f>IF(Table13[[#This Row],[BMI]]&lt;=18.5,"Underweight",IF(Table13[[#This Row],[BMI]]&lt;=24.9,"Normal",IF(Table13[[#This Row],[BMI]]&lt;=29.9,"Overweight",IF(Table13[[#This Row],[BMI]]&lt;=39,"Obese","Severly Obese"))))</f>
        <v>Underweight</v>
      </c>
      <c r="W356" s="18">
        <v>12.77</v>
      </c>
    </row>
    <row r="357" spans="6:23" x14ac:dyDescent="0.3">
      <c r="F357" s="17">
        <v>24</v>
      </c>
      <c r="G357" s="8" t="str">
        <f>IF(Table13[[#This Row],[Age]]&lt;25,"18-24",IF(Table13[[#This Row],[Age]]&lt;35,"25-34",IF(Table13[[#This Row],[Age]]&lt;45,"35-44",IF(Table13[[#This Row],[Age]]&lt;55,"45-54","55-64"))))</f>
        <v>18-24</v>
      </c>
      <c r="H357" s="8" t="s">
        <v>19</v>
      </c>
      <c r="I357" s="8">
        <v>40</v>
      </c>
      <c r="J357" s="8">
        <v>2</v>
      </c>
      <c r="K357" s="8">
        <v>173</v>
      </c>
      <c r="L357" s="8">
        <v>126</v>
      </c>
      <c r="M357" s="8">
        <v>50</v>
      </c>
      <c r="N357" s="8">
        <v>1.1000000000000001</v>
      </c>
      <c r="O357" s="8">
        <v>1783</v>
      </c>
      <c r="P357" s="8" t="s">
        <v>20</v>
      </c>
      <c r="Q357" s="8" t="str">
        <f>_xlfn.IFS(AND(Table13[[#This Row],[Gender]]="female",R357&lt;20),"Athletes",AND(Table13[[#This Row],[Gender]]="female",R357&lt;24),"Fitnesss",AND(Table13[[#This Row],[Gender]]="female",R357&lt;31),"Acceptable",AND(Table13[[#This Row],[Gender]]="female",R357&lt;40),"Obese",AND(Table13[[#This Row],[Gender]]="male",R357&lt;13),"Athletes",AND(Table13[[#This Row],[Gender]]="male",R357&lt;17),"Fitnesss",AND(Table13[[#This Row],[Gender]]="male",R357&lt;24.9),"Acceptable",AND(Table13[[#This Row],[Gender]]="male",R357&lt;40),"Obese",AND(Table13[[#This Row],[Gender]]="others",R357&lt;20),"Athletes",AND(Table13[[#This Row],[Gender]]="others",R357&lt;24),"Fitnesss",AND(Table13[[#This Row],[Gender]]="others",R357&lt;31),"Acceptable",AND(Table13[[#This Row],[Gender]]="others",R357&lt;40),"Obese")</f>
        <v>Obese</v>
      </c>
      <c r="R357" s="8">
        <v>31.9</v>
      </c>
      <c r="S357" s="8">
        <v>1.6</v>
      </c>
      <c r="T357" s="8">
        <v>3</v>
      </c>
      <c r="U357" s="8">
        <v>1</v>
      </c>
      <c r="V357" s="8" t="str">
        <f>IF(Table13[[#This Row],[BMI]]&lt;=18.5,"Underweight",IF(Table13[[#This Row],[BMI]]&lt;=24.9,"Normal",IF(Table13[[#This Row],[BMI]]&lt;=29.9,"Overweight",IF(Table13[[#This Row],[BMI]]&lt;=39,"Obese","Severly Obese"))))</f>
        <v>Obese</v>
      </c>
      <c r="W357" s="18">
        <v>34.619999999999997</v>
      </c>
    </row>
    <row r="358" spans="6:23" x14ac:dyDescent="0.3">
      <c r="F358" s="17">
        <v>18</v>
      </c>
      <c r="G358" s="8" t="str">
        <f>IF(Table13[[#This Row],[Age]]&lt;25,"18-24",IF(Table13[[#This Row],[Age]]&lt;35,"25-34",IF(Table13[[#This Row],[Age]]&lt;45,"35-44",IF(Table13[[#This Row],[Age]]&lt;55,"45-54","55-64"))))</f>
        <v>18-24</v>
      </c>
      <c r="H358" s="8" t="s">
        <v>19</v>
      </c>
      <c r="I358" s="8">
        <v>50.5</v>
      </c>
      <c r="J358" s="8">
        <v>1.76</v>
      </c>
      <c r="K358" s="8">
        <v>192</v>
      </c>
      <c r="L358" s="8">
        <v>156</v>
      </c>
      <c r="M358" s="8">
        <v>72</v>
      </c>
      <c r="N358" s="8">
        <v>1.25</v>
      </c>
      <c r="O358" s="8">
        <v>768</v>
      </c>
      <c r="P358" s="8" t="s">
        <v>20</v>
      </c>
      <c r="Q358" s="8" t="str">
        <f>_xlfn.IFS(AND(Table13[[#This Row],[Gender]]="female",R358&lt;20),"Athletes",AND(Table13[[#This Row],[Gender]]="female",R358&lt;24),"Fitnesss",AND(Table13[[#This Row],[Gender]]="female",R358&lt;31),"Acceptable",AND(Table13[[#This Row],[Gender]]="female",R358&lt;40),"Obese",AND(Table13[[#This Row],[Gender]]="male",R358&lt;13),"Athletes",AND(Table13[[#This Row],[Gender]]="male",R358&lt;17),"Fitnesss",AND(Table13[[#This Row],[Gender]]="male",R358&lt;24.9),"Acceptable",AND(Table13[[#This Row],[Gender]]="male",R358&lt;40),"Obese",AND(Table13[[#This Row],[Gender]]="others",R358&lt;20),"Athletes",AND(Table13[[#This Row],[Gender]]="others",R358&lt;24),"Fitnesss",AND(Table13[[#This Row],[Gender]]="others",R358&lt;31),"Acceptable",AND(Table13[[#This Row],[Gender]]="others",R358&lt;40),"Obese")</f>
        <v>Athletes</v>
      </c>
      <c r="R358" s="8">
        <v>12.8</v>
      </c>
      <c r="S358" s="8">
        <v>1.7</v>
      </c>
      <c r="T358" s="8">
        <v>4</v>
      </c>
      <c r="U358" s="8">
        <v>2</v>
      </c>
      <c r="V358" s="8" t="str">
        <f>IF(Table13[[#This Row],[BMI]]&lt;=18.5,"Underweight",IF(Table13[[#This Row],[BMI]]&lt;=24.9,"Normal",IF(Table13[[#This Row],[BMI]]&lt;=29.9,"Overweight",IF(Table13[[#This Row],[BMI]]&lt;=39,"Obese","Severly Obese"))))</f>
        <v>Underweight</v>
      </c>
      <c r="W358" s="18">
        <v>16.059999999999999</v>
      </c>
    </row>
    <row r="359" spans="6:23" x14ac:dyDescent="0.3">
      <c r="F359" s="17">
        <v>41</v>
      </c>
      <c r="G359" s="8" t="str">
        <f>IF(Table13[[#This Row],[Age]]&lt;25,"18-24",IF(Table13[[#This Row],[Age]]&lt;35,"25-34",IF(Table13[[#This Row],[Age]]&lt;45,"35-44",IF(Table13[[#This Row],[Age]]&lt;55,"45-54","55-64"))))</f>
        <v>35-44</v>
      </c>
      <c r="H359" s="8" t="s">
        <v>17</v>
      </c>
      <c r="I359" s="8">
        <v>66.2</v>
      </c>
      <c r="J359" s="8">
        <v>1.83</v>
      </c>
      <c r="K359" s="8">
        <v>196</v>
      </c>
      <c r="L359" s="8">
        <v>126</v>
      </c>
      <c r="M359" s="8">
        <v>74</v>
      </c>
      <c r="N359" s="8">
        <v>1.6</v>
      </c>
      <c r="O359" s="8">
        <v>993</v>
      </c>
      <c r="P359" s="8" t="s">
        <v>22</v>
      </c>
      <c r="Q359" s="8" t="str">
        <f>_xlfn.IFS(AND(Table13[[#This Row],[Gender]]="female",R359&lt;20),"Athletes",AND(Table13[[#This Row],[Gender]]="female",R359&lt;24),"Fitnesss",AND(Table13[[#This Row],[Gender]]="female",R359&lt;31),"Acceptable",AND(Table13[[#This Row],[Gender]]="female",R359&lt;40),"Obese",AND(Table13[[#This Row],[Gender]]="male",R359&lt;13),"Athletes",AND(Table13[[#This Row],[Gender]]="male",R359&lt;17),"Fitnesss",AND(Table13[[#This Row],[Gender]]="male",R359&lt;24.9),"Acceptable",AND(Table13[[#This Row],[Gender]]="male",R359&lt;40),"Obese",AND(Table13[[#This Row],[Gender]]="others",R359&lt;20),"Athletes",AND(Table13[[#This Row],[Gender]]="others",R359&lt;24),"Fitnesss",AND(Table13[[#This Row],[Gender]]="others",R359&lt;31),"Acceptable",AND(Table13[[#This Row],[Gender]]="others",R359&lt;40),"Obese")</f>
        <v>Fitnesss</v>
      </c>
      <c r="R359" s="8">
        <v>20.2</v>
      </c>
      <c r="S359" s="8">
        <v>2.5</v>
      </c>
      <c r="T359" s="8">
        <v>5</v>
      </c>
      <c r="U359" s="8">
        <v>1</v>
      </c>
      <c r="V359" s="8" t="str">
        <f>IF(Table13[[#This Row],[BMI]]&lt;=18.5,"Underweight",IF(Table13[[#This Row],[BMI]]&lt;=24.9,"Normal",IF(Table13[[#This Row],[BMI]]&lt;=29.9,"Overweight",IF(Table13[[#This Row],[BMI]]&lt;=39,"Obese","Severly Obese"))))</f>
        <v>Normal</v>
      </c>
      <c r="W359" s="18">
        <v>24.37</v>
      </c>
    </row>
    <row r="360" spans="6:23" x14ac:dyDescent="0.3">
      <c r="F360" s="17">
        <v>37</v>
      </c>
      <c r="G360" s="8" t="str">
        <f>IF(Table13[[#This Row],[Age]]&lt;25,"18-24",IF(Table13[[#This Row],[Age]]&lt;35,"25-34",IF(Table13[[#This Row],[Age]]&lt;45,"35-44",IF(Table13[[#This Row],[Age]]&lt;55,"45-54","55-64"))))</f>
        <v>35-44</v>
      </c>
      <c r="H360" s="8" t="s">
        <v>17</v>
      </c>
      <c r="I360" s="8">
        <v>77.5</v>
      </c>
      <c r="J360" s="8">
        <v>1.5</v>
      </c>
      <c r="K360" s="8">
        <v>175</v>
      </c>
      <c r="L360" s="8">
        <v>142</v>
      </c>
      <c r="M360" s="8">
        <v>70</v>
      </c>
      <c r="N360" s="8">
        <v>1.58</v>
      </c>
      <c r="O360" s="8">
        <v>1141</v>
      </c>
      <c r="P360" s="8" t="s">
        <v>22</v>
      </c>
      <c r="Q360" s="8" t="str">
        <f>_xlfn.IFS(AND(Table13[[#This Row],[Gender]]="female",R360&lt;20),"Athletes",AND(Table13[[#This Row],[Gender]]="female",R360&lt;24),"Fitnesss",AND(Table13[[#This Row],[Gender]]="female",R360&lt;31),"Acceptable",AND(Table13[[#This Row],[Gender]]="female",R360&lt;40),"Obese",AND(Table13[[#This Row],[Gender]]="male",R360&lt;13),"Athletes",AND(Table13[[#This Row],[Gender]]="male",R360&lt;17),"Fitnesss",AND(Table13[[#This Row],[Gender]]="male",R360&lt;24.9),"Acceptable",AND(Table13[[#This Row],[Gender]]="male",R360&lt;40),"Obese",AND(Table13[[#This Row],[Gender]]="others",R360&lt;20),"Athletes",AND(Table13[[#This Row],[Gender]]="others",R360&lt;24),"Fitnesss",AND(Table13[[#This Row],[Gender]]="others",R360&lt;31),"Acceptable",AND(Table13[[#This Row],[Gender]]="others",R360&lt;40),"Obese")</f>
        <v>Fitnesss</v>
      </c>
      <c r="R360" s="8">
        <v>21.2</v>
      </c>
      <c r="S360" s="8">
        <v>1.8</v>
      </c>
      <c r="T360" s="8">
        <v>3</v>
      </c>
      <c r="U360" s="8"/>
      <c r="V360" s="8" t="str">
        <f>IF(Table13[[#This Row],[BMI]]&lt;=18.5,"Underweight",IF(Table13[[#This Row],[BMI]]&lt;=24.9,"Normal",IF(Table13[[#This Row],[BMI]]&lt;=29.9,"Overweight",IF(Table13[[#This Row],[BMI]]&lt;=39,"Obese","Severly Obese"))))</f>
        <v>Underweight</v>
      </c>
      <c r="W360" s="18">
        <v>12.32</v>
      </c>
    </row>
    <row r="361" spans="6:23" x14ac:dyDescent="0.3">
      <c r="F361" s="17">
        <v>30</v>
      </c>
      <c r="G361" s="8" t="str">
        <f>IF(Table13[[#This Row],[Age]]&lt;25,"18-24",IF(Table13[[#This Row],[Age]]&lt;35,"25-34",IF(Table13[[#This Row],[Age]]&lt;45,"35-44",IF(Table13[[#This Row],[Age]]&lt;55,"45-54","55-64"))))</f>
        <v>25-34</v>
      </c>
      <c r="H361" s="8" t="s">
        <v>17</v>
      </c>
      <c r="I361" s="8">
        <v>119.6</v>
      </c>
      <c r="J361" s="8">
        <v>1.72</v>
      </c>
      <c r="K361" s="8">
        <v>191</v>
      </c>
      <c r="L361" s="8">
        <v>150</v>
      </c>
      <c r="M361" s="8">
        <v>74</v>
      </c>
      <c r="N361" s="8">
        <v>1.77</v>
      </c>
      <c r="O361" s="8">
        <v>1006</v>
      </c>
      <c r="P361" s="8" t="s">
        <v>22</v>
      </c>
      <c r="Q361" s="8" t="str">
        <f>_xlfn.IFS(AND(Table13[[#This Row],[Gender]]="female",R361&lt;20),"Athletes",AND(Table13[[#This Row],[Gender]]="female",R361&lt;24),"Fitnesss",AND(Table13[[#This Row],[Gender]]="female",R361&lt;31),"Acceptable",AND(Table13[[#This Row],[Gender]]="female",R361&lt;40),"Obese",AND(Table13[[#This Row],[Gender]]="male",R361&lt;13),"Athletes",AND(Table13[[#This Row],[Gender]]="male",R361&lt;17),"Fitnesss",AND(Table13[[#This Row],[Gender]]="male",R361&lt;24.9),"Acceptable",AND(Table13[[#This Row],[Gender]]="male",R361&lt;40),"Obese",AND(Table13[[#This Row],[Gender]]="others",R361&lt;20),"Athletes",AND(Table13[[#This Row],[Gender]]="others",R361&lt;24),"Fitnesss",AND(Table13[[#This Row],[Gender]]="others",R361&lt;31),"Acceptable",AND(Table13[[#This Row],[Gender]]="others",R361&lt;40),"Obese")</f>
        <v>Athletes</v>
      </c>
      <c r="R361" s="8">
        <v>13.1</v>
      </c>
      <c r="S361" s="8">
        <v>2.2000000000000002</v>
      </c>
      <c r="T361" s="8">
        <v>4</v>
      </c>
      <c r="U361" s="8">
        <v>3</v>
      </c>
      <c r="V361" s="8" t="str">
        <f>IF(Table13[[#This Row],[BMI]]&lt;=18.5,"Underweight",IF(Table13[[#This Row],[BMI]]&lt;=24.9,"Normal",IF(Table13[[#This Row],[BMI]]&lt;=29.9,"Overweight",IF(Table13[[#This Row],[BMI]]&lt;=39,"Obese","Severly Obese"))))</f>
        <v>Underweight</v>
      </c>
      <c r="W361" s="18">
        <v>13.32</v>
      </c>
    </row>
    <row r="362" spans="6:23" x14ac:dyDescent="0.3">
      <c r="F362" s="17">
        <v>38</v>
      </c>
      <c r="G362" s="8" t="str">
        <f>IF(Table13[[#This Row],[Age]]&lt;25,"18-24",IF(Table13[[#This Row],[Age]]&lt;35,"25-34",IF(Table13[[#This Row],[Age]]&lt;45,"35-44",IF(Table13[[#This Row],[Age]]&lt;55,"45-54","55-64"))))</f>
        <v>35-44</v>
      </c>
      <c r="H362" s="8" t="s">
        <v>19</v>
      </c>
      <c r="I362" s="8">
        <v>40</v>
      </c>
      <c r="J362" s="8">
        <v>1.5</v>
      </c>
      <c r="K362" s="8">
        <v>172</v>
      </c>
      <c r="L362" s="8">
        <v>169</v>
      </c>
      <c r="M362" s="8">
        <v>59</v>
      </c>
      <c r="N362" s="8">
        <v>1.52</v>
      </c>
      <c r="O362" s="8">
        <v>1107</v>
      </c>
      <c r="P362" s="8" t="s">
        <v>21</v>
      </c>
      <c r="Q362" s="8" t="str">
        <f>_xlfn.IFS(AND(Table13[[#This Row],[Gender]]="female",R362&lt;20),"Athletes",AND(Table13[[#This Row],[Gender]]="female",R362&lt;24),"Fitnesss",AND(Table13[[#This Row],[Gender]]="female",R362&lt;31),"Acceptable",AND(Table13[[#This Row],[Gender]]="female",R362&lt;40),"Obese",AND(Table13[[#This Row],[Gender]]="male",R362&lt;13),"Athletes",AND(Table13[[#This Row],[Gender]]="male",R362&lt;17),"Fitnesss",AND(Table13[[#This Row],[Gender]]="male",R362&lt;24.9),"Acceptable",AND(Table13[[#This Row],[Gender]]="male",R362&lt;40),"Obese",AND(Table13[[#This Row],[Gender]]="others",R362&lt;20),"Athletes",AND(Table13[[#This Row],[Gender]]="others",R362&lt;24),"Fitnesss",AND(Table13[[#This Row],[Gender]]="others",R362&lt;31),"Acceptable",AND(Table13[[#This Row],[Gender]]="others",R362&lt;40),"Obese")</f>
        <v>Obese</v>
      </c>
      <c r="R362" s="8">
        <v>24.9</v>
      </c>
      <c r="S362" s="8">
        <v>2.8</v>
      </c>
      <c r="T362" s="8">
        <v>3</v>
      </c>
      <c r="U362" s="8">
        <v>1</v>
      </c>
      <c r="V362" s="8" t="str">
        <f>IF(Table13[[#This Row],[BMI]]&lt;=18.5,"Underweight",IF(Table13[[#This Row],[BMI]]&lt;=24.9,"Normal",IF(Table13[[#This Row],[BMI]]&lt;=29.9,"Overweight",IF(Table13[[#This Row],[BMI]]&lt;=39,"Obese","Severly Obese"))))</f>
        <v>Obese</v>
      </c>
      <c r="W362" s="18">
        <v>36.71</v>
      </c>
    </row>
    <row r="363" spans="6:23" x14ac:dyDescent="0.3">
      <c r="F363" s="17">
        <v>18</v>
      </c>
      <c r="G363" s="8" t="str">
        <f>IF(Table13[[#This Row],[Age]]&lt;25,"18-24",IF(Table13[[#This Row],[Age]]&lt;35,"25-34",IF(Table13[[#This Row],[Age]]&lt;45,"35-44",IF(Table13[[#This Row],[Age]]&lt;55,"45-54","55-64"))))</f>
        <v>18-24</v>
      </c>
      <c r="H363" s="8" t="s">
        <v>19</v>
      </c>
      <c r="I363" s="8">
        <v>82.3</v>
      </c>
      <c r="J363" s="8">
        <v>1.74</v>
      </c>
      <c r="K363" s="8">
        <v>198</v>
      </c>
      <c r="L363" s="8">
        <v>155</v>
      </c>
      <c r="M363" s="8">
        <v>55</v>
      </c>
      <c r="N363" s="8">
        <v>1.38</v>
      </c>
      <c r="O363" s="8">
        <v>1368</v>
      </c>
      <c r="P363" s="8" t="s">
        <v>18</v>
      </c>
      <c r="Q363" s="8" t="str">
        <f>_xlfn.IFS(AND(Table13[[#This Row],[Gender]]="female",R363&lt;20),"Athletes",AND(Table13[[#This Row],[Gender]]="female",R363&lt;24),"Fitnesss",AND(Table13[[#This Row],[Gender]]="female",R363&lt;31),"Acceptable",AND(Table13[[#This Row],[Gender]]="female",R363&lt;40),"Obese",AND(Table13[[#This Row],[Gender]]="male",R363&lt;13),"Athletes",AND(Table13[[#This Row],[Gender]]="male",R363&lt;17),"Fitnesss",AND(Table13[[#This Row],[Gender]]="male",R363&lt;24.9),"Acceptable",AND(Table13[[#This Row],[Gender]]="male",R363&lt;40),"Obese",AND(Table13[[#This Row],[Gender]]="others",R363&lt;20),"Athletes",AND(Table13[[#This Row],[Gender]]="others",R363&lt;24),"Fitnesss",AND(Table13[[#This Row],[Gender]]="others",R363&lt;31),"Acceptable",AND(Table13[[#This Row],[Gender]]="others",R363&lt;40),"Obese")</f>
        <v>Obese</v>
      </c>
      <c r="R363" s="8">
        <v>26</v>
      </c>
      <c r="S363" s="8">
        <v>3.3</v>
      </c>
      <c r="T363" s="8">
        <v>2</v>
      </c>
      <c r="U363" s="8">
        <v>3</v>
      </c>
      <c r="V363" s="8" t="str">
        <f>IF(Table13[[#This Row],[BMI]]&lt;=18.5,"Underweight",IF(Table13[[#This Row],[BMI]]&lt;=24.9,"Normal",IF(Table13[[#This Row],[BMI]]&lt;=29.9,"Overweight",IF(Table13[[#This Row],[BMI]]&lt;=39,"Obese","Severly Obese"))))</f>
        <v>Underweight</v>
      </c>
      <c r="W363" s="18">
        <v>17.149999999999999</v>
      </c>
    </row>
    <row r="364" spans="6:23" x14ac:dyDescent="0.3">
      <c r="F364" s="17">
        <v>54</v>
      </c>
      <c r="G364" s="8" t="str">
        <f>IF(Table13[[#This Row],[Age]]&lt;25,"18-24",IF(Table13[[#This Row],[Age]]&lt;35,"25-34",IF(Table13[[#This Row],[Age]]&lt;45,"35-44",IF(Table13[[#This Row],[Age]]&lt;55,"45-54","55-64"))))</f>
        <v>45-54</v>
      </c>
      <c r="H364" s="8" t="s">
        <v>19</v>
      </c>
      <c r="I364" s="8">
        <v>71.2</v>
      </c>
      <c r="J364" s="8">
        <v>1.7</v>
      </c>
      <c r="K364" s="8">
        <v>190</v>
      </c>
      <c r="L364" s="8">
        <v>120</v>
      </c>
      <c r="M364" s="8">
        <v>58</v>
      </c>
      <c r="N364" s="8">
        <v>1.21</v>
      </c>
      <c r="O364" s="8">
        <v>708</v>
      </c>
      <c r="P364" s="8" t="s">
        <v>23</v>
      </c>
      <c r="Q364" s="8" t="str">
        <f>_xlfn.IFS(AND(Table13[[#This Row],[Gender]]="female",R364&lt;20),"Athletes",AND(Table13[[#This Row],[Gender]]="female",R364&lt;24),"Fitnesss",AND(Table13[[#This Row],[Gender]]="female",R364&lt;31),"Acceptable",AND(Table13[[#This Row],[Gender]]="female",R364&lt;40),"Obese",AND(Table13[[#This Row],[Gender]]="male",R364&lt;13),"Athletes",AND(Table13[[#This Row],[Gender]]="male",R364&lt;17),"Fitnesss",AND(Table13[[#This Row],[Gender]]="male",R364&lt;24.9),"Acceptable",AND(Table13[[#This Row],[Gender]]="male",R364&lt;40),"Obese",AND(Table13[[#This Row],[Gender]]="others",R364&lt;20),"Athletes",AND(Table13[[#This Row],[Gender]]="others",R364&lt;24),"Fitnesss",AND(Table13[[#This Row],[Gender]]="others",R364&lt;31),"Acceptable",AND(Table13[[#This Row],[Gender]]="others",R364&lt;40),"Obese")</f>
        <v>Fitnesss</v>
      </c>
      <c r="R364" s="8">
        <v>14.4</v>
      </c>
      <c r="S364" s="8">
        <v>3.1</v>
      </c>
      <c r="T364" s="8">
        <v>4</v>
      </c>
      <c r="U364" s="8">
        <v>2</v>
      </c>
      <c r="V364" s="8" t="str">
        <f>IF(Table13[[#This Row],[BMI]]&lt;=18.5,"Underweight",IF(Table13[[#This Row],[BMI]]&lt;=24.9,"Normal",IF(Table13[[#This Row],[BMI]]&lt;=29.9,"Overweight",IF(Table13[[#This Row],[BMI]]&lt;=39,"Obese","Severly Obese"))))</f>
        <v>Underweight</v>
      </c>
      <c r="W364" s="18">
        <v>12.46</v>
      </c>
    </row>
    <row r="365" spans="6:23" x14ac:dyDescent="0.3">
      <c r="F365" s="17">
        <v>34</v>
      </c>
      <c r="G365" s="8" t="str">
        <f>IF(Table13[[#This Row],[Age]]&lt;25,"18-24",IF(Table13[[#This Row],[Age]]&lt;35,"25-34",IF(Table13[[#This Row],[Age]]&lt;45,"35-44",IF(Table13[[#This Row],[Age]]&lt;55,"45-54","55-64"))))</f>
        <v>25-34</v>
      </c>
      <c r="H365" s="8" t="s">
        <v>19</v>
      </c>
      <c r="I365" s="8">
        <v>53</v>
      </c>
      <c r="J365" s="8">
        <v>1.92</v>
      </c>
      <c r="K365" s="8">
        <v>199</v>
      </c>
      <c r="L365" s="8">
        <v>134</v>
      </c>
      <c r="M365" s="8">
        <v>68</v>
      </c>
      <c r="N365" s="8">
        <v>1.1200000000000001</v>
      </c>
      <c r="O365" s="8">
        <v>790</v>
      </c>
      <c r="P365" s="8" t="s">
        <v>18</v>
      </c>
      <c r="Q365" s="8" t="str">
        <f>_xlfn.IFS(AND(Table13[[#This Row],[Gender]]="female",R365&lt;20),"Athletes",AND(Table13[[#This Row],[Gender]]="female",R365&lt;24),"Fitnesss",AND(Table13[[#This Row],[Gender]]="female",R365&lt;31),"Acceptable",AND(Table13[[#This Row],[Gender]]="female",R365&lt;40),"Obese",AND(Table13[[#This Row],[Gender]]="male",R365&lt;13),"Athletes",AND(Table13[[#This Row],[Gender]]="male",R365&lt;17),"Fitnesss",AND(Table13[[#This Row],[Gender]]="male",R365&lt;24.9),"Acceptable",AND(Table13[[#This Row],[Gender]]="male",R365&lt;40),"Obese",AND(Table13[[#This Row],[Gender]]="others",R365&lt;20),"Athletes",AND(Table13[[#This Row],[Gender]]="others",R365&lt;24),"Fitnesss",AND(Table13[[#This Row],[Gender]]="others",R365&lt;31),"Acceptable",AND(Table13[[#This Row],[Gender]]="others",R365&lt;40),"Obese")</f>
        <v>Acceptable</v>
      </c>
      <c r="R365" s="8">
        <v>19.8</v>
      </c>
      <c r="S365" s="8">
        <v>3.5</v>
      </c>
      <c r="T365" s="8">
        <v>4</v>
      </c>
      <c r="U365" s="8">
        <v>3</v>
      </c>
      <c r="V365" s="8" t="str">
        <f>IF(Table13[[#This Row],[BMI]]&lt;=18.5,"Underweight",IF(Table13[[#This Row],[BMI]]&lt;=24.9,"Normal",IF(Table13[[#This Row],[BMI]]&lt;=29.9,"Overweight",IF(Table13[[#This Row],[BMI]]&lt;=39,"Obese","Severly Obese"))))</f>
        <v>Underweight</v>
      </c>
      <c r="W365" s="18">
        <v>16.18</v>
      </c>
    </row>
    <row r="366" spans="6:23" x14ac:dyDescent="0.3">
      <c r="F366" s="17">
        <v>56</v>
      </c>
      <c r="G366" s="8" t="str">
        <f>IF(Table13[[#This Row],[Age]]&lt;25,"18-24",IF(Table13[[#This Row],[Age]]&lt;35,"25-34",IF(Table13[[#This Row],[Age]]&lt;45,"35-44",IF(Table13[[#This Row],[Age]]&lt;55,"45-54","55-64"))))</f>
        <v>55-64</v>
      </c>
      <c r="H366" s="8" t="s">
        <v>17</v>
      </c>
      <c r="I366" s="8">
        <v>45.7</v>
      </c>
      <c r="J366" s="8">
        <v>1.96</v>
      </c>
      <c r="K366" s="8">
        <v>192</v>
      </c>
      <c r="L366" s="8">
        <v>153</v>
      </c>
      <c r="M366" s="8">
        <v>71</v>
      </c>
      <c r="N366" s="8">
        <v>2</v>
      </c>
      <c r="O366" s="8">
        <v>868</v>
      </c>
      <c r="P366" s="8" t="s">
        <v>22</v>
      </c>
      <c r="Q366" s="8" t="str">
        <f>_xlfn.IFS(AND(Table13[[#This Row],[Gender]]="female",R366&lt;20),"Athletes",AND(Table13[[#This Row],[Gender]]="female",R366&lt;24),"Fitnesss",AND(Table13[[#This Row],[Gender]]="female",R366&lt;31),"Acceptable",AND(Table13[[#This Row],[Gender]]="female",R366&lt;40),"Obese",AND(Table13[[#This Row],[Gender]]="male",R366&lt;13),"Athletes",AND(Table13[[#This Row],[Gender]]="male",R366&lt;17),"Fitnesss",AND(Table13[[#This Row],[Gender]]="male",R366&lt;24.9),"Acceptable",AND(Table13[[#This Row],[Gender]]="male",R366&lt;40),"Obese",AND(Table13[[#This Row],[Gender]]="others",R366&lt;20),"Athletes",AND(Table13[[#This Row],[Gender]]="others",R366&lt;24),"Fitnesss",AND(Table13[[#This Row],[Gender]]="others",R366&lt;31),"Acceptable",AND(Table13[[#This Row],[Gender]]="others",R366&lt;40),"Obese")</f>
        <v>Athletes</v>
      </c>
      <c r="R366" s="8">
        <v>11.4</v>
      </c>
      <c r="S366" s="8">
        <v>2</v>
      </c>
      <c r="T366" s="8">
        <v>4</v>
      </c>
      <c r="U366" s="8">
        <v>2</v>
      </c>
      <c r="V366" s="8" t="str">
        <f>IF(Table13[[#This Row],[BMI]]&lt;=18.5,"Underweight",IF(Table13[[#This Row],[BMI]]&lt;=24.9,"Normal",IF(Table13[[#This Row],[BMI]]&lt;=29.9,"Overweight",IF(Table13[[#This Row],[BMI]]&lt;=39,"Obese","Severly Obese"))))</f>
        <v>Normal</v>
      </c>
      <c r="W366" s="18">
        <v>21.34</v>
      </c>
    </row>
    <row r="367" spans="6:23" x14ac:dyDescent="0.3">
      <c r="F367" s="17">
        <v>18</v>
      </c>
      <c r="G367" s="8" t="str">
        <f>IF(Table13[[#This Row],[Age]]&lt;25,"18-24",IF(Table13[[#This Row],[Age]]&lt;35,"25-34",IF(Table13[[#This Row],[Age]]&lt;45,"35-44",IF(Table13[[#This Row],[Age]]&lt;55,"45-54","55-64"))))</f>
        <v>18-24</v>
      </c>
      <c r="H367" s="8" t="s">
        <v>17</v>
      </c>
      <c r="I367" s="8">
        <v>79.599999999999994</v>
      </c>
      <c r="J367" s="8">
        <v>1.75</v>
      </c>
      <c r="K367" s="8">
        <v>168</v>
      </c>
      <c r="L367" s="8">
        <v>125</v>
      </c>
      <c r="M367" s="8">
        <v>54</v>
      </c>
      <c r="N367" s="8">
        <v>1.26</v>
      </c>
      <c r="O367" s="8">
        <v>682</v>
      </c>
      <c r="P367" s="8" t="s">
        <v>21</v>
      </c>
      <c r="Q367" s="8" t="str">
        <f>_xlfn.IFS(AND(Table13[[#This Row],[Gender]]="female",R367&lt;20),"Athletes",AND(Table13[[#This Row],[Gender]]="female",R367&lt;24),"Fitnesss",AND(Table13[[#This Row],[Gender]]="female",R367&lt;31),"Acceptable",AND(Table13[[#This Row],[Gender]]="female",R367&lt;40),"Obese",AND(Table13[[#This Row],[Gender]]="male",R367&lt;13),"Athletes",AND(Table13[[#This Row],[Gender]]="male",R367&lt;17),"Fitnesss",AND(Table13[[#This Row],[Gender]]="male",R367&lt;24.9),"Acceptable",AND(Table13[[#This Row],[Gender]]="male",R367&lt;40),"Obese",AND(Table13[[#This Row],[Gender]]="others",R367&lt;20),"Athletes",AND(Table13[[#This Row],[Gender]]="others",R367&lt;24),"Fitnesss",AND(Table13[[#This Row],[Gender]]="others",R367&lt;31),"Acceptable",AND(Table13[[#This Row],[Gender]]="others",R367&lt;40),"Obese")</f>
        <v>Acceptable</v>
      </c>
      <c r="R367" s="8">
        <v>25.1</v>
      </c>
      <c r="S367" s="8">
        <v>2.4</v>
      </c>
      <c r="T367" s="8">
        <v>3</v>
      </c>
      <c r="U367" s="8">
        <v>2</v>
      </c>
      <c r="V367" s="8" t="str">
        <f>IF(Table13[[#This Row],[BMI]]&lt;=18.5,"Underweight",IF(Table13[[#This Row],[BMI]]&lt;=24.9,"Normal",IF(Table13[[#This Row],[BMI]]&lt;=29.9,"Overweight",IF(Table13[[#This Row],[BMI]]&lt;=39,"Obese","Severly Obese"))))</f>
        <v>Underweight</v>
      </c>
      <c r="W367" s="18">
        <v>12.32</v>
      </c>
    </row>
    <row r="368" spans="6:23" x14ac:dyDescent="0.3">
      <c r="F368" s="17">
        <v>42</v>
      </c>
      <c r="G368" s="8" t="str">
        <f>IF(Table13[[#This Row],[Age]]&lt;25,"18-24",IF(Table13[[#This Row],[Age]]&lt;35,"25-34",IF(Table13[[#This Row],[Age]]&lt;45,"35-44",IF(Table13[[#This Row],[Age]]&lt;55,"45-54","55-64"))))</f>
        <v>35-44</v>
      </c>
      <c r="H368" s="8" t="s">
        <v>17</v>
      </c>
      <c r="I368" s="8">
        <v>105.3</v>
      </c>
      <c r="J368" s="8">
        <v>1.67</v>
      </c>
      <c r="K368" s="8">
        <v>175</v>
      </c>
      <c r="L368" s="8">
        <v>143</v>
      </c>
      <c r="M368" s="8">
        <v>74</v>
      </c>
      <c r="N368" s="8">
        <v>1.1000000000000001</v>
      </c>
      <c r="O368" s="8">
        <v>1115</v>
      </c>
      <c r="P368" s="8" t="s">
        <v>18</v>
      </c>
      <c r="Q368" s="8" t="str">
        <f>_xlfn.IFS(AND(Table13[[#This Row],[Gender]]="female",R368&lt;20),"Athletes",AND(Table13[[#This Row],[Gender]]="female",R368&lt;24),"Fitnesss",AND(Table13[[#This Row],[Gender]]="female",R368&lt;31),"Acceptable",AND(Table13[[#This Row],[Gender]]="female",R368&lt;40),"Obese",AND(Table13[[#This Row],[Gender]]="male",R368&lt;13),"Athletes",AND(Table13[[#This Row],[Gender]]="male",R368&lt;17),"Fitnesss",AND(Table13[[#This Row],[Gender]]="male",R368&lt;24.9),"Acceptable",AND(Table13[[#This Row],[Gender]]="male",R368&lt;40),"Obese",AND(Table13[[#This Row],[Gender]]="others",R368&lt;20),"Athletes",AND(Table13[[#This Row],[Gender]]="others",R368&lt;24),"Fitnesss",AND(Table13[[#This Row],[Gender]]="others",R368&lt;31),"Acceptable",AND(Table13[[#This Row],[Gender]]="others",R368&lt;40),"Obese")</f>
        <v>Acceptable</v>
      </c>
      <c r="R368" s="8">
        <v>25.4</v>
      </c>
      <c r="S368" s="8">
        <v>3.3</v>
      </c>
      <c r="T368" s="8">
        <v>3</v>
      </c>
      <c r="U368" s="8">
        <v>1</v>
      </c>
      <c r="V368" s="8" t="str">
        <f>IF(Table13[[#This Row],[BMI]]&lt;=18.5,"Underweight",IF(Table13[[#This Row],[BMI]]&lt;=24.9,"Normal",IF(Table13[[#This Row],[BMI]]&lt;=29.9,"Overweight",IF(Table13[[#This Row],[BMI]]&lt;=39,"Obese","Severly Obese"))))</f>
        <v>Underweight</v>
      </c>
      <c r="W368" s="18">
        <v>12.32</v>
      </c>
    </row>
    <row r="369" spans="6:23" x14ac:dyDescent="0.3">
      <c r="F369" s="17">
        <v>31</v>
      </c>
      <c r="G369" s="8" t="str">
        <f>IF(Table13[[#This Row],[Age]]&lt;25,"18-24",IF(Table13[[#This Row],[Age]]&lt;35,"25-34",IF(Table13[[#This Row],[Age]]&lt;45,"35-44",IF(Table13[[#This Row],[Age]]&lt;55,"45-54","55-64"))))</f>
        <v>25-34</v>
      </c>
      <c r="H369" s="8" t="s">
        <v>19</v>
      </c>
      <c r="I369" s="8">
        <v>84.5</v>
      </c>
      <c r="J369" s="8">
        <v>1.56</v>
      </c>
      <c r="K369" s="8">
        <v>194</v>
      </c>
      <c r="L369" s="8">
        <v>124</v>
      </c>
      <c r="M369" s="8">
        <v>70</v>
      </c>
      <c r="N369" s="8">
        <v>1.31</v>
      </c>
      <c r="O369" s="8">
        <v>734</v>
      </c>
      <c r="P369" s="8" t="s">
        <v>18</v>
      </c>
      <c r="Q369" s="8" t="str">
        <f>_xlfn.IFS(AND(Table13[[#This Row],[Gender]]="female",R369&lt;20),"Athletes",AND(Table13[[#This Row],[Gender]]="female",R369&lt;24),"Fitnesss",AND(Table13[[#This Row],[Gender]]="female",R369&lt;31),"Acceptable",AND(Table13[[#This Row],[Gender]]="female",R369&lt;40),"Obese",AND(Table13[[#This Row],[Gender]]="male",R369&lt;13),"Athletes",AND(Table13[[#This Row],[Gender]]="male",R369&lt;17),"Fitnesss",AND(Table13[[#This Row],[Gender]]="male",R369&lt;24.9),"Acceptable",AND(Table13[[#This Row],[Gender]]="male",R369&lt;40),"Obese",AND(Table13[[#This Row],[Gender]]="others",R369&lt;20),"Athletes",AND(Table13[[#This Row],[Gender]]="others",R369&lt;24),"Fitnesss",AND(Table13[[#This Row],[Gender]]="others",R369&lt;31),"Acceptable",AND(Table13[[#This Row],[Gender]]="others",R369&lt;40),"Obese")</f>
        <v>Acceptable</v>
      </c>
      <c r="R369" s="8">
        <v>23.6</v>
      </c>
      <c r="S369" s="8">
        <v>3.3</v>
      </c>
      <c r="T369" s="8">
        <v>2</v>
      </c>
      <c r="U369" s="8">
        <v>2</v>
      </c>
      <c r="V369" s="8" t="str">
        <f>IF(Table13[[#This Row],[BMI]]&lt;=18.5,"Underweight",IF(Table13[[#This Row],[BMI]]&lt;=24.9,"Normal",IF(Table13[[#This Row],[BMI]]&lt;=29.9,"Overweight",IF(Table13[[#This Row],[BMI]]&lt;=39,"Obese","Severly Obese"))))</f>
        <v>Normal</v>
      </c>
      <c r="W369" s="18">
        <v>21.57</v>
      </c>
    </row>
    <row r="370" spans="6:23" x14ac:dyDescent="0.3">
      <c r="F370" s="17">
        <v>50</v>
      </c>
      <c r="G370" s="8" t="str">
        <f>IF(Table13[[#This Row],[Age]]&lt;25,"18-24",IF(Table13[[#This Row],[Age]]&lt;35,"25-34",IF(Table13[[#This Row],[Age]]&lt;45,"35-44",IF(Table13[[#This Row],[Age]]&lt;55,"45-54","55-64"))))</f>
        <v>45-54</v>
      </c>
      <c r="H370" s="8" t="s">
        <v>19</v>
      </c>
      <c r="I370" s="8">
        <v>98.6</v>
      </c>
      <c r="J370" s="8">
        <v>1.54</v>
      </c>
      <c r="K370" s="8">
        <v>187</v>
      </c>
      <c r="L370" s="8">
        <v>126</v>
      </c>
      <c r="M370" s="8">
        <v>57</v>
      </c>
      <c r="N370" s="8">
        <v>0.72</v>
      </c>
      <c r="O370" s="8">
        <v>940</v>
      </c>
      <c r="P370" s="8" t="s">
        <v>18</v>
      </c>
      <c r="Q370" s="8" t="str">
        <f>_xlfn.IFS(AND(Table13[[#This Row],[Gender]]="female",R370&lt;20),"Athletes",AND(Table13[[#This Row],[Gender]]="female",R370&lt;24),"Fitnesss",AND(Table13[[#This Row],[Gender]]="female",R370&lt;31),"Acceptable",AND(Table13[[#This Row],[Gender]]="female",R370&lt;40),"Obese",AND(Table13[[#This Row],[Gender]]="male",R370&lt;13),"Athletes",AND(Table13[[#This Row],[Gender]]="male",R370&lt;17),"Fitnesss",AND(Table13[[#This Row],[Gender]]="male",R370&lt;24.9),"Acceptable",AND(Table13[[#This Row],[Gender]]="male",R370&lt;40),"Obese",AND(Table13[[#This Row],[Gender]]="others",R370&lt;20),"Athletes",AND(Table13[[#This Row],[Gender]]="others",R370&lt;24),"Fitnesss",AND(Table13[[#This Row],[Gender]]="others",R370&lt;31),"Acceptable",AND(Table13[[#This Row],[Gender]]="others",R370&lt;40),"Obese")</f>
        <v>Acceptable</v>
      </c>
      <c r="R370" s="8">
        <v>23.5</v>
      </c>
      <c r="S370" s="8">
        <v>1.6</v>
      </c>
      <c r="T370" s="8">
        <v>3</v>
      </c>
      <c r="U370" s="8">
        <v>1</v>
      </c>
      <c r="V370" s="8" t="str">
        <f>IF(Table13[[#This Row],[BMI]]&lt;=18.5,"Underweight",IF(Table13[[#This Row],[BMI]]&lt;=24.9,"Normal",IF(Table13[[#This Row],[BMI]]&lt;=29.9,"Overweight",IF(Table13[[#This Row],[BMI]]&lt;=39,"Obese","Severly Obese"))))</f>
        <v>Underweight</v>
      </c>
      <c r="W370" s="18">
        <v>12.32</v>
      </c>
    </row>
    <row r="371" spans="6:23" x14ac:dyDescent="0.3">
      <c r="F371" s="17">
        <v>27</v>
      </c>
      <c r="G371" s="8" t="str">
        <f>IF(Table13[[#This Row],[Age]]&lt;25,"18-24",IF(Table13[[#This Row],[Age]]&lt;35,"25-34",IF(Table13[[#This Row],[Age]]&lt;45,"35-44",IF(Table13[[#This Row],[Age]]&lt;55,"45-54","55-64"))))</f>
        <v>25-34</v>
      </c>
      <c r="H371" s="8" t="s">
        <v>19</v>
      </c>
      <c r="I371" s="8">
        <v>55.4</v>
      </c>
      <c r="J371" s="8">
        <v>1.72</v>
      </c>
      <c r="K371" s="8">
        <v>186</v>
      </c>
      <c r="L371" s="8">
        <v>153</v>
      </c>
      <c r="M371" s="8">
        <v>74</v>
      </c>
      <c r="N371" s="8">
        <v>2</v>
      </c>
      <c r="O371" s="8">
        <v>1281</v>
      </c>
      <c r="P371" s="8" t="s">
        <v>18</v>
      </c>
      <c r="Q371" s="8" t="str">
        <f>_xlfn.IFS(AND(Table13[[#This Row],[Gender]]="female",R371&lt;20),"Athletes",AND(Table13[[#This Row],[Gender]]="female",R371&lt;24),"Fitnesss",AND(Table13[[#This Row],[Gender]]="female",R371&lt;31),"Acceptable",AND(Table13[[#This Row],[Gender]]="female",R371&lt;40),"Obese",AND(Table13[[#This Row],[Gender]]="male",R371&lt;13),"Athletes",AND(Table13[[#This Row],[Gender]]="male",R371&lt;17),"Fitnesss",AND(Table13[[#This Row],[Gender]]="male",R371&lt;24.9),"Acceptable",AND(Table13[[#This Row],[Gender]]="male",R371&lt;40),"Obese",AND(Table13[[#This Row],[Gender]]="others",R371&lt;20),"Athletes",AND(Table13[[#This Row],[Gender]]="others",R371&lt;24),"Fitnesss",AND(Table13[[#This Row],[Gender]]="others",R371&lt;31),"Acceptable",AND(Table13[[#This Row],[Gender]]="others",R371&lt;40),"Obese")</f>
        <v>Athletes</v>
      </c>
      <c r="R371" s="8">
        <v>10.9</v>
      </c>
      <c r="S371" s="8">
        <v>2.4</v>
      </c>
      <c r="T371" s="8">
        <v>4</v>
      </c>
      <c r="U371" s="8">
        <v>2</v>
      </c>
      <c r="V371" s="8" t="str">
        <f>IF(Table13[[#This Row],[BMI]]&lt;=18.5,"Underweight",IF(Table13[[#This Row],[BMI]]&lt;=24.9,"Normal",IF(Table13[[#This Row],[BMI]]&lt;=29.9,"Overweight",IF(Table13[[#This Row],[BMI]]&lt;=39,"Obese","Severly Obese"))))</f>
        <v>Underweight</v>
      </c>
      <c r="W371" s="18">
        <v>14.56</v>
      </c>
    </row>
    <row r="372" spans="6:23" x14ac:dyDescent="0.3">
      <c r="F372" s="17">
        <v>41</v>
      </c>
      <c r="G372" s="8" t="str">
        <f>IF(Table13[[#This Row],[Age]]&lt;25,"18-24",IF(Table13[[#This Row],[Age]]&lt;35,"25-34",IF(Table13[[#This Row],[Age]]&lt;45,"35-44",IF(Table13[[#This Row],[Age]]&lt;55,"45-54","55-64"))))</f>
        <v>35-44</v>
      </c>
      <c r="H372" s="8" t="s">
        <v>17</v>
      </c>
      <c r="I372" s="8">
        <v>40</v>
      </c>
      <c r="J372" s="8">
        <v>1.77</v>
      </c>
      <c r="K372" s="8">
        <v>168</v>
      </c>
      <c r="L372" s="8">
        <v>154</v>
      </c>
      <c r="M372" s="8">
        <v>74</v>
      </c>
      <c r="N372" s="8">
        <v>1.1399999999999999</v>
      </c>
      <c r="O372" s="8">
        <v>628</v>
      </c>
      <c r="P372" s="8" t="s">
        <v>21</v>
      </c>
      <c r="Q372" s="8" t="str">
        <f>_xlfn.IFS(AND(Table13[[#This Row],[Gender]]="female",R372&lt;20),"Athletes",AND(Table13[[#This Row],[Gender]]="female",R372&lt;24),"Fitnesss",AND(Table13[[#This Row],[Gender]]="female",R372&lt;31),"Acceptable",AND(Table13[[#This Row],[Gender]]="female",R372&lt;40),"Obese",AND(Table13[[#This Row],[Gender]]="male",R372&lt;13),"Athletes",AND(Table13[[#This Row],[Gender]]="male",R372&lt;17),"Fitnesss",AND(Table13[[#This Row],[Gender]]="male",R372&lt;24.9),"Acceptable",AND(Table13[[#This Row],[Gender]]="male",R372&lt;40),"Obese",AND(Table13[[#This Row],[Gender]]="others",R372&lt;20),"Athletes",AND(Table13[[#This Row],[Gender]]="others",R372&lt;24),"Fitnesss",AND(Table13[[#This Row],[Gender]]="others",R372&lt;31),"Acceptable",AND(Table13[[#This Row],[Gender]]="others",R372&lt;40),"Obese")</f>
        <v>Athletes</v>
      </c>
      <c r="R372" s="8">
        <v>19.899999999999999</v>
      </c>
      <c r="S372" s="8">
        <v>3.4</v>
      </c>
      <c r="T372" s="8">
        <v>5</v>
      </c>
      <c r="U372" s="8">
        <v>1</v>
      </c>
      <c r="V372" s="8" t="str">
        <f>IF(Table13[[#This Row],[BMI]]&lt;=18.5,"Underweight",IF(Table13[[#This Row],[BMI]]&lt;=24.9,"Normal",IF(Table13[[#This Row],[BMI]]&lt;=29.9,"Overweight",IF(Table13[[#This Row],[BMI]]&lt;=39,"Obese","Severly Obese"))))</f>
        <v>Normal</v>
      </c>
      <c r="W372" s="18">
        <v>24.52</v>
      </c>
    </row>
    <row r="373" spans="6:23" x14ac:dyDescent="0.3">
      <c r="F373" s="17">
        <v>26</v>
      </c>
      <c r="G373" s="8" t="str">
        <f>IF(Table13[[#This Row],[Age]]&lt;25,"18-24",IF(Table13[[#This Row],[Age]]&lt;35,"25-34",IF(Table13[[#This Row],[Age]]&lt;45,"35-44",IF(Table13[[#This Row],[Age]]&lt;55,"45-54","55-64"))))</f>
        <v>25-34</v>
      </c>
      <c r="H373" s="8" t="s">
        <v>17</v>
      </c>
      <c r="I373" s="8">
        <v>63.9</v>
      </c>
      <c r="J373" s="8">
        <v>1.75</v>
      </c>
      <c r="K373" s="8">
        <v>199</v>
      </c>
      <c r="L373" s="8">
        <v>121</v>
      </c>
      <c r="M373" s="8">
        <v>72</v>
      </c>
      <c r="N373" s="8">
        <v>2</v>
      </c>
      <c r="O373" s="8">
        <v>638</v>
      </c>
      <c r="P373" s="8" t="s">
        <v>21</v>
      </c>
      <c r="Q373" s="8" t="str">
        <f>_xlfn.IFS(AND(Table13[[#This Row],[Gender]]="female",R373&lt;20),"Athletes",AND(Table13[[#This Row],[Gender]]="female",R373&lt;24),"Fitnesss",AND(Table13[[#This Row],[Gender]]="female",R373&lt;31),"Acceptable",AND(Table13[[#This Row],[Gender]]="female",R373&lt;40),"Obese",AND(Table13[[#This Row],[Gender]]="male",R373&lt;13),"Athletes",AND(Table13[[#This Row],[Gender]]="male",R373&lt;17),"Fitnesss",AND(Table13[[#This Row],[Gender]]="male",R373&lt;24.9),"Acceptable",AND(Table13[[#This Row],[Gender]]="male",R373&lt;40),"Obese",AND(Table13[[#This Row],[Gender]]="others",R373&lt;20),"Athletes",AND(Table13[[#This Row],[Gender]]="others",R373&lt;24),"Fitnesss",AND(Table13[[#This Row],[Gender]]="others",R373&lt;31),"Acceptable",AND(Table13[[#This Row],[Gender]]="others",R373&lt;40),"Obese")</f>
        <v>Fitnesss</v>
      </c>
      <c r="R373" s="8">
        <v>23.6</v>
      </c>
      <c r="S373" s="8">
        <v>3.4</v>
      </c>
      <c r="T373" s="8">
        <v>4</v>
      </c>
      <c r="U373" s="8">
        <v>2</v>
      </c>
      <c r="V373" s="8" t="str">
        <f>IF(Table13[[#This Row],[BMI]]&lt;=18.5,"Underweight",IF(Table13[[#This Row],[BMI]]&lt;=24.9,"Normal",IF(Table13[[#This Row],[BMI]]&lt;=29.9,"Overweight",IF(Table13[[#This Row],[BMI]]&lt;=39,"Obese","Severly Obese"))))</f>
        <v>Normal</v>
      </c>
      <c r="W373" s="18">
        <v>23.96</v>
      </c>
    </row>
    <row r="374" spans="6:23" x14ac:dyDescent="0.3">
      <c r="F374" s="17">
        <v>47</v>
      </c>
      <c r="G374" s="8" t="str">
        <f>IF(Table13[[#This Row],[Age]]&lt;25,"18-24",IF(Table13[[#This Row],[Age]]&lt;35,"25-34",IF(Table13[[#This Row],[Age]]&lt;45,"35-44",IF(Table13[[#This Row],[Age]]&lt;55,"45-54","55-64"))))</f>
        <v>45-54</v>
      </c>
      <c r="H374" s="8" t="s">
        <v>19</v>
      </c>
      <c r="I374" s="8">
        <v>40</v>
      </c>
      <c r="J374" s="8">
        <v>1.91</v>
      </c>
      <c r="K374" s="8">
        <v>185</v>
      </c>
      <c r="L374" s="8"/>
      <c r="M374" s="8">
        <v>74</v>
      </c>
      <c r="N374" s="8">
        <v>1.41</v>
      </c>
      <c r="O374" s="8">
        <v>608</v>
      </c>
      <c r="P374" s="8" t="s">
        <v>20</v>
      </c>
      <c r="Q374" s="8" t="str">
        <f>_xlfn.IFS(AND(Table13[[#This Row],[Gender]]="female",R374&lt;20),"Athletes",AND(Table13[[#This Row],[Gender]]="female",R374&lt;24),"Fitnesss",AND(Table13[[#This Row],[Gender]]="female",R374&lt;31),"Acceptable",AND(Table13[[#This Row],[Gender]]="female",R374&lt;40),"Obese",AND(Table13[[#This Row],[Gender]]="male",R374&lt;13),"Athletes",AND(Table13[[#This Row],[Gender]]="male",R374&lt;17),"Fitnesss",AND(Table13[[#This Row],[Gender]]="male",R374&lt;24.9),"Acceptable",AND(Table13[[#This Row],[Gender]]="male",R374&lt;40),"Obese",AND(Table13[[#This Row],[Gender]]="others",R374&lt;20),"Athletes",AND(Table13[[#This Row],[Gender]]="others",R374&lt;24),"Fitnesss",AND(Table13[[#This Row],[Gender]]="others",R374&lt;31),"Acceptable",AND(Table13[[#This Row],[Gender]]="others",R374&lt;40),"Obese")</f>
        <v>Acceptable</v>
      </c>
      <c r="R374" s="8">
        <v>24.3</v>
      </c>
      <c r="S374" s="8">
        <v>2.9</v>
      </c>
      <c r="T374" s="8">
        <v>3</v>
      </c>
      <c r="U374" s="8">
        <v>1</v>
      </c>
      <c r="V374" s="8" t="str">
        <f>IF(Table13[[#This Row],[BMI]]&lt;=18.5,"Underweight",IF(Table13[[#This Row],[BMI]]&lt;=24.9,"Normal",IF(Table13[[#This Row],[BMI]]&lt;=29.9,"Overweight",IF(Table13[[#This Row],[BMI]]&lt;=39,"Obese","Severly Obese"))))</f>
        <v>Overweight</v>
      </c>
      <c r="W374" s="18">
        <v>27.2</v>
      </c>
    </row>
    <row r="375" spans="6:23" x14ac:dyDescent="0.3">
      <c r="F375" s="17">
        <v>31</v>
      </c>
      <c r="G375" s="8" t="str">
        <f>IF(Table13[[#This Row],[Age]]&lt;25,"18-24",IF(Table13[[#This Row],[Age]]&lt;35,"25-34",IF(Table13[[#This Row],[Age]]&lt;45,"35-44",IF(Table13[[#This Row],[Age]]&lt;55,"45-54","55-64"))))</f>
        <v>25-34</v>
      </c>
      <c r="H375" s="8" t="s">
        <v>17</v>
      </c>
      <c r="I375" s="8">
        <v>40</v>
      </c>
      <c r="J375" s="8">
        <v>2</v>
      </c>
      <c r="K375" s="8">
        <v>192</v>
      </c>
      <c r="L375" s="8">
        <v>134</v>
      </c>
      <c r="M375" s="8">
        <v>55</v>
      </c>
      <c r="N375" s="8">
        <v>1.44</v>
      </c>
      <c r="O375" s="8">
        <v>1116</v>
      </c>
      <c r="P375" s="8" t="s">
        <v>18</v>
      </c>
      <c r="Q375" s="8" t="str">
        <f>_xlfn.IFS(AND(Table13[[#This Row],[Gender]]="female",R375&lt;20),"Athletes",AND(Table13[[#This Row],[Gender]]="female",R375&lt;24),"Fitnesss",AND(Table13[[#This Row],[Gender]]="female",R375&lt;31),"Acceptable",AND(Table13[[#This Row],[Gender]]="female",R375&lt;40),"Obese",AND(Table13[[#This Row],[Gender]]="male",R375&lt;13),"Athletes",AND(Table13[[#This Row],[Gender]]="male",R375&lt;17),"Fitnesss",AND(Table13[[#This Row],[Gender]]="male",R375&lt;24.9),"Acceptable",AND(Table13[[#This Row],[Gender]]="male",R375&lt;40),"Obese",AND(Table13[[#This Row],[Gender]]="others",R375&lt;20),"Athletes",AND(Table13[[#This Row],[Gender]]="others",R375&lt;24),"Fitnesss",AND(Table13[[#This Row],[Gender]]="others",R375&lt;31),"Acceptable",AND(Table13[[#This Row],[Gender]]="others",R375&lt;40),"Obese")</f>
        <v>Athletes</v>
      </c>
      <c r="R375" s="8">
        <v>12</v>
      </c>
      <c r="S375" s="8">
        <v>2.6</v>
      </c>
      <c r="T375" s="8">
        <v>2</v>
      </c>
      <c r="U375" s="8">
        <v>2</v>
      </c>
      <c r="V375" s="8" t="str">
        <f>IF(Table13[[#This Row],[BMI]]&lt;=18.5,"Underweight",IF(Table13[[#This Row],[BMI]]&lt;=24.9,"Normal",IF(Table13[[#This Row],[BMI]]&lt;=29.9,"Overweight",IF(Table13[[#This Row],[BMI]]&lt;=39,"Obese","Severly Obese"))))</f>
        <v>Normal</v>
      </c>
      <c r="W375" s="18">
        <v>21.2</v>
      </c>
    </row>
    <row r="376" spans="6:23" x14ac:dyDescent="0.3">
      <c r="F376" s="17">
        <v>27</v>
      </c>
      <c r="G376" s="8" t="str">
        <f>IF(Table13[[#This Row],[Age]]&lt;25,"18-24",IF(Table13[[#This Row],[Age]]&lt;35,"25-34",IF(Table13[[#This Row],[Age]]&lt;45,"35-44",IF(Table13[[#This Row],[Age]]&lt;55,"45-54","55-64"))))</f>
        <v>25-34</v>
      </c>
      <c r="H376" s="8" t="s">
        <v>19</v>
      </c>
      <c r="I376" s="8">
        <v>91.9</v>
      </c>
      <c r="J376" s="8">
        <v>1.5</v>
      </c>
      <c r="K376" s="8">
        <v>185</v>
      </c>
      <c r="L376" s="8">
        <v>154</v>
      </c>
      <c r="M376" s="8">
        <v>60</v>
      </c>
      <c r="N376" s="8">
        <v>1.08</v>
      </c>
      <c r="O376" s="8">
        <v>825</v>
      </c>
      <c r="P376" s="8" t="s">
        <v>21</v>
      </c>
      <c r="Q376" s="8" t="str">
        <f>_xlfn.IFS(AND(Table13[[#This Row],[Gender]]="female",R376&lt;20),"Athletes",AND(Table13[[#This Row],[Gender]]="female",R376&lt;24),"Fitnesss",AND(Table13[[#This Row],[Gender]]="female",R376&lt;31),"Acceptable",AND(Table13[[#This Row],[Gender]]="female",R376&lt;40),"Obese",AND(Table13[[#This Row],[Gender]]="male",R376&lt;13),"Athletes",AND(Table13[[#This Row],[Gender]]="male",R376&lt;17),"Fitnesss",AND(Table13[[#This Row],[Gender]]="male",R376&lt;24.9),"Acceptable",AND(Table13[[#This Row],[Gender]]="male",R376&lt;40),"Obese",AND(Table13[[#This Row],[Gender]]="others",R376&lt;20),"Athletes",AND(Table13[[#This Row],[Gender]]="others",R376&lt;24),"Fitnesss",AND(Table13[[#This Row],[Gender]]="others",R376&lt;31),"Acceptable",AND(Table13[[#This Row],[Gender]]="others",R376&lt;40),"Obese")</f>
        <v>Obese</v>
      </c>
      <c r="R376" s="8">
        <v>28.8</v>
      </c>
      <c r="S376" s="8">
        <v>3.2</v>
      </c>
      <c r="T376" s="8">
        <v>5</v>
      </c>
      <c r="U376" s="8">
        <v>2</v>
      </c>
      <c r="V376" s="8" t="str">
        <f>IF(Table13[[#This Row],[BMI]]&lt;=18.5,"Underweight",IF(Table13[[#This Row],[BMI]]&lt;=24.9,"Normal",IF(Table13[[#This Row],[BMI]]&lt;=29.9,"Overweight",IF(Table13[[#This Row],[BMI]]&lt;=39,"Obese","Severly Obese"))))</f>
        <v>Normal</v>
      </c>
      <c r="W376" s="18">
        <v>21.07</v>
      </c>
    </row>
    <row r="377" spans="6:23" x14ac:dyDescent="0.3">
      <c r="F377" s="17">
        <v>20</v>
      </c>
      <c r="G377" s="8" t="str">
        <f>IF(Table13[[#This Row],[Age]]&lt;25,"18-24",IF(Table13[[#This Row],[Age]]&lt;35,"25-34",IF(Table13[[#This Row],[Age]]&lt;45,"35-44",IF(Table13[[#This Row],[Age]]&lt;55,"45-54","55-64"))))</f>
        <v>18-24</v>
      </c>
      <c r="H377" s="8" t="s">
        <v>17</v>
      </c>
      <c r="I377" s="8">
        <v>42.4</v>
      </c>
      <c r="J377" s="8">
        <v>1.69</v>
      </c>
      <c r="K377" s="8">
        <v>198</v>
      </c>
      <c r="L377" s="8">
        <v>129</v>
      </c>
      <c r="M377" s="8">
        <v>58</v>
      </c>
      <c r="N377" s="8">
        <v>0.77</v>
      </c>
      <c r="O377" s="8">
        <v>1030</v>
      </c>
      <c r="P377" s="8" t="s">
        <v>21</v>
      </c>
      <c r="Q377" s="8" t="str">
        <f>_xlfn.IFS(AND(Table13[[#This Row],[Gender]]="female",R377&lt;20),"Athletes",AND(Table13[[#This Row],[Gender]]="female",R377&lt;24),"Fitnesss",AND(Table13[[#This Row],[Gender]]="female",R377&lt;31),"Acceptable",AND(Table13[[#This Row],[Gender]]="female",R377&lt;40),"Obese",AND(Table13[[#This Row],[Gender]]="male",R377&lt;13),"Athletes",AND(Table13[[#This Row],[Gender]]="male",R377&lt;17),"Fitnesss",AND(Table13[[#This Row],[Gender]]="male",R377&lt;24.9),"Acceptable",AND(Table13[[#This Row],[Gender]]="male",R377&lt;40),"Obese",AND(Table13[[#This Row],[Gender]]="others",R377&lt;20),"Athletes",AND(Table13[[#This Row],[Gender]]="others",R377&lt;24),"Fitnesss",AND(Table13[[#This Row],[Gender]]="others",R377&lt;31),"Acceptable",AND(Table13[[#This Row],[Gender]]="others",R377&lt;40),"Obese")</f>
        <v>Acceptable</v>
      </c>
      <c r="R377" s="8">
        <v>28.1</v>
      </c>
      <c r="S377" s="8">
        <v>1.5</v>
      </c>
      <c r="T377" s="8"/>
      <c r="U377" s="8">
        <v>1</v>
      </c>
      <c r="V377" s="8" t="str">
        <f>IF(Table13[[#This Row],[BMI]]&lt;=18.5,"Underweight",IF(Table13[[#This Row],[BMI]]&lt;=24.9,"Normal",IF(Table13[[#This Row],[BMI]]&lt;=29.9,"Overweight",IF(Table13[[#This Row],[BMI]]&lt;=39,"Obese","Severly Obese"))))</f>
        <v>Normal</v>
      </c>
      <c r="W377" s="18">
        <v>20.39</v>
      </c>
    </row>
    <row r="378" spans="6:23" x14ac:dyDescent="0.3">
      <c r="F378" s="17">
        <v>21</v>
      </c>
      <c r="G378" s="8" t="str">
        <f>IF(Table13[[#This Row],[Age]]&lt;25,"18-24",IF(Table13[[#This Row],[Age]]&lt;35,"25-34",IF(Table13[[#This Row],[Age]]&lt;45,"35-44",IF(Table13[[#This Row],[Age]]&lt;55,"45-54","55-64"))))</f>
        <v>18-24</v>
      </c>
      <c r="H378" s="8" t="s">
        <v>19</v>
      </c>
      <c r="I378" s="8">
        <v>76.8</v>
      </c>
      <c r="J378" s="8">
        <v>1.52</v>
      </c>
      <c r="K378" s="8">
        <v>191</v>
      </c>
      <c r="L378" s="8">
        <v>140</v>
      </c>
      <c r="M378" s="8">
        <v>66</v>
      </c>
      <c r="N378" s="8">
        <v>1.08</v>
      </c>
      <c r="O378" s="8">
        <v>702</v>
      </c>
      <c r="P378" s="8" t="s">
        <v>20</v>
      </c>
      <c r="Q378" s="8" t="str">
        <f>_xlfn.IFS(AND(Table13[[#This Row],[Gender]]="female",R378&lt;20),"Athletes",AND(Table13[[#This Row],[Gender]]="female",R378&lt;24),"Fitnesss",AND(Table13[[#This Row],[Gender]]="female",R378&lt;31),"Acceptable",AND(Table13[[#This Row],[Gender]]="female",R378&lt;40),"Obese",AND(Table13[[#This Row],[Gender]]="male",R378&lt;13),"Athletes",AND(Table13[[#This Row],[Gender]]="male",R378&lt;17),"Fitnesss",AND(Table13[[#This Row],[Gender]]="male",R378&lt;24.9),"Acceptable",AND(Table13[[#This Row],[Gender]]="male",R378&lt;40),"Obese",AND(Table13[[#This Row],[Gender]]="others",R378&lt;20),"Athletes",AND(Table13[[#This Row],[Gender]]="others",R378&lt;24),"Fitnesss",AND(Table13[[#This Row],[Gender]]="others",R378&lt;31),"Acceptable",AND(Table13[[#This Row],[Gender]]="others",R378&lt;40),"Obese")</f>
        <v>Acceptable</v>
      </c>
      <c r="R378" s="8">
        <v>21</v>
      </c>
      <c r="S378" s="8">
        <v>3.6</v>
      </c>
      <c r="T378" s="8">
        <v>3</v>
      </c>
      <c r="U378" s="8">
        <v>2</v>
      </c>
      <c r="V378" s="8" t="str">
        <f>IF(Table13[[#This Row],[BMI]]&lt;=18.5,"Underweight",IF(Table13[[#This Row],[BMI]]&lt;=24.9,"Normal",IF(Table13[[#This Row],[BMI]]&lt;=29.9,"Overweight",IF(Table13[[#This Row],[BMI]]&lt;=39,"Obese","Severly Obese"))))</f>
        <v>Overweight</v>
      </c>
      <c r="W378" s="18">
        <v>25.59</v>
      </c>
    </row>
    <row r="379" spans="6:23" x14ac:dyDescent="0.3">
      <c r="F379" s="17">
        <v>47</v>
      </c>
      <c r="G379" s="8" t="str">
        <f>IF(Table13[[#This Row],[Age]]&lt;25,"18-24",IF(Table13[[#This Row],[Age]]&lt;35,"25-34",IF(Table13[[#This Row],[Age]]&lt;45,"35-44",IF(Table13[[#This Row],[Age]]&lt;55,"45-54","55-64"))))</f>
        <v>45-54</v>
      </c>
      <c r="H379" s="8" t="s">
        <v>17</v>
      </c>
      <c r="I379" s="8">
        <v>70.7</v>
      </c>
      <c r="J379" s="8">
        <v>1.66</v>
      </c>
      <c r="K379" s="8">
        <v>195</v>
      </c>
      <c r="L379" s="8">
        <v>169</v>
      </c>
      <c r="M379" s="8">
        <v>60</v>
      </c>
      <c r="N379" s="8">
        <v>1.25</v>
      </c>
      <c r="O379" s="8">
        <v>1033</v>
      </c>
      <c r="P379" s="8" t="s">
        <v>22</v>
      </c>
      <c r="Q379" s="8" t="str">
        <f>_xlfn.IFS(AND(Table13[[#This Row],[Gender]]="female",R379&lt;20),"Athletes",AND(Table13[[#This Row],[Gender]]="female",R379&lt;24),"Fitnesss",AND(Table13[[#This Row],[Gender]]="female",R379&lt;31),"Acceptable",AND(Table13[[#This Row],[Gender]]="female",R379&lt;40),"Obese",AND(Table13[[#This Row],[Gender]]="male",R379&lt;13),"Athletes",AND(Table13[[#This Row],[Gender]]="male",R379&lt;17),"Fitnesss",AND(Table13[[#This Row],[Gender]]="male",R379&lt;24.9),"Acceptable",AND(Table13[[#This Row],[Gender]]="male",R379&lt;40),"Obese",AND(Table13[[#This Row],[Gender]]="others",R379&lt;20),"Athletes",AND(Table13[[#This Row],[Gender]]="others",R379&lt;24),"Fitnesss",AND(Table13[[#This Row],[Gender]]="others",R379&lt;31),"Acceptable",AND(Table13[[#This Row],[Gender]]="others",R379&lt;40),"Obese")</f>
        <v>Athletes</v>
      </c>
      <c r="R379" s="8">
        <v>16.7</v>
      </c>
      <c r="S379" s="8">
        <v>3.5</v>
      </c>
      <c r="T379" s="8">
        <v>4</v>
      </c>
      <c r="U379" s="8">
        <v>2</v>
      </c>
      <c r="V379" s="8" t="str">
        <f>IF(Table13[[#This Row],[BMI]]&lt;=18.5,"Underweight",IF(Table13[[#This Row],[BMI]]&lt;=24.9,"Normal",IF(Table13[[#This Row],[BMI]]&lt;=29.9,"Overweight",IF(Table13[[#This Row],[BMI]]&lt;=39,"Obese","Severly Obese"))))</f>
        <v>Underweight</v>
      </c>
      <c r="W379" s="18">
        <v>14.61</v>
      </c>
    </row>
    <row r="380" spans="6:23" x14ac:dyDescent="0.3">
      <c r="F380" s="17">
        <v>33</v>
      </c>
      <c r="G380" s="8" t="str">
        <f>IF(Table13[[#This Row],[Age]]&lt;25,"18-24",IF(Table13[[#This Row],[Age]]&lt;35,"25-34",IF(Table13[[#This Row],[Age]]&lt;45,"35-44",IF(Table13[[#This Row],[Age]]&lt;55,"45-54","55-64"))))</f>
        <v>25-34</v>
      </c>
      <c r="H380" s="8" t="s">
        <v>19</v>
      </c>
      <c r="I380" s="8">
        <v>40</v>
      </c>
      <c r="J380" s="8">
        <v>1.88</v>
      </c>
      <c r="K380" s="8">
        <v>196</v>
      </c>
      <c r="L380" s="8">
        <v>162</v>
      </c>
      <c r="M380" s="8">
        <v>58</v>
      </c>
      <c r="N380" s="8">
        <v>1.59</v>
      </c>
      <c r="O380" s="8">
        <v>1131</v>
      </c>
      <c r="P380" s="8" t="s">
        <v>22</v>
      </c>
      <c r="Q380" s="8" t="str">
        <f>_xlfn.IFS(AND(Table13[[#This Row],[Gender]]="female",R380&lt;20),"Athletes",AND(Table13[[#This Row],[Gender]]="female",R380&lt;24),"Fitnesss",AND(Table13[[#This Row],[Gender]]="female",R380&lt;31),"Acceptable",AND(Table13[[#This Row],[Gender]]="female",R380&lt;40),"Obese",AND(Table13[[#This Row],[Gender]]="male",R380&lt;13),"Athletes",AND(Table13[[#This Row],[Gender]]="male",R380&lt;17),"Fitnesss",AND(Table13[[#This Row],[Gender]]="male",R380&lt;24.9),"Acceptable",AND(Table13[[#This Row],[Gender]]="male",R380&lt;40),"Obese",AND(Table13[[#This Row],[Gender]]="others",R380&lt;20),"Athletes",AND(Table13[[#This Row],[Gender]]="others",R380&lt;24),"Fitnesss",AND(Table13[[#This Row],[Gender]]="others",R380&lt;31),"Acceptable",AND(Table13[[#This Row],[Gender]]="others",R380&lt;40),"Obese")</f>
        <v>Obese</v>
      </c>
      <c r="R380" s="8">
        <v>30.4</v>
      </c>
      <c r="S380" s="8">
        <v>2.6</v>
      </c>
      <c r="T380" s="8">
        <v>3</v>
      </c>
      <c r="U380" s="8">
        <v>1</v>
      </c>
      <c r="V380" s="8" t="str">
        <f>IF(Table13[[#This Row],[BMI]]&lt;=18.5,"Underweight",IF(Table13[[#This Row],[BMI]]&lt;=24.9,"Normal",IF(Table13[[#This Row],[BMI]]&lt;=29.9,"Overweight",IF(Table13[[#This Row],[BMI]]&lt;=39,"Obese","Severly Obese"))))</f>
        <v>Normal</v>
      </c>
      <c r="W380" s="18">
        <v>21.91</v>
      </c>
    </row>
    <row r="381" spans="6:23" x14ac:dyDescent="0.3">
      <c r="F381" s="17">
        <v>59</v>
      </c>
      <c r="G381" s="8" t="str">
        <f>IF(Table13[[#This Row],[Age]]&lt;25,"18-24",IF(Table13[[#This Row],[Age]]&lt;35,"25-34",IF(Table13[[#This Row],[Age]]&lt;45,"35-44",IF(Table13[[#This Row],[Age]]&lt;55,"45-54","55-64"))))</f>
        <v>55-64</v>
      </c>
      <c r="H381" s="8" t="s">
        <v>19</v>
      </c>
      <c r="I381" s="8">
        <v>40</v>
      </c>
      <c r="J381" s="8">
        <v>1.56</v>
      </c>
      <c r="K381" s="8">
        <v>163</v>
      </c>
      <c r="L381" s="8">
        <v>167</v>
      </c>
      <c r="M381" s="8">
        <v>74</v>
      </c>
      <c r="N381" s="8">
        <v>1.59</v>
      </c>
      <c r="O381" s="8">
        <v>722</v>
      </c>
      <c r="P381" s="8" t="s">
        <v>20</v>
      </c>
      <c r="Q381" s="8" t="str">
        <f>_xlfn.IFS(AND(Table13[[#This Row],[Gender]]="female",R381&lt;20),"Athletes",AND(Table13[[#This Row],[Gender]]="female",R381&lt;24),"Fitnesss",AND(Table13[[#This Row],[Gender]]="female",R381&lt;31),"Acceptable",AND(Table13[[#This Row],[Gender]]="female",R381&lt;40),"Obese",AND(Table13[[#This Row],[Gender]]="male",R381&lt;13),"Athletes",AND(Table13[[#This Row],[Gender]]="male",R381&lt;17),"Fitnesss",AND(Table13[[#This Row],[Gender]]="male",R381&lt;24.9),"Acceptable",AND(Table13[[#This Row],[Gender]]="male",R381&lt;40),"Obese",AND(Table13[[#This Row],[Gender]]="others",R381&lt;20),"Athletes",AND(Table13[[#This Row],[Gender]]="others",R381&lt;24),"Fitnesss",AND(Table13[[#This Row],[Gender]]="others",R381&lt;31),"Acceptable",AND(Table13[[#This Row],[Gender]]="others",R381&lt;40),"Obese")</f>
        <v>Acceptable</v>
      </c>
      <c r="R381" s="8">
        <v>23.7</v>
      </c>
      <c r="S381" s="8">
        <v>3.2</v>
      </c>
      <c r="T381" s="8">
        <v>4</v>
      </c>
      <c r="U381" s="8">
        <v>3</v>
      </c>
      <c r="V381" s="8" t="str">
        <f>IF(Table13[[#This Row],[BMI]]&lt;=18.5,"Underweight",IF(Table13[[#This Row],[BMI]]&lt;=24.9,"Normal",IF(Table13[[#This Row],[BMI]]&lt;=29.9,"Overweight",IF(Table13[[#This Row],[BMI]]&lt;=39,"Obese","Severly Obese"))))</f>
        <v>Underweight</v>
      </c>
      <c r="W381" s="18">
        <v>12.32</v>
      </c>
    </row>
    <row r="382" spans="6:23" x14ac:dyDescent="0.3">
      <c r="F382" s="17">
        <v>43</v>
      </c>
      <c r="G382" s="8" t="str">
        <f>IF(Table13[[#This Row],[Age]]&lt;25,"18-24",IF(Table13[[#This Row],[Age]]&lt;35,"25-34",IF(Table13[[#This Row],[Age]]&lt;45,"35-44",IF(Table13[[#This Row],[Age]]&lt;55,"45-54","55-64"))))</f>
        <v>35-44</v>
      </c>
      <c r="H382" s="8" t="s">
        <v>19</v>
      </c>
      <c r="I382" s="8">
        <v>46.8</v>
      </c>
      <c r="J382" s="8">
        <v>1.67</v>
      </c>
      <c r="K382" s="8">
        <v>178</v>
      </c>
      <c r="L382" s="8">
        <v>141</v>
      </c>
      <c r="M382" s="8">
        <v>64</v>
      </c>
      <c r="N382" s="8">
        <v>1.03</v>
      </c>
      <c r="O382" s="8">
        <v>1403</v>
      </c>
      <c r="P382" s="8" t="s">
        <v>20</v>
      </c>
      <c r="Q382" s="8" t="str">
        <f>_xlfn.IFS(AND(Table13[[#This Row],[Gender]]="female",R382&lt;20),"Athletes",AND(Table13[[#This Row],[Gender]]="female",R382&lt;24),"Fitnesss",AND(Table13[[#This Row],[Gender]]="female",R382&lt;31),"Acceptable",AND(Table13[[#This Row],[Gender]]="female",R382&lt;40),"Obese",AND(Table13[[#This Row],[Gender]]="male",R382&lt;13),"Athletes",AND(Table13[[#This Row],[Gender]]="male",R382&lt;17),"Fitnesss",AND(Table13[[#This Row],[Gender]]="male",R382&lt;24.9),"Acceptable",AND(Table13[[#This Row],[Gender]]="male",R382&lt;40),"Obese",AND(Table13[[#This Row],[Gender]]="others",R382&lt;20),"Athletes",AND(Table13[[#This Row],[Gender]]="others",R382&lt;24),"Fitnesss",AND(Table13[[#This Row],[Gender]]="others",R382&lt;31),"Acceptable",AND(Table13[[#This Row],[Gender]]="others",R382&lt;40),"Obese")</f>
        <v>Obese</v>
      </c>
      <c r="R382" s="8">
        <v>26.1</v>
      </c>
      <c r="S382" s="8">
        <v>3.2</v>
      </c>
      <c r="T382" s="8">
        <v>3</v>
      </c>
      <c r="U382" s="8">
        <v>1</v>
      </c>
      <c r="V382" s="8" t="str">
        <f>IF(Table13[[#This Row],[BMI]]&lt;=18.5,"Underweight",IF(Table13[[#This Row],[BMI]]&lt;=24.9,"Normal",IF(Table13[[#This Row],[BMI]]&lt;=29.9,"Overweight",IF(Table13[[#This Row],[BMI]]&lt;=39,"Obese","Severly Obese"))))</f>
        <v>Underweight</v>
      </c>
      <c r="W382" s="18">
        <v>14.13</v>
      </c>
    </row>
    <row r="383" spans="6:23" x14ac:dyDescent="0.3">
      <c r="F383" s="17">
        <v>27</v>
      </c>
      <c r="G383" s="8" t="str">
        <f>IF(Table13[[#This Row],[Age]]&lt;25,"18-24",IF(Table13[[#This Row],[Age]]&lt;35,"25-34",IF(Table13[[#This Row],[Age]]&lt;45,"35-44",IF(Table13[[#This Row],[Age]]&lt;55,"45-54","55-64"))))</f>
        <v>25-34</v>
      </c>
      <c r="H383" s="8" t="s">
        <v>19</v>
      </c>
      <c r="I383" s="8">
        <v>100.7</v>
      </c>
      <c r="J383" s="8">
        <v>1.75</v>
      </c>
      <c r="K383" s="8">
        <v>163</v>
      </c>
      <c r="L383" s="8">
        <v>166</v>
      </c>
      <c r="M383" s="8">
        <v>61</v>
      </c>
      <c r="N383" s="8">
        <v>1.28</v>
      </c>
      <c r="O383" s="8">
        <v>1159</v>
      </c>
      <c r="P383" s="8" t="s">
        <v>20</v>
      </c>
      <c r="Q383" s="8" t="str">
        <f>_xlfn.IFS(AND(Table13[[#This Row],[Gender]]="female",R383&lt;20),"Athletes",AND(Table13[[#This Row],[Gender]]="female",R383&lt;24),"Fitnesss",AND(Table13[[#This Row],[Gender]]="female",R383&lt;31),"Acceptable",AND(Table13[[#This Row],[Gender]]="female",R383&lt;40),"Obese",AND(Table13[[#This Row],[Gender]]="male",R383&lt;13),"Athletes",AND(Table13[[#This Row],[Gender]]="male",R383&lt;17),"Fitnesss",AND(Table13[[#This Row],[Gender]]="male",R383&lt;24.9),"Acceptable",AND(Table13[[#This Row],[Gender]]="male",R383&lt;40),"Obese",AND(Table13[[#This Row],[Gender]]="others",R383&lt;20),"Athletes",AND(Table13[[#This Row],[Gender]]="others",R383&lt;24),"Fitnesss",AND(Table13[[#This Row],[Gender]]="others",R383&lt;31),"Acceptable",AND(Table13[[#This Row],[Gender]]="others",R383&lt;40),"Obese")</f>
        <v>Obese</v>
      </c>
      <c r="R383" s="8">
        <v>28.1</v>
      </c>
      <c r="S383" s="8">
        <v>3.7</v>
      </c>
      <c r="T383" s="8">
        <v>3</v>
      </c>
      <c r="U383" s="8">
        <v>1</v>
      </c>
      <c r="V383" s="8" t="str">
        <f>IF(Table13[[#This Row],[BMI]]&lt;=18.5,"Underweight",IF(Table13[[#This Row],[BMI]]&lt;=24.9,"Normal",IF(Table13[[#This Row],[BMI]]&lt;=29.9,"Overweight",IF(Table13[[#This Row],[BMI]]&lt;=39,"Obese","Severly Obese"))))</f>
        <v>Underweight</v>
      </c>
      <c r="W383" s="18">
        <v>12.32</v>
      </c>
    </row>
    <row r="384" spans="6:23" x14ac:dyDescent="0.3">
      <c r="F384" s="17">
        <v>44</v>
      </c>
      <c r="G384" s="8" t="str">
        <f>IF(Table13[[#This Row],[Age]]&lt;25,"18-24",IF(Table13[[#This Row],[Age]]&lt;35,"25-34",IF(Table13[[#This Row],[Age]]&lt;45,"35-44",IF(Table13[[#This Row],[Age]]&lt;55,"45-54","55-64"))))</f>
        <v>35-44</v>
      </c>
      <c r="H384" s="8" t="s">
        <v>17</v>
      </c>
      <c r="I384" s="8">
        <v>73.400000000000006</v>
      </c>
      <c r="J384" s="8">
        <v>1.59</v>
      </c>
      <c r="K384" s="8">
        <v>199</v>
      </c>
      <c r="L384" s="8">
        <v>152</v>
      </c>
      <c r="M384" s="8">
        <v>72</v>
      </c>
      <c r="N384" s="8">
        <v>0.94</v>
      </c>
      <c r="O384" s="8">
        <v>721</v>
      </c>
      <c r="P384" s="8" t="s">
        <v>20</v>
      </c>
      <c r="Q384" s="8" t="str">
        <f>_xlfn.IFS(AND(Table13[[#This Row],[Gender]]="female",R384&lt;20),"Athletes",AND(Table13[[#This Row],[Gender]]="female",R384&lt;24),"Fitnesss",AND(Table13[[#This Row],[Gender]]="female",R384&lt;31),"Acceptable",AND(Table13[[#This Row],[Gender]]="female",R384&lt;40),"Obese",AND(Table13[[#This Row],[Gender]]="male",R384&lt;13),"Athletes",AND(Table13[[#This Row],[Gender]]="male",R384&lt;17),"Fitnesss",AND(Table13[[#This Row],[Gender]]="male",R384&lt;24.9),"Acceptable",AND(Table13[[#This Row],[Gender]]="male",R384&lt;40),"Obese",AND(Table13[[#This Row],[Gender]]="others",R384&lt;20),"Athletes",AND(Table13[[#This Row],[Gender]]="others",R384&lt;24),"Fitnesss",AND(Table13[[#This Row],[Gender]]="others",R384&lt;31),"Acceptable",AND(Table13[[#This Row],[Gender]]="others",R384&lt;40),"Obese")</f>
        <v>Fitnesss</v>
      </c>
      <c r="R384" s="8">
        <v>23</v>
      </c>
      <c r="S384" s="8">
        <v>2.2000000000000002</v>
      </c>
      <c r="T384" s="8">
        <v>4</v>
      </c>
      <c r="U384" s="8">
        <v>1</v>
      </c>
      <c r="V384" s="8" t="str">
        <f>IF(Table13[[#This Row],[BMI]]&lt;=18.5,"Underweight",IF(Table13[[#This Row],[BMI]]&lt;=24.9,"Normal",IF(Table13[[#This Row],[BMI]]&lt;=29.9,"Overweight",IF(Table13[[#This Row],[BMI]]&lt;=39,"Obese","Severly Obese"))))</f>
        <v>Obese</v>
      </c>
      <c r="W384" s="18">
        <v>33.25</v>
      </c>
    </row>
    <row r="385" spans="6:23" x14ac:dyDescent="0.3">
      <c r="F385" s="17">
        <v>22</v>
      </c>
      <c r="G385" s="8" t="str">
        <f>IF(Table13[[#This Row],[Age]]&lt;25,"18-24",IF(Table13[[#This Row],[Age]]&lt;35,"25-34",IF(Table13[[#This Row],[Age]]&lt;45,"35-44",IF(Table13[[#This Row],[Age]]&lt;55,"45-54","55-64"))))</f>
        <v>18-24</v>
      </c>
      <c r="H385" s="8" t="s">
        <v>19</v>
      </c>
      <c r="I385" s="8">
        <v>63.4</v>
      </c>
      <c r="J385" s="8">
        <v>1.83</v>
      </c>
      <c r="K385" s="8">
        <v>196</v>
      </c>
      <c r="L385" s="8">
        <v>169</v>
      </c>
      <c r="M385" s="8">
        <v>71</v>
      </c>
      <c r="N385" s="8">
        <v>1.66</v>
      </c>
      <c r="O385" s="8">
        <v>466</v>
      </c>
      <c r="P385" s="8" t="s">
        <v>20</v>
      </c>
      <c r="Q385" s="8" t="str">
        <f>_xlfn.IFS(AND(Table13[[#This Row],[Gender]]="female",R385&lt;20),"Athletes",AND(Table13[[#This Row],[Gender]]="female",R385&lt;24),"Fitnesss",AND(Table13[[#This Row],[Gender]]="female",R385&lt;31),"Acceptable",AND(Table13[[#This Row],[Gender]]="female",R385&lt;40),"Obese",AND(Table13[[#This Row],[Gender]]="male",R385&lt;13),"Athletes",AND(Table13[[#This Row],[Gender]]="male",R385&lt;17),"Fitnesss",AND(Table13[[#This Row],[Gender]]="male",R385&lt;24.9),"Acceptable",AND(Table13[[#This Row],[Gender]]="male",R385&lt;40),"Obese",AND(Table13[[#This Row],[Gender]]="others",R385&lt;20),"Athletes",AND(Table13[[#This Row],[Gender]]="others",R385&lt;24),"Fitnesss",AND(Table13[[#This Row],[Gender]]="others",R385&lt;31),"Acceptable",AND(Table13[[#This Row],[Gender]]="others",R385&lt;40),"Obese")</f>
        <v>Obese</v>
      </c>
      <c r="R385" s="8">
        <v>28</v>
      </c>
      <c r="S385" s="8">
        <v>3.4</v>
      </c>
      <c r="T385" s="8">
        <v>2</v>
      </c>
      <c r="U385" s="8">
        <v>3</v>
      </c>
      <c r="V385" s="8" t="str">
        <f>IF(Table13[[#This Row],[BMI]]&lt;=18.5,"Underweight",IF(Table13[[#This Row],[BMI]]&lt;=24.9,"Normal",IF(Table13[[#This Row],[BMI]]&lt;=29.9,"Overweight",IF(Table13[[#This Row],[BMI]]&lt;=39,"Obese","Severly Obese"))))</f>
        <v>Normal</v>
      </c>
      <c r="W385" s="18">
        <v>24.61</v>
      </c>
    </row>
    <row r="386" spans="6:23" x14ac:dyDescent="0.3">
      <c r="F386" s="17">
        <v>19</v>
      </c>
      <c r="G386" s="8" t="str">
        <f>IF(Table13[[#This Row],[Age]]&lt;25,"18-24",IF(Table13[[#This Row],[Age]]&lt;35,"25-34",IF(Table13[[#This Row],[Age]]&lt;45,"35-44",IF(Table13[[#This Row],[Age]]&lt;55,"45-54","55-64"))))</f>
        <v>18-24</v>
      </c>
      <c r="H386" s="8" t="s">
        <v>17</v>
      </c>
      <c r="I386" s="8">
        <v>129.9</v>
      </c>
      <c r="J386" s="8">
        <v>1.71</v>
      </c>
      <c r="K386" s="8">
        <v>161</v>
      </c>
      <c r="L386" s="8">
        <v>169</v>
      </c>
      <c r="M386" s="8">
        <v>56</v>
      </c>
      <c r="N386" s="8">
        <v>2</v>
      </c>
      <c r="O386" s="8">
        <v>443</v>
      </c>
      <c r="P386" s="8" t="s">
        <v>22</v>
      </c>
      <c r="Q386" s="8" t="str">
        <f>_xlfn.IFS(AND(Table13[[#This Row],[Gender]]="female",R386&lt;20),"Athletes",AND(Table13[[#This Row],[Gender]]="female",R386&lt;24),"Fitnesss",AND(Table13[[#This Row],[Gender]]="female",R386&lt;31),"Acceptable",AND(Table13[[#This Row],[Gender]]="female",R386&lt;40),"Obese",AND(Table13[[#This Row],[Gender]]="male",R386&lt;13),"Athletes",AND(Table13[[#This Row],[Gender]]="male",R386&lt;17),"Fitnesss",AND(Table13[[#This Row],[Gender]]="male",R386&lt;24.9),"Acceptable",AND(Table13[[#This Row],[Gender]]="male",R386&lt;40),"Obese",AND(Table13[[#This Row],[Gender]]="others",R386&lt;20),"Athletes",AND(Table13[[#This Row],[Gender]]="others",R386&lt;24),"Fitnesss",AND(Table13[[#This Row],[Gender]]="others",R386&lt;31),"Acceptable",AND(Table13[[#This Row],[Gender]]="others",R386&lt;40),"Obese")</f>
        <v>Acceptable</v>
      </c>
      <c r="R386" s="8">
        <v>29.6</v>
      </c>
      <c r="S386" s="8">
        <v>2.4</v>
      </c>
      <c r="T386" s="8">
        <v>4</v>
      </c>
      <c r="U386" s="8">
        <v>2</v>
      </c>
      <c r="V386" s="8" t="str">
        <f>IF(Table13[[#This Row],[BMI]]&lt;=18.5,"Underweight",IF(Table13[[#This Row],[BMI]]&lt;=24.9,"Normal",IF(Table13[[#This Row],[BMI]]&lt;=29.9,"Overweight",IF(Table13[[#This Row],[BMI]]&lt;=39,"Obese","Severly Obese"))))</f>
        <v>Underweight</v>
      </c>
      <c r="W386" s="18">
        <v>12.32</v>
      </c>
    </row>
    <row r="387" spans="6:23" x14ac:dyDescent="0.3">
      <c r="F387" s="17">
        <v>24</v>
      </c>
      <c r="G387" s="8" t="str">
        <f>IF(Table13[[#This Row],[Age]]&lt;25,"18-24",IF(Table13[[#This Row],[Age]]&lt;35,"25-34",IF(Table13[[#This Row],[Age]]&lt;45,"35-44",IF(Table13[[#This Row],[Age]]&lt;55,"45-54","55-64"))))</f>
        <v>18-24</v>
      </c>
      <c r="H387" s="8" t="s">
        <v>17</v>
      </c>
      <c r="I387" s="8">
        <v>48.3</v>
      </c>
      <c r="J387" s="8">
        <v>1.73</v>
      </c>
      <c r="K387" s="8">
        <v>193</v>
      </c>
      <c r="L387" s="8">
        <v>136</v>
      </c>
      <c r="M387" s="8">
        <v>62</v>
      </c>
      <c r="N387" s="8">
        <v>1.98</v>
      </c>
      <c r="O387" s="8">
        <v>1404</v>
      </c>
      <c r="P387" s="8" t="s">
        <v>18</v>
      </c>
      <c r="Q387" s="8" t="str">
        <f>_xlfn.IFS(AND(Table13[[#This Row],[Gender]]="female",R387&lt;20),"Athletes",AND(Table13[[#This Row],[Gender]]="female",R387&lt;24),"Fitnesss",AND(Table13[[#This Row],[Gender]]="female",R387&lt;31),"Acceptable",AND(Table13[[#This Row],[Gender]]="female",R387&lt;40),"Obese",AND(Table13[[#This Row],[Gender]]="male",R387&lt;13),"Athletes",AND(Table13[[#This Row],[Gender]]="male",R387&lt;17),"Fitnesss",AND(Table13[[#This Row],[Gender]]="male",R387&lt;24.9),"Acceptable",AND(Table13[[#This Row],[Gender]]="male",R387&lt;40),"Obese",AND(Table13[[#This Row],[Gender]]="others",R387&lt;20),"Athletes",AND(Table13[[#This Row],[Gender]]="others",R387&lt;24),"Fitnesss",AND(Table13[[#This Row],[Gender]]="others",R387&lt;31),"Acceptable",AND(Table13[[#This Row],[Gender]]="others",R387&lt;40),"Obese")</f>
        <v>Fitnesss</v>
      </c>
      <c r="R387" s="8">
        <v>22</v>
      </c>
      <c r="S387" s="8">
        <v>3.5</v>
      </c>
      <c r="T387" s="8">
        <v>3</v>
      </c>
      <c r="U387" s="8">
        <v>1</v>
      </c>
      <c r="V387" s="8" t="str">
        <f>IF(Table13[[#This Row],[BMI]]&lt;=18.5,"Underweight",IF(Table13[[#This Row],[BMI]]&lt;=24.9,"Normal",IF(Table13[[#This Row],[BMI]]&lt;=29.9,"Overweight",IF(Table13[[#This Row],[BMI]]&lt;=39,"Obese","Severly Obese"))))</f>
        <v>Underweight</v>
      </c>
      <c r="W387" s="18">
        <v>13.22</v>
      </c>
    </row>
    <row r="388" spans="6:23" x14ac:dyDescent="0.3">
      <c r="F388" s="17">
        <v>45</v>
      </c>
      <c r="G388" s="8" t="str">
        <f>IF(Table13[[#This Row],[Age]]&lt;25,"18-24",IF(Table13[[#This Row],[Age]]&lt;35,"25-34",IF(Table13[[#This Row],[Age]]&lt;45,"35-44",IF(Table13[[#This Row],[Age]]&lt;55,"45-54","55-64"))))</f>
        <v>45-54</v>
      </c>
      <c r="H388" s="8" t="s">
        <v>17</v>
      </c>
      <c r="I388" s="8">
        <v>80.5</v>
      </c>
      <c r="J388" s="8">
        <v>1.89</v>
      </c>
      <c r="K388" s="8">
        <v>183</v>
      </c>
      <c r="L388" s="8">
        <v>134</v>
      </c>
      <c r="M388" s="8">
        <v>74</v>
      </c>
      <c r="N388" s="8">
        <v>1.02</v>
      </c>
      <c r="O388" s="8">
        <v>1311</v>
      </c>
      <c r="P388" s="8" t="s">
        <v>21</v>
      </c>
      <c r="Q388" s="8" t="str">
        <f>_xlfn.IFS(AND(Table13[[#This Row],[Gender]]="female",R388&lt;20),"Athletes",AND(Table13[[#This Row],[Gender]]="female",R388&lt;24),"Fitnesss",AND(Table13[[#This Row],[Gender]]="female",R388&lt;31),"Acceptable",AND(Table13[[#This Row],[Gender]]="female",R388&lt;40),"Obese",AND(Table13[[#This Row],[Gender]]="male",R388&lt;13),"Athletes",AND(Table13[[#This Row],[Gender]]="male",R388&lt;17),"Fitnesss",AND(Table13[[#This Row],[Gender]]="male",R388&lt;24.9),"Acceptable",AND(Table13[[#This Row],[Gender]]="male",R388&lt;40),"Obese",AND(Table13[[#This Row],[Gender]]="others",R388&lt;20),"Athletes",AND(Table13[[#This Row],[Gender]]="others",R388&lt;24),"Fitnesss",AND(Table13[[#This Row],[Gender]]="others",R388&lt;31),"Acceptable",AND(Table13[[#This Row],[Gender]]="others",R388&lt;40),"Obese")</f>
        <v>Acceptable</v>
      </c>
      <c r="R388" s="8">
        <v>24.6</v>
      </c>
      <c r="S388" s="8">
        <v>1.9</v>
      </c>
      <c r="T388" s="8">
        <v>4</v>
      </c>
      <c r="U388" s="8">
        <v>1</v>
      </c>
      <c r="V388" s="8" t="str">
        <f>IF(Table13[[#This Row],[BMI]]&lt;=18.5,"Underweight",IF(Table13[[#This Row],[BMI]]&lt;=24.9,"Normal",IF(Table13[[#This Row],[BMI]]&lt;=29.9,"Overweight",IF(Table13[[#This Row],[BMI]]&lt;=39,"Obese","Severly Obese"))))</f>
        <v>Underweight</v>
      </c>
      <c r="W388" s="18">
        <v>12.32</v>
      </c>
    </row>
    <row r="389" spans="6:23" x14ac:dyDescent="0.3">
      <c r="F389" s="17">
        <v>35</v>
      </c>
      <c r="G389" s="8" t="str">
        <f>IF(Table13[[#This Row],[Age]]&lt;25,"18-24",IF(Table13[[#This Row],[Age]]&lt;35,"25-34",IF(Table13[[#This Row],[Age]]&lt;45,"35-44",IF(Table13[[#This Row],[Age]]&lt;55,"45-54","55-64"))))</f>
        <v>35-44</v>
      </c>
      <c r="H389" s="8" t="s">
        <v>17</v>
      </c>
      <c r="I389" s="8">
        <v>42.9</v>
      </c>
      <c r="J389" s="8">
        <v>1.51</v>
      </c>
      <c r="K389" s="8">
        <v>163</v>
      </c>
      <c r="L389" s="8">
        <v>131</v>
      </c>
      <c r="M389" s="8">
        <v>74</v>
      </c>
      <c r="N389" s="8">
        <v>2</v>
      </c>
      <c r="O389" s="8">
        <v>526</v>
      </c>
      <c r="P389" s="8" t="s">
        <v>20</v>
      </c>
      <c r="Q389" s="8" t="str">
        <f>_xlfn.IFS(AND(Table13[[#This Row],[Gender]]="female",R389&lt;20),"Athletes",AND(Table13[[#This Row],[Gender]]="female",R389&lt;24),"Fitnesss",AND(Table13[[#This Row],[Gender]]="female",R389&lt;31),"Acceptable",AND(Table13[[#This Row],[Gender]]="female",R389&lt;40),"Obese",AND(Table13[[#This Row],[Gender]]="male",R389&lt;13),"Athletes",AND(Table13[[#This Row],[Gender]]="male",R389&lt;17),"Fitnesss",AND(Table13[[#This Row],[Gender]]="male",R389&lt;24.9),"Acceptable",AND(Table13[[#This Row],[Gender]]="male",R389&lt;40),"Obese",AND(Table13[[#This Row],[Gender]]="others",R389&lt;20),"Athletes",AND(Table13[[#This Row],[Gender]]="others",R389&lt;24),"Fitnesss",AND(Table13[[#This Row],[Gender]]="others",R389&lt;31),"Acceptable",AND(Table13[[#This Row],[Gender]]="others",R389&lt;40),"Obese")</f>
        <v>Athletes</v>
      </c>
      <c r="R389" s="8">
        <v>15.3</v>
      </c>
      <c r="S389" s="8">
        <v>3.3</v>
      </c>
      <c r="T389" s="8">
        <v>5</v>
      </c>
      <c r="U389" s="8"/>
      <c r="V389" s="8" t="str">
        <f>IF(Table13[[#This Row],[BMI]]&lt;=18.5,"Underweight",IF(Table13[[#This Row],[BMI]]&lt;=24.9,"Normal",IF(Table13[[#This Row],[BMI]]&lt;=29.9,"Overweight",IF(Table13[[#This Row],[BMI]]&lt;=39,"Obese","Severly Obese"))))</f>
        <v>Underweight</v>
      </c>
      <c r="W389" s="18">
        <v>13.74</v>
      </c>
    </row>
    <row r="390" spans="6:23" x14ac:dyDescent="0.3">
      <c r="F390" s="17">
        <v>18</v>
      </c>
      <c r="G390" s="8" t="str">
        <f>IF(Table13[[#This Row],[Age]]&lt;25,"18-24",IF(Table13[[#This Row],[Age]]&lt;35,"25-34",IF(Table13[[#This Row],[Age]]&lt;45,"35-44",IF(Table13[[#This Row],[Age]]&lt;55,"45-54","55-64"))))</f>
        <v>18-24</v>
      </c>
      <c r="H390" s="8" t="s">
        <v>19</v>
      </c>
      <c r="I390" s="8">
        <v>74.599999999999994</v>
      </c>
      <c r="J390" s="8">
        <v>1.88</v>
      </c>
      <c r="K390" s="8">
        <v>177</v>
      </c>
      <c r="L390" s="8">
        <v>166</v>
      </c>
      <c r="M390" s="8">
        <v>53</v>
      </c>
      <c r="N390" s="8">
        <v>2</v>
      </c>
      <c r="O390" s="8">
        <v>1010</v>
      </c>
      <c r="P390" s="8" t="s">
        <v>20</v>
      </c>
      <c r="Q390" s="8" t="str">
        <f>_xlfn.IFS(AND(Table13[[#This Row],[Gender]]="female",R390&lt;20),"Athletes",AND(Table13[[#This Row],[Gender]]="female",R390&lt;24),"Fitnesss",AND(Table13[[#This Row],[Gender]]="female",R390&lt;31),"Acceptable",AND(Table13[[#This Row],[Gender]]="female",R390&lt;40),"Obese",AND(Table13[[#This Row],[Gender]]="male",R390&lt;13),"Athletes",AND(Table13[[#This Row],[Gender]]="male",R390&lt;17),"Fitnesss",AND(Table13[[#This Row],[Gender]]="male",R390&lt;24.9),"Acceptable",AND(Table13[[#This Row],[Gender]]="male",R390&lt;40),"Obese",AND(Table13[[#This Row],[Gender]]="others",R390&lt;20),"Athletes",AND(Table13[[#This Row],[Gender]]="others",R390&lt;24),"Fitnesss",AND(Table13[[#This Row],[Gender]]="others",R390&lt;31),"Acceptable",AND(Table13[[#This Row],[Gender]]="others",R390&lt;40),"Obese")</f>
        <v>Acceptable</v>
      </c>
      <c r="R390" s="8">
        <v>18</v>
      </c>
      <c r="S390" s="8">
        <v>2.2000000000000002</v>
      </c>
      <c r="T390" s="8">
        <v>5</v>
      </c>
      <c r="U390" s="8">
        <v>1</v>
      </c>
      <c r="V390" s="8" t="str">
        <f>IF(Table13[[#This Row],[BMI]]&lt;=18.5,"Underweight",IF(Table13[[#This Row],[BMI]]&lt;=24.9,"Normal",IF(Table13[[#This Row],[BMI]]&lt;=29.9,"Overweight",IF(Table13[[#This Row],[BMI]]&lt;=39,"Obese","Severly Obese"))))</f>
        <v>Obese</v>
      </c>
      <c r="W390" s="18">
        <v>30.5</v>
      </c>
    </row>
    <row r="391" spans="6:23" x14ac:dyDescent="0.3">
      <c r="F391" s="17">
        <v>21</v>
      </c>
      <c r="G391" s="8" t="str">
        <f>IF(Table13[[#This Row],[Age]]&lt;25,"18-24",IF(Table13[[#This Row],[Age]]&lt;35,"25-34",IF(Table13[[#This Row],[Age]]&lt;45,"35-44",IF(Table13[[#This Row],[Age]]&lt;55,"45-54","55-64"))))</f>
        <v>18-24</v>
      </c>
      <c r="H391" s="8" t="s">
        <v>19</v>
      </c>
      <c r="I391" s="8">
        <v>66.7</v>
      </c>
      <c r="J391" s="8">
        <v>1.93</v>
      </c>
      <c r="K391" s="8">
        <v>175</v>
      </c>
      <c r="L391" s="8">
        <v>166</v>
      </c>
      <c r="M391" s="8">
        <v>63</v>
      </c>
      <c r="N391" s="8">
        <v>1.26</v>
      </c>
      <c r="O391" s="8">
        <v>949</v>
      </c>
      <c r="P391" s="8" t="s">
        <v>22</v>
      </c>
      <c r="Q391" s="8" t="str">
        <f>_xlfn.IFS(AND(Table13[[#This Row],[Gender]]="female",R391&lt;20),"Athletes",AND(Table13[[#This Row],[Gender]]="female",R391&lt;24),"Fitnesss",AND(Table13[[#This Row],[Gender]]="female",R391&lt;31),"Acceptable",AND(Table13[[#This Row],[Gender]]="female",R391&lt;40),"Obese",AND(Table13[[#This Row],[Gender]]="male",R391&lt;13),"Athletes",AND(Table13[[#This Row],[Gender]]="male",R391&lt;17),"Fitnesss",AND(Table13[[#This Row],[Gender]]="male",R391&lt;24.9),"Acceptable",AND(Table13[[#This Row],[Gender]]="male",R391&lt;40),"Obese",AND(Table13[[#This Row],[Gender]]="others",R391&lt;20),"Athletes",AND(Table13[[#This Row],[Gender]]="others",R391&lt;24),"Fitnesss",AND(Table13[[#This Row],[Gender]]="others",R391&lt;31),"Acceptable",AND(Table13[[#This Row],[Gender]]="others",R391&lt;40),"Obese")</f>
        <v>Obese</v>
      </c>
      <c r="R391" s="8">
        <v>27.8</v>
      </c>
      <c r="S391" s="8">
        <v>3.4</v>
      </c>
      <c r="T391" s="8">
        <v>2</v>
      </c>
      <c r="U391" s="8">
        <v>2</v>
      </c>
      <c r="V391" s="8" t="str">
        <f>IF(Table13[[#This Row],[BMI]]&lt;=18.5,"Underweight",IF(Table13[[#This Row],[BMI]]&lt;=24.9,"Normal",IF(Table13[[#This Row],[BMI]]&lt;=29.9,"Overweight",IF(Table13[[#This Row],[BMI]]&lt;=39,"Obese","Severly Obese"))))</f>
        <v>Underweight</v>
      </c>
      <c r="W391" s="18">
        <v>13.53</v>
      </c>
    </row>
    <row r="392" spans="6:23" x14ac:dyDescent="0.3">
      <c r="F392" s="17">
        <v>31</v>
      </c>
      <c r="G392" s="8" t="str">
        <f>IF(Table13[[#This Row],[Age]]&lt;25,"18-24",IF(Table13[[#This Row],[Age]]&lt;35,"25-34",IF(Table13[[#This Row],[Age]]&lt;45,"35-44",IF(Table13[[#This Row],[Age]]&lt;55,"45-54","55-64"))))</f>
        <v>25-34</v>
      </c>
      <c r="H392" s="8" t="s">
        <v>17</v>
      </c>
      <c r="I392" s="8">
        <v>55</v>
      </c>
      <c r="J392" s="8">
        <v>1.6</v>
      </c>
      <c r="K392" s="8">
        <v>172</v>
      </c>
      <c r="L392" s="8">
        <v>164</v>
      </c>
      <c r="M392" s="8">
        <v>53</v>
      </c>
      <c r="N392" s="8">
        <v>1.85</v>
      </c>
      <c r="O392" s="8">
        <v>1361</v>
      </c>
      <c r="P392" s="8" t="s">
        <v>18</v>
      </c>
      <c r="Q392" s="8" t="str">
        <f>_xlfn.IFS(AND(Table13[[#This Row],[Gender]]="female",R392&lt;20),"Athletes",AND(Table13[[#This Row],[Gender]]="female",R392&lt;24),"Fitnesss",AND(Table13[[#This Row],[Gender]]="female",R392&lt;31),"Acceptable",AND(Table13[[#This Row],[Gender]]="female",R392&lt;40),"Obese",AND(Table13[[#This Row],[Gender]]="male",R392&lt;13),"Athletes",AND(Table13[[#This Row],[Gender]]="male",R392&lt;17),"Fitnesss",AND(Table13[[#This Row],[Gender]]="male",R392&lt;24.9),"Acceptable",AND(Table13[[#This Row],[Gender]]="male",R392&lt;40),"Obese",AND(Table13[[#This Row],[Gender]]="others",R392&lt;20),"Athletes",AND(Table13[[#This Row],[Gender]]="others",R392&lt;24),"Fitnesss",AND(Table13[[#This Row],[Gender]]="others",R392&lt;31),"Acceptable",AND(Table13[[#This Row],[Gender]]="others",R392&lt;40),"Obese")</f>
        <v>Fitnesss</v>
      </c>
      <c r="R392" s="8">
        <v>20.6</v>
      </c>
      <c r="S392" s="8">
        <v>3.4</v>
      </c>
      <c r="T392" s="8">
        <v>4</v>
      </c>
      <c r="U392" s="8">
        <v>1</v>
      </c>
      <c r="V392" s="8" t="str">
        <f>IF(Table13[[#This Row],[BMI]]&lt;=18.5,"Underweight",IF(Table13[[#This Row],[BMI]]&lt;=24.9,"Normal",IF(Table13[[#This Row],[BMI]]&lt;=29.9,"Overweight",IF(Table13[[#This Row],[BMI]]&lt;=39,"Obese","Severly Obese"))))</f>
        <v>Underweight</v>
      </c>
      <c r="W392" s="18">
        <v>16.04</v>
      </c>
    </row>
    <row r="393" spans="6:23" x14ac:dyDescent="0.3">
      <c r="F393" s="17">
        <v>27</v>
      </c>
      <c r="G393" s="8" t="str">
        <f>IF(Table13[[#This Row],[Age]]&lt;25,"18-24",IF(Table13[[#This Row],[Age]]&lt;35,"25-34",IF(Table13[[#This Row],[Age]]&lt;45,"35-44",IF(Table13[[#This Row],[Age]]&lt;55,"45-54","55-64"))))</f>
        <v>25-34</v>
      </c>
      <c r="H393" s="8" t="s">
        <v>17</v>
      </c>
      <c r="I393" s="8">
        <v>52.3</v>
      </c>
      <c r="J393" s="8">
        <v>1.77</v>
      </c>
      <c r="K393" s="8">
        <v>193</v>
      </c>
      <c r="L393" s="8">
        <v>130</v>
      </c>
      <c r="M393" s="8">
        <v>57</v>
      </c>
      <c r="N393" s="8">
        <v>2</v>
      </c>
      <c r="O393" s="8">
        <v>993</v>
      </c>
      <c r="P393" s="8" t="s">
        <v>22</v>
      </c>
      <c r="Q393" s="8" t="str">
        <f>_xlfn.IFS(AND(Table13[[#This Row],[Gender]]="female",R393&lt;20),"Athletes",AND(Table13[[#This Row],[Gender]]="female",R393&lt;24),"Fitnesss",AND(Table13[[#This Row],[Gender]]="female",R393&lt;31),"Acceptable",AND(Table13[[#This Row],[Gender]]="female",R393&lt;40),"Obese",AND(Table13[[#This Row],[Gender]]="male",R393&lt;13),"Athletes",AND(Table13[[#This Row],[Gender]]="male",R393&lt;17),"Fitnesss",AND(Table13[[#This Row],[Gender]]="male",R393&lt;24.9),"Acceptable",AND(Table13[[#This Row],[Gender]]="male",R393&lt;40),"Obese",AND(Table13[[#This Row],[Gender]]="others",R393&lt;20),"Athletes",AND(Table13[[#This Row],[Gender]]="others",R393&lt;24),"Fitnesss",AND(Table13[[#This Row],[Gender]]="others",R393&lt;31),"Acceptable",AND(Table13[[#This Row],[Gender]]="others",R393&lt;40),"Obese")</f>
        <v>Acceptable</v>
      </c>
      <c r="R393" s="8">
        <v>25.6</v>
      </c>
      <c r="S393" s="8"/>
      <c r="T393" s="8">
        <v>4</v>
      </c>
      <c r="U393" s="8">
        <v>1</v>
      </c>
      <c r="V393" s="8" t="str">
        <f>IF(Table13[[#This Row],[BMI]]&lt;=18.5,"Underweight",IF(Table13[[#This Row],[BMI]]&lt;=24.9,"Normal",IF(Table13[[#This Row],[BMI]]&lt;=29.9,"Overweight",IF(Table13[[#This Row],[BMI]]&lt;=39,"Obese","Severly Obese"))))</f>
        <v>Underweight</v>
      </c>
      <c r="W393" s="18">
        <v>15.08</v>
      </c>
    </row>
    <row r="394" spans="6:23" x14ac:dyDescent="0.3">
      <c r="F394" s="17">
        <v>46</v>
      </c>
      <c r="G394" s="8" t="str">
        <f>IF(Table13[[#This Row],[Age]]&lt;25,"18-24",IF(Table13[[#This Row],[Age]]&lt;35,"25-34",IF(Table13[[#This Row],[Age]]&lt;45,"35-44",IF(Table13[[#This Row],[Age]]&lt;55,"45-54","55-64"))))</f>
        <v>45-54</v>
      </c>
      <c r="H394" s="8" t="s">
        <v>19</v>
      </c>
      <c r="I394" s="8">
        <v>65.7</v>
      </c>
      <c r="J394" s="8">
        <v>1.75</v>
      </c>
      <c r="K394" s="8">
        <v>192</v>
      </c>
      <c r="L394" s="8">
        <v>135</v>
      </c>
      <c r="M394" s="8">
        <v>59</v>
      </c>
      <c r="N394" s="8">
        <v>1.31</v>
      </c>
      <c r="O394" s="8">
        <v>881</v>
      </c>
      <c r="P394" s="8" t="s">
        <v>18</v>
      </c>
      <c r="Q394" s="8" t="str">
        <f>_xlfn.IFS(AND(Table13[[#This Row],[Gender]]="female",R394&lt;20),"Athletes",AND(Table13[[#This Row],[Gender]]="female",R394&lt;24),"Fitnesss",AND(Table13[[#This Row],[Gender]]="female",R394&lt;31),"Acceptable",AND(Table13[[#This Row],[Gender]]="female",R394&lt;40),"Obese",AND(Table13[[#This Row],[Gender]]="male",R394&lt;13),"Athletes",AND(Table13[[#This Row],[Gender]]="male",R394&lt;17),"Fitnesss",AND(Table13[[#This Row],[Gender]]="male",R394&lt;24.9),"Acceptable",AND(Table13[[#This Row],[Gender]]="male",R394&lt;40),"Obese",AND(Table13[[#This Row],[Gender]]="others",R394&lt;20),"Athletes",AND(Table13[[#This Row],[Gender]]="others",R394&lt;24),"Fitnesss",AND(Table13[[#This Row],[Gender]]="others",R394&lt;31),"Acceptable",AND(Table13[[#This Row],[Gender]]="others",R394&lt;40),"Obese")</f>
        <v>Athletes</v>
      </c>
      <c r="R394" s="8">
        <v>10</v>
      </c>
      <c r="S394" s="8">
        <v>2.7</v>
      </c>
      <c r="T394" s="8">
        <v>2</v>
      </c>
      <c r="U394" s="8">
        <v>1</v>
      </c>
      <c r="V394" s="8" t="str">
        <f>IF(Table13[[#This Row],[BMI]]&lt;=18.5,"Underweight",IF(Table13[[#This Row],[BMI]]&lt;=24.9,"Normal",IF(Table13[[#This Row],[BMI]]&lt;=29.9,"Overweight",IF(Table13[[#This Row],[BMI]]&lt;=39,"Obese","Severly Obese"))))</f>
        <v>Obese</v>
      </c>
      <c r="W394" s="18">
        <v>31.78</v>
      </c>
    </row>
    <row r="395" spans="6:23" x14ac:dyDescent="0.3">
      <c r="F395" s="17">
        <v>53</v>
      </c>
      <c r="G395" s="8" t="str">
        <f>IF(Table13[[#This Row],[Age]]&lt;25,"18-24",IF(Table13[[#This Row],[Age]]&lt;35,"25-34",IF(Table13[[#This Row],[Age]]&lt;45,"35-44",IF(Table13[[#This Row],[Age]]&lt;55,"45-54","55-64"))))</f>
        <v>45-54</v>
      </c>
      <c r="H395" s="8" t="s">
        <v>17</v>
      </c>
      <c r="I395" s="8">
        <v>84.7</v>
      </c>
      <c r="J395" s="8">
        <v>1.61</v>
      </c>
      <c r="K395" s="8">
        <v>193</v>
      </c>
      <c r="L395" s="8">
        <v>158</v>
      </c>
      <c r="M395" s="8">
        <v>72</v>
      </c>
      <c r="N395" s="8">
        <v>2</v>
      </c>
      <c r="O395" s="8">
        <v>478</v>
      </c>
      <c r="P395" s="8" t="s">
        <v>22</v>
      </c>
      <c r="Q395" s="8" t="str">
        <f>_xlfn.IFS(AND(Table13[[#This Row],[Gender]]="female",R395&lt;20),"Athletes",AND(Table13[[#This Row],[Gender]]="female",R395&lt;24),"Fitnesss",AND(Table13[[#This Row],[Gender]]="female",R395&lt;31),"Acceptable",AND(Table13[[#This Row],[Gender]]="female",R395&lt;40),"Obese",AND(Table13[[#This Row],[Gender]]="male",R395&lt;13),"Athletes",AND(Table13[[#This Row],[Gender]]="male",R395&lt;17),"Fitnesss",AND(Table13[[#This Row],[Gender]]="male",R395&lt;24.9),"Acceptable",AND(Table13[[#This Row],[Gender]]="male",R395&lt;40),"Obese",AND(Table13[[#This Row],[Gender]]="others",R395&lt;20),"Athletes",AND(Table13[[#This Row],[Gender]]="others",R395&lt;24),"Fitnesss",AND(Table13[[#This Row],[Gender]]="others",R395&lt;31),"Acceptable",AND(Table13[[#This Row],[Gender]]="others",R395&lt;40),"Obese")</f>
        <v>Acceptable</v>
      </c>
      <c r="R395" s="8">
        <v>25.6</v>
      </c>
      <c r="S395" s="8">
        <v>2.4</v>
      </c>
      <c r="T395" s="8">
        <v>3</v>
      </c>
      <c r="U395" s="8">
        <v>1</v>
      </c>
      <c r="V395" s="8" t="str">
        <f>IF(Table13[[#This Row],[BMI]]&lt;=18.5,"Underweight",IF(Table13[[#This Row],[BMI]]&lt;=24.9,"Normal",IF(Table13[[#This Row],[BMI]]&lt;=29.9,"Overweight",IF(Table13[[#This Row],[BMI]]&lt;=39,"Obese","Severly Obese"))))</f>
        <v>Normal</v>
      </c>
      <c r="W395" s="18">
        <v>18.57</v>
      </c>
    </row>
    <row r="396" spans="6:23" x14ac:dyDescent="0.3">
      <c r="F396" s="17">
        <v>18</v>
      </c>
      <c r="G396" s="8" t="str">
        <f>IF(Table13[[#This Row],[Age]]&lt;25,"18-24",IF(Table13[[#This Row],[Age]]&lt;35,"25-34",IF(Table13[[#This Row],[Age]]&lt;45,"35-44",IF(Table13[[#This Row],[Age]]&lt;55,"45-54","55-64"))))</f>
        <v>18-24</v>
      </c>
      <c r="H396" s="8" t="s">
        <v>23</v>
      </c>
      <c r="I396" s="8">
        <v>80.400000000000006</v>
      </c>
      <c r="J396" s="8">
        <v>1.97</v>
      </c>
      <c r="K396" s="8">
        <v>172</v>
      </c>
      <c r="L396" s="8">
        <v>137</v>
      </c>
      <c r="M396" s="8">
        <v>74</v>
      </c>
      <c r="N396" s="8">
        <v>1.62</v>
      </c>
      <c r="O396" s="8">
        <v>617</v>
      </c>
      <c r="P396" s="8" t="s">
        <v>18</v>
      </c>
      <c r="Q396" s="8" t="str">
        <f>_xlfn.IFS(AND(Table13[[#This Row],[Gender]]="female",R396&lt;20),"Athletes",AND(Table13[[#This Row],[Gender]]="female",R396&lt;24),"Fitnesss",AND(Table13[[#This Row],[Gender]]="female",R396&lt;31),"Acceptable",AND(Table13[[#This Row],[Gender]]="female",R396&lt;40),"Obese",AND(Table13[[#This Row],[Gender]]="male",R396&lt;13),"Athletes",AND(Table13[[#This Row],[Gender]]="male",R396&lt;17),"Fitnesss",AND(Table13[[#This Row],[Gender]]="male",R396&lt;24.9),"Acceptable",AND(Table13[[#This Row],[Gender]]="male",R396&lt;40),"Obese",AND(Table13[[#This Row],[Gender]]="others",R396&lt;20),"Athletes",AND(Table13[[#This Row],[Gender]]="others",R396&lt;24),"Fitnesss",AND(Table13[[#This Row],[Gender]]="others",R396&lt;31),"Acceptable",AND(Table13[[#This Row],[Gender]]="others",R396&lt;40),"Obese")</f>
        <v>Fitnesss</v>
      </c>
      <c r="R396" s="8">
        <v>22.4</v>
      </c>
      <c r="S396" s="8">
        <v>3.4</v>
      </c>
      <c r="T396" s="8">
        <v>3</v>
      </c>
      <c r="U396" s="8">
        <v>1</v>
      </c>
      <c r="V396" s="8" t="str">
        <f>IF(Table13[[#This Row],[BMI]]&lt;=18.5,"Underweight",IF(Table13[[#This Row],[BMI]]&lt;=24.9,"Normal",IF(Table13[[#This Row],[BMI]]&lt;=29.9,"Overweight",IF(Table13[[#This Row],[BMI]]&lt;=39,"Obese","Severly Obese"))))</f>
        <v>Underweight</v>
      </c>
      <c r="W396" s="18">
        <v>16.91</v>
      </c>
    </row>
    <row r="397" spans="6:23" x14ac:dyDescent="0.3">
      <c r="F397" s="17">
        <v>18</v>
      </c>
      <c r="G397" s="8" t="str">
        <f>IF(Table13[[#This Row],[Age]]&lt;25,"18-24",IF(Table13[[#This Row],[Age]]&lt;35,"25-34",IF(Table13[[#This Row],[Age]]&lt;45,"35-44",IF(Table13[[#This Row],[Age]]&lt;55,"45-54","55-64"))))</f>
        <v>18-24</v>
      </c>
      <c r="H397" s="8" t="s">
        <v>17</v>
      </c>
      <c r="I397" s="8">
        <v>63.4</v>
      </c>
      <c r="J397" s="8">
        <v>1.85</v>
      </c>
      <c r="K397" s="8">
        <v>191</v>
      </c>
      <c r="L397" s="8">
        <v>148</v>
      </c>
      <c r="M397" s="8">
        <v>69</v>
      </c>
      <c r="N397" s="8">
        <v>0.89</v>
      </c>
      <c r="O397" s="8">
        <v>1106</v>
      </c>
      <c r="P397" s="8" t="s">
        <v>18</v>
      </c>
      <c r="Q397" s="8" t="str">
        <f>_xlfn.IFS(AND(Table13[[#This Row],[Gender]]="female",R397&lt;20),"Athletes",AND(Table13[[#This Row],[Gender]]="female",R397&lt;24),"Fitnesss",AND(Table13[[#This Row],[Gender]]="female",R397&lt;31),"Acceptable",AND(Table13[[#This Row],[Gender]]="female",R397&lt;40),"Obese",AND(Table13[[#This Row],[Gender]]="male",R397&lt;13),"Athletes",AND(Table13[[#This Row],[Gender]]="male",R397&lt;17),"Fitnesss",AND(Table13[[#This Row],[Gender]]="male",R397&lt;24.9),"Acceptable",AND(Table13[[#This Row],[Gender]]="male",R397&lt;40),"Obese",AND(Table13[[#This Row],[Gender]]="others",R397&lt;20),"Athletes",AND(Table13[[#This Row],[Gender]]="others",R397&lt;24),"Fitnesss",AND(Table13[[#This Row],[Gender]]="others",R397&lt;31),"Acceptable",AND(Table13[[#This Row],[Gender]]="others",R397&lt;40),"Obese")</f>
        <v>Fitnesss</v>
      </c>
      <c r="R397" s="8">
        <v>21.4</v>
      </c>
      <c r="S397" s="8">
        <v>2.2999999999999998</v>
      </c>
      <c r="T397" s="8">
        <v>5</v>
      </c>
      <c r="U397" s="8">
        <v>3</v>
      </c>
      <c r="V397" s="8" t="str">
        <f>IF(Table13[[#This Row],[BMI]]&lt;=18.5,"Underweight",IF(Table13[[#This Row],[BMI]]&lt;=24.9,"Normal",IF(Table13[[#This Row],[BMI]]&lt;=29.9,"Overweight",IF(Table13[[#This Row],[BMI]]&lt;=39,"Obese","Severly Obese"))))</f>
        <v>Underweight</v>
      </c>
      <c r="W397" s="18">
        <v>15.64</v>
      </c>
    </row>
    <row r="398" spans="6:23" x14ac:dyDescent="0.3">
      <c r="F398" s="17">
        <v>48</v>
      </c>
      <c r="G398" s="8" t="str">
        <f>IF(Table13[[#This Row],[Age]]&lt;25,"18-24",IF(Table13[[#This Row],[Age]]&lt;35,"25-34",IF(Table13[[#This Row],[Age]]&lt;45,"35-44",IF(Table13[[#This Row],[Age]]&lt;55,"45-54","55-64"))))</f>
        <v>45-54</v>
      </c>
      <c r="H398" s="8" t="s">
        <v>17</v>
      </c>
      <c r="I398" s="8">
        <v>61.8</v>
      </c>
      <c r="J398" s="8">
        <v>1.71</v>
      </c>
      <c r="K398" s="8">
        <v>172</v>
      </c>
      <c r="L398" s="8">
        <v>140</v>
      </c>
      <c r="M398" s="8">
        <v>62</v>
      </c>
      <c r="N398" s="8">
        <v>1.37</v>
      </c>
      <c r="O398" s="8">
        <v>1266</v>
      </c>
      <c r="P398" s="8" t="s">
        <v>20</v>
      </c>
      <c r="Q398" s="8" t="str">
        <f>_xlfn.IFS(AND(Table13[[#This Row],[Gender]]="female",R398&lt;20),"Athletes",AND(Table13[[#This Row],[Gender]]="female",R398&lt;24),"Fitnesss",AND(Table13[[#This Row],[Gender]]="female",R398&lt;31),"Acceptable",AND(Table13[[#This Row],[Gender]]="female",R398&lt;40),"Obese",AND(Table13[[#This Row],[Gender]]="male",R398&lt;13),"Athletes",AND(Table13[[#This Row],[Gender]]="male",R398&lt;17),"Fitnesss",AND(Table13[[#This Row],[Gender]]="male",R398&lt;24.9),"Acceptable",AND(Table13[[#This Row],[Gender]]="male",R398&lt;40),"Obese",AND(Table13[[#This Row],[Gender]]="others",R398&lt;20),"Athletes",AND(Table13[[#This Row],[Gender]]="others",R398&lt;24),"Fitnesss",AND(Table13[[#This Row],[Gender]]="others",R398&lt;31),"Acceptable",AND(Table13[[#This Row],[Gender]]="others",R398&lt;40),"Obese")</f>
        <v>Acceptable</v>
      </c>
      <c r="R398" s="8">
        <v>28.6</v>
      </c>
      <c r="S398" s="8">
        <v>3.6</v>
      </c>
      <c r="T398" s="8">
        <v>4</v>
      </c>
      <c r="U398" s="8">
        <v>1</v>
      </c>
      <c r="V398" s="8" t="str">
        <f>IF(Table13[[#This Row],[BMI]]&lt;=18.5,"Underweight",IF(Table13[[#This Row],[BMI]]&lt;=24.9,"Normal",IF(Table13[[#This Row],[BMI]]&lt;=29.9,"Overweight",IF(Table13[[#This Row],[BMI]]&lt;=39,"Obese","Severly Obese"))))</f>
        <v>Normal</v>
      </c>
      <c r="W398" s="18">
        <v>23.64</v>
      </c>
    </row>
    <row r="399" spans="6:23" x14ac:dyDescent="0.3">
      <c r="F399" s="17">
        <v>53</v>
      </c>
      <c r="G399" s="8" t="str">
        <f>IF(Table13[[#This Row],[Age]]&lt;25,"18-24",IF(Table13[[#This Row],[Age]]&lt;35,"25-34",IF(Table13[[#This Row],[Age]]&lt;45,"35-44",IF(Table13[[#This Row],[Age]]&lt;55,"45-54","55-64"))))</f>
        <v>45-54</v>
      </c>
      <c r="H399" s="8" t="s">
        <v>23</v>
      </c>
      <c r="I399" s="8">
        <v>64.400000000000006</v>
      </c>
      <c r="J399" s="8">
        <v>1.58</v>
      </c>
      <c r="K399" s="8">
        <v>198</v>
      </c>
      <c r="L399" s="8">
        <v>158</v>
      </c>
      <c r="M399" s="8">
        <v>74</v>
      </c>
      <c r="N399" s="8">
        <v>1.82</v>
      </c>
      <c r="O399" s="8">
        <v>1144</v>
      </c>
      <c r="P399" s="8" t="s">
        <v>22</v>
      </c>
      <c r="Q399" s="8" t="str">
        <f>_xlfn.IFS(AND(Table13[[#This Row],[Gender]]="female",R399&lt;20),"Athletes",AND(Table13[[#This Row],[Gender]]="female",R399&lt;24),"Fitnesss",AND(Table13[[#This Row],[Gender]]="female",R399&lt;31),"Acceptable",AND(Table13[[#This Row],[Gender]]="female",R399&lt;40),"Obese",AND(Table13[[#This Row],[Gender]]="male",R399&lt;13),"Athletes",AND(Table13[[#This Row],[Gender]]="male",R399&lt;17),"Fitnesss",AND(Table13[[#This Row],[Gender]]="male",R399&lt;24.9),"Acceptable",AND(Table13[[#This Row],[Gender]]="male",R399&lt;40),"Obese",AND(Table13[[#This Row],[Gender]]="others",R399&lt;20),"Athletes",AND(Table13[[#This Row],[Gender]]="others",R399&lt;24),"Fitnesss",AND(Table13[[#This Row],[Gender]]="others",R399&lt;31),"Acceptable",AND(Table13[[#This Row],[Gender]]="others",R399&lt;40),"Obese")</f>
        <v>Acceptable</v>
      </c>
      <c r="R399" s="8">
        <v>27.2</v>
      </c>
      <c r="S399" s="8">
        <v>3</v>
      </c>
      <c r="T399" s="8">
        <v>2</v>
      </c>
      <c r="U399" s="8">
        <v>1</v>
      </c>
      <c r="V399" s="8" t="str">
        <f>IF(Table13[[#This Row],[BMI]]&lt;=18.5,"Underweight",IF(Table13[[#This Row],[BMI]]&lt;=24.9,"Normal",IF(Table13[[#This Row],[BMI]]&lt;=29.9,"Overweight",IF(Table13[[#This Row],[BMI]]&lt;=39,"Obese","Severly Obese"))))</f>
        <v>Underweight</v>
      </c>
      <c r="W399" s="18">
        <v>18.329999999999998</v>
      </c>
    </row>
    <row r="400" spans="6:23" x14ac:dyDescent="0.3">
      <c r="F400" s="17">
        <v>25</v>
      </c>
      <c r="G400" s="8" t="str">
        <f>IF(Table13[[#This Row],[Age]]&lt;25,"18-24",IF(Table13[[#This Row],[Age]]&lt;35,"25-34",IF(Table13[[#This Row],[Age]]&lt;45,"35-44",IF(Table13[[#This Row],[Age]]&lt;55,"45-54","55-64"))))</f>
        <v>25-34</v>
      </c>
      <c r="H400" s="8" t="s">
        <v>19</v>
      </c>
      <c r="I400" s="8">
        <v>44.2</v>
      </c>
      <c r="J400" s="8">
        <v>1.9</v>
      </c>
      <c r="K400" s="8">
        <v>174</v>
      </c>
      <c r="L400" s="8">
        <v>159</v>
      </c>
      <c r="M400" s="8">
        <v>50</v>
      </c>
      <c r="N400" s="8">
        <v>1.1000000000000001</v>
      </c>
      <c r="O400" s="8">
        <v>1293</v>
      </c>
      <c r="P400" s="8" t="s">
        <v>22</v>
      </c>
      <c r="Q400" s="8" t="str">
        <f>_xlfn.IFS(AND(Table13[[#This Row],[Gender]]="female",R400&lt;20),"Athletes",AND(Table13[[#This Row],[Gender]]="female",R400&lt;24),"Fitnesss",AND(Table13[[#This Row],[Gender]]="female",R400&lt;31),"Acceptable",AND(Table13[[#This Row],[Gender]]="female",R400&lt;40),"Obese",AND(Table13[[#This Row],[Gender]]="male",R400&lt;13),"Athletes",AND(Table13[[#This Row],[Gender]]="male",R400&lt;17),"Fitnesss",AND(Table13[[#This Row],[Gender]]="male",R400&lt;24.9),"Acceptable",AND(Table13[[#This Row],[Gender]]="male",R400&lt;40),"Obese",AND(Table13[[#This Row],[Gender]]="others",R400&lt;20),"Athletes",AND(Table13[[#This Row],[Gender]]="others",R400&lt;24),"Fitnesss",AND(Table13[[#This Row],[Gender]]="others",R400&lt;31),"Acceptable",AND(Table13[[#This Row],[Gender]]="others",R400&lt;40),"Obese")</f>
        <v>Obese</v>
      </c>
      <c r="R400" s="8">
        <v>25.7</v>
      </c>
      <c r="S400" s="8">
        <v>2.5</v>
      </c>
      <c r="T400" s="8">
        <v>4</v>
      </c>
      <c r="U400" s="8">
        <v>2</v>
      </c>
      <c r="V400" s="8" t="str">
        <f>IF(Table13[[#This Row],[BMI]]&lt;=18.5,"Underweight",IF(Table13[[#This Row],[BMI]]&lt;=24.9,"Normal",IF(Table13[[#This Row],[BMI]]&lt;=29.9,"Overweight",IF(Table13[[#This Row],[BMI]]&lt;=39,"Obese","Severly Obese"))))</f>
        <v>Normal</v>
      </c>
      <c r="W400" s="18">
        <v>19.260000000000002</v>
      </c>
    </row>
    <row r="401" spans="6:23" x14ac:dyDescent="0.3">
      <c r="F401" s="17">
        <v>18</v>
      </c>
      <c r="G401" s="8" t="str">
        <f>IF(Table13[[#This Row],[Age]]&lt;25,"18-24",IF(Table13[[#This Row],[Age]]&lt;35,"25-34",IF(Table13[[#This Row],[Age]]&lt;45,"35-44",IF(Table13[[#This Row],[Age]]&lt;55,"45-54","55-64"))))</f>
        <v>18-24</v>
      </c>
      <c r="H401" s="8" t="s">
        <v>17</v>
      </c>
      <c r="I401" s="8">
        <v>43.1</v>
      </c>
      <c r="J401" s="8">
        <v>1.75</v>
      </c>
      <c r="K401" s="8">
        <v>183</v>
      </c>
      <c r="L401" s="8">
        <v>138</v>
      </c>
      <c r="M401" s="8">
        <v>53</v>
      </c>
      <c r="N401" s="8">
        <v>1.95</v>
      </c>
      <c r="O401" s="8">
        <v>437</v>
      </c>
      <c r="P401" s="8" t="s">
        <v>20</v>
      </c>
      <c r="Q401" s="8" t="str">
        <f>_xlfn.IFS(AND(Table13[[#This Row],[Gender]]="female",R401&lt;20),"Athletes",AND(Table13[[#This Row],[Gender]]="female",R401&lt;24),"Fitnesss",AND(Table13[[#This Row],[Gender]]="female",R401&lt;31),"Acceptable",AND(Table13[[#This Row],[Gender]]="female",R401&lt;40),"Obese",AND(Table13[[#This Row],[Gender]]="male",R401&lt;13),"Athletes",AND(Table13[[#This Row],[Gender]]="male",R401&lt;17),"Fitnesss",AND(Table13[[#This Row],[Gender]]="male",R401&lt;24.9),"Acceptable",AND(Table13[[#This Row],[Gender]]="male",R401&lt;40),"Obese",AND(Table13[[#This Row],[Gender]]="others",R401&lt;20),"Athletes",AND(Table13[[#This Row],[Gender]]="others",R401&lt;24),"Fitnesss",AND(Table13[[#This Row],[Gender]]="others",R401&lt;31),"Acceptable",AND(Table13[[#This Row],[Gender]]="others",R401&lt;40),"Obese")</f>
        <v>Athletes</v>
      </c>
      <c r="R401" s="8">
        <v>19.100000000000001</v>
      </c>
      <c r="S401" s="8">
        <v>3.6</v>
      </c>
      <c r="T401" s="8">
        <v>2</v>
      </c>
      <c r="U401" s="8">
        <v>2</v>
      </c>
      <c r="V401" s="8" t="str">
        <f>IF(Table13[[#This Row],[BMI]]&lt;=18.5,"Underweight",IF(Table13[[#This Row],[BMI]]&lt;=24.9,"Normal",IF(Table13[[#This Row],[BMI]]&lt;=29.9,"Overweight",IF(Table13[[#This Row],[BMI]]&lt;=39,"Obese","Severly Obese"))))</f>
        <v>Underweight</v>
      </c>
      <c r="W401" s="18">
        <v>18.14</v>
      </c>
    </row>
    <row r="402" spans="6:23" x14ac:dyDescent="0.3">
      <c r="F402" s="17">
        <v>18</v>
      </c>
      <c r="G402" s="8" t="str">
        <f>IF(Table13[[#This Row],[Age]]&lt;25,"18-24",IF(Table13[[#This Row],[Age]]&lt;35,"25-34",IF(Table13[[#This Row],[Age]]&lt;45,"35-44",IF(Table13[[#This Row],[Age]]&lt;55,"45-54","55-64"))))</f>
        <v>18-24</v>
      </c>
      <c r="H402" s="8" t="s">
        <v>19</v>
      </c>
      <c r="I402" s="8">
        <v>92.1</v>
      </c>
      <c r="J402" s="8">
        <v>1.59</v>
      </c>
      <c r="K402" s="8">
        <v>171</v>
      </c>
      <c r="L402" s="8">
        <v>150</v>
      </c>
      <c r="M402" s="8">
        <v>54</v>
      </c>
      <c r="N402" s="8">
        <v>1.17</v>
      </c>
      <c r="O402" s="8">
        <v>968</v>
      </c>
      <c r="P402" s="8" t="s">
        <v>22</v>
      </c>
      <c r="Q402" s="8" t="str">
        <f>_xlfn.IFS(AND(Table13[[#This Row],[Gender]]="female",R402&lt;20),"Athletes",AND(Table13[[#This Row],[Gender]]="female",R402&lt;24),"Fitnesss",AND(Table13[[#This Row],[Gender]]="female",R402&lt;31),"Acceptable",AND(Table13[[#This Row],[Gender]]="female",R402&lt;40),"Obese",AND(Table13[[#This Row],[Gender]]="male",R402&lt;13),"Athletes",AND(Table13[[#This Row],[Gender]]="male",R402&lt;17),"Fitnesss",AND(Table13[[#This Row],[Gender]]="male",R402&lt;24.9),"Acceptable",AND(Table13[[#This Row],[Gender]]="male",R402&lt;40),"Obese",AND(Table13[[#This Row],[Gender]]="others",R402&lt;20),"Athletes",AND(Table13[[#This Row],[Gender]]="others",R402&lt;24),"Fitnesss",AND(Table13[[#This Row],[Gender]]="others",R402&lt;31),"Acceptable",AND(Table13[[#This Row],[Gender]]="others",R402&lt;40),"Obese")</f>
        <v>Acceptable</v>
      </c>
      <c r="R402" s="8">
        <v>21.8</v>
      </c>
      <c r="S402" s="8">
        <v>2.4</v>
      </c>
      <c r="T402" s="8">
        <v>5</v>
      </c>
      <c r="U402" s="8">
        <v>2</v>
      </c>
      <c r="V402" s="8" t="str">
        <f>IF(Table13[[#This Row],[BMI]]&lt;=18.5,"Underweight",IF(Table13[[#This Row],[BMI]]&lt;=24.9,"Normal",IF(Table13[[#This Row],[BMI]]&lt;=29.9,"Overweight",IF(Table13[[#This Row],[BMI]]&lt;=39,"Obese","Severly Obese"))))</f>
        <v>Overweight</v>
      </c>
      <c r="W402" s="18">
        <v>25.66</v>
      </c>
    </row>
    <row r="403" spans="6:23" x14ac:dyDescent="0.3">
      <c r="F403" s="17">
        <v>31</v>
      </c>
      <c r="G403" s="8" t="str">
        <f>IF(Table13[[#This Row],[Age]]&lt;25,"18-24",IF(Table13[[#This Row],[Age]]&lt;35,"25-34",IF(Table13[[#This Row],[Age]]&lt;45,"35-44",IF(Table13[[#This Row],[Age]]&lt;55,"45-54","55-64"))))</f>
        <v>25-34</v>
      </c>
      <c r="H403" s="8" t="s">
        <v>19</v>
      </c>
      <c r="I403" s="8">
        <v>58.7</v>
      </c>
      <c r="J403" s="8">
        <v>1.66</v>
      </c>
      <c r="K403" s="8">
        <v>183</v>
      </c>
      <c r="L403" s="8">
        <v>149</v>
      </c>
      <c r="M403" s="8">
        <v>74</v>
      </c>
      <c r="N403" s="8">
        <v>1.1499999999999999</v>
      </c>
      <c r="O403" s="8">
        <v>1368</v>
      </c>
      <c r="P403" s="8" t="s">
        <v>20</v>
      </c>
      <c r="Q403" s="8" t="str">
        <f>_xlfn.IFS(AND(Table13[[#This Row],[Gender]]="female",R403&lt;20),"Athletes",AND(Table13[[#This Row],[Gender]]="female",R403&lt;24),"Fitnesss",AND(Table13[[#This Row],[Gender]]="female",R403&lt;31),"Acceptable",AND(Table13[[#This Row],[Gender]]="female",R403&lt;40),"Obese",AND(Table13[[#This Row],[Gender]]="male",R403&lt;13),"Athletes",AND(Table13[[#This Row],[Gender]]="male",R403&lt;17),"Fitnesss",AND(Table13[[#This Row],[Gender]]="male",R403&lt;24.9),"Acceptable",AND(Table13[[#This Row],[Gender]]="male",R403&lt;40),"Obese",AND(Table13[[#This Row],[Gender]]="others",R403&lt;20),"Athletes",AND(Table13[[#This Row],[Gender]]="others",R403&lt;24),"Fitnesss",AND(Table13[[#This Row],[Gender]]="others",R403&lt;31),"Acceptable",AND(Table13[[#This Row],[Gender]]="others",R403&lt;40),"Obese")</f>
        <v>Acceptable</v>
      </c>
      <c r="R403" s="8">
        <v>23.1</v>
      </c>
      <c r="S403" s="8">
        <v>2.2999999999999998</v>
      </c>
      <c r="T403" s="8">
        <v>4</v>
      </c>
      <c r="U403" s="8">
        <v>1</v>
      </c>
      <c r="V403" s="8" t="str">
        <f>IF(Table13[[#This Row],[BMI]]&lt;=18.5,"Underweight",IF(Table13[[#This Row],[BMI]]&lt;=24.9,"Normal",IF(Table13[[#This Row],[BMI]]&lt;=29.9,"Overweight",IF(Table13[[#This Row],[BMI]]&lt;=39,"Obese","Severly Obese"))))</f>
        <v>Underweight</v>
      </c>
      <c r="W403" s="18">
        <v>12.32</v>
      </c>
    </row>
    <row r="404" spans="6:23" x14ac:dyDescent="0.3">
      <c r="F404" s="17">
        <v>44</v>
      </c>
      <c r="G404" s="8" t="str">
        <f>IF(Table13[[#This Row],[Age]]&lt;25,"18-24",IF(Table13[[#This Row],[Age]]&lt;35,"25-34",IF(Table13[[#This Row],[Age]]&lt;45,"35-44",IF(Table13[[#This Row],[Age]]&lt;55,"45-54","55-64"))))</f>
        <v>35-44</v>
      </c>
      <c r="H404" s="8" t="s">
        <v>17</v>
      </c>
      <c r="I404" s="8">
        <v>59.4</v>
      </c>
      <c r="J404" s="8">
        <v>1.67</v>
      </c>
      <c r="K404" s="8">
        <v>197</v>
      </c>
      <c r="L404" s="8">
        <v>164</v>
      </c>
      <c r="M404" s="8">
        <v>53</v>
      </c>
      <c r="N404" s="8">
        <v>1.31</v>
      </c>
      <c r="O404" s="8">
        <v>676</v>
      </c>
      <c r="P404" s="8" t="s">
        <v>20</v>
      </c>
      <c r="Q404" s="8" t="str">
        <f>_xlfn.IFS(AND(Table13[[#This Row],[Gender]]="female",R404&lt;20),"Athletes",AND(Table13[[#This Row],[Gender]]="female",R404&lt;24),"Fitnesss",AND(Table13[[#This Row],[Gender]]="female",R404&lt;31),"Acceptable",AND(Table13[[#This Row],[Gender]]="female",R404&lt;40),"Obese",AND(Table13[[#This Row],[Gender]]="male",R404&lt;13),"Athletes",AND(Table13[[#This Row],[Gender]]="male",R404&lt;17),"Fitnesss",AND(Table13[[#This Row],[Gender]]="male",R404&lt;24.9),"Acceptable",AND(Table13[[#This Row],[Gender]]="male",R404&lt;40),"Obese",AND(Table13[[#This Row],[Gender]]="others",R404&lt;20),"Athletes",AND(Table13[[#This Row],[Gender]]="others",R404&lt;24),"Fitnesss",AND(Table13[[#This Row],[Gender]]="others",R404&lt;31),"Acceptable",AND(Table13[[#This Row],[Gender]]="others",R404&lt;40),"Obese")</f>
        <v>Acceptable</v>
      </c>
      <c r="R404" s="8">
        <v>24.8</v>
      </c>
      <c r="S404" s="8"/>
      <c r="T404" s="8">
        <v>3</v>
      </c>
      <c r="U404" s="8">
        <v>2</v>
      </c>
      <c r="V404" s="8" t="str">
        <f>IF(Table13[[#This Row],[BMI]]&lt;=18.5,"Underweight",IF(Table13[[#This Row],[BMI]]&lt;=24.9,"Normal",IF(Table13[[#This Row],[BMI]]&lt;=29.9,"Overweight",IF(Table13[[#This Row],[BMI]]&lt;=39,"Obese","Severly Obese"))))</f>
        <v>Normal</v>
      </c>
      <c r="W404" s="18">
        <v>19.28</v>
      </c>
    </row>
    <row r="405" spans="6:23" x14ac:dyDescent="0.3">
      <c r="F405" s="17">
        <v>59</v>
      </c>
      <c r="G405" s="8" t="str">
        <f>IF(Table13[[#This Row],[Age]]&lt;25,"18-24",IF(Table13[[#This Row],[Age]]&lt;35,"25-34",IF(Table13[[#This Row],[Age]]&lt;45,"35-44",IF(Table13[[#This Row],[Age]]&lt;55,"45-54","55-64"))))</f>
        <v>55-64</v>
      </c>
      <c r="H405" s="8" t="s">
        <v>17</v>
      </c>
      <c r="I405" s="8">
        <v>44.5</v>
      </c>
      <c r="J405" s="8">
        <v>1.84</v>
      </c>
      <c r="K405" s="8">
        <v>183</v>
      </c>
      <c r="L405" s="8">
        <v>154</v>
      </c>
      <c r="M405" s="8">
        <v>71</v>
      </c>
      <c r="N405" s="8">
        <v>1.28</v>
      </c>
      <c r="O405" s="8">
        <v>787</v>
      </c>
      <c r="P405" s="8" t="s">
        <v>20</v>
      </c>
      <c r="Q405" s="8" t="str">
        <f>_xlfn.IFS(AND(Table13[[#This Row],[Gender]]="female",R405&lt;20),"Athletes",AND(Table13[[#This Row],[Gender]]="female",R405&lt;24),"Fitnesss",AND(Table13[[#This Row],[Gender]]="female",R405&lt;31),"Acceptable",AND(Table13[[#This Row],[Gender]]="female",R405&lt;40),"Obese",AND(Table13[[#This Row],[Gender]]="male",R405&lt;13),"Athletes",AND(Table13[[#This Row],[Gender]]="male",R405&lt;17),"Fitnesss",AND(Table13[[#This Row],[Gender]]="male",R405&lt;24.9),"Acceptable",AND(Table13[[#This Row],[Gender]]="male",R405&lt;40),"Obese",AND(Table13[[#This Row],[Gender]]="others",R405&lt;20),"Athletes",AND(Table13[[#This Row],[Gender]]="others",R405&lt;24),"Fitnesss",AND(Table13[[#This Row],[Gender]]="others",R405&lt;31),"Acceptable",AND(Table13[[#This Row],[Gender]]="others",R405&lt;40),"Obese")</f>
        <v>Acceptable</v>
      </c>
      <c r="R405" s="8">
        <v>26.5</v>
      </c>
      <c r="S405" s="8">
        <v>1.7</v>
      </c>
      <c r="T405" s="8">
        <v>2</v>
      </c>
      <c r="U405" s="8">
        <v>2</v>
      </c>
      <c r="V405" s="8" t="str">
        <f>IF(Table13[[#This Row],[BMI]]&lt;=18.5,"Underweight",IF(Table13[[#This Row],[BMI]]&lt;=24.9,"Normal",IF(Table13[[#This Row],[BMI]]&lt;=29.9,"Overweight",IF(Table13[[#This Row],[BMI]]&lt;=39,"Obese","Severly Obese"))))</f>
        <v>Normal</v>
      </c>
      <c r="W405" s="18">
        <v>20.22</v>
      </c>
    </row>
    <row r="406" spans="6:23" x14ac:dyDescent="0.3">
      <c r="F406" s="17">
        <v>44</v>
      </c>
      <c r="G406" s="8" t="str">
        <f>IF(Table13[[#This Row],[Age]]&lt;25,"18-24",IF(Table13[[#This Row],[Age]]&lt;35,"25-34",IF(Table13[[#This Row],[Age]]&lt;45,"35-44",IF(Table13[[#This Row],[Age]]&lt;55,"45-54","55-64"))))</f>
        <v>35-44</v>
      </c>
      <c r="H406" s="8" t="s">
        <v>17</v>
      </c>
      <c r="I406" s="8">
        <v>84.8</v>
      </c>
      <c r="J406" s="8">
        <v>2</v>
      </c>
      <c r="K406" s="8">
        <v>196</v>
      </c>
      <c r="L406" s="8">
        <v>155</v>
      </c>
      <c r="M406" s="8">
        <v>70</v>
      </c>
      <c r="N406" s="8">
        <v>1.66</v>
      </c>
      <c r="O406" s="8">
        <v>1439</v>
      </c>
      <c r="P406" s="8" t="s">
        <v>21</v>
      </c>
      <c r="Q406" s="8" t="str">
        <f>_xlfn.IFS(AND(Table13[[#This Row],[Gender]]="female",R406&lt;20),"Athletes",AND(Table13[[#This Row],[Gender]]="female",R406&lt;24),"Fitnesss",AND(Table13[[#This Row],[Gender]]="female",R406&lt;31),"Acceptable",AND(Table13[[#This Row],[Gender]]="female",R406&lt;40),"Obese",AND(Table13[[#This Row],[Gender]]="male",R406&lt;13),"Athletes",AND(Table13[[#This Row],[Gender]]="male",R406&lt;17),"Fitnesss",AND(Table13[[#This Row],[Gender]]="male",R406&lt;24.9),"Acceptable",AND(Table13[[#This Row],[Gender]]="male",R406&lt;40),"Obese",AND(Table13[[#This Row],[Gender]]="others",R406&lt;20),"Athletes",AND(Table13[[#This Row],[Gender]]="others",R406&lt;24),"Fitnesss",AND(Table13[[#This Row],[Gender]]="others",R406&lt;31),"Acceptable",AND(Table13[[#This Row],[Gender]]="others",R406&lt;40),"Obese")</f>
        <v>Athletes</v>
      </c>
      <c r="R406" s="8">
        <v>12.1</v>
      </c>
      <c r="S406" s="8">
        <v>1.7</v>
      </c>
      <c r="T406" s="8">
        <v>2</v>
      </c>
      <c r="U406" s="8">
        <v>1</v>
      </c>
      <c r="V406" s="8" t="str">
        <f>IF(Table13[[#This Row],[BMI]]&lt;=18.5,"Underweight",IF(Table13[[#This Row],[BMI]]&lt;=24.9,"Normal",IF(Table13[[#This Row],[BMI]]&lt;=29.9,"Overweight",IF(Table13[[#This Row],[BMI]]&lt;=39,"Obese","Severly Obese"))))</f>
        <v>Underweight</v>
      </c>
      <c r="W406" s="18">
        <v>14.34</v>
      </c>
    </row>
    <row r="407" spans="6:23" x14ac:dyDescent="0.3">
      <c r="F407" s="17">
        <v>57</v>
      </c>
      <c r="G407" s="8" t="str">
        <f>IF(Table13[[#This Row],[Age]]&lt;25,"18-24",IF(Table13[[#This Row],[Age]]&lt;35,"25-34",IF(Table13[[#This Row],[Age]]&lt;45,"35-44",IF(Table13[[#This Row],[Age]]&lt;55,"45-54","55-64"))))</f>
        <v>55-64</v>
      </c>
      <c r="H407" s="8" t="s">
        <v>17</v>
      </c>
      <c r="I407" s="8">
        <v>80</v>
      </c>
      <c r="J407" s="8">
        <v>1.79</v>
      </c>
      <c r="K407" s="8">
        <v>167</v>
      </c>
      <c r="L407" s="8">
        <v>127</v>
      </c>
      <c r="M407" s="8">
        <v>54</v>
      </c>
      <c r="N407" s="8">
        <v>1.01</v>
      </c>
      <c r="O407" s="8">
        <v>312</v>
      </c>
      <c r="P407" s="8" t="s">
        <v>22</v>
      </c>
      <c r="Q407" s="8" t="str">
        <f>_xlfn.IFS(AND(Table13[[#This Row],[Gender]]="female",R407&lt;20),"Athletes",AND(Table13[[#This Row],[Gender]]="female",R407&lt;24),"Fitnesss",AND(Table13[[#This Row],[Gender]]="female",R407&lt;31),"Acceptable",AND(Table13[[#This Row],[Gender]]="female",R407&lt;40),"Obese",AND(Table13[[#This Row],[Gender]]="male",R407&lt;13),"Athletes",AND(Table13[[#This Row],[Gender]]="male",R407&lt;17),"Fitnesss",AND(Table13[[#This Row],[Gender]]="male",R407&lt;24.9),"Acceptable",AND(Table13[[#This Row],[Gender]]="male",R407&lt;40),"Obese",AND(Table13[[#This Row],[Gender]]="others",R407&lt;20),"Athletes",AND(Table13[[#This Row],[Gender]]="others",R407&lt;24),"Fitnesss",AND(Table13[[#This Row],[Gender]]="others",R407&lt;31),"Acceptable",AND(Table13[[#This Row],[Gender]]="others",R407&lt;40),"Obese")</f>
        <v>Acceptable</v>
      </c>
      <c r="R407" s="8">
        <v>24.3</v>
      </c>
      <c r="S407" s="8">
        <v>2.6</v>
      </c>
      <c r="T407" s="8">
        <v>4</v>
      </c>
      <c r="U407" s="8">
        <v>2</v>
      </c>
      <c r="V407" s="8" t="str">
        <f>IF(Table13[[#This Row],[BMI]]&lt;=18.5,"Underweight",IF(Table13[[#This Row],[BMI]]&lt;=24.9,"Normal",IF(Table13[[#This Row],[BMI]]&lt;=29.9,"Overweight",IF(Table13[[#This Row],[BMI]]&lt;=39,"Obese","Severly Obese"))))</f>
        <v>Underweight</v>
      </c>
      <c r="W407" s="18">
        <v>13.16</v>
      </c>
    </row>
    <row r="408" spans="6:23" x14ac:dyDescent="0.3">
      <c r="F408" s="17">
        <v>20</v>
      </c>
      <c r="G408" s="8" t="str">
        <f>IF(Table13[[#This Row],[Age]]&lt;25,"18-24",IF(Table13[[#This Row],[Age]]&lt;35,"25-34",IF(Table13[[#This Row],[Age]]&lt;45,"35-44",IF(Table13[[#This Row],[Age]]&lt;55,"45-54","55-64"))))</f>
        <v>18-24</v>
      </c>
      <c r="H408" s="8" t="s">
        <v>19</v>
      </c>
      <c r="I408" s="8">
        <v>87.1</v>
      </c>
      <c r="J408" s="8">
        <v>1.91</v>
      </c>
      <c r="K408" s="8">
        <v>186</v>
      </c>
      <c r="L408" s="8">
        <v>150</v>
      </c>
      <c r="M408" s="8">
        <v>51</v>
      </c>
      <c r="N408" s="8">
        <v>1.39</v>
      </c>
      <c r="O408" s="8">
        <v>1431</v>
      </c>
      <c r="P408" s="8" t="s">
        <v>22</v>
      </c>
      <c r="Q408" s="8" t="str">
        <f>_xlfn.IFS(AND(Table13[[#This Row],[Gender]]="female",R408&lt;20),"Athletes",AND(Table13[[#This Row],[Gender]]="female",R408&lt;24),"Fitnesss",AND(Table13[[#This Row],[Gender]]="female",R408&lt;31),"Acceptable",AND(Table13[[#This Row],[Gender]]="female",R408&lt;40),"Obese",AND(Table13[[#This Row],[Gender]]="male",R408&lt;13),"Athletes",AND(Table13[[#This Row],[Gender]]="male",R408&lt;17),"Fitnesss",AND(Table13[[#This Row],[Gender]]="male",R408&lt;24.9),"Acceptable",AND(Table13[[#This Row],[Gender]]="male",R408&lt;40),"Obese",AND(Table13[[#This Row],[Gender]]="others",R408&lt;20),"Athletes",AND(Table13[[#This Row],[Gender]]="others",R408&lt;24),"Fitnesss",AND(Table13[[#This Row],[Gender]]="others",R408&lt;31),"Acceptable",AND(Table13[[#This Row],[Gender]]="others",R408&lt;40),"Obese")</f>
        <v>Obese</v>
      </c>
      <c r="R408" s="8">
        <v>27</v>
      </c>
      <c r="S408" s="8">
        <v>2.8</v>
      </c>
      <c r="T408" s="8">
        <v>3</v>
      </c>
      <c r="U408" s="8">
        <v>3</v>
      </c>
      <c r="V408" s="8" t="str">
        <f>IF(Table13[[#This Row],[BMI]]&lt;=18.5,"Underweight",IF(Table13[[#This Row],[BMI]]&lt;=24.9,"Normal",IF(Table13[[#This Row],[BMI]]&lt;=29.9,"Overweight",IF(Table13[[#This Row],[BMI]]&lt;=39,"Obese","Severly Obese"))))</f>
        <v>Normal</v>
      </c>
      <c r="W408" s="18">
        <v>21.51</v>
      </c>
    </row>
    <row r="409" spans="6:23" x14ac:dyDescent="0.3">
      <c r="F409" s="17">
        <v>27</v>
      </c>
      <c r="G409" s="8" t="str">
        <f>IF(Table13[[#This Row],[Age]]&lt;25,"18-24",IF(Table13[[#This Row],[Age]]&lt;35,"25-34",IF(Table13[[#This Row],[Age]]&lt;45,"35-44",IF(Table13[[#This Row],[Age]]&lt;55,"45-54","55-64"))))</f>
        <v>25-34</v>
      </c>
      <c r="H409" s="8" t="s">
        <v>19</v>
      </c>
      <c r="I409" s="8">
        <v>56.4</v>
      </c>
      <c r="J409" s="8">
        <v>1.76</v>
      </c>
      <c r="K409" s="8">
        <v>198</v>
      </c>
      <c r="L409" s="8">
        <v>129</v>
      </c>
      <c r="M409" s="8">
        <v>71</v>
      </c>
      <c r="N409" s="8">
        <v>1.79</v>
      </c>
      <c r="O409" s="8">
        <v>488</v>
      </c>
      <c r="P409" s="8" t="s">
        <v>21</v>
      </c>
      <c r="Q409" s="8" t="str">
        <f>_xlfn.IFS(AND(Table13[[#This Row],[Gender]]="female",R409&lt;20),"Athletes",AND(Table13[[#This Row],[Gender]]="female",R409&lt;24),"Fitnesss",AND(Table13[[#This Row],[Gender]]="female",R409&lt;31),"Acceptable",AND(Table13[[#This Row],[Gender]]="female",R409&lt;40),"Obese",AND(Table13[[#This Row],[Gender]]="male",R409&lt;13),"Athletes",AND(Table13[[#This Row],[Gender]]="male",R409&lt;17),"Fitnesss",AND(Table13[[#This Row],[Gender]]="male",R409&lt;24.9),"Acceptable",AND(Table13[[#This Row],[Gender]]="male",R409&lt;40),"Obese",AND(Table13[[#This Row],[Gender]]="others",R409&lt;20),"Athletes",AND(Table13[[#This Row],[Gender]]="others",R409&lt;24),"Fitnesss",AND(Table13[[#This Row],[Gender]]="others",R409&lt;31),"Acceptable",AND(Table13[[#This Row],[Gender]]="others",R409&lt;40),"Obese")</f>
        <v>Acceptable</v>
      </c>
      <c r="R409" s="8">
        <v>22.9</v>
      </c>
      <c r="S409" s="8">
        <v>3.3</v>
      </c>
      <c r="T409" s="8">
        <v>4</v>
      </c>
      <c r="U409" s="8">
        <v>1</v>
      </c>
      <c r="V409" s="8" t="str">
        <f>IF(Table13[[#This Row],[BMI]]&lt;=18.5,"Underweight",IF(Table13[[#This Row],[BMI]]&lt;=24.9,"Normal",IF(Table13[[#This Row],[BMI]]&lt;=29.9,"Overweight",IF(Table13[[#This Row],[BMI]]&lt;=39,"Obese","Severly Obese"))))</f>
        <v>Underweight</v>
      </c>
      <c r="W409" s="18">
        <v>17.489999999999998</v>
      </c>
    </row>
    <row r="410" spans="6:23" x14ac:dyDescent="0.3">
      <c r="F410" s="17">
        <v>32</v>
      </c>
      <c r="G410" s="8" t="str">
        <f>IF(Table13[[#This Row],[Age]]&lt;25,"18-24",IF(Table13[[#This Row],[Age]]&lt;35,"25-34",IF(Table13[[#This Row],[Age]]&lt;45,"35-44",IF(Table13[[#This Row],[Age]]&lt;55,"45-54","55-64"))))</f>
        <v>25-34</v>
      </c>
      <c r="H410" s="8" t="s">
        <v>19</v>
      </c>
      <c r="I410" s="8">
        <v>58.4</v>
      </c>
      <c r="J410" s="8">
        <v>2</v>
      </c>
      <c r="K410" s="8">
        <v>179</v>
      </c>
      <c r="L410" s="8">
        <v>139</v>
      </c>
      <c r="M410" s="8">
        <v>60</v>
      </c>
      <c r="N410" s="8">
        <v>1.21</v>
      </c>
      <c r="O410" s="8">
        <v>1379</v>
      </c>
      <c r="P410" s="8" t="s">
        <v>18</v>
      </c>
      <c r="Q410" s="8" t="str">
        <f>_xlfn.IFS(AND(Table13[[#This Row],[Gender]]="female",R410&lt;20),"Athletes",AND(Table13[[#This Row],[Gender]]="female",R410&lt;24),"Fitnesss",AND(Table13[[#This Row],[Gender]]="female",R410&lt;31),"Acceptable",AND(Table13[[#This Row],[Gender]]="female",R410&lt;40),"Obese",AND(Table13[[#This Row],[Gender]]="male",R410&lt;13),"Athletes",AND(Table13[[#This Row],[Gender]]="male",R410&lt;17),"Fitnesss",AND(Table13[[#This Row],[Gender]]="male",R410&lt;24.9),"Acceptable",AND(Table13[[#This Row],[Gender]]="male",R410&lt;40),"Obese",AND(Table13[[#This Row],[Gender]]="others",R410&lt;20),"Athletes",AND(Table13[[#This Row],[Gender]]="others",R410&lt;24),"Fitnesss",AND(Table13[[#This Row],[Gender]]="others",R410&lt;31),"Acceptable",AND(Table13[[#This Row],[Gender]]="others",R410&lt;40),"Obese")</f>
        <v>Acceptable</v>
      </c>
      <c r="R410" s="8">
        <v>23.3</v>
      </c>
      <c r="S410" s="8">
        <v>3.2</v>
      </c>
      <c r="T410" s="8">
        <v>4</v>
      </c>
      <c r="U410" s="8">
        <v>2</v>
      </c>
      <c r="V410" s="8" t="str">
        <f>IF(Table13[[#This Row],[BMI]]&lt;=18.5,"Underweight",IF(Table13[[#This Row],[BMI]]&lt;=24.9,"Normal",IF(Table13[[#This Row],[BMI]]&lt;=29.9,"Overweight",IF(Table13[[#This Row],[BMI]]&lt;=39,"Obese","Severly Obese"))))</f>
        <v>Normal</v>
      </c>
      <c r="W410" s="18">
        <v>22.61</v>
      </c>
    </row>
    <row r="411" spans="6:23" x14ac:dyDescent="0.3">
      <c r="F411" s="17">
        <v>42</v>
      </c>
      <c r="G411" s="8" t="str">
        <f>IF(Table13[[#This Row],[Age]]&lt;25,"18-24",IF(Table13[[#This Row],[Age]]&lt;35,"25-34",IF(Table13[[#This Row],[Age]]&lt;45,"35-44",IF(Table13[[#This Row],[Age]]&lt;55,"45-54","55-64"))))</f>
        <v>35-44</v>
      </c>
      <c r="H411" s="8" t="s">
        <v>17</v>
      </c>
      <c r="I411" s="8">
        <v>68.5</v>
      </c>
      <c r="J411" s="8">
        <v>1.75</v>
      </c>
      <c r="K411" s="8">
        <v>187</v>
      </c>
      <c r="L411" s="8">
        <v>167</v>
      </c>
      <c r="M411" s="8">
        <v>54</v>
      </c>
      <c r="N411" s="8">
        <v>1.3</v>
      </c>
      <c r="O411" s="8">
        <v>708</v>
      </c>
      <c r="P411" s="8" t="s">
        <v>20</v>
      </c>
      <c r="Q411" s="8" t="str">
        <f>_xlfn.IFS(AND(Table13[[#This Row],[Gender]]="female",R411&lt;20),"Athletes",AND(Table13[[#This Row],[Gender]]="female",R411&lt;24),"Fitnesss",AND(Table13[[#This Row],[Gender]]="female",R411&lt;31),"Acceptable",AND(Table13[[#This Row],[Gender]]="female",R411&lt;40),"Obese",AND(Table13[[#This Row],[Gender]]="male",R411&lt;13),"Athletes",AND(Table13[[#This Row],[Gender]]="male",R411&lt;17),"Fitnesss",AND(Table13[[#This Row],[Gender]]="male",R411&lt;24.9),"Acceptable",AND(Table13[[#This Row],[Gender]]="male",R411&lt;40),"Obese",AND(Table13[[#This Row],[Gender]]="others",R411&lt;20),"Athletes",AND(Table13[[#This Row],[Gender]]="others",R411&lt;24),"Fitnesss",AND(Table13[[#This Row],[Gender]]="others",R411&lt;31),"Acceptable",AND(Table13[[#This Row],[Gender]]="others",R411&lt;40),"Obese")</f>
        <v>Athletes</v>
      </c>
      <c r="R411" s="8">
        <v>15.4</v>
      </c>
      <c r="S411" s="8">
        <v>1.6</v>
      </c>
      <c r="T411" s="8">
        <v>4</v>
      </c>
      <c r="U411" s="8">
        <v>1</v>
      </c>
      <c r="V411" s="8" t="str">
        <f>IF(Table13[[#This Row],[BMI]]&lt;=18.5,"Underweight",IF(Table13[[#This Row],[BMI]]&lt;=24.9,"Normal",IF(Table13[[#This Row],[BMI]]&lt;=29.9,"Overweight",IF(Table13[[#This Row],[BMI]]&lt;=39,"Obese","Severly Obese"))))</f>
        <v>Obese</v>
      </c>
      <c r="W411" s="18">
        <v>33.909999999999997</v>
      </c>
    </row>
    <row r="412" spans="6:23" x14ac:dyDescent="0.3">
      <c r="F412" s="17">
        <v>48</v>
      </c>
      <c r="G412" s="8" t="str">
        <f>IF(Table13[[#This Row],[Age]]&lt;25,"18-24",IF(Table13[[#This Row],[Age]]&lt;35,"25-34",IF(Table13[[#This Row],[Age]]&lt;45,"35-44",IF(Table13[[#This Row],[Age]]&lt;55,"45-54","55-64"))))</f>
        <v>45-54</v>
      </c>
      <c r="H412" s="8" t="s">
        <v>17</v>
      </c>
      <c r="I412" s="8">
        <v>77.7</v>
      </c>
      <c r="J412" s="8">
        <v>1.76</v>
      </c>
      <c r="K412" s="8"/>
      <c r="L412" s="8">
        <v>156</v>
      </c>
      <c r="M412" s="8">
        <v>53</v>
      </c>
      <c r="N412" s="8">
        <v>2</v>
      </c>
      <c r="O412" s="8">
        <v>1153</v>
      </c>
      <c r="P412" s="8" t="s">
        <v>20</v>
      </c>
      <c r="Q412" s="8" t="str">
        <f>_xlfn.IFS(AND(Table13[[#This Row],[Gender]]="female",R412&lt;20),"Athletes",AND(Table13[[#This Row],[Gender]]="female",R412&lt;24),"Fitnesss",AND(Table13[[#This Row],[Gender]]="female",R412&lt;31),"Acceptable",AND(Table13[[#This Row],[Gender]]="female",R412&lt;40),"Obese",AND(Table13[[#This Row],[Gender]]="male",R412&lt;13),"Athletes",AND(Table13[[#This Row],[Gender]]="male",R412&lt;17),"Fitnesss",AND(Table13[[#This Row],[Gender]]="male",R412&lt;24.9),"Acceptable",AND(Table13[[#This Row],[Gender]]="male",R412&lt;40),"Obese",AND(Table13[[#This Row],[Gender]]="others",R412&lt;20),"Athletes",AND(Table13[[#This Row],[Gender]]="others",R412&lt;24),"Fitnesss",AND(Table13[[#This Row],[Gender]]="others",R412&lt;31),"Acceptable",AND(Table13[[#This Row],[Gender]]="others",R412&lt;40),"Obese")</f>
        <v>Acceptable</v>
      </c>
      <c r="R412" s="8">
        <v>28.4</v>
      </c>
      <c r="S412" s="8">
        <v>2.4</v>
      </c>
      <c r="T412" s="8">
        <v>3</v>
      </c>
      <c r="U412" s="8">
        <v>1</v>
      </c>
      <c r="V412" s="8" t="str">
        <f>IF(Table13[[#This Row],[BMI]]&lt;=18.5,"Underweight",IF(Table13[[#This Row],[BMI]]&lt;=24.9,"Normal",IF(Table13[[#This Row],[BMI]]&lt;=29.9,"Overweight",IF(Table13[[#This Row],[BMI]]&lt;=39,"Obese","Severly Obese"))))</f>
        <v>Overweight</v>
      </c>
      <c r="W412" s="18">
        <v>25.3</v>
      </c>
    </row>
    <row r="413" spans="6:23" x14ac:dyDescent="0.3">
      <c r="F413" s="17">
        <v>55</v>
      </c>
      <c r="G413" s="8" t="str">
        <f>IF(Table13[[#This Row],[Age]]&lt;25,"18-24",IF(Table13[[#This Row],[Age]]&lt;35,"25-34",IF(Table13[[#This Row],[Age]]&lt;45,"35-44",IF(Table13[[#This Row],[Age]]&lt;55,"45-54","55-64"))))</f>
        <v>55-64</v>
      </c>
      <c r="H413" s="8" t="s">
        <v>17</v>
      </c>
      <c r="I413" s="8">
        <v>67.099999999999994</v>
      </c>
      <c r="J413" s="8">
        <v>1.58</v>
      </c>
      <c r="K413" s="8">
        <v>199</v>
      </c>
      <c r="L413" s="8">
        <v>122</v>
      </c>
      <c r="M413" s="8">
        <v>71</v>
      </c>
      <c r="N413" s="8">
        <v>1.86</v>
      </c>
      <c r="O413" s="8">
        <v>960</v>
      </c>
      <c r="P413" s="8" t="s">
        <v>18</v>
      </c>
      <c r="Q413" s="8" t="str">
        <f>_xlfn.IFS(AND(Table13[[#This Row],[Gender]]="female",R413&lt;20),"Athletes",AND(Table13[[#This Row],[Gender]]="female",R413&lt;24),"Fitnesss",AND(Table13[[#This Row],[Gender]]="female",R413&lt;31),"Acceptable",AND(Table13[[#This Row],[Gender]]="female",R413&lt;40),"Obese",AND(Table13[[#This Row],[Gender]]="male",R413&lt;13),"Athletes",AND(Table13[[#This Row],[Gender]]="male",R413&lt;17),"Fitnesss",AND(Table13[[#This Row],[Gender]]="male",R413&lt;24.9),"Acceptable",AND(Table13[[#This Row],[Gender]]="male",R413&lt;40),"Obese",AND(Table13[[#This Row],[Gender]]="others",R413&lt;20),"Athletes",AND(Table13[[#This Row],[Gender]]="others",R413&lt;24),"Fitnesss",AND(Table13[[#This Row],[Gender]]="others",R413&lt;31),"Acceptable",AND(Table13[[#This Row],[Gender]]="others",R413&lt;40),"Obese")</f>
        <v>Fitnesss</v>
      </c>
      <c r="R413" s="8">
        <v>21.7</v>
      </c>
      <c r="S413" s="8">
        <v>1.5</v>
      </c>
      <c r="T413" s="8">
        <v>4</v>
      </c>
      <c r="U413" s="8">
        <v>2</v>
      </c>
      <c r="V413" s="8" t="str">
        <f>IF(Table13[[#This Row],[BMI]]&lt;=18.5,"Underweight",IF(Table13[[#This Row],[BMI]]&lt;=24.9,"Normal",IF(Table13[[#This Row],[BMI]]&lt;=29.9,"Overweight",IF(Table13[[#This Row],[BMI]]&lt;=39,"Obese","Severly Obese"))))</f>
        <v>Overweight</v>
      </c>
      <c r="W413" s="18">
        <v>28.07</v>
      </c>
    </row>
    <row r="414" spans="6:23" x14ac:dyDescent="0.3">
      <c r="F414" s="17">
        <v>31</v>
      </c>
      <c r="G414" s="8" t="str">
        <f>IF(Table13[[#This Row],[Age]]&lt;25,"18-24",IF(Table13[[#This Row],[Age]]&lt;35,"25-34",IF(Table13[[#This Row],[Age]]&lt;45,"35-44",IF(Table13[[#This Row],[Age]]&lt;55,"45-54","55-64"))))</f>
        <v>25-34</v>
      </c>
      <c r="H414" s="8" t="s">
        <v>17</v>
      </c>
      <c r="I414" s="8">
        <v>55.7</v>
      </c>
      <c r="J414" s="8">
        <v>1.8</v>
      </c>
      <c r="K414" s="8">
        <v>168</v>
      </c>
      <c r="L414" s="8">
        <v>167</v>
      </c>
      <c r="M414" s="8">
        <v>64</v>
      </c>
      <c r="N414" s="8">
        <v>1.53</v>
      </c>
      <c r="O414" s="8">
        <v>600</v>
      </c>
      <c r="P414" s="8" t="s">
        <v>21</v>
      </c>
      <c r="Q414" s="8" t="str">
        <f>_xlfn.IFS(AND(Table13[[#This Row],[Gender]]="female",R414&lt;20),"Athletes",AND(Table13[[#This Row],[Gender]]="female",R414&lt;24),"Fitnesss",AND(Table13[[#This Row],[Gender]]="female",R414&lt;31),"Acceptable",AND(Table13[[#This Row],[Gender]]="female",R414&lt;40),"Obese",AND(Table13[[#This Row],[Gender]]="male",R414&lt;13),"Athletes",AND(Table13[[#This Row],[Gender]]="male",R414&lt;17),"Fitnesss",AND(Table13[[#This Row],[Gender]]="male",R414&lt;24.9),"Acceptable",AND(Table13[[#This Row],[Gender]]="male",R414&lt;40),"Obese",AND(Table13[[#This Row],[Gender]]="others",R414&lt;20),"Athletes",AND(Table13[[#This Row],[Gender]]="others",R414&lt;24),"Fitnesss",AND(Table13[[#This Row],[Gender]]="others",R414&lt;31),"Acceptable",AND(Table13[[#This Row],[Gender]]="others",R414&lt;40),"Obese")</f>
        <v>Obese</v>
      </c>
      <c r="R414" s="8">
        <v>34.4</v>
      </c>
      <c r="S414" s="8">
        <v>2.8</v>
      </c>
      <c r="T414" s="8">
        <v>4</v>
      </c>
      <c r="U414" s="8">
        <v>3</v>
      </c>
      <c r="V414" s="8" t="str">
        <f>IF(Table13[[#This Row],[BMI]]&lt;=18.5,"Underweight",IF(Table13[[#This Row],[BMI]]&lt;=24.9,"Normal",IF(Table13[[#This Row],[BMI]]&lt;=29.9,"Overweight",IF(Table13[[#This Row],[BMI]]&lt;=39,"Obese","Severly Obese"))))</f>
        <v>Overweight</v>
      </c>
      <c r="W414" s="18">
        <v>25.27</v>
      </c>
    </row>
    <row r="415" spans="6:23" x14ac:dyDescent="0.3">
      <c r="F415" s="17">
        <v>39</v>
      </c>
      <c r="G415" s="8" t="str">
        <f>IF(Table13[[#This Row],[Age]]&lt;25,"18-24",IF(Table13[[#This Row],[Age]]&lt;35,"25-34",IF(Table13[[#This Row],[Age]]&lt;45,"35-44",IF(Table13[[#This Row],[Age]]&lt;55,"45-54","55-64"))))</f>
        <v>35-44</v>
      </c>
      <c r="H415" s="8" t="s">
        <v>17</v>
      </c>
      <c r="I415" s="8">
        <v>63.2</v>
      </c>
      <c r="J415" s="8">
        <v>1.74</v>
      </c>
      <c r="K415" s="8">
        <v>181</v>
      </c>
      <c r="L415" s="8">
        <v>157</v>
      </c>
      <c r="M415" s="8">
        <v>54</v>
      </c>
      <c r="N415" s="8">
        <v>1.62</v>
      </c>
      <c r="O415" s="8">
        <v>900</v>
      </c>
      <c r="P415" s="8" t="s">
        <v>18</v>
      </c>
      <c r="Q415" s="8" t="str">
        <f>_xlfn.IFS(AND(Table13[[#This Row],[Gender]]="female",R415&lt;20),"Athletes",AND(Table13[[#This Row],[Gender]]="female",R415&lt;24),"Fitnesss",AND(Table13[[#This Row],[Gender]]="female",R415&lt;31),"Acceptable",AND(Table13[[#This Row],[Gender]]="female",R415&lt;40),"Obese",AND(Table13[[#This Row],[Gender]]="male",R415&lt;13),"Athletes",AND(Table13[[#This Row],[Gender]]="male",R415&lt;17),"Fitnesss",AND(Table13[[#This Row],[Gender]]="male",R415&lt;24.9),"Acceptable",AND(Table13[[#This Row],[Gender]]="male",R415&lt;40),"Obese",AND(Table13[[#This Row],[Gender]]="others",R415&lt;20),"Athletes",AND(Table13[[#This Row],[Gender]]="others",R415&lt;24),"Fitnesss",AND(Table13[[#This Row],[Gender]]="others",R415&lt;31),"Acceptable",AND(Table13[[#This Row],[Gender]]="others",R415&lt;40),"Obese")</f>
        <v>Athletes</v>
      </c>
      <c r="R415" s="8">
        <v>13.9</v>
      </c>
      <c r="S415" s="8">
        <v>2.1</v>
      </c>
      <c r="T415" s="8">
        <v>5</v>
      </c>
      <c r="U415" s="8">
        <v>1</v>
      </c>
      <c r="V415" s="8" t="str">
        <f>IF(Table13[[#This Row],[BMI]]&lt;=18.5,"Underweight",IF(Table13[[#This Row],[BMI]]&lt;=24.9,"Normal",IF(Table13[[#This Row],[BMI]]&lt;=29.9,"Overweight",IF(Table13[[#This Row],[BMI]]&lt;=39,"Obese","Severly Obese"))))</f>
        <v>Underweight</v>
      </c>
      <c r="W415" s="18">
        <v>15.32</v>
      </c>
    </row>
    <row r="416" spans="6:23" x14ac:dyDescent="0.3">
      <c r="F416" s="17">
        <v>40</v>
      </c>
      <c r="G416" s="8" t="str">
        <f>IF(Table13[[#This Row],[Age]]&lt;25,"18-24",IF(Table13[[#This Row],[Age]]&lt;35,"25-34",IF(Table13[[#This Row],[Age]]&lt;45,"35-44",IF(Table13[[#This Row],[Age]]&lt;55,"45-54","55-64"))))</f>
        <v>35-44</v>
      </c>
      <c r="H416" s="8" t="s">
        <v>17</v>
      </c>
      <c r="I416" s="8">
        <v>64.599999999999994</v>
      </c>
      <c r="J416" s="8">
        <v>1.55</v>
      </c>
      <c r="K416" s="8">
        <v>198</v>
      </c>
      <c r="L416" s="8">
        <v>133</v>
      </c>
      <c r="M416" s="8">
        <v>74</v>
      </c>
      <c r="N416" s="8">
        <v>1.39</v>
      </c>
      <c r="O416" s="8">
        <v>303</v>
      </c>
      <c r="P416" s="8" t="s">
        <v>18</v>
      </c>
      <c r="Q416" s="8" t="str">
        <f>_xlfn.IFS(AND(Table13[[#This Row],[Gender]]="female",R416&lt;20),"Athletes",AND(Table13[[#This Row],[Gender]]="female",R416&lt;24),"Fitnesss",AND(Table13[[#This Row],[Gender]]="female",R416&lt;31),"Acceptable",AND(Table13[[#This Row],[Gender]]="female",R416&lt;40),"Obese",AND(Table13[[#This Row],[Gender]]="male",R416&lt;13),"Athletes",AND(Table13[[#This Row],[Gender]]="male",R416&lt;17),"Fitnesss",AND(Table13[[#This Row],[Gender]]="male",R416&lt;24.9),"Acceptable",AND(Table13[[#This Row],[Gender]]="male",R416&lt;40),"Obese",AND(Table13[[#This Row],[Gender]]="others",R416&lt;20),"Athletes",AND(Table13[[#This Row],[Gender]]="others",R416&lt;24),"Fitnesss",AND(Table13[[#This Row],[Gender]]="others",R416&lt;31),"Acceptable",AND(Table13[[#This Row],[Gender]]="others",R416&lt;40),"Obese")</f>
        <v>Fitnesss</v>
      </c>
      <c r="R416" s="8">
        <v>21.4</v>
      </c>
      <c r="S416" s="8">
        <v>1.5</v>
      </c>
      <c r="T416" s="8">
        <v>2</v>
      </c>
      <c r="U416" s="8">
        <v>2</v>
      </c>
      <c r="V416" s="8" t="str">
        <f>IF(Table13[[#This Row],[BMI]]&lt;=18.5,"Underweight",IF(Table13[[#This Row],[BMI]]&lt;=24.9,"Normal",IF(Table13[[#This Row],[BMI]]&lt;=29.9,"Overweight",IF(Table13[[#This Row],[BMI]]&lt;=39,"Obese","Severly Obese"))))</f>
        <v>Underweight</v>
      </c>
      <c r="W416" s="18">
        <v>16.91</v>
      </c>
    </row>
    <row r="417" spans="6:23" x14ac:dyDescent="0.3">
      <c r="F417" s="17">
        <v>35</v>
      </c>
      <c r="G417" s="8" t="str">
        <f>IF(Table13[[#This Row],[Age]]&lt;25,"18-24",IF(Table13[[#This Row],[Age]]&lt;35,"25-34",IF(Table13[[#This Row],[Age]]&lt;45,"35-44",IF(Table13[[#This Row],[Age]]&lt;55,"45-54","55-64"))))</f>
        <v>35-44</v>
      </c>
      <c r="H417" s="8" t="s">
        <v>19</v>
      </c>
      <c r="I417" s="8">
        <v>55</v>
      </c>
      <c r="J417" s="8"/>
      <c r="K417" s="8">
        <v>172</v>
      </c>
      <c r="L417" s="8">
        <v>149</v>
      </c>
      <c r="M417" s="8">
        <v>62</v>
      </c>
      <c r="N417" s="8">
        <v>1.43</v>
      </c>
      <c r="O417" s="8">
        <v>1423</v>
      </c>
      <c r="P417" s="8" t="s">
        <v>18</v>
      </c>
      <c r="Q417" s="8" t="str">
        <f>_xlfn.IFS(AND(Table13[[#This Row],[Gender]]="female",R417&lt;20),"Athletes",AND(Table13[[#This Row],[Gender]]="female",R417&lt;24),"Fitnesss",AND(Table13[[#This Row],[Gender]]="female",R417&lt;31),"Acceptable",AND(Table13[[#This Row],[Gender]]="female",R417&lt;40),"Obese",AND(Table13[[#This Row],[Gender]]="male",R417&lt;13),"Athletes",AND(Table13[[#This Row],[Gender]]="male",R417&lt;17),"Fitnesss",AND(Table13[[#This Row],[Gender]]="male",R417&lt;24.9),"Acceptable",AND(Table13[[#This Row],[Gender]]="male",R417&lt;40),"Obese",AND(Table13[[#This Row],[Gender]]="others",R417&lt;20),"Athletes",AND(Table13[[#This Row],[Gender]]="others",R417&lt;24),"Fitnesss",AND(Table13[[#This Row],[Gender]]="others",R417&lt;31),"Acceptable",AND(Table13[[#This Row],[Gender]]="others",R417&lt;40),"Obese")</f>
        <v>Obese</v>
      </c>
      <c r="R417" s="8">
        <v>30</v>
      </c>
      <c r="S417" s="8">
        <v>3.5</v>
      </c>
      <c r="T417" s="8">
        <v>3</v>
      </c>
      <c r="U417" s="8">
        <v>2</v>
      </c>
      <c r="V417" s="8" t="str">
        <f>IF(Table13[[#This Row],[BMI]]&lt;=18.5,"Underweight",IF(Table13[[#This Row],[BMI]]&lt;=24.9,"Normal",IF(Table13[[#This Row],[BMI]]&lt;=29.9,"Overweight",IF(Table13[[#This Row],[BMI]]&lt;=39,"Obese","Severly Obese"))))</f>
        <v>Normal</v>
      </c>
      <c r="W417" s="18">
        <v>23.55</v>
      </c>
    </row>
    <row r="418" spans="6:23" x14ac:dyDescent="0.3">
      <c r="F418" s="17">
        <v>36</v>
      </c>
      <c r="G418" s="8" t="str">
        <f>IF(Table13[[#This Row],[Age]]&lt;25,"18-24",IF(Table13[[#This Row],[Age]]&lt;35,"25-34",IF(Table13[[#This Row],[Age]]&lt;45,"35-44",IF(Table13[[#This Row],[Age]]&lt;55,"45-54","55-64"))))</f>
        <v>35-44</v>
      </c>
      <c r="H418" s="8" t="s">
        <v>17</v>
      </c>
      <c r="I418" s="8">
        <v>71.900000000000006</v>
      </c>
      <c r="J418" s="8">
        <v>1.66</v>
      </c>
      <c r="K418" s="8">
        <v>177</v>
      </c>
      <c r="L418" s="8"/>
      <c r="M418" s="8">
        <v>73</v>
      </c>
      <c r="N418" s="8">
        <v>0.96</v>
      </c>
      <c r="O418" s="8">
        <v>556</v>
      </c>
      <c r="P418" s="8" t="s">
        <v>22</v>
      </c>
      <c r="Q418" s="8" t="str">
        <f>_xlfn.IFS(AND(Table13[[#This Row],[Gender]]="female",R418&lt;20),"Athletes",AND(Table13[[#This Row],[Gender]]="female",R418&lt;24),"Fitnesss",AND(Table13[[#This Row],[Gender]]="female",R418&lt;31),"Acceptable",AND(Table13[[#This Row],[Gender]]="female",R418&lt;40),"Obese",AND(Table13[[#This Row],[Gender]]="male",R418&lt;13),"Athletes",AND(Table13[[#This Row],[Gender]]="male",R418&lt;17),"Fitnesss",AND(Table13[[#This Row],[Gender]]="male",R418&lt;24.9),"Acceptable",AND(Table13[[#This Row],[Gender]]="male",R418&lt;40),"Obese",AND(Table13[[#This Row],[Gender]]="others",R418&lt;20),"Athletes",AND(Table13[[#This Row],[Gender]]="others",R418&lt;24),"Fitnesss",AND(Table13[[#This Row],[Gender]]="others",R418&lt;31),"Acceptable",AND(Table13[[#This Row],[Gender]]="others",R418&lt;40),"Obese")</f>
        <v>Fitnesss</v>
      </c>
      <c r="R418" s="8">
        <v>23.3</v>
      </c>
      <c r="S418" s="8">
        <v>3.2</v>
      </c>
      <c r="T418" s="8">
        <v>2</v>
      </c>
      <c r="U418" s="8">
        <v>2</v>
      </c>
      <c r="V418" s="8" t="str">
        <f>IF(Table13[[#This Row],[BMI]]&lt;=18.5,"Underweight",IF(Table13[[#This Row],[BMI]]&lt;=24.9,"Normal",IF(Table13[[#This Row],[BMI]]&lt;=29.9,"Overweight",IF(Table13[[#This Row],[BMI]]&lt;=39,"Obese","Severly Obese"))))</f>
        <v>Underweight</v>
      </c>
      <c r="W418" s="18">
        <v>14.97</v>
      </c>
    </row>
    <row r="419" spans="6:23" x14ac:dyDescent="0.3">
      <c r="F419" s="17">
        <v>26</v>
      </c>
      <c r="G419" s="8" t="str">
        <f>IF(Table13[[#This Row],[Age]]&lt;25,"18-24",IF(Table13[[#This Row],[Age]]&lt;35,"25-34",IF(Table13[[#This Row],[Age]]&lt;45,"35-44",IF(Table13[[#This Row],[Age]]&lt;55,"45-54","55-64"))))</f>
        <v>25-34</v>
      </c>
      <c r="H419" s="8" t="s">
        <v>17</v>
      </c>
      <c r="I419" s="8">
        <v>56.7</v>
      </c>
      <c r="J419" s="8">
        <v>1.73</v>
      </c>
      <c r="K419" s="8">
        <v>168</v>
      </c>
      <c r="L419" s="8">
        <v>144</v>
      </c>
      <c r="M419" s="8">
        <v>71</v>
      </c>
      <c r="N419" s="8">
        <v>0.68</v>
      </c>
      <c r="O419" s="8">
        <v>1129</v>
      </c>
      <c r="P419" s="8" t="s">
        <v>18</v>
      </c>
      <c r="Q419" s="8" t="str">
        <f>_xlfn.IFS(AND(Table13[[#This Row],[Gender]]="female",R419&lt;20),"Athletes",AND(Table13[[#This Row],[Gender]]="female",R419&lt;24),"Fitnesss",AND(Table13[[#This Row],[Gender]]="female",R419&lt;31),"Acceptable",AND(Table13[[#This Row],[Gender]]="female",R419&lt;40),"Obese",AND(Table13[[#This Row],[Gender]]="male",R419&lt;13),"Athletes",AND(Table13[[#This Row],[Gender]]="male",R419&lt;17),"Fitnesss",AND(Table13[[#This Row],[Gender]]="male",R419&lt;24.9),"Acceptable",AND(Table13[[#This Row],[Gender]]="male",R419&lt;40),"Obese",AND(Table13[[#This Row],[Gender]]="others",R419&lt;20),"Athletes",AND(Table13[[#This Row],[Gender]]="others",R419&lt;24),"Fitnesss",AND(Table13[[#This Row],[Gender]]="others",R419&lt;31),"Acceptable",AND(Table13[[#This Row],[Gender]]="others",R419&lt;40),"Obese")</f>
        <v>Acceptable</v>
      </c>
      <c r="R419" s="8">
        <v>25.5</v>
      </c>
      <c r="S419" s="8">
        <v>3.4</v>
      </c>
      <c r="T419" s="8">
        <v>3</v>
      </c>
      <c r="U419" s="8">
        <v>1</v>
      </c>
      <c r="V419" s="8" t="str">
        <f>IF(Table13[[#This Row],[BMI]]&lt;=18.5,"Underweight",IF(Table13[[#This Row],[BMI]]&lt;=24.9,"Normal",IF(Table13[[#This Row],[BMI]]&lt;=29.9,"Overweight",IF(Table13[[#This Row],[BMI]]&lt;=39,"Obese","Severly Obese"))))</f>
        <v>Normal</v>
      </c>
      <c r="W419" s="18">
        <v>19.649999999999999</v>
      </c>
    </row>
    <row r="420" spans="6:23" x14ac:dyDescent="0.3">
      <c r="F420" s="17">
        <v>48</v>
      </c>
      <c r="G420" s="8" t="str">
        <f>IF(Table13[[#This Row],[Age]]&lt;25,"18-24",IF(Table13[[#This Row],[Age]]&lt;35,"25-34",IF(Table13[[#This Row],[Age]]&lt;45,"35-44",IF(Table13[[#This Row],[Age]]&lt;55,"45-54","55-64"))))</f>
        <v>45-54</v>
      </c>
      <c r="H420" s="8" t="s">
        <v>19</v>
      </c>
      <c r="I420" s="8">
        <v>56</v>
      </c>
      <c r="J420" s="8">
        <v>1.7</v>
      </c>
      <c r="K420" s="8">
        <v>164</v>
      </c>
      <c r="L420" s="8">
        <v>132</v>
      </c>
      <c r="M420" s="8">
        <v>50</v>
      </c>
      <c r="N420" s="8">
        <v>2</v>
      </c>
      <c r="O420" s="8">
        <v>1148</v>
      </c>
      <c r="P420" s="8" t="s">
        <v>21</v>
      </c>
      <c r="Q420" s="8" t="str">
        <f>_xlfn.IFS(AND(Table13[[#This Row],[Gender]]="female",R420&lt;20),"Athletes",AND(Table13[[#This Row],[Gender]]="female",R420&lt;24),"Fitnesss",AND(Table13[[#This Row],[Gender]]="female",R420&lt;31),"Acceptable",AND(Table13[[#This Row],[Gender]]="female",R420&lt;40),"Obese",AND(Table13[[#This Row],[Gender]]="male",R420&lt;13),"Athletes",AND(Table13[[#This Row],[Gender]]="male",R420&lt;17),"Fitnesss",AND(Table13[[#This Row],[Gender]]="male",R420&lt;24.9),"Acceptable",AND(Table13[[#This Row],[Gender]]="male",R420&lt;40),"Obese",AND(Table13[[#This Row],[Gender]]="others",R420&lt;20),"Athletes",AND(Table13[[#This Row],[Gender]]="others",R420&lt;24),"Fitnesss",AND(Table13[[#This Row],[Gender]]="others",R420&lt;31),"Acceptable",AND(Table13[[#This Row],[Gender]]="others",R420&lt;40),"Obese")</f>
        <v>Obese</v>
      </c>
      <c r="R420" s="8">
        <v>26.6</v>
      </c>
      <c r="S420" s="8">
        <v>3.1</v>
      </c>
      <c r="T420" s="8">
        <v>2</v>
      </c>
      <c r="U420" s="8">
        <v>2</v>
      </c>
      <c r="V420" s="8" t="str">
        <f>IF(Table13[[#This Row],[BMI]]&lt;=18.5,"Underweight",IF(Table13[[#This Row],[BMI]]&lt;=24.9,"Normal",IF(Table13[[#This Row],[BMI]]&lt;=29.9,"Overweight",IF(Table13[[#This Row],[BMI]]&lt;=39,"Obese","Severly Obese"))))</f>
        <v>Normal</v>
      </c>
      <c r="W420" s="18">
        <v>19.440000000000001</v>
      </c>
    </row>
    <row r="421" spans="6:23" x14ac:dyDescent="0.3">
      <c r="F421" s="17">
        <v>54</v>
      </c>
      <c r="G421" s="8" t="str">
        <f>IF(Table13[[#This Row],[Age]]&lt;25,"18-24",IF(Table13[[#This Row],[Age]]&lt;35,"25-34",IF(Table13[[#This Row],[Age]]&lt;45,"35-44",IF(Table13[[#This Row],[Age]]&lt;55,"45-54","55-64"))))</f>
        <v>45-54</v>
      </c>
      <c r="H421" s="8" t="s">
        <v>17</v>
      </c>
      <c r="I421" s="8">
        <v>74.900000000000006</v>
      </c>
      <c r="J421" s="8">
        <v>1.69</v>
      </c>
      <c r="K421" s="8">
        <v>195</v>
      </c>
      <c r="L421" s="8">
        <v>153</v>
      </c>
      <c r="M421" s="8">
        <v>62</v>
      </c>
      <c r="N421" s="8">
        <v>1.1000000000000001</v>
      </c>
      <c r="O421" s="8">
        <v>1389</v>
      </c>
      <c r="P421" s="8" t="s">
        <v>22</v>
      </c>
      <c r="Q421" s="8" t="str">
        <f>_xlfn.IFS(AND(Table13[[#This Row],[Gender]]="female",R421&lt;20),"Athletes",AND(Table13[[#This Row],[Gender]]="female",R421&lt;24),"Fitnesss",AND(Table13[[#This Row],[Gender]]="female",R421&lt;31),"Acceptable",AND(Table13[[#This Row],[Gender]]="female",R421&lt;40),"Obese",AND(Table13[[#This Row],[Gender]]="male",R421&lt;13),"Athletes",AND(Table13[[#This Row],[Gender]]="male",R421&lt;17),"Fitnesss",AND(Table13[[#This Row],[Gender]]="male",R421&lt;24.9),"Acceptable",AND(Table13[[#This Row],[Gender]]="male",R421&lt;40),"Obese",AND(Table13[[#This Row],[Gender]]="others",R421&lt;20),"Athletes",AND(Table13[[#This Row],[Gender]]="others",R421&lt;24),"Fitnesss",AND(Table13[[#This Row],[Gender]]="others",R421&lt;31),"Acceptable",AND(Table13[[#This Row],[Gender]]="others",R421&lt;40),"Obese")</f>
        <v>Athletes</v>
      </c>
      <c r="R421" s="8">
        <v>14.4</v>
      </c>
      <c r="S421" s="8">
        <v>3.1</v>
      </c>
      <c r="T421" s="8">
        <v>3</v>
      </c>
      <c r="U421" s="8">
        <v>1</v>
      </c>
      <c r="V421" s="8" t="str">
        <f>IF(Table13[[#This Row],[BMI]]&lt;=18.5,"Underweight",IF(Table13[[#This Row],[BMI]]&lt;=24.9,"Normal",IF(Table13[[#This Row],[BMI]]&lt;=29.9,"Overweight",IF(Table13[[#This Row],[BMI]]&lt;=39,"Obese","Severly Obese"))))</f>
        <v>Normal</v>
      </c>
      <c r="W421" s="18">
        <v>18.71</v>
      </c>
    </row>
    <row r="422" spans="6:23" x14ac:dyDescent="0.3">
      <c r="F422" s="17">
        <v>55</v>
      </c>
      <c r="G422" s="8" t="str">
        <f>IF(Table13[[#This Row],[Age]]&lt;25,"18-24",IF(Table13[[#This Row],[Age]]&lt;35,"25-34",IF(Table13[[#This Row],[Age]]&lt;45,"35-44",IF(Table13[[#This Row],[Age]]&lt;55,"45-54","55-64"))))</f>
        <v>55-64</v>
      </c>
      <c r="H422" s="8" t="s">
        <v>17</v>
      </c>
      <c r="I422" s="8"/>
      <c r="J422" s="8">
        <v>1.68</v>
      </c>
      <c r="K422" s="8">
        <v>164</v>
      </c>
      <c r="L422" s="8">
        <v>156</v>
      </c>
      <c r="M422" s="8">
        <v>67</v>
      </c>
      <c r="N422" s="8">
        <v>1.59</v>
      </c>
      <c r="O422" s="8">
        <v>851</v>
      </c>
      <c r="P422" s="8" t="s">
        <v>20</v>
      </c>
      <c r="Q422" s="8" t="str">
        <f>_xlfn.IFS(AND(Table13[[#This Row],[Gender]]="female",R422&lt;20),"Athletes",AND(Table13[[#This Row],[Gender]]="female",R422&lt;24),"Fitnesss",AND(Table13[[#This Row],[Gender]]="female",R422&lt;31),"Acceptable",AND(Table13[[#This Row],[Gender]]="female",R422&lt;40),"Obese",AND(Table13[[#This Row],[Gender]]="male",R422&lt;13),"Athletes",AND(Table13[[#This Row],[Gender]]="male",R422&lt;17),"Fitnesss",AND(Table13[[#This Row],[Gender]]="male",R422&lt;24.9),"Acceptable",AND(Table13[[#This Row],[Gender]]="male",R422&lt;40),"Obese",AND(Table13[[#This Row],[Gender]]="others",R422&lt;20),"Athletes",AND(Table13[[#This Row],[Gender]]="others",R422&lt;24),"Fitnesss",AND(Table13[[#This Row],[Gender]]="others",R422&lt;31),"Acceptable",AND(Table13[[#This Row],[Gender]]="others",R422&lt;40),"Obese")</f>
        <v>Obese</v>
      </c>
      <c r="R422" s="8">
        <v>33.1</v>
      </c>
      <c r="S422" s="8">
        <v>2.8</v>
      </c>
      <c r="T422" s="8">
        <v>3</v>
      </c>
      <c r="U422" s="8">
        <v>2</v>
      </c>
      <c r="V422" s="8" t="str">
        <f>IF(Table13[[#This Row],[BMI]]&lt;=18.5,"Underweight",IF(Table13[[#This Row],[BMI]]&lt;=24.9,"Normal",IF(Table13[[#This Row],[BMI]]&lt;=29.9,"Overweight",IF(Table13[[#This Row],[BMI]]&lt;=39,"Obese","Severly Obese"))))</f>
        <v>Overweight</v>
      </c>
      <c r="W422" s="18">
        <v>28.23</v>
      </c>
    </row>
    <row r="423" spans="6:23" x14ac:dyDescent="0.3">
      <c r="F423" s="17">
        <v>18</v>
      </c>
      <c r="G423" s="8" t="str">
        <f>IF(Table13[[#This Row],[Age]]&lt;25,"18-24",IF(Table13[[#This Row],[Age]]&lt;35,"25-34",IF(Table13[[#This Row],[Age]]&lt;45,"35-44",IF(Table13[[#This Row],[Age]]&lt;55,"45-54","55-64"))))</f>
        <v>18-24</v>
      </c>
      <c r="H423" s="8" t="s">
        <v>17</v>
      </c>
      <c r="I423" s="8">
        <v>43</v>
      </c>
      <c r="J423" s="8">
        <v>1.95</v>
      </c>
      <c r="K423" s="8">
        <v>163</v>
      </c>
      <c r="L423" s="8">
        <v>164</v>
      </c>
      <c r="M423" s="8">
        <v>68</v>
      </c>
      <c r="N423" s="8">
        <v>2</v>
      </c>
      <c r="O423" s="8">
        <v>1349</v>
      </c>
      <c r="P423" s="8" t="s">
        <v>18</v>
      </c>
      <c r="Q423" s="8" t="str">
        <f>_xlfn.IFS(AND(Table13[[#This Row],[Gender]]="female",R423&lt;20),"Athletes",AND(Table13[[#This Row],[Gender]]="female",R423&lt;24),"Fitnesss",AND(Table13[[#This Row],[Gender]]="female",R423&lt;31),"Acceptable",AND(Table13[[#This Row],[Gender]]="female",R423&lt;40),"Obese",AND(Table13[[#This Row],[Gender]]="male",R423&lt;13),"Athletes",AND(Table13[[#This Row],[Gender]]="male",R423&lt;17),"Fitnesss",AND(Table13[[#This Row],[Gender]]="male",R423&lt;24.9),"Acceptable",AND(Table13[[#This Row],[Gender]]="male",R423&lt;40),"Obese",AND(Table13[[#This Row],[Gender]]="others",R423&lt;20),"Athletes",AND(Table13[[#This Row],[Gender]]="others",R423&lt;24),"Fitnesss",AND(Table13[[#This Row],[Gender]]="others",R423&lt;31),"Acceptable",AND(Table13[[#This Row],[Gender]]="others",R423&lt;40),"Obese")</f>
        <v>Athletes</v>
      </c>
      <c r="R423" s="8">
        <v>18.5</v>
      </c>
      <c r="S423" s="8">
        <v>3.2</v>
      </c>
      <c r="T423" s="8">
        <v>2</v>
      </c>
      <c r="U423" s="8">
        <v>2</v>
      </c>
      <c r="V423" s="8" t="str">
        <f>IF(Table13[[#This Row],[BMI]]&lt;=18.5,"Underweight",IF(Table13[[#This Row],[BMI]]&lt;=24.9,"Normal",IF(Table13[[#This Row],[BMI]]&lt;=29.9,"Overweight",IF(Table13[[#This Row],[BMI]]&lt;=39,"Obese","Severly Obese"))))</f>
        <v>Underweight</v>
      </c>
      <c r="W423" s="18">
        <v>12.32</v>
      </c>
    </row>
    <row r="424" spans="6:23" x14ac:dyDescent="0.3">
      <c r="F424" s="17">
        <v>59</v>
      </c>
      <c r="G424" s="8" t="str">
        <f>IF(Table13[[#This Row],[Age]]&lt;25,"18-24",IF(Table13[[#This Row],[Age]]&lt;35,"25-34",IF(Table13[[#This Row],[Age]]&lt;45,"35-44",IF(Table13[[#This Row],[Age]]&lt;55,"45-54","55-64"))))</f>
        <v>55-64</v>
      </c>
      <c r="H424" s="8" t="s">
        <v>19</v>
      </c>
      <c r="I424" s="8">
        <v>70.2</v>
      </c>
      <c r="J424" s="8">
        <v>1.77</v>
      </c>
      <c r="K424" s="8">
        <v>172</v>
      </c>
      <c r="L424" s="8">
        <v>124</v>
      </c>
      <c r="M424" s="8">
        <v>68</v>
      </c>
      <c r="N424" s="8">
        <v>1.47</v>
      </c>
      <c r="O424" s="8">
        <v>1069</v>
      </c>
      <c r="P424" s="8" t="s">
        <v>20</v>
      </c>
      <c r="Q424" s="8" t="str">
        <f>_xlfn.IFS(AND(Table13[[#This Row],[Gender]]="female",R424&lt;20),"Athletes",AND(Table13[[#This Row],[Gender]]="female",R424&lt;24),"Fitnesss",AND(Table13[[#This Row],[Gender]]="female",R424&lt;31),"Acceptable",AND(Table13[[#This Row],[Gender]]="female",R424&lt;40),"Obese",AND(Table13[[#This Row],[Gender]]="male",R424&lt;13),"Athletes",AND(Table13[[#This Row],[Gender]]="male",R424&lt;17),"Fitnesss",AND(Table13[[#This Row],[Gender]]="male",R424&lt;24.9),"Acceptable",AND(Table13[[#This Row],[Gender]]="male",R424&lt;40),"Obese",AND(Table13[[#This Row],[Gender]]="others",R424&lt;20),"Athletes",AND(Table13[[#This Row],[Gender]]="others",R424&lt;24),"Fitnesss",AND(Table13[[#This Row],[Gender]]="others",R424&lt;31),"Acceptable",AND(Table13[[#This Row],[Gender]]="others",R424&lt;40),"Obese")</f>
        <v>Acceptable</v>
      </c>
      <c r="R424" s="8">
        <v>21.4</v>
      </c>
      <c r="S424" s="8">
        <v>3.5</v>
      </c>
      <c r="T424" s="8">
        <v>4</v>
      </c>
      <c r="U424" s="8">
        <v>1</v>
      </c>
      <c r="V424" s="8" t="str">
        <f>IF(Table13[[#This Row],[BMI]]&lt;=18.5,"Underweight",IF(Table13[[#This Row],[BMI]]&lt;=24.9,"Normal",IF(Table13[[#This Row],[BMI]]&lt;=29.9,"Overweight",IF(Table13[[#This Row],[BMI]]&lt;=39,"Obese","Severly Obese"))))</f>
        <v>Severly Obese</v>
      </c>
      <c r="W424" s="18">
        <v>40.19</v>
      </c>
    </row>
    <row r="425" spans="6:23" x14ac:dyDescent="0.3">
      <c r="F425" s="17">
        <v>23</v>
      </c>
      <c r="G425" s="8" t="str">
        <f>IF(Table13[[#This Row],[Age]]&lt;25,"18-24",IF(Table13[[#This Row],[Age]]&lt;35,"25-34",IF(Table13[[#This Row],[Age]]&lt;45,"35-44",IF(Table13[[#This Row],[Age]]&lt;55,"45-54","55-64"))))</f>
        <v>18-24</v>
      </c>
      <c r="H425" s="8" t="s">
        <v>19</v>
      </c>
      <c r="I425" s="8">
        <v>96.5</v>
      </c>
      <c r="J425" s="8">
        <v>1.8</v>
      </c>
      <c r="K425" s="8">
        <v>187</v>
      </c>
      <c r="L425" s="8">
        <v>155</v>
      </c>
      <c r="M425" s="8">
        <v>68</v>
      </c>
      <c r="N425" s="8">
        <v>0.92</v>
      </c>
      <c r="O425" s="8">
        <v>1465</v>
      </c>
      <c r="P425" s="8" t="s">
        <v>22</v>
      </c>
      <c r="Q425" s="8" t="str">
        <f>_xlfn.IFS(AND(Table13[[#This Row],[Gender]]="female",R425&lt;20),"Athletes",AND(Table13[[#This Row],[Gender]]="female",R425&lt;24),"Fitnesss",AND(Table13[[#This Row],[Gender]]="female",R425&lt;31),"Acceptable",AND(Table13[[#This Row],[Gender]]="female",R425&lt;40),"Obese",AND(Table13[[#This Row],[Gender]]="male",R425&lt;13),"Athletes",AND(Table13[[#This Row],[Gender]]="male",R425&lt;17),"Fitnesss",AND(Table13[[#This Row],[Gender]]="male",R425&lt;24.9),"Acceptable",AND(Table13[[#This Row],[Gender]]="male",R425&lt;40),"Obese",AND(Table13[[#This Row],[Gender]]="others",R425&lt;20),"Athletes",AND(Table13[[#This Row],[Gender]]="others",R425&lt;24),"Fitnesss",AND(Table13[[#This Row],[Gender]]="others",R425&lt;31),"Acceptable",AND(Table13[[#This Row],[Gender]]="others",R425&lt;40),"Obese")</f>
        <v>Obese</v>
      </c>
      <c r="R425" s="8">
        <v>29.3</v>
      </c>
      <c r="S425" s="8">
        <v>3.2</v>
      </c>
      <c r="T425" s="8">
        <v>3</v>
      </c>
      <c r="U425" s="8">
        <v>1</v>
      </c>
      <c r="V425" s="8" t="str">
        <f>IF(Table13[[#This Row],[BMI]]&lt;=18.5,"Underweight",IF(Table13[[#This Row],[BMI]]&lt;=24.9,"Normal",IF(Table13[[#This Row],[BMI]]&lt;=29.9,"Overweight",IF(Table13[[#This Row],[BMI]]&lt;=39,"Obese","Severly Obese"))))</f>
        <v>Underweight</v>
      </c>
      <c r="W425" s="18">
        <v>12.32</v>
      </c>
    </row>
    <row r="426" spans="6:23" x14ac:dyDescent="0.3">
      <c r="F426" s="17">
        <v>30</v>
      </c>
      <c r="G426" s="8" t="str">
        <f>IF(Table13[[#This Row],[Age]]&lt;25,"18-24",IF(Table13[[#This Row],[Age]]&lt;35,"25-34",IF(Table13[[#This Row],[Age]]&lt;45,"35-44",IF(Table13[[#This Row],[Age]]&lt;55,"45-54","55-64"))))</f>
        <v>25-34</v>
      </c>
      <c r="H426" s="8" t="s">
        <v>19</v>
      </c>
      <c r="I426" s="8">
        <v>56.6</v>
      </c>
      <c r="J426" s="8">
        <v>2</v>
      </c>
      <c r="K426" s="8">
        <v>184</v>
      </c>
      <c r="L426" s="8">
        <v>125</v>
      </c>
      <c r="M426" s="8">
        <v>52</v>
      </c>
      <c r="N426" s="8">
        <v>1.29</v>
      </c>
      <c r="O426" s="8">
        <v>918</v>
      </c>
      <c r="P426" s="8" t="s">
        <v>20</v>
      </c>
      <c r="Q426" s="8" t="str">
        <f>_xlfn.IFS(AND(Table13[[#This Row],[Gender]]="female",R426&lt;20),"Athletes",AND(Table13[[#This Row],[Gender]]="female",R426&lt;24),"Fitnesss",AND(Table13[[#This Row],[Gender]]="female",R426&lt;31),"Acceptable",AND(Table13[[#This Row],[Gender]]="female",R426&lt;40),"Obese",AND(Table13[[#This Row],[Gender]]="male",R426&lt;13),"Athletes",AND(Table13[[#This Row],[Gender]]="male",R426&lt;17),"Fitnesss",AND(Table13[[#This Row],[Gender]]="male",R426&lt;24.9),"Acceptable",AND(Table13[[#This Row],[Gender]]="male",R426&lt;40),"Obese",AND(Table13[[#This Row],[Gender]]="others",R426&lt;20),"Athletes",AND(Table13[[#This Row],[Gender]]="others",R426&lt;24),"Fitnesss",AND(Table13[[#This Row],[Gender]]="others",R426&lt;31),"Acceptable",AND(Table13[[#This Row],[Gender]]="others",R426&lt;40),"Obese")</f>
        <v>Obese</v>
      </c>
      <c r="R426" s="8">
        <v>28.9</v>
      </c>
      <c r="S426" s="8">
        <v>3.3</v>
      </c>
      <c r="T426" s="8">
        <v>2</v>
      </c>
      <c r="U426" s="8">
        <v>1</v>
      </c>
      <c r="V426" s="8" t="str">
        <f>IF(Table13[[#This Row],[BMI]]&lt;=18.5,"Underweight",IF(Table13[[#This Row],[BMI]]&lt;=24.9,"Normal",IF(Table13[[#This Row],[BMI]]&lt;=29.9,"Overweight",IF(Table13[[#This Row],[BMI]]&lt;=39,"Obese","Severly Obese"))))</f>
        <v>Normal</v>
      </c>
      <c r="W426" s="18">
        <v>23.89</v>
      </c>
    </row>
    <row r="427" spans="6:23" x14ac:dyDescent="0.3">
      <c r="F427" s="17">
        <v>38</v>
      </c>
      <c r="G427" s="8" t="str">
        <f>IF(Table13[[#This Row],[Age]]&lt;25,"18-24",IF(Table13[[#This Row],[Age]]&lt;35,"25-34",IF(Table13[[#This Row],[Age]]&lt;45,"35-44",IF(Table13[[#This Row],[Age]]&lt;55,"45-54","55-64"))))</f>
        <v>35-44</v>
      </c>
      <c r="H427" s="8" t="s">
        <v>17</v>
      </c>
      <c r="I427" s="8">
        <v>40</v>
      </c>
      <c r="J427" s="8">
        <v>1.88</v>
      </c>
      <c r="K427" s="8">
        <v>164</v>
      </c>
      <c r="L427" s="8">
        <v>154</v>
      </c>
      <c r="M427" s="8">
        <v>70</v>
      </c>
      <c r="N427" s="8">
        <v>1.63</v>
      </c>
      <c r="O427" s="8">
        <v>1109</v>
      </c>
      <c r="P427" s="8" t="s">
        <v>22</v>
      </c>
      <c r="Q427" s="8" t="str">
        <f>_xlfn.IFS(AND(Table13[[#This Row],[Gender]]="female",R427&lt;20),"Athletes",AND(Table13[[#This Row],[Gender]]="female",R427&lt;24),"Fitnesss",AND(Table13[[#This Row],[Gender]]="female",R427&lt;31),"Acceptable",AND(Table13[[#This Row],[Gender]]="female",R427&lt;40),"Obese",AND(Table13[[#This Row],[Gender]]="male",R427&lt;13),"Athletes",AND(Table13[[#This Row],[Gender]]="male",R427&lt;17),"Fitnesss",AND(Table13[[#This Row],[Gender]]="male",R427&lt;24.9),"Acceptable",AND(Table13[[#This Row],[Gender]]="male",R427&lt;40),"Obese",AND(Table13[[#This Row],[Gender]]="others",R427&lt;20),"Athletes",AND(Table13[[#This Row],[Gender]]="others",R427&lt;24),"Fitnesss",AND(Table13[[#This Row],[Gender]]="others",R427&lt;31),"Acceptable",AND(Table13[[#This Row],[Gender]]="others",R427&lt;40),"Obese")</f>
        <v>Fitnesss</v>
      </c>
      <c r="R427" s="8">
        <v>20.7</v>
      </c>
      <c r="S427" s="8">
        <v>1.7</v>
      </c>
      <c r="T427" s="8">
        <v>2</v>
      </c>
      <c r="U427" s="8">
        <v>2</v>
      </c>
      <c r="V427" s="8" t="str">
        <f>IF(Table13[[#This Row],[BMI]]&lt;=18.5,"Underweight",IF(Table13[[#This Row],[BMI]]&lt;=24.9,"Normal",IF(Table13[[#This Row],[BMI]]&lt;=29.9,"Overweight",IF(Table13[[#This Row],[BMI]]&lt;=39,"Obese","Severly Obese"))))</f>
        <v>Underweight</v>
      </c>
      <c r="W427" s="18">
        <v>12.64</v>
      </c>
    </row>
    <row r="428" spans="6:23" x14ac:dyDescent="0.3">
      <c r="F428" s="17">
        <v>18</v>
      </c>
      <c r="G428" s="8" t="str">
        <f>IF(Table13[[#This Row],[Age]]&lt;25,"18-24",IF(Table13[[#This Row],[Age]]&lt;35,"25-34",IF(Table13[[#This Row],[Age]]&lt;45,"35-44",IF(Table13[[#This Row],[Age]]&lt;55,"45-54","55-64"))))</f>
        <v>18-24</v>
      </c>
      <c r="H428" s="8" t="s">
        <v>19</v>
      </c>
      <c r="I428" s="8">
        <v>101.2</v>
      </c>
      <c r="J428" s="8">
        <v>1.59</v>
      </c>
      <c r="K428" s="8">
        <v>198</v>
      </c>
      <c r="L428" s="8">
        <v>122</v>
      </c>
      <c r="M428" s="8">
        <v>58</v>
      </c>
      <c r="N428" s="8">
        <v>1.08</v>
      </c>
      <c r="O428" s="8"/>
      <c r="P428" s="8" t="s">
        <v>18</v>
      </c>
      <c r="Q428" s="8" t="str">
        <f>_xlfn.IFS(AND(Table13[[#This Row],[Gender]]="female",R428&lt;20),"Athletes",AND(Table13[[#This Row],[Gender]]="female",R428&lt;24),"Fitnesss",AND(Table13[[#This Row],[Gender]]="female",R428&lt;31),"Acceptable",AND(Table13[[#This Row],[Gender]]="female",R428&lt;40),"Obese",AND(Table13[[#This Row],[Gender]]="male",R428&lt;13),"Athletes",AND(Table13[[#This Row],[Gender]]="male",R428&lt;17),"Fitnesss",AND(Table13[[#This Row],[Gender]]="male",R428&lt;24.9),"Acceptable",AND(Table13[[#This Row],[Gender]]="male",R428&lt;40),"Obese",AND(Table13[[#This Row],[Gender]]="others",R428&lt;20),"Athletes",AND(Table13[[#This Row],[Gender]]="others",R428&lt;24),"Fitnesss",AND(Table13[[#This Row],[Gender]]="others",R428&lt;31),"Acceptable",AND(Table13[[#This Row],[Gender]]="others",R428&lt;40),"Obese")</f>
        <v>Obese</v>
      </c>
      <c r="R428" s="8">
        <v>28.6</v>
      </c>
      <c r="S428" s="8">
        <v>3.1</v>
      </c>
      <c r="T428" s="8">
        <v>4</v>
      </c>
      <c r="U428" s="8">
        <v>2</v>
      </c>
      <c r="V428" s="8" t="str">
        <f>IF(Table13[[#This Row],[BMI]]&lt;=18.5,"Underweight",IF(Table13[[#This Row],[BMI]]&lt;=24.9,"Normal",IF(Table13[[#This Row],[BMI]]&lt;=29.9,"Overweight",IF(Table13[[#This Row],[BMI]]&lt;=39,"Obese","Severly Obese"))))</f>
        <v>Normal</v>
      </c>
      <c r="W428" s="18">
        <v>19.39</v>
      </c>
    </row>
    <row r="429" spans="6:23" x14ac:dyDescent="0.3">
      <c r="F429" s="17">
        <v>48</v>
      </c>
      <c r="G429" s="8" t="str">
        <f>IF(Table13[[#This Row],[Age]]&lt;25,"18-24",IF(Table13[[#This Row],[Age]]&lt;35,"25-34",IF(Table13[[#This Row],[Age]]&lt;45,"35-44",IF(Table13[[#This Row],[Age]]&lt;55,"45-54","55-64"))))</f>
        <v>45-54</v>
      </c>
      <c r="H429" s="8" t="s">
        <v>17</v>
      </c>
      <c r="I429" s="8">
        <v>81.900000000000006</v>
      </c>
      <c r="J429" s="8">
        <v>1.8</v>
      </c>
      <c r="K429" s="8">
        <v>180</v>
      </c>
      <c r="L429" s="8">
        <v>165</v>
      </c>
      <c r="M429" s="8">
        <v>67</v>
      </c>
      <c r="N429" s="8">
        <v>1.25</v>
      </c>
      <c r="O429" s="8">
        <v>1410</v>
      </c>
      <c r="P429" s="8" t="s">
        <v>20</v>
      </c>
      <c r="Q429" s="8" t="str">
        <f>_xlfn.IFS(AND(Table13[[#This Row],[Gender]]="female",R429&lt;20),"Athletes",AND(Table13[[#This Row],[Gender]]="female",R429&lt;24),"Fitnesss",AND(Table13[[#This Row],[Gender]]="female",R429&lt;31),"Acceptable",AND(Table13[[#This Row],[Gender]]="female",R429&lt;40),"Obese",AND(Table13[[#This Row],[Gender]]="male",R429&lt;13),"Athletes",AND(Table13[[#This Row],[Gender]]="male",R429&lt;17),"Fitnesss",AND(Table13[[#This Row],[Gender]]="male",R429&lt;24.9),"Acceptable",AND(Table13[[#This Row],[Gender]]="male",R429&lt;40),"Obese",AND(Table13[[#This Row],[Gender]]="others",R429&lt;20),"Athletes",AND(Table13[[#This Row],[Gender]]="others",R429&lt;24),"Fitnesss",AND(Table13[[#This Row],[Gender]]="others",R429&lt;31),"Acceptable",AND(Table13[[#This Row],[Gender]]="others",R429&lt;40),"Obese")</f>
        <v>Acceptable</v>
      </c>
      <c r="R429" s="8">
        <v>24</v>
      </c>
      <c r="S429" s="8">
        <v>3.5</v>
      </c>
      <c r="T429" s="8">
        <v>4</v>
      </c>
      <c r="U429" s="8">
        <v>2</v>
      </c>
      <c r="V429" s="8" t="str">
        <f>IF(Table13[[#This Row],[BMI]]&lt;=18.5,"Underweight",IF(Table13[[#This Row],[BMI]]&lt;=24.9,"Normal",IF(Table13[[#This Row],[BMI]]&lt;=29.9,"Overweight",IF(Table13[[#This Row],[BMI]]&lt;=39,"Obese","Severly Obese"))))</f>
        <v>Underweight</v>
      </c>
      <c r="W429" s="18">
        <v>18.28</v>
      </c>
    </row>
    <row r="430" spans="6:23" x14ac:dyDescent="0.3">
      <c r="F430" s="17">
        <v>47</v>
      </c>
      <c r="G430" s="8" t="str">
        <f>IF(Table13[[#This Row],[Age]]&lt;25,"18-24",IF(Table13[[#This Row],[Age]]&lt;35,"25-34",IF(Table13[[#This Row],[Age]]&lt;45,"35-44",IF(Table13[[#This Row],[Age]]&lt;55,"45-54","55-64"))))</f>
        <v>45-54</v>
      </c>
      <c r="H430" s="8" t="s">
        <v>19</v>
      </c>
      <c r="I430" s="8">
        <v>121.4</v>
      </c>
      <c r="J430" s="8">
        <v>1.61</v>
      </c>
      <c r="K430" s="8">
        <v>164</v>
      </c>
      <c r="L430" s="8">
        <v>155</v>
      </c>
      <c r="M430" s="8">
        <v>74</v>
      </c>
      <c r="N430" s="8">
        <v>0.94</v>
      </c>
      <c r="O430" s="8">
        <v>934</v>
      </c>
      <c r="P430" s="8" t="s">
        <v>18</v>
      </c>
      <c r="Q430" s="8" t="str">
        <f>_xlfn.IFS(AND(Table13[[#This Row],[Gender]]="female",R430&lt;20),"Athletes",AND(Table13[[#This Row],[Gender]]="female",R430&lt;24),"Fitnesss",AND(Table13[[#This Row],[Gender]]="female",R430&lt;31),"Acceptable",AND(Table13[[#This Row],[Gender]]="female",R430&lt;40),"Obese",AND(Table13[[#This Row],[Gender]]="male",R430&lt;13),"Athletes",AND(Table13[[#This Row],[Gender]]="male",R430&lt;17),"Fitnesss",AND(Table13[[#This Row],[Gender]]="male",R430&lt;24.9),"Acceptable",AND(Table13[[#This Row],[Gender]]="male",R430&lt;40),"Obese",AND(Table13[[#This Row],[Gender]]="others",R430&lt;20),"Athletes",AND(Table13[[#This Row],[Gender]]="others",R430&lt;24),"Fitnesss",AND(Table13[[#This Row],[Gender]]="others",R430&lt;31),"Acceptable",AND(Table13[[#This Row],[Gender]]="others",R430&lt;40),"Obese")</f>
        <v>Acceptable</v>
      </c>
      <c r="R430" s="8">
        <v>24.7</v>
      </c>
      <c r="S430" s="8">
        <v>2.5</v>
      </c>
      <c r="T430" s="8">
        <v>2</v>
      </c>
      <c r="U430" s="8">
        <v>1</v>
      </c>
      <c r="V430" s="8" t="str">
        <f>IF(Table13[[#This Row],[BMI]]&lt;=18.5,"Underweight",IF(Table13[[#This Row],[BMI]]&lt;=24.9,"Normal",IF(Table13[[#This Row],[BMI]]&lt;=29.9,"Overweight",IF(Table13[[#This Row],[BMI]]&lt;=39,"Obese","Severly Obese"))))</f>
        <v>Obese</v>
      </c>
      <c r="W430" s="18">
        <v>30.03</v>
      </c>
    </row>
    <row r="431" spans="6:23" x14ac:dyDescent="0.3">
      <c r="F431" s="17">
        <v>21</v>
      </c>
      <c r="G431" s="8" t="str">
        <f>IF(Table13[[#This Row],[Age]]&lt;25,"18-24",IF(Table13[[#This Row],[Age]]&lt;35,"25-34",IF(Table13[[#This Row],[Age]]&lt;45,"35-44",IF(Table13[[#This Row],[Age]]&lt;55,"45-54","55-64"))))</f>
        <v>18-24</v>
      </c>
      <c r="H431" s="8" t="s">
        <v>17</v>
      </c>
      <c r="I431" s="8">
        <v>70.5</v>
      </c>
      <c r="J431" s="8">
        <v>1.84</v>
      </c>
      <c r="K431" s="8">
        <v>173</v>
      </c>
      <c r="L431" s="8">
        <v>127</v>
      </c>
      <c r="M431" s="8">
        <v>66</v>
      </c>
      <c r="N431" s="8">
        <v>0.97</v>
      </c>
      <c r="O431" s="8">
        <v>1013</v>
      </c>
      <c r="P431" s="8" t="s">
        <v>20</v>
      </c>
      <c r="Q431" s="8" t="str">
        <f>_xlfn.IFS(AND(Table13[[#This Row],[Gender]]="female",R431&lt;20),"Athletes",AND(Table13[[#This Row],[Gender]]="female",R431&lt;24),"Fitnesss",AND(Table13[[#This Row],[Gender]]="female",R431&lt;31),"Acceptable",AND(Table13[[#This Row],[Gender]]="female",R431&lt;40),"Obese",AND(Table13[[#This Row],[Gender]]="male",R431&lt;13),"Athletes",AND(Table13[[#This Row],[Gender]]="male",R431&lt;17),"Fitnesss",AND(Table13[[#This Row],[Gender]]="male",R431&lt;24.9),"Acceptable",AND(Table13[[#This Row],[Gender]]="male",R431&lt;40),"Obese",AND(Table13[[#This Row],[Gender]]="others",R431&lt;20),"Athletes",AND(Table13[[#This Row],[Gender]]="others",R431&lt;24),"Fitnesss",AND(Table13[[#This Row],[Gender]]="others",R431&lt;31),"Acceptable",AND(Table13[[#This Row],[Gender]]="others",R431&lt;40),"Obese")</f>
        <v>Acceptable</v>
      </c>
      <c r="R431" s="8">
        <v>26.7</v>
      </c>
      <c r="S431" s="8">
        <v>1.6</v>
      </c>
      <c r="T431" s="8">
        <v>5</v>
      </c>
      <c r="U431" s="8">
        <v>3</v>
      </c>
      <c r="V431" s="8" t="str">
        <f>IF(Table13[[#This Row],[BMI]]&lt;=18.5,"Underweight",IF(Table13[[#This Row],[BMI]]&lt;=24.9,"Normal",IF(Table13[[#This Row],[BMI]]&lt;=29.9,"Overweight",IF(Table13[[#This Row],[BMI]]&lt;=39,"Obese","Severly Obese"))))</f>
        <v>Overweight</v>
      </c>
      <c r="W431" s="18">
        <v>25.59</v>
      </c>
    </row>
    <row r="432" spans="6:23" x14ac:dyDescent="0.3">
      <c r="F432" s="17">
        <v>23</v>
      </c>
      <c r="G432" s="8" t="str">
        <f>IF(Table13[[#This Row],[Age]]&lt;25,"18-24",IF(Table13[[#This Row],[Age]]&lt;35,"25-34",IF(Table13[[#This Row],[Age]]&lt;45,"35-44",IF(Table13[[#This Row],[Age]]&lt;55,"45-54","55-64"))))</f>
        <v>18-24</v>
      </c>
      <c r="H432" s="8" t="s">
        <v>17</v>
      </c>
      <c r="I432" s="8">
        <v>70.5</v>
      </c>
      <c r="J432" s="8">
        <v>1.65</v>
      </c>
      <c r="K432" s="8">
        <v>192</v>
      </c>
      <c r="L432" s="8">
        <v>162</v>
      </c>
      <c r="M432" s="8">
        <v>50</v>
      </c>
      <c r="N432" s="8">
        <v>0.63</v>
      </c>
      <c r="O432" s="8">
        <v>1186</v>
      </c>
      <c r="P432" s="8" t="s">
        <v>20</v>
      </c>
      <c r="Q432" s="8" t="str">
        <f>_xlfn.IFS(AND(Table13[[#This Row],[Gender]]="female",R432&lt;20),"Athletes",AND(Table13[[#This Row],[Gender]]="female",R432&lt;24),"Fitnesss",AND(Table13[[#This Row],[Gender]]="female",R432&lt;31),"Acceptable",AND(Table13[[#This Row],[Gender]]="female",R432&lt;40),"Obese",AND(Table13[[#This Row],[Gender]]="male",R432&lt;13),"Athletes",AND(Table13[[#This Row],[Gender]]="male",R432&lt;17),"Fitnesss",AND(Table13[[#This Row],[Gender]]="male",R432&lt;24.9),"Acceptable",AND(Table13[[#This Row],[Gender]]="male",R432&lt;40),"Obese",AND(Table13[[#This Row],[Gender]]="others",R432&lt;20),"Athletes",AND(Table13[[#This Row],[Gender]]="others",R432&lt;24),"Fitnesss",AND(Table13[[#This Row],[Gender]]="others",R432&lt;31),"Acceptable",AND(Table13[[#This Row],[Gender]]="others",R432&lt;40),"Obese")</f>
        <v>Acceptable</v>
      </c>
      <c r="R432" s="8">
        <v>27.1</v>
      </c>
      <c r="S432" s="8">
        <v>2.6</v>
      </c>
      <c r="T432" s="8">
        <v>2</v>
      </c>
      <c r="U432" s="8">
        <v>2</v>
      </c>
      <c r="V432" s="8" t="str">
        <f>IF(Table13[[#This Row],[BMI]]&lt;=18.5,"Underweight",IF(Table13[[#This Row],[BMI]]&lt;=24.9,"Normal",IF(Table13[[#This Row],[BMI]]&lt;=29.9,"Overweight",IF(Table13[[#This Row],[BMI]]&lt;=39,"Obese","Severly Obese"))))</f>
        <v>Normal</v>
      </c>
      <c r="W432" s="18">
        <v>20.02</v>
      </c>
    </row>
    <row r="433" spans="6:23" x14ac:dyDescent="0.3">
      <c r="F433" s="17">
        <v>46</v>
      </c>
      <c r="G433" s="8" t="str">
        <f>IF(Table13[[#This Row],[Age]]&lt;25,"18-24",IF(Table13[[#This Row],[Age]]&lt;35,"25-34",IF(Table13[[#This Row],[Age]]&lt;45,"35-44",IF(Table13[[#This Row],[Age]]&lt;55,"45-54","55-64"))))</f>
        <v>45-54</v>
      </c>
      <c r="H433" s="8" t="s">
        <v>19</v>
      </c>
      <c r="I433" s="8">
        <v>54.8</v>
      </c>
      <c r="J433" s="8">
        <v>1.69</v>
      </c>
      <c r="K433" s="8">
        <v>194</v>
      </c>
      <c r="L433" s="8">
        <v>148</v>
      </c>
      <c r="M433" s="8">
        <v>74</v>
      </c>
      <c r="N433" s="8">
        <v>0.52</v>
      </c>
      <c r="O433" s="8">
        <v>846</v>
      </c>
      <c r="P433" s="8" t="s">
        <v>22</v>
      </c>
      <c r="Q433" s="8" t="str">
        <f>_xlfn.IFS(AND(Table13[[#This Row],[Gender]]="female",R433&lt;20),"Athletes",AND(Table13[[#This Row],[Gender]]="female",R433&lt;24),"Fitnesss",AND(Table13[[#This Row],[Gender]]="female",R433&lt;31),"Acceptable",AND(Table13[[#This Row],[Gender]]="female",R433&lt;40),"Obese",AND(Table13[[#This Row],[Gender]]="male",R433&lt;13),"Athletes",AND(Table13[[#This Row],[Gender]]="male",R433&lt;17),"Fitnesss",AND(Table13[[#This Row],[Gender]]="male",R433&lt;24.9),"Acceptable",AND(Table13[[#This Row],[Gender]]="male",R433&lt;40),"Obese",AND(Table13[[#This Row],[Gender]]="others",R433&lt;20),"Athletes",AND(Table13[[#This Row],[Gender]]="others",R433&lt;24),"Fitnesss",AND(Table13[[#This Row],[Gender]]="others",R433&lt;31),"Acceptable",AND(Table13[[#This Row],[Gender]]="others",R433&lt;40),"Obese")</f>
        <v>Fitnesss</v>
      </c>
      <c r="R433" s="8">
        <v>16.5</v>
      </c>
      <c r="S433" s="8">
        <v>3.5</v>
      </c>
      <c r="T433" s="8">
        <v>3</v>
      </c>
      <c r="U433" s="8">
        <v>3</v>
      </c>
      <c r="V433" s="8" t="str">
        <f>IF(Table13[[#This Row],[BMI]]&lt;=18.5,"Underweight",IF(Table13[[#This Row],[BMI]]&lt;=24.9,"Normal",IF(Table13[[#This Row],[BMI]]&lt;=29.9,"Overweight",IF(Table13[[#This Row],[BMI]]&lt;=39,"Obese","Severly Obese"))))</f>
        <v>Normal</v>
      </c>
      <c r="W433" s="18">
        <v>22.85</v>
      </c>
    </row>
    <row r="434" spans="6:23" x14ac:dyDescent="0.3">
      <c r="F434" s="17">
        <v>42</v>
      </c>
      <c r="G434" s="8" t="str">
        <f>IF(Table13[[#This Row],[Age]]&lt;25,"18-24",IF(Table13[[#This Row],[Age]]&lt;35,"25-34",IF(Table13[[#This Row],[Age]]&lt;45,"35-44",IF(Table13[[#This Row],[Age]]&lt;55,"45-54","55-64"))))</f>
        <v>35-44</v>
      </c>
      <c r="H434" s="8" t="s">
        <v>19</v>
      </c>
      <c r="I434" s="8">
        <v>72</v>
      </c>
      <c r="J434" s="8">
        <v>1.9</v>
      </c>
      <c r="K434" s="8">
        <v>184</v>
      </c>
      <c r="L434" s="8">
        <v>147</v>
      </c>
      <c r="M434" s="8">
        <v>67</v>
      </c>
      <c r="N434" s="8">
        <v>1.48</v>
      </c>
      <c r="O434" s="8">
        <v>1047</v>
      </c>
      <c r="P434" s="8" t="s">
        <v>22</v>
      </c>
      <c r="Q434" s="8" t="str">
        <f>_xlfn.IFS(AND(Table13[[#This Row],[Gender]]="female",R434&lt;20),"Athletes",AND(Table13[[#This Row],[Gender]]="female",R434&lt;24),"Fitnesss",AND(Table13[[#This Row],[Gender]]="female",R434&lt;31),"Acceptable",AND(Table13[[#This Row],[Gender]]="female",R434&lt;40),"Obese",AND(Table13[[#This Row],[Gender]]="male",R434&lt;13),"Athletes",AND(Table13[[#This Row],[Gender]]="male",R434&lt;17),"Fitnesss",AND(Table13[[#This Row],[Gender]]="male",R434&lt;24.9),"Acceptable",AND(Table13[[#This Row],[Gender]]="male",R434&lt;40),"Obese",AND(Table13[[#This Row],[Gender]]="others",R434&lt;20),"Athletes",AND(Table13[[#This Row],[Gender]]="others",R434&lt;24),"Fitnesss",AND(Table13[[#This Row],[Gender]]="others",R434&lt;31),"Acceptable",AND(Table13[[#This Row],[Gender]]="others",R434&lt;40),"Obese")</f>
        <v>Fitnesss</v>
      </c>
      <c r="R434" s="8">
        <v>15.6</v>
      </c>
      <c r="S434" s="8">
        <v>3.4</v>
      </c>
      <c r="T434" s="8">
        <v>3</v>
      </c>
      <c r="U434" s="8">
        <v>1</v>
      </c>
      <c r="V434" s="8" t="str">
        <f>IF(Table13[[#This Row],[BMI]]&lt;=18.5,"Underweight",IF(Table13[[#This Row],[BMI]]&lt;=24.9,"Normal",IF(Table13[[#This Row],[BMI]]&lt;=29.9,"Overweight",IF(Table13[[#This Row],[BMI]]&lt;=39,"Obese","Severly Obese"))))</f>
        <v>Normal</v>
      </c>
      <c r="W434" s="18">
        <v>24.6</v>
      </c>
    </row>
    <row r="435" spans="6:23" x14ac:dyDescent="0.3">
      <c r="F435" s="17">
        <v>29</v>
      </c>
      <c r="G435" s="8" t="str">
        <f>IF(Table13[[#This Row],[Age]]&lt;25,"18-24",IF(Table13[[#This Row],[Age]]&lt;35,"25-34",IF(Table13[[#This Row],[Age]]&lt;45,"35-44",IF(Table13[[#This Row],[Age]]&lt;55,"45-54","55-64"))))</f>
        <v>25-34</v>
      </c>
      <c r="H435" s="8" t="s">
        <v>19</v>
      </c>
      <c r="I435" s="8">
        <v>56.3</v>
      </c>
      <c r="J435" s="8">
        <v>1.81</v>
      </c>
      <c r="K435" s="8">
        <v>189</v>
      </c>
      <c r="L435" s="8">
        <v>166</v>
      </c>
      <c r="M435" s="8">
        <v>65</v>
      </c>
      <c r="N435" s="8">
        <v>1.39</v>
      </c>
      <c r="O435" s="8">
        <v>1066</v>
      </c>
      <c r="P435" s="8" t="s">
        <v>18</v>
      </c>
      <c r="Q435" s="8" t="str">
        <f>_xlfn.IFS(AND(Table13[[#This Row],[Gender]]="female",R435&lt;20),"Athletes",AND(Table13[[#This Row],[Gender]]="female",R435&lt;24),"Fitnesss",AND(Table13[[#This Row],[Gender]]="female",R435&lt;31),"Acceptable",AND(Table13[[#This Row],[Gender]]="female",R435&lt;40),"Obese",AND(Table13[[#This Row],[Gender]]="male",R435&lt;13),"Athletes",AND(Table13[[#This Row],[Gender]]="male",R435&lt;17),"Fitnesss",AND(Table13[[#This Row],[Gender]]="male",R435&lt;24.9),"Acceptable",AND(Table13[[#This Row],[Gender]]="male",R435&lt;40),"Obese",AND(Table13[[#This Row],[Gender]]="others",R435&lt;20),"Athletes",AND(Table13[[#This Row],[Gender]]="others",R435&lt;24),"Fitnesss",AND(Table13[[#This Row],[Gender]]="others",R435&lt;31),"Acceptable",AND(Table13[[#This Row],[Gender]]="others",R435&lt;40),"Obese")</f>
        <v>Fitnesss</v>
      </c>
      <c r="R435" s="8">
        <v>14.3</v>
      </c>
      <c r="S435" s="8">
        <v>2.9</v>
      </c>
      <c r="T435" s="8">
        <v>3</v>
      </c>
      <c r="U435" s="8">
        <v>1</v>
      </c>
      <c r="V435" s="8" t="str">
        <f>IF(Table13[[#This Row],[BMI]]&lt;=18.5,"Underweight",IF(Table13[[#This Row],[BMI]]&lt;=24.9,"Normal",IF(Table13[[#This Row],[BMI]]&lt;=29.9,"Overweight",IF(Table13[[#This Row],[BMI]]&lt;=39,"Obese","Severly Obese"))))</f>
        <v>Normal</v>
      </c>
      <c r="W435" s="18">
        <v>22.34</v>
      </c>
    </row>
    <row r="436" spans="6:23" x14ac:dyDescent="0.3">
      <c r="F436" s="17">
        <v>18</v>
      </c>
      <c r="G436" s="8" t="str">
        <f>IF(Table13[[#This Row],[Age]]&lt;25,"18-24",IF(Table13[[#This Row],[Age]]&lt;35,"25-34",IF(Table13[[#This Row],[Age]]&lt;45,"35-44",IF(Table13[[#This Row],[Age]]&lt;55,"45-54","55-64"))))</f>
        <v>18-24</v>
      </c>
      <c r="H436" s="8" t="s">
        <v>19</v>
      </c>
      <c r="I436" s="8">
        <v>46.5</v>
      </c>
      <c r="J436" s="8">
        <v>1.54</v>
      </c>
      <c r="K436" s="8">
        <v>198</v>
      </c>
      <c r="L436" s="8">
        <v>169</v>
      </c>
      <c r="M436" s="8">
        <v>55</v>
      </c>
      <c r="N436" s="8"/>
      <c r="O436" s="8">
        <v>1060</v>
      </c>
      <c r="P436" s="8" t="s">
        <v>20</v>
      </c>
      <c r="Q436" s="8" t="str">
        <f>_xlfn.IFS(AND(Table13[[#This Row],[Gender]]="female",R436&lt;20),"Athletes",AND(Table13[[#This Row],[Gender]]="female",R436&lt;24),"Fitnesss",AND(Table13[[#This Row],[Gender]]="female",R436&lt;31),"Acceptable",AND(Table13[[#This Row],[Gender]]="female",R436&lt;40),"Obese",AND(Table13[[#This Row],[Gender]]="male",R436&lt;13),"Athletes",AND(Table13[[#This Row],[Gender]]="male",R436&lt;17),"Fitnesss",AND(Table13[[#This Row],[Gender]]="male",R436&lt;24.9),"Acceptable",AND(Table13[[#This Row],[Gender]]="male",R436&lt;40),"Obese",AND(Table13[[#This Row],[Gender]]="others",R436&lt;20),"Athletes",AND(Table13[[#This Row],[Gender]]="others",R436&lt;24),"Fitnesss",AND(Table13[[#This Row],[Gender]]="others",R436&lt;31),"Acceptable",AND(Table13[[#This Row],[Gender]]="others",R436&lt;40),"Obese")</f>
        <v>Obese</v>
      </c>
      <c r="R436" s="8">
        <v>28.9</v>
      </c>
      <c r="S436" s="8">
        <v>3.1</v>
      </c>
      <c r="T436" s="8">
        <v>5</v>
      </c>
      <c r="U436" s="8">
        <v>1</v>
      </c>
      <c r="V436" s="8" t="str">
        <f>IF(Table13[[#This Row],[BMI]]&lt;=18.5,"Underweight",IF(Table13[[#This Row],[BMI]]&lt;=24.9,"Normal",IF(Table13[[#This Row],[BMI]]&lt;=29.9,"Overweight",IF(Table13[[#This Row],[BMI]]&lt;=39,"Obese","Severly Obese"))))</f>
        <v>Underweight</v>
      </c>
      <c r="W436" s="18">
        <v>14.01</v>
      </c>
    </row>
    <row r="437" spans="6:23" x14ac:dyDescent="0.3">
      <c r="F437" s="17">
        <v>47</v>
      </c>
      <c r="G437" s="8" t="str">
        <f>IF(Table13[[#This Row],[Age]]&lt;25,"18-24",IF(Table13[[#This Row],[Age]]&lt;35,"25-34",IF(Table13[[#This Row],[Age]]&lt;45,"35-44",IF(Table13[[#This Row],[Age]]&lt;55,"45-54","55-64"))))</f>
        <v>45-54</v>
      </c>
      <c r="H437" s="8" t="s">
        <v>17</v>
      </c>
      <c r="I437" s="8">
        <v>51.4</v>
      </c>
      <c r="J437" s="8">
        <v>1.88</v>
      </c>
      <c r="K437" s="8">
        <v>176</v>
      </c>
      <c r="L437" s="8">
        <v>125</v>
      </c>
      <c r="M437" s="8">
        <v>58</v>
      </c>
      <c r="N437" s="8">
        <v>0.88</v>
      </c>
      <c r="O437" s="8">
        <v>1133</v>
      </c>
      <c r="P437" s="8" t="s">
        <v>22</v>
      </c>
      <c r="Q437" s="8" t="str">
        <f>_xlfn.IFS(AND(Table13[[#This Row],[Gender]]="female",R437&lt;20),"Athletes",AND(Table13[[#This Row],[Gender]]="female",R437&lt;24),"Fitnesss",AND(Table13[[#This Row],[Gender]]="female",R437&lt;31),"Acceptable",AND(Table13[[#This Row],[Gender]]="female",R437&lt;40),"Obese",AND(Table13[[#This Row],[Gender]]="male",R437&lt;13),"Athletes",AND(Table13[[#This Row],[Gender]]="male",R437&lt;17),"Fitnesss",AND(Table13[[#This Row],[Gender]]="male",R437&lt;24.9),"Acceptable",AND(Table13[[#This Row],[Gender]]="male",R437&lt;40),"Obese",AND(Table13[[#This Row],[Gender]]="others",R437&lt;20),"Athletes",AND(Table13[[#This Row],[Gender]]="others",R437&lt;24),"Fitnesss",AND(Table13[[#This Row],[Gender]]="others",R437&lt;31),"Acceptable",AND(Table13[[#This Row],[Gender]]="others",R437&lt;40),"Obese")</f>
        <v>Acceptable</v>
      </c>
      <c r="R437" s="8">
        <v>24</v>
      </c>
      <c r="S437" s="8">
        <v>3.3</v>
      </c>
      <c r="T437" s="8">
        <v>3</v>
      </c>
      <c r="U437" s="8">
        <v>3</v>
      </c>
      <c r="V437" s="8" t="str">
        <f>IF(Table13[[#This Row],[BMI]]&lt;=18.5,"Underweight",IF(Table13[[#This Row],[BMI]]&lt;=24.9,"Normal",IF(Table13[[#This Row],[BMI]]&lt;=29.9,"Overweight",IF(Table13[[#This Row],[BMI]]&lt;=39,"Obese","Severly Obese"))))</f>
        <v>Underweight</v>
      </c>
      <c r="W437" s="18">
        <v>14.3</v>
      </c>
    </row>
    <row r="438" spans="6:23" x14ac:dyDescent="0.3">
      <c r="F438" s="17">
        <v>43</v>
      </c>
      <c r="G438" s="8" t="str">
        <f>IF(Table13[[#This Row],[Age]]&lt;25,"18-24",IF(Table13[[#This Row],[Age]]&lt;35,"25-34",IF(Table13[[#This Row],[Age]]&lt;45,"35-44",IF(Table13[[#This Row],[Age]]&lt;55,"45-54","55-64"))))</f>
        <v>35-44</v>
      </c>
      <c r="H438" s="8" t="s">
        <v>19</v>
      </c>
      <c r="I438" s="8">
        <v>42.6</v>
      </c>
      <c r="J438" s="8">
        <v>1.62</v>
      </c>
      <c r="K438" s="8">
        <v>189</v>
      </c>
      <c r="L438" s="8">
        <v>169</v>
      </c>
      <c r="M438" s="8">
        <v>74</v>
      </c>
      <c r="N438" s="8">
        <v>1</v>
      </c>
      <c r="O438" s="8">
        <v>1213</v>
      </c>
      <c r="P438" s="8" t="s">
        <v>18</v>
      </c>
      <c r="Q438" s="8" t="str">
        <f>_xlfn.IFS(AND(Table13[[#This Row],[Gender]]="female",R438&lt;20),"Athletes",AND(Table13[[#This Row],[Gender]]="female",R438&lt;24),"Fitnesss",AND(Table13[[#This Row],[Gender]]="female",R438&lt;31),"Acceptable",AND(Table13[[#This Row],[Gender]]="female",R438&lt;40),"Obese",AND(Table13[[#This Row],[Gender]]="male",R438&lt;13),"Athletes",AND(Table13[[#This Row],[Gender]]="male",R438&lt;17),"Fitnesss",AND(Table13[[#This Row],[Gender]]="male",R438&lt;24.9),"Acceptable",AND(Table13[[#This Row],[Gender]]="male",R438&lt;40),"Obese",AND(Table13[[#This Row],[Gender]]="others",R438&lt;20),"Athletes",AND(Table13[[#This Row],[Gender]]="others",R438&lt;24),"Fitnesss",AND(Table13[[#This Row],[Gender]]="others",R438&lt;31),"Acceptable",AND(Table13[[#This Row],[Gender]]="others",R438&lt;40),"Obese")</f>
        <v>Fitnesss</v>
      </c>
      <c r="R438" s="8">
        <v>13.6</v>
      </c>
      <c r="S438" s="8">
        <v>3.5</v>
      </c>
      <c r="T438" s="8">
        <v>2</v>
      </c>
      <c r="U438" s="8"/>
      <c r="V438" s="8" t="str">
        <f>IF(Table13[[#This Row],[BMI]]&lt;=18.5,"Underweight",IF(Table13[[#This Row],[BMI]]&lt;=24.9,"Normal",IF(Table13[[#This Row],[BMI]]&lt;=29.9,"Overweight",IF(Table13[[#This Row],[BMI]]&lt;=39,"Obese","Severly Obese"))))</f>
        <v>Normal</v>
      </c>
      <c r="W438" s="18">
        <v>21.81</v>
      </c>
    </row>
    <row r="439" spans="6:23" x14ac:dyDescent="0.3">
      <c r="F439" s="17">
        <v>18</v>
      </c>
      <c r="G439" s="8" t="str">
        <f>IF(Table13[[#This Row],[Age]]&lt;25,"18-24",IF(Table13[[#This Row],[Age]]&lt;35,"25-34",IF(Table13[[#This Row],[Age]]&lt;45,"35-44",IF(Table13[[#This Row],[Age]]&lt;55,"45-54","55-64"))))</f>
        <v>18-24</v>
      </c>
      <c r="H439" s="8" t="s">
        <v>19</v>
      </c>
      <c r="I439" s="8">
        <v>73</v>
      </c>
      <c r="J439" s="8">
        <v>1.78</v>
      </c>
      <c r="K439" s="8">
        <v>161</v>
      </c>
      <c r="L439" s="8">
        <v>131</v>
      </c>
      <c r="M439" s="8">
        <v>50</v>
      </c>
      <c r="N439" s="8">
        <v>2</v>
      </c>
      <c r="O439" s="8">
        <v>1319</v>
      </c>
      <c r="P439" s="8" t="s">
        <v>18</v>
      </c>
      <c r="Q439" s="8" t="str">
        <f>_xlfn.IFS(AND(Table13[[#This Row],[Gender]]="female",R439&lt;20),"Athletes",AND(Table13[[#This Row],[Gender]]="female",R439&lt;24),"Fitnesss",AND(Table13[[#This Row],[Gender]]="female",R439&lt;31),"Acceptable",AND(Table13[[#This Row],[Gender]]="female",R439&lt;40),"Obese",AND(Table13[[#This Row],[Gender]]="male",R439&lt;13),"Athletes",AND(Table13[[#This Row],[Gender]]="male",R439&lt;17),"Fitnesss",AND(Table13[[#This Row],[Gender]]="male",R439&lt;24.9),"Acceptable",AND(Table13[[#This Row],[Gender]]="male",R439&lt;40),"Obese",AND(Table13[[#This Row],[Gender]]="others",R439&lt;20),"Athletes",AND(Table13[[#This Row],[Gender]]="others",R439&lt;24),"Fitnesss",AND(Table13[[#This Row],[Gender]]="others",R439&lt;31),"Acceptable",AND(Table13[[#This Row],[Gender]]="others",R439&lt;40),"Obese")</f>
        <v>Obese</v>
      </c>
      <c r="R439" s="8">
        <v>26.1</v>
      </c>
      <c r="S439" s="8">
        <v>1.5</v>
      </c>
      <c r="T439" s="8">
        <v>5</v>
      </c>
      <c r="U439" s="8">
        <v>1</v>
      </c>
      <c r="V439" s="8" t="str">
        <f>IF(Table13[[#This Row],[BMI]]&lt;=18.5,"Underweight",IF(Table13[[#This Row],[BMI]]&lt;=24.9,"Normal",IF(Table13[[#This Row],[BMI]]&lt;=29.9,"Overweight",IF(Table13[[#This Row],[BMI]]&lt;=39,"Obese","Severly Obese"))))</f>
        <v>Underweight</v>
      </c>
      <c r="W439" s="18">
        <v>12.32</v>
      </c>
    </row>
    <row r="440" spans="6:23" x14ac:dyDescent="0.3">
      <c r="F440" s="17">
        <v>50</v>
      </c>
      <c r="G440" s="8" t="str">
        <f>IF(Table13[[#This Row],[Age]]&lt;25,"18-24",IF(Table13[[#This Row],[Age]]&lt;35,"25-34",IF(Table13[[#This Row],[Age]]&lt;45,"35-44",IF(Table13[[#This Row],[Age]]&lt;55,"45-54","55-64"))))</f>
        <v>45-54</v>
      </c>
      <c r="H440" s="8" t="s">
        <v>19</v>
      </c>
      <c r="I440" s="8">
        <v>87.9</v>
      </c>
      <c r="J440" s="8">
        <v>1.68</v>
      </c>
      <c r="K440" s="8">
        <v>192</v>
      </c>
      <c r="L440" s="8">
        <v>151</v>
      </c>
      <c r="M440" s="8">
        <v>71</v>
      </c>
      <c r="N440" s="8">
        <v>2</v>
      </c>
      <c r="O440" s="8">
        <v>494</v>
      </c>
      <c r="P440" s="8" t="s">
        <v>18</v>
      </c>
      <c r="Q440" s="8" t="str">
        <f>_xlfn.IFS(AND(Table13[[#This Row],[Gender]]="female",R440&lt;20),"Athletes",AND(Table13[[#This Row],[Gender]]="female",R440&lt;24),"Fitnesss",AND(Table13[[#This Row],[Gender]]="female",R440&lt;31),"Acceptable",AND(Table13[[#This Row],[Gender]]="female",R440&lt;40),"Obese",AND(Table13[[#This Row],[Gender]]="male",R440&lt;13),"Athletes",AND(Table13[[#This Row],[Gender]]="male",R440&lt;17),"Fitnesss",AND(Table13[[#This Row],[Gender]]="male",R440&lt;24.9),"Acceptable",AND(Table13[[#This Row],[Gender]]="male",R440&lt;40),"Obese",AND(Table13[[#This Row],[Gender]]="others",R440&lt;20),"Athletes",AND(Table13[[#This Row],[Gender]]="others",R440&lt;24),"Fitnesss",AND(Table13[[#This Row],[Gender]]="others",R440&lt;31),"Acceptable",AND(Table13[[#This Row],[Gender]]="others",R440&lt;40),"Obese")</f>
        <v>Fitnesss</v>
      </c>
      <c r="R440" s="8">
        <v>15.5</v>
      </c>
      <c r="S440" s="8">
        <v>3.1</v>
      </c>
      <c r="T440" s="8">
        <v>3</v>
      </c>
      <c r="U440" s="8">
        <v>3</v>
      </c>
      <c r="V440" s="8" t="str">
        <f>IF(Table13[[#This Row],[BMI]]&lt;=18.5,"Underweight",IF(Table13[[#This Row],[BMI]]&lt;=24.9,"Normal",IF(Table13[[#This Row],[BMI]]&lt;=29.9,"Overweight",IF(Table13[[#This Row],[BMI]]&lt;=39,"Obese","Severly Obese"))))</f>
        <v>Obese</v>
      </c>
      <c r="W440" s="18">
        <v>31.28</v>
      </c>
    </row>
    <row r="441" spans="6:23" x14ac:dyDescent="0.3">
      <c r="F441" s="17">
        <v>35</v>
      </c>
      <c r="G441" s="8" t="str">
        <f>IF(Table13[[#This Row],[Age]]&lt;25,"18-24",IF(Table13[[#This Row],[Age]]&lt;35,"25-34",IF(Table13[[#This Row],[Age]]&lt;45,"35-44",IF(Table13[[#This Row],[Age]]&lt;55,"45-54","55-64"))))</f>
        <v>35-44</v>
      </c>
      <c r="H441" s="8" t="s">
        <v>19</v>
      </c>
      <c r="I441" s="8">
        <v>53</v>
      </c>
      <c r="J441" s="8">
        <v>1.67</v>
      </c>
      <c r="K441" s="8">
        <v>183</v>
      </c>
      <c r="L441" s="8">
        <v>128</v>
      </c>
      <c r="M441" s="8">
        <v>72</v>
      </c>
      <c r="N441" s="8">
        <v>1.29</v>
      </c>
      <c r="O441" s="8">
        <v>682</v>
      </c>
      <c r="P441" s="8" t="s">
        <v>22</v>
      </c>
      <c r="Q441" s="8" t="str">
        <f>_xlfn.IFS(AND(Table13[[#This Row],[Gender]]="female",R441&lt;20),"Athletes",AND(Table13[[#This Row],[Gender]]="female",R441&lt;24),"Fitnesss",AND(Table13[[#This Row],[Gender]]="female",R441&lt;31),"Acceptable",AND(Table13[[#This Row],[Gender]]="female",R441&lt;40),"Obese",AND(Table13[[#This Row],[Gender]]="male",R441&lt;13),"Athletes",AND(Table13[[#This Row],[Gender]]="male",R441&lt;17),"Fitnesss",AND(Table13[[#This Row],[Gender]]="male",R441&lt;24.9),"Acceptable",AND(Table13[[#This Row],[Gender]]="male",R441&lt;40),"Obese",AND(Table13[[#This Row],[Gender]]="others",R441&lt;20),"Athletes",AND(Table13[[#This Row],[Gender]]="others",R441&lt;24),"Fitnesss",AND(Table13[[#This Row],[Gender]]="others",R441&lt;31),"Acceptable",AND(Table13[[#This Row],[Gender]]="others",R441&lt;40),"Obese")</f>
        <v>Acceptable</v>
      </c>
      <c r="R441" s="8">
        <v>21.9</v>
      </c>
      <c r="S441" s="8">
        <v>2.2000000000000002</v>
      </c>
      <c r="T441" s="8">
        <v>3</v>
      </c>
      <c r="U441" s="8">
        <v>2</v>
      </c>
      <c r="V441" s="8" t="str">
        <f>IF(Table13[[#This Row],[BMI]]&lt;=18.5,"Underweight",IF(Table13[[#This Row],[BMI]]&lt;=24.9,"Normal",IF(Table13[[#This Row],[BMI]]&lt;=29.9,"Overweight",IF(Table13[[#This Row],[BMI]]&lt;=39,"Obese","Severly Obese"))))</f>
        <v>Underweight</v>
      </c>
      <c r="W441" s="18">
        <v>16.71</v>
      </c>
    </row>
    <row r="442" spans="6:23" x14ac:dyDescent="0.3">
      <c r="F442" s="17">
        <v>43</v>
      </c>
      <c r="G442" s="8" t="str">
        <f>IF(Table13[[#This Row],[Age]]&lt;25,"18-24",IF(Table13[[#This Row],[Age]]&lt;35,"25-34",IF(Table13[[#This Row],[Age]]&lt;45,"35-44",IF(Table13[[#This Row],[Age]]&lt;55,"45-54","55-64"))))</f>
        <v>35-44</v>
      </c>
      <c r="H442" s="8" t="s">
        <v>17</v>
      </c>
      <c r="I442" s="8">
        <v>46.3</v>
      </c>
      <c r="J442" s="8">
        <v>1.61</v>
      </c>
      <c r="K442" s="8">
        <v>190</v>
      </c>
      <c r="L442" s="8">
        <v>136</v>
      </c>
      <c r="M442" s="8">
        <v>69</v>
      </c>
      <c r="N442" s="8">
        <v>2</v>
      </c>
      <c r="O442" s="8">
        <v>1185</v>
      </c>
      <c r="P442" s="8" t="s">
        <v>22</v>
      </c>
      <c r="Q442" s="8" t="str">
        <f>_xlfn.IFS(AND(Table13[[#This Row],[Gender]]="female",R442&lt;20),"Athletes",AND(Table13[[#This Row],[Gender]]="female",R442&lt;24),"Fitnesss",AND(Table13[[#This Row],[Gender]]="female",R442&lt;31),"Acceptable",AND(Table13[[#This Row],[Gender]]="female",R442&lt;40),"Obese",AND(Table13[[#This Row],[Gender]]="male",R442&lt;13),"Athletes",AND(Table13[[#This Row],[Gender]]="male",R442&lt;17),"Fitnesss",AND(Table13[[#This Row],[Gender]]="male",R442&lt;24.9),"Acceptable",AND(Table13[[#This Row],[Gender]]="male",R442&lt;40),"Obese",AND(Table13[[#This Row],[Gender]]="others",R442&lt;20),"Athletes",AND(Table13[[#This Row],[Gender]]="others",R442&lt;24),"Fitnesss",AND(Table13[[#This Row],[Gender]]="others",R442&lt;31),"Acceptable",AND(Table13[[#This Row],[Gender]]="others",R442&lt;40),"Obese")</f>
        <v>Fitnesss</v>
      </c>
      <c r="R442" s="8">
        <v>21.4</v>
      </c>
      <c r="S442" s="8">
        <v>3.5</v>
      </c>
      <c r="T442" s="8">
        <v>4</v>
      </c>
      <c r="U442" s="8">
        <v>1</v>
      </c>
      <c r="V442" s="8" t="str">
        <f>IF(Table13[[#This Row],[BMI]]&lt;=18.5,"Underweight",IF(Table13[[#This Row],[BMI]]&lt;=24.9,"Normal",IF(Table13[[#This Row],[BMI]]&lt;=29.9,"Overweight",IF(Table13[[#This Row],[BMI]]&lt;=39,"Obese","Severly Obese"))))</f>
        <v>Underweight</v>
      </c>
      <c r="W442" s="18">
        <v>14.14</v>
      </c>
    </row>
    <row r="443" spans="6:23" x14ac:dyDescent="0.3">
      <c r="F443" s="17">
        <v>50</v>
      </c>
      <c r="G443" s="8" t="str">
        <f>IF(Table13[[#This Row],[Age]]&lt;25,"18-24",IF(Table13[[#This Row],[Age]]&lt;35,"25-34",IF(Table13[[#This Row],[Age]]&lt;45,"35-44",IF(Table13[[#This Row],[Age]]&lt;55,"45-54","55-64"))))</f>
        <v>45-54</v>
      </c>
      <c r="H443" s="8" t="s">
        <v>19</v>
      </c>
      <c r="I443" s="8">
        <v>82.8</v>
      </c>
      <c r="J443" s="8">
        <v>1.9</v>
      </c>
      <c r="K443" s="8">
        <v>161</v>
      </c>
      <c r="L443" s="8">
        <v>130</v>
      </c>
      <c r="M443" s="8">
        <v>74</v>
      </c>
      <c r="N443" s="8">
        <v>1.51</v>
      </c>
      <c r="O443" s="8">
        <v>1151</v>
      </c>
      <c r="P443" s="8" t="s">
        <v>23</v>
      </c>
      <c r="Q443" s="8" t="str">
        <f>_xlfn.IFS(AND(Table13[[#This Row],[Gender]]="female",R443&lt;20),"Athletes",AND(Table13[[#This Row],[Gender]]="female",R443&lt;24),"Fitnesss",AND(Table13[[#This Row],[Gender]]="female",R443&lt;31),"Acceptable",AND(Table13[[#This Row],[Gender]]="female",R443&lt;40),"Obese",AND(Table13[[#This Row],[Gender]]="male",R443&lt;13),"Athletes",AND(Table13[[#This Row],[Gender]]="male",R443&lt;17),"Fitnesss",AND(Table13[[#This Row],[Gender]]="male",R443&lt;24.9),"Acceptable",AND(Table13[[#This Row],[Gender]]="male",R443&lt;40),"Obese",AND(Table13[[#This Row],[Gender]]="others",R443&lt;20),"Athletes",AND(Table13[[#This Row],[Gender]]="others",R443&lt;24),"Fitnesss",AND(Table13[[#This Row],[Gender]]="others",R443&lt;31),"Acceptable",AND(Table13[[#This Row],[Gender]]="others",R443&lt;40),"Obese")</f>
        <v>Fitnesss</v>
      </c>
      <c r="R443" s="8">
        <v>16.8</v>
      </c>
      <c r="S443" s="8">
        <v>3.3</v>
      </c>
      <c r="T443" s="8">
        <v>4</v>
      </c>
      <c r="U443" s="8">
        <v>3</v>
      </c>
      <c r="V443" s="8" t="str">
        <f>IF(Table13[[#This Row],[BMI]]&lt;=18.5,"Underweight",IF(Table13[[#This Row],[BMI]]&lt;=24.9,"Normal",IF(Table13[[#This Row],[BMI]]&lt;=29.9,"Overweight",IF(Table13[[#This Row],[BMI]]&lt;=39,"Obese","Severly Obese"))))</f>
        <v>Overweight</v>
      </c>
      <c r="W443" s="18">
        <v>28.59</v>
      </c>
    </row>
    <row r="444" spans="6:23" x14ac:dyDescent="0.3">
      <c r="F444" s="17">
        <v>53</v>
      </c>
      <c r="G444" s="8" t="str">
        <f>IF(Table13[[#This Row],[Age]]&lt;25,"18-24",IF(Table13[[#This Row],[Age]]&lt;35,"25-34",IF(Table13[[#This Row],[Age]]&lt;45,"35-44",IF(Table13[[#This Row],[Age]]&lt;55,"45-54","55-64"))))</f>
        <v>45-54</v>
      </c>
      <c r="H444" s="8" t="s">
        <v>17</v>
      </c>
      <c r="I444" s="8">
        <v>82.9</v>
      </c>
      <c r="J444" s="8">
        <v>1.6</v>
      </c>
      <c r="K444" s="8">
        <v>170</v>
      </c>
      <c r="L444" s="8">
        <v>148</v>
      </c>
      <c r="M444" s="8">
        <v>55</v>
      </c>
      <c r="N444" s="8">
        <v>1.93</v>
      </c>
      <c r="O444" s="8">
        <v>541</v>
      </c>
      <c r="P444" s="8" t="s">
        <v>21</v>
      </c>
      <c r="Q444" s="8" t="str">
        <f>_xlfn.IFS(AND(Table13[[#This Row],[Gender]]="female",R444&lt;20),"Athletes",AND(Table13[[#This Row],[Gender]]="female",R444&lt;24),"Fitnesss",AND(Table13[[#This Row],[Gender]]="female",R444&lt;31),"Acceptable",AND(Table13[[#This Row],[Gender]]="female",R444&lt;40),"Obese",AND(Table13[[#This Row],[Gender]]="male",R444&lt;13),"Athletes",AND(Table13[[#This Row],[Gender]]="male",R444&lt;17),"Fitnesss",AND(Table13[[#This Row],[Gender]]="male",R444&lt;24.9),"Acceptable",AND(Table13[[#This Row],[Gender]]="male",R444&lt;40),"Obese",AND(Table13[[#This Row],[Gender]]="others",R444&lt;20),"Athletes",AND(Table13[[#This Row],[Gender]]="others",R444&lt;24),"Fitnesss",AND(Table13[[#This Row],[Gender]]="others",R444&lt;31),"Acceptable",AND(Table13[[#This Row],[Gender]]="others",R444&lt;40),"Obese")</f>
        <v>Athletes</v>
      </c>
      <c r="R444" s="8">
        <v>17.8</v>
      </c>
      <c r="S444" s="8">
        <v>2.5</v>
      </c>
      <c r="T444" s="8">
        <v>3</v>
      </c>
      <c r="U444" s="8">
        <v>2</v>
      </c>
      <c r="V444" s="8" t="str">
        <f>IF(Table13[[#This Row],[BMI]]&lt;=18.5,"Underweight",IF(Table13[[#This Row],[BMI]]&lt;=24.9,"Normal",IF(Table13[[#This Row],[BMI]]&lt;=29.9,"Overweight",IF(Table13[[#This Row],[BMI]]&lt;=39,"Obese","Severly Obese"))))</f>
        <v>Underweight</v>
      </c>
      <c r="W444" s="18">
        <v>12.33</v>
      </c>
    </row>
    <row r="445" spans="6:23" x14ac:dyDescent="0.3">
      <c r="F445" s="17">
        <v>18</v>
      </c>
      <c r="G445" s="8" t="str">
        <f>IF(Table13[[#This Row],[Age]]&lt;25,"18-24",IF(Table13[[#This Row],[Age]]&lt;35,"25-34",IF(Table13[[#This Row],[Age]]&lt;45,"35-44",IF(Table13[[#This Row],[Age]]&lt;55,"45-54","55-64"))))</f>
        <v>18-24</v>
      </c>
      <c r="H445" s="8" t="s">
        <v>17</v>
      </c>
      <c r="I445" s="8">
        <v>71.900000000000006</v>
      </c>
      <c r="J445" s="8">
        <v>1.54</v>
      </c>
      <c r="K445" s="8">
        <v>177</v>
      </c>
      <c r="L445" s="8">
        <v>120</v>
      </c>
      <c r="M445" s="8">
        <v>73</v>
      </c>
      <c r="N445" s="8">
        <v>1.17</v>
      </c>
      <c r="O445" s="8">
        <v>817</v>
      </c>
      <c r="P445" s="8" t="s">
        <v>18</v>
      </c>
      <c r="Q445" s="8" t="str">
        <f>_xlfn.IFS(AND(Table13[[#This Row],[Gender]]="female",R445&lt;20),"Athletes",AND(Table13[[#This Row],[Gender]]="female",R445&lt;24),"Fitnesss",AND(Table13[[#This Row],[Gender]]="female",R445&lt;31),"Acceptable",AND(Table13[[#This Row],[Gender]]="female",R445&lt;40),"Obese",AND(Table13[[#This Row],[Gender]]="male",R445&lt;13),"Athletes",AND(Table13[[#This Row],[Gender]]="male",R445&lt;17),"Fitnesss",AND(Table13[[#This Row],[Gender]]="male",R445&lt;24.9),"Acceptable",AND(Table13[[#This Row],[Gender]]="male",R445&lt;40),"Obese",AND(Table13[[#This Row],[Gender]]="others",R445&lt;20),"Athletes",AND(Table13[[#This Row],[Gender]]="others",R445&lt;24),"Fitnesss",AND(Table13[[#This Row],[Gender]]="others",R445&lt;31),"Acceptable",AND(Table13[[#This Row],[Gender]]="others",R445&lt;40),"Obese")</f>
        <v>Athletes</v>
      </c>
      <c r="R445" s="8">
        <v>16.8</v>
      </c>
      <c r="S445" s="8">
        <v>2.6</v>
      </c>
      <c r="T445" s="8">
        <v>3</v>
      </c>
      <c r="U445" s="8">
        <v>1</v>
      </c>
      <c r="V445" s="8" t="str">
        <f>IF(Table13[[#This Row],[BMI]]&lt;=18.5,"Underweight",IF(Table13[[#This Row],[BMI]]&lt;=24.9,"Normal",IF(Table13[[#This Row],[BMI]]&lt;=29.9,"Overweight",IF(Table13[[#This Row],[BMI]]&lt;=39,"Obese","Severly Obese"))))</f>
        <v>Overweight</v>
      </c>
      <c r="W445" s="18">
        <v>29.64</v>
      </c>
    </row>
    <row r="446" spans="6:23" x14ac:dyDescent="0.3">
      <c r="F446" s="17">
        <v>27</v>
      </c>
      <c r="G446" s="8" t="str">
        <f>IF(Table13[[#This Row],[Age]]&lt;25,"18-24",IF(Table13[[#This Row],[Age]]&lt;35,"25-34",IF(Table13[[#This Row],[Age]]&lt;45,"35-44",IF(Table13[[#This Row],[Age]]&lt;55,"45-54","55-64"))))</f>
        <v>25-34</v>
      </c>
      <c r="H446" s="8" t="s">
        <v>19</v>
      </c>
      <c r="I446" s="8">
        <v>41</v>
      </c>
      <c r="J446" s="8">
        <v>1.82</v>
      </c>
      <c r="K446" s="8">
        <v>171</v>
      </c>
      <c r="L446" s="8">
        <v>138</v>
      </c>
      <c r="M446" s="8">
        <v>53</v>
      </c>
      <c r="N446" s="8">
        <v>1.47</v>
      </c>
      <c r="O446" s="8">
        <v>1273</v>
      </c>
      <c r="P446" s="8" t="s">
        <v>20</v>
      </c>
      <c r="Q446" s="8" t="str">
        <f>_xlfn.IFS(AND(Table13[[#This Row],[Gender]]="female",R446&lt;20),"Athletes",AND(Table13[[#This Row],[Gender]]="female",R446&lt;24),"Fitnesss",AND(Table13[[#This Row],[Gender]]="female",R446&lt;31),"Acceptable",AND(Table13[[#This Row],[Gender]]="female",R446&lt;40),"Obese",AND(Table13[[#This Row],[Gender]]="male",R446&lt;13),"Athletes",AND(Table13[[#This Row],[Gender]]="male",R446&lt;17),"Fitnesss",AND(Table13[[#This Row],[Gender]]="male",R446&lt;24.9),"Acceptable",AND(Table13[[#This Row],[Gender]]="male",R446&lt;40),"Obese",AND(Table13[[#This Row],[Gender]]="others",R446&lt;20),"Athletes",AND(Table13[[#This Row],[Gender]]="others",R446&lt;24),"Fitnesss",AND(Table13[[#This Row],[Gender]]="others",R446&lt;31),"Acceptable",AND(Table13[[#This Row],[Gender]]="others",R446&lt;40),"Obese")</f>
        <v>Obese</v>
      </c>
      <c r="R446" s="8">
        <v>29.1</v>
      </c>
      <c r="S446" s="8">
        <v>2.4</v>
      </c>
      <c r="T446" s="8">
        <v>4</v>
      </c>
      <c r="U446" s="8">
        <v>1</v>
      </c>
      <c r="V446" s="8" t="str">
        <f>IF(Table13[[#This Row],[BMI]]&lt;=18.5,"Underweight",IF(Table13[[#This Row],[BMI]]&lt;=24.9,"Normal",IF(Table13[[#This Row],[BMI]]&lt;=29.9,"Overweight",IF(Table13[[#This Row],[BMI]]&lt;=39,"Obese","Severly Obese"))))</f>
        <v>Underweight</v>
      </c>
      <c r="W446" s="18">
        <v>12.35</v>
      </c>
    </row>
    <row r="447" spans="6:23" x14ac:dyDescent="0.3">
      <c r="F447" s="17">
        <v>18</v>
      </c>
      <c r="G447" s="8" t="str">
        <f>IF(Table13[[#This Row],[Age]]&lt;25,"18-24",IF(Table13[[#This Row],[Age]]&lt;35,"25-34",IF(Table13[[#This Row],[Age]]&lt;45,"35-44",IF(Table13[[#This Row],[Age]]&lt;55,"45-54","55-64"))))</f>
        <v>18-24</v>
      </c>
      <c r="H447" s="8" t="s">
        <v>17</v>
      </c>
      <c r="I447" s="8">
        <v>81.900000000000006</v>
      </c>
      <c r="J447" s="8">
        <v>1.79</v>
      </c>
      <c r="K447" s="8">
        <v>178</v>
      </c>
      <c r="L447" s="8">
        <v>160</v>
      </c>
      <c r="M447" s="8">
        <v>60</v>
      </c>
      <c r="N447" s="8">
        <v>1.24</v>
      </c>
      <c r="O447" s="8">
        <v>1172</v>
      </c>
      <c r="P447" s="8" t="s">
        <v>23</v>
      </c>
      <c r="Q447" s="8" t="str">
        <f>_xlfn.IFS(AND(Table13[[#This Row],[Gender]]="female",R447&lt;20),"Athletes",AND(Table13[[#This Row],[Gender]]="female",R447&lt;24),"Fitnesss",AND(Table13[[#This Row],[Gender]]="female",R447&lt;31),"Acceptable",AND(Table13[[#This Row],[Gender]]="female",R447&lt;40),"Obese",AND(Table13[[#This Row],[Gender]]="male",R447&lt;13),"Athletes",AND(Table13[[#This Row],[Gender]]="male",R447&lt;17),"Fitnesss",AND(Table13[[#This Row],[Gender]]="male",R447&lt;24.9),"Acceptable",AND(Table13[[#This Row],[Gender]]="male",R447&lt;40),"Obese",AND(Table13[[#This Row],[Gender]]="others",R447&lt;20),"Athletes",AND(Table13[[#This Row],[Gender]]="others",R447&lt;24),"Fitnesss",AND(Table13[[#This Row],[Gender]]="others",R447&lt;31),"Acceptable",AND(Table13[[#This Row],[Gender]]="others",R447&lt;40),"Obese")</f>
        <v>Acceptable</v>
      </c>
      <c r="R447" s="8">
        <v>28.5</v>
      </c>
      <c r="S447" s="8">
        <v>1.7</v>
      </c>
      <c r="T447" s="8">
        <v>3</v>
      </c>
      <c r="U447" s="8">
        <v>3</v>
      </c>
      <c r="V447" s="8" t="str">
        <f>IF(Table13[[#This Row],[BMI]]&lt;=18.5,"Underweight",IF(Table13[[#This Row],[BMI]]&lt;=24.9,"Normal",IF(Table13[[#This Row],[BMI]]&lt;=29.9,"Overweight",IF(Table13[[#This Row],[BMI]]&lt;=39,"Obese","Severly Obese"))))</f>
        <v>Underweight</v>
      </c>
      <c r="W447" s="18">
        <v>12.32</v>
      </c>
    </row>
    <row r="448" spans="6:23" x14ac:dyDescent="0.3">
      <c r="F448" s="17">
        <v>18</v>
      </c>
      <c r="G448" s="8" t="str">
        <f>IF(Table13[[#This Row],[Age]]&lt;25,"18-24",IF(Table13[[#This Row],[Age]]&lt;35,"25-34",IF(Table13[[#This Row],[Age]]&lt;45,"35-44",IF(Table13[[#This Row],[Age]]&lt;55,"45-54","55-64"))))</f>
        <v>18-24</v>
      </c>
      <c r="H448" s="8" t="s">
        <v>19</v>
      </c>
      <c r="I448" s="8">
        <v>67.7</v>
      </c>
      <c r="J448" s="8">
        <v>1.69</v>
      </c>
      <c r="K448" s="8">
        <v>192</v>
      </c>
      <c r="L448" s="8">
        <v>123</v>
      </c>
      <c r="M448" s="8">
        <v>57</v>
      </c>
      <c r="N448" s="8">
        <v>1.44</v>
      </c>
      <c r="O448" s="8">
        <v>1445</v>
      </c>
      <c r="P448" s="8" t="s">
        <v>20</v>
      </c>
      <c r="Q448" s="8" t="str">
        <f>_xlfn.IFS(AND(Table13[[#This Row],[Gender]]="female",R448&lt;20),"Athletes",AND(Table13[[#This Row],[Gender]]="female",R448&lt;24),"Fitnesss",AND(Table13[[#This Row],[Gender]]="female",R448&lt;31),"Acceptable",AND(Table13[[#This Row],[Gender]]="female",R448&lt;40),"Obese",AND(Table13[[#This Row],[Gender]]="male",R448&lt;13),"Athletes",AND(Table13[[#This Row],[Gender]]="male",R448&lt;17),"Fitnesss",AND(Table13[[#This Row],[Gender]]="male",R448&lt;24.9),"Acceptable",AND(Table13[[#This Row],[Gender]]="male",R448&lt;40),"Obese",AND(Table13[[#This Row],[Gender]]="others",R448&lt;20),"Athletes",AND(Table13[[#This Row],[Gender]]="others",R448&lt;24),"Fitnesss",AND(Table13[[#This Row],[Gender]]="others",R448&lt;31),"Acceptable",AND(Table13[[#This Row],[Gender]]="others",R448&lt;40),"Obese")</f>
        <v>Obese</v>
      </c>
      <c r="R448" s="8">
        <v>26.8</v>
      </c>
      <c r="S448" s="8">
        <v>3.1</v>
      </c>
      <c r="T448" s="8">
        <v>3</v>
      </c>
      <c r="U448" s="8">
        <v>2</v>
      </c>
      <c r="V448" s="8" t="str">
        <f>IF(Table13[[#This Row],[BMI]]&lt;=18.5,"Underweight",IF(Table13[[#This Row],[BMI]]&lt;=24.9,"Normal",IF(Table13[[#This Row],[BMI]]&lt;=29.9,"Overweight",IF(Table13[[#This Row],[BMI]]&lt;=39,"Obese","Severly Obese"))))</f>
        <v>Normal</v>
      </c>
      <c r="W448" s="18">
        <v>21.16</v>
      </c>
    </row>
    <row r="449" spans="6:23" x14ac:dyDescent="0.3">
      <c r="F449" s="17">
        <v>22</v>
      </c>
      <c r="G449" s="8" t="str">
        <f>IF(Table13[[#This Row],[Age]]&lt;25,"18-24",IF(Table13[[#This Row],[Age]]&lt;35,"25-34",IF(Table13[[#This Row],[Age]]&lt;45,"35-44",IF(Table13[[#This Row],[Age]]&lt;55,"45-54","55-64"))))</f>
        <v>18-24</v>
      </c>
      <c r="H449" s="8" t="s">
        <v>17</v>
      </c>
      <c r="I449" s="8">
        <v>99.5</v>
      </c>
      <c r="J449" s="8">
        <v>1.79</v>
      </c>
      <c r="K449" s="8">
        <v>186</v>
      </c>
      <c r="L449" s="8">
        <v>122</v>
      </c>
      <c r="M449" s="8">
        <v>56</v>
      </c>
      <c r="N449" s="8">
        <v>1.45</v>
      </c>
      <c r="O449" s="8">
        <v>1783</v>
      </c>
      <c r="P449" s="8" t="s">
        <v>20</v>
      </c>
      <c r="Q449" s="8" t="str">
        <f>_xlfn.IFS(AND(Table13[[#This Row],[Gender]]="female",R449&lt;20),"Athletes",AND(Table13[[#This Row],[Gender]]="female",R449&lt;24),"Fitnesss",AND(Table13[[#This Row],[Gender]]="female",R449&lt;31),"Acceptable",AND(Table13[[#This Row],[Gender]]="female",R449&lt;40),"Obese",AND(Table13[[#This Row],[Gender]]="male",R449&lt;13),"Athletes",AND(Table13[[#This Row],[Gender]]="male",R449&lt;17),"Fitnesss",AND(Table13[[#This Row],[Gender]]="male",R449&lt;24.9),"Acceptable",AND(Table13[[#This Row],[Gender]]="male",R449&lt;40),"Obese",AND(Table13[[#This Row],[Gender]]="others",R449&lt;20),"Athletes",AND(Table13[[#This Row],[Gender]]="others",R449&lt;24),"Fitnesss",AND(Table13[[#This Row],[Gender]]="others",R449&lt;31),"Acceptable",AND(Table13[[#This Row],[Gender]]="others",R449&lt;40),"Obese")</f>
        <v>Acceptable</v>
      </c>
      <c r="R449" s="8">
        <v>27.6</v>
      </c>
      <c r="S449" s="8">
        <v>3.5</v>
      </c>
      <c r="T449" s="8">
        <v>2</v>
      </c>
      <c r="U449" s="8">
        <v>2</v>
      </c>
      <c r="V449" s="8" t="str">
        <f>IF(Table13[[#This Row],[BMI]]&lt;=18.5,"Underweight",IF(Table13[[#This Row],[BMI]]&lt;=24.9,"Normal",IF(Table13[[#This Row],[BMI]]&lt;=29.9,"Overweight",IF(Table13[[#This Row],[BMI]]&lt;=39,"Obese","Severly Obese"))))</f>
        <v>Normal</v>
      </c>
      <c r="W449" s="18">
        <v>23.56</v>
      </c>
    </row>
    <row r="450" spans="6:23" x14ac:dyDescent="0.3">
      <c r="F450" s="17">
        <v>31</v>
      </c>
      <c r="G450" s="8" t="str">
        <f>IF(Table13[[#This Row],[Age]]&lt;25,"18-24",IF(Table13[[#This Row],[Age]]&lt;35,"25-34",IF(Table13[[#This Row],[Age]]&lt;45,"35-44",IF(Table13[[#This Row],[Age]]&lt;55,"45-54","55-64"))))</f>
        <v>25-34</v>
      </c>
      <c r="H450" s="8" t="s">
        <v>17</v>
      </c>
      <c r="I450" s="8">
        <v>47.4</v>
      </c>
      <c r="J450" s="8">
        <v>1.73</v>
      </c>
      <c r="K450" s="8">
        <v>178</v>
      </c>
      <c r="L450" s="8">
        <v>150</v>
      </c>
      <c r="M450" s="8">
        <v>57</v>
      </c>
      <c r="N450" s="8">
        <v>1.64</v>
      </c>
      <c r="O450" s="8">
        <v>962</v>
      </c>
      <c r="P450" s="8" t="s">
        <v>20</v>
      </c>
      <c r="Q450" s="8" t="str">
        <f>_xlfn.IFS(AND(Table13[[#This Row],[Gender]]="female",R450&lt;20),"Athletes",AND(Table13[[#This Row],[Gender]]="female",R450&lt;24),"Fitnesss",AND(Table13[[#This Row],[Gender]]="female",R450&lt;31),"Acceptable",AND(Table13[[#This Row],[Gender]]="female",R450&lt;40),"Obese",AND(Table13[[#This Row],[Gender]]="male",R450&lt;13),"Athletes",AND(Table13[[#This Row],[Gender]]="male",R450&lt;17),"Fitnesss",AND(Table13[[#This Row],[Gender]]="male",R450&lt;24.9),"Acceptable",AND(Table13[[#This Row],[Gender]]="male",R450&lt;40),"Obese",AND(Table13[[#This Row],[Gender]]="others",R450&lt;20),"Athletes",AND(Table13[[#This Row],[Gender]]="others",R450&lt;24),"Fitnesss",AND(Table13[[#This Row],[Gender]]="others",R450&lt;31),"Acceptable",AND(Table13[[#This Row],[Gender]]="others",R450&lt;40),"Obese")</f>
        <v>Acceptable</v>
      </c>
      <c r="R450" s="8">
        <v>28.8</v>
      </c>
      <c r="S450" s="8">
        <v>2</v>
      </c>
      <c r="T450" s="8">
        <v>4</v>
      </c>
      <c r="U450" s="8">
        <v>3</v>
      </c>
      <c r="V450" s="8" t="str">
        <f>IF(Table13[[#This Row],[BMI]]&lt;=18.5,"Underweight",IF(Table13[[#This Row],[BMI]]&lt;=24.9,"Normal",IF(Table13[[#This Row],[BMI]]&lt;=29.9,"Overweight",IF(Table13[[#This Row],[BMI]]&lt;=39,"Obese","Severly Obese"))))</f>
        <v>Normal</v>
      </c>
      <c r="W450" s="18">
        <v>20.91</v>
      </c>
    </row>
    <row r="451" spans="6:23" x14ac:dyDescent="0.3">
      <c r="F451" s="17">
        <v>18</v>
      </c>
      <c r="G451" s="8" t="str">
        <f>IF(Table13[[#This Row],[Age]]&lt;25,"18-24",IF(Table13[[#This Row],[Age]]&lt;35,"25-34",IF(Table13[[#This Row],[Age]]&lt;45,"35-44",IF(Table13[[#This Row],[Age]]&lt;55,"45-54","55-64"))))</f>
        <v>18-24</v>
      </c>
      <c r="H451" s="8" t="s">
        <v>19</v>
      </c>
      <c r="I451" s="8">
        <v>71.099999999999994</v>
      </c>
      <c r="J451" s="8">
        <v>1.84</v>
      </c>
      <c r="K451" s="8">
        <v>189</v>
      </c>
      <c r="L451" s="8">
        <v>127</v>
      </c>
      <c r="M451" s="8">
        <v>74</v>
      </c>
      <c r="N451" s="8">
        <v>0.85</v>
      </c>
      <c r="O451" s="8">
        <v>1303</v>
      </c>
      <c r="P451" s="8" t="s">
        <v>18</v>
      </c>
      <c r="Q451" s="8" t="str">
        <f>_xlfn.IFS(AND(Table13[[#This Row],[Gender]]="female",R451&lt;20),"Athletes",AND(Table13[[#This Row],[Gender]]="female",R451&lt;24),"Fitnesss",AND(Table13[[#This Row],[Gender]]="female",R451&lt;31),"Acceptable",AND(Table13[[#This Row],[Gender]]="female",R451&lt;40),"Obese",AND(Table13[[#This Row],[Gender]]="male",R451&lt;13),"Athletes",AND(Table13[[#This Row],[Gender]]="male",R451&lt;17),"Fitnesss",AND(Table13[[#This Row],[Gender]]="male",R451&lt;24.9),"Acceptable",AND(Table13[[#This Row],[Gender]]="male",R451&lt;40),"Obese",AND(Table13[[#This Row],[Gender]]="others",R451&lt;20),"Athletes",AND(Table13[[#This Row],[Gender]]="others",R451&lt;24),"Fitnesss",AND(Table13[[#This Row],[Gender]]="others",R451&lt;31),"Acceptable",AND(Table13[[#This Row],[Gender]]="others",R451&lt;40),"Obese")</f>
        <v>Fitnesss</v>
      </c>
      <c r="R451" s="8">
        <v>15.2</v>
      </c>
      <c r="S451" s="8">
        <v>2.8</v>
      </c>
      <c r="T451" s="8">
        <v>2</v>
      </c>
      <c r="U451" s="8">
        <v>3</v>
      </c>
      <c r="V451" s="8" t="str">
        <f>IF(Table13[[#This Row],[BMI]]&lt;=18.5,"Underweight",IF(Table13[[#This Row],[BMI]]&lt;=24.9,"Normal",IF(Table13[[#This Row],[BMI]]&lt;=29.9,"Overweight",IF(Table13[[#This Row],[BMI]]&lt;=39,"Obese","Severly Obese"))))</f>
        <v>Obese</v>
      </c>
      <c r="W451" s="18">
        <v>30.36</v>
      </c>
    </row>
    <row r="452" spans="6:23" x14ac:dyDescent="0.3">
      <c r="F452" s="17">
        <v>22</v>
      </c>
      <c r="G452" s="8" t="str">
        <f>IF(Table13[[#This Row],[Age]]&lt;25,"18-24",IF(Table13[[#This Row],[Age]]&lt;35,"25-34",IF(Table13[[#This Row],[Age]]&lt;45,"35-44",IF(Table13[[#This Row],[Age]]&lt;55,"45-54","55-64"))))</f>
        <v>18-24</v>
      </c>
      <c r="H452" s="8" t="s">
        <v>19</v>
      </c>
      <c r="I452" s="8">
        <v>89.8</v>
      </c>
      <c r="J452" s="8">
        <v>1.79</v>
      </c>
      <c r="K452" s="8">
        <v>179</v>
      </c>
      <c r="L452" s="8">
        <v>163</v>
      </c>
      <c r="M452" s="8">
        <v>59</v>
      </c>
      <c r="N452" s="8">
        <v>2</v>
      </c>
      <c r="O452" s="8">
        <v>1098</v>
      </c>
      <c r="P452" s="8" t="s">
        <v>18</v>
      </c>
      <c r="Q452" s="8" t="str">
        <f>_xlfn.IFS(AND(Table13[[#This Row],[Gender]]="female",R452&lt;20),"Athletes",AND(Table13[[#This Row],[Gender]]="female",R452&lt;24),"Fitnesss",AND(Table13[[#This Row],[Gender]]="female",R452&lt;31),"Acceptable",AND(Table13[[#This Row],[Gender]]="female",R452&lt;40),"Obese",AND(Table13[[#This Row],[Gender]]="male",R452&lt;13),"Athletes",AND(Table13[[#This Row],[Gender]]="male",R452&lt;17),"Fitnesss",AND(Table13[[#This Row],[Gender]]="male",R452&lt;24.9),"Acceptable",AND(Table13[[#This Row],[Gender]]="male",R452&lt;40),"Obese",AND(Table13[[#This Row],[Gender]]="others",R452&lt;20),"Athletes",AND(Table13[[#This Row],[Gender]]="others",R452&lt;24),"Fitnesss",AND(Table13[[#This Row],[Gender]]="others",R452&lt;31),"Acceptable",AND(Table13[[#This Row],[Gender]]="others",R452&lt;40),"Obese")</f>
        <v>Obese</v>
      </c>
      <c r="R452" s="8">
        <v>28.2</v>
      </c>
      <c r="S452" s="8">
        <v>1.7</v>
      </c>
      <c r="T452" s="8">
        <v>3</v>
      </c>
      <c r="U452" s="8">
        <v>1</v>
      </c>
      <c r="V452" s="8" t="str">
        <f>IF(Table13[[#This Row],[BMI]]&lt;=18.5,"Underweight",IF(Table13[[#This Row],[BMI]]&lt;=24.9,"Normal",IF(Table13[[#This Row],[BMI]]&lt;=29.9,"Overweight",IF(Table13[[#This Row],[BMI]]&lt;=39,"Obese","Severly Obese"))))</f>
        <v>Underweight</v>
      </c>
      <c r="W452" s="18">
        <v>12.32</v>
      </c>
    </row>
    <row r="453" spans="6:23" x14ac:dyDescent="0.3">
      <c r="F453" s="17">
        <v>28</v>
      </c>
      <c r="G453" s="8" t="str">
        <f>IF(Table13[[#This Row],[Age]]&lt;25,"18-24",IF(Table13[[#This Row],[Age]]&lt;35,"25-34",IF(Table13[[#This Row],[Age]]&lt;45,"35-44",IF(Table13[[#This Row],[Age]]&lt;55,"45-54","55-64"))))</f>
        <v>25-34</v>
      </c>
      <c r="H453" s="8" t="s">
        <v>17</v>
      </c>
      <c r="I453" s="8">
        <v>81.7</v>
      </c>
      <c r="J453" s="8">
        <v>1.81</v>
      </c>
      <c r="K453" s="8">
        <v>177</v>
      </c>
      <c r="L453" s="8">
        <v>130</v>
      </c>
      <c r="M453" s="8">
        <v>50</v>
      </c>
      <c r="N453" s="8">
        <v>1.45</v>
      </c>
      <c r="O453" s="8">
        <v>507</v>
      </c>
      <c r="P453" s="8" t="s">
        <v>20</v>
      </c>
      <c r="Q453" s="8" t="str">
        <f>_xlfn.IFS(AND(Table13[[#This Row],[Gender]]="female",R453&lt;20),"Athletes",AND(Table13[[#This Row],[Gender]]="female",R453&lt;24),"Fitnesss",AND(Table13[[#This Row],[Gender]]="female",R453&lt;31),"Acceptable",AND(Table13[[#This Row],[Gender]]="female",R453&lt;40),"Obese",AND(Table13[[#This Row],[Gender]]="male",R453&lt;13),"Athletes",AND(Table13[[#This Row],[Gender]]="male",R453&lt;17),"Fitnesss",AND(Table13[[#This Row],[Gender]]="male",R453&lt;24.9),"Acceptable",AND(Table13[[#This Row],[Gender]]="male",R453&lt;40),"Obese",AND(Table13[[#This Row],[Gender]]="others",R453&lt;20),"Athletes",AND(Table13[[#This Row],[Gender]]="others",R453&lt;24),"Fitnesss",AND(Table13[[#This Row],[Gender]]="others",R453&lt;31),"Acceptable",AND(Table13[[#This Row],[Gender]]="others",R453&lt;40),"Obese")</f>
        <v>Fitnesss</v>
      </c>
      <c r="R453" s="8">
        <v>23.2</v>
      </c>
      <c r="S453" s="8">
        <v>1.7</v>
      </c>
      <c r="T453" s="8">
        <v>3</v>
      </c>
      <c r="U453" s="8">
        <v>1</v>
      </c>
      <c r="V453" s="8" t="str">
        <f>IF(Table13[[#This Row],[BMI]]&lt;=18.5,"Underweight",IF(Table13[[#This Row],[BMI]]&lt;=24.9,"Normal",IF(Table13[[#This Row],[BMI]]&lt;=29.9,"Overweight",IF(Table13[[#This Row],[BMI]]&lt;=39,"Obese","Severly Obese"))))</f>
        <v>Obese</v>
      </c>
      <c r="W453" s="18">
        <v>34.26</v>
      </c>
    </row>
    <row r="454" spans="6:23" x14ac:dyDescent="0.3">
      <c r="F454" s="17">
        <v>40</v>
      </c>
      <c r="G454" s="8" t="str">
        <f>IF(Table13[[#This Row],[Age]]&lt;25,"18-24",IF(Table13[[#This Row],[Age]]&lt;35,"25-34",IF(Table13[[#This Row],[Age]]&lt;45,"35-44",IF(Table13[[#This Row],[Age]]&lt;55,"45-54","55-64"))))</f>
        <v>35-44</v>
      </c>
      <c r="H454" s="8" t="s">
        <v>19</v>
      </c>
      <c r="I454" s="8">
        <v>40.4</v>
      </c>
      <c r="J454" s="8">
        <v>1.68</v>
      </c>
      <c r="K454" s="8">
        <v>171</v>
      </c>
      <c r="L454" s="8">
        <v>130</v>
      </c>
      <c r="M454" s="8">
        <v>54</v>
      </c>
      <c r="N454" s="8">
        <v>2</v>
      </c>
      <c r="O454" s="8">
        <v>527</v>
      </c>
      <c r="P454" s="8" t="s">
        <v>18</v>
      </c>
      <c r="Q454" s="8" t="str">
        <f>_xlfn.IFS(AND(Table13[[#This Row],[Gender]]="female",R454&lt;20),"Athletes",AND(Table13[[#This Row],[Gender]]="female",R454&lt;24),"Fitnesss",AND(Table13[[#This Row],[Gender]]="female",R454&lt;31),"Acceptable",AND(Table13[[#This Row],[Gender]]="female",R454&lt;40),"Obese",AND(Table13[[#This Row],[Gender]]="male",R454&lt;13),"Athletes",AND(Table13[[#This Row],[Gender]]="male",R454&lt;17),"Fitnesss",AND(Table13[[#This Row],[Gender]]="male",R454&lt;24.9),"Acceptable",AND(Table13[[#This Row],[Gender]]="male",R454&lt;40),"Obese",AND(Table13[[#This Row],[Gender]]="others",R454&lt;20),"Athletes",AND(Table13[[#This Row],[Gender]]="others",R454&lt;24),"Fitnesss",AND(Table13[[#This Row],[Gender]]="others",R454&lt;31),"Acceptable",AND(Table13[[#This Row],[Gender]]="others",R454&lt;40),"Obese")</f>
        <v>Obese</v>
      </c>
      <c r="R454" s="8">
        <v>27.3</v>
      </c>
      <c r="S454" s="8">
        <v>3.3</v>
      </c>
      <c r="T454" s="8">
        <v>4</v>
      </c>
      <c r="U454" s="8">
        <v>3</v>
      </c>
      <c r="V454" s="8" t="str">
        <f>IF(Table13[[#This Row],[BMI]]&lt;=18.5,"Underweight",IF(Table13[[#This Row],[BMI]]&lt;=24.9,"Normal",IF(Table13[[#This Row],[BMI]]&lt;=29.9,"Overweight",IF(Table13[[#This Row],[BMI]]&lt;=39,"Obese","Severly Obese"))))</f>
        <v>Normal</v>
      </c>
      <c r="W454" s="18">
        <v>20.47</v>
      </c>
    </row>
    <row r="455" spans="6:23" x14ac:dyDescent="0.3">
      <c r="F455" s="17">
        <v>56</v>
      </c>
      <c r="G455" s="8" t="str">
        <f>IF(Table13[[#This Row],[Age]]&lt;25,"18-24",IF(Table13[[#This Row],[Age]]&lt;35,"25-34",IF(Table13[[#This Row],[Age]]&lt;45,"35-44",IF(Table13[[#This Row],[Age]]&lt;55,"45-54","55-64"))))</f>
        <v>55-64</v>
      </c>
      <c r="H455" s="8" t="s">
        <v>19</v>
      </c>
      <c r="I455" s="8">
        <v>40</v>
      </c>
      <c r="J455" s="8">
        <v>1.63</v>
      </c>
      <c r="K455" s="8">
        <v>181</v>
      </c>
      <c r="L455" s="8">
        <v>133</v>
      </c>
      <c r="M455" s="8">
        <v>50</v>
      </c>
      <c r="N455" s="8">
        <v>0.89</v>
      </c>
      <c r="O455" s="8">
        <v>1674</v>
      </c>
      <c r="P455" s="8" t="s">
        <v>22</v>
      </c>
      <c r="Q455" s="8" t="str">
        <f>_xlfn.IFS(AND(Table13[[#This Row],[Gender]]="female",R455&lt;20),"Athletes",AND(Table13[[#This Row],[Gender]]="female",R455&lt;24),"Fitnesss",AND(Table13[[#This Row],[Gender]]="female",R455&lt;31),"Acceptable",AND(Table13[[#This Row],[Gender]]="female",R455&lt;40),"Obese",AND(Table13[[#This Row],[Gender]]="male",R455&lt;13),"Athletes",AND(Table13[[#This Row],[Gender]]="male",R455&lt;17),"Fitnesss",AND(Table13[[#This Row],[Gender]]="male",R455&lt;24.9),"Acceptable",AND(Table13[[#This Row],[Gender]]="male",R455&lt;40),"Obese",AND(Table13[[#This Row],[Gender]]="others",R455&lt;20),"Athletes",AND(Table13[[#This Row],[Gender]]="others",R455&lt;24),"Fitnesss",AND(Table13[[#This Row],[Gender]]="others",R455&lt;31),"Acceptable",AND(Table13[[#This Row],[Gender]]="others",R455&lt;40),"Obese")</f>
        <v>Acceptable</v>
      </c>
      <c r="R455" s="8">
        <v>23.4</v>
      </c>
      <c r="S455" s="8">
        <v>1.5</v>
      </c>
      <c r="T455" s="8">
        <v>3</v>
      </c>
      <c r="U455" s="8">
        <v>2</v>
      </c>
      <c r="V455" s="8" t="str">
        <f>IF(Table13[[#This Row],[BMI]]&lt;=18.5,"Underweight",IF(Table13[[#This Row],[BMI]]&lt;=24.9,"Normal",IF(Table13[[#This Row],[BMI]]&lt;=29.9,"Overweight",IF(Table13[[#This Row],[BMI]]&lt;=39,"Obese","Severly Obese"))))</f>
        <v>Normal</v>
      </c>
      <c r="W455" s="18">
        <v>20.75</v>
      </c>
    </row>
    <row r="456" spans="6:23" x14ac:dyDescent="0.3">
      <c r="F456" s="17">
        <v>41</v>
      </c>
      <c r="G456" s="8" t="str">
        <f>IF(Table13[[#This Row],[Age]]&lt;25,"18-24",IF(Table13[[#This Row],[Age]]&lt;35,"25-34",IF(Table13[[#This Row],[Age]]&lt;45,"35-44",IF(Table13[[#This Row],[Age]]&lt;55,"45-54","55-64"))))</f>
        <v>35-44</v>
      </c>
      <c r="H456" s="8" t="s">
        <v>19</v>
      </c>
      <c r="I456" s="8">
        <v>40.200000000000003</v>
      </c>
      <c r="J456" s="8">
        <v>1.76</v>
      </c>
      <c r="K456" s="8">
        <v>198</v>
      </c>
      <c r="L456" s="8">
        <v>135</v>
      </c>
      <c r="M456" s="8">
        <v>56</v>
      </c>
      <c r="N456" s="8">
        <v>1.93</v>
      </c>
      <c r="O456" s="8">
        <v>964</v>
      </c>
      <c r="P456" s="8" t="s">
        <v>18</v>
      </c>
      <c r="Q456" s="8" t="str">
        <f>_xlfn.IFS(AND(Table13[[#This Row],[Gender]]="female",R456&lt;20),"Athletes",AND(Table13[[#This Row],[Gender]]="female",R456&lt;24),"Fitnesss",AND(Table13[[#This Row],[Gender]]="female",R456&lt;31),"Acceptable",AND(Table13[[#This Row],[Gender]]="female",R456&lt;40),"Obese",AND(Table13[[#This Row],[Gender]]="male",R456&lt;13),"Athletes",AND(Table13[[#This Row],[Gender]]="male",R456&lt;17),"Fitnesss",AND(Table13[[#This Row],[Gender]]="male",R456&lt;24.9),"Acceptable",AND(Table13[[#This Row],[Gender]]="male",R456&lt;40),"Obese",AND(Table13[[#This Row],[Gender]]="others",R456&lt;20),"Athletes",AND(Table13[[#This Row],[Gender]]="others",R456&lt;24),"Fitnesss",AND(Table13[[#This Row],[Gender]]="others",R456&lt;31),"Acceptable",AND(Table13[[#This Row],[Gender]]="others",R456&lt;40),"Obese")</f>
        <v>Acceptable</v>
      </c>
      <c r="R456" s="8">
        <v>18.8</v>
      </c>
      <c r="S456" s="8">
        <v>3.4</v>
      </c>
      <c r="T456" s="8">
        <v>4</v>
      </c>
      <c r="U456" s="8">
        <v>1</v>
      </c>
      <c r="V456" s="8" t="str">
        <f>IF(Table13[[#This Row],[BMI]]&lt;=18.5,"Underweight",IF(Table13[[#This Row],[BMI]]&lt;=24.9,"Normal",IF(Table13[[#This Row],[BMI]]&lt;=29.9,"Overweight",IF(Table13[[#This Row],[BMI]]&lt;=39,"Obese","Severly Obese"))))</f>
        <v>Normal</v>
      </c>
      <c r="W456" s="18">
        <v>19.02</v>
      </c>
    </row>
    <row r="457" spans="6:23" x14ac:dyDescent="0.3">
      <c r="F457" s="17">
        <v>47</v>
      </c>
      <c r="G457" s="8" t="str">
        <f>IF(Table13[[#This Row],[Age]]&lt;25,"18-24",IF(Table13[[#This Row],[Age]]&lt;35,"25-34",IF(Table13[[#This Row],[Age]]&lt;45,"35-44",IF(Table13[[#This Row],[Age]]&lt;55,"45-54","55-64"))))</f>
        <v>45-54</v>
      </c>
      <c r="H457" s="8" t="s">
        <v>19</v>
      </c>
      <c r="I457" s="8">
        <v>49.9</v>
      </c>
      <c r="J457" s="8">
        <v>1.74</v>
      </c>
      <c r="K457" s="8">
        <v>190</v>
      </c>
      <c r="L457" s="8">
        <v>120</v>
      </c>
      <c r="M457" s="8">
        <v>65</v>
      </c>
      <c r="N457" s="8">
        <v>1.97</v>
      </c>
      <c r="O457" s="8">
        <v>406</v>
      </c>
      <c r="P457" s="8" t="s">
        <v>21</v>
      </c>
      <c r="Q457" s="8" t="str">
        <f>_xlfn.IFS(AND(Table13[[#This Row],[Gender]]="female",R457&lt;20),"Athletes",AND(Table13[[#This Row],[Gender]]="female",R457&lt;24),"Fitnesss",AND(Table13[[#This Row],[Gender]]="female",R457&lt;31),"Acceptable",AND(Table13[[#This Row],[Gender]]="female",R457&lt;40),"Obese",AND(Table13[[#This Row],[Gender]]="male",R457&lt;13),"Athletes",AND(Table13[[#This Row],[Gender]]="male",R457&lt;17),"Fitnesss",AND(Table13[[#This Row],[Gender]]="male",R457&lt;24.9),"Acceptable",AND(Table13[[#This Row],[Gender]]="male",R457&lt;40),"Obese",AND(Table13[[#This Row],[Gender]]="others",R457&lt;20),"Athletes",AND(Table13[[#This Row],[Gender]]="others",R457&lt;24),"Fitnesss",AND(Table13[[#This Row],[Gender]]="others",R457&lt;31),"Acceptable",AND(Table13[[#This Row],[Gender]]="others",R457&lt;40),"Obese")</f>
        <v>Obese</v>
      </c>
      <c r="R457" s="8">
        <v>29.4</v>
      </c>
      <c r="S457" s="8">
        <v>1.5</v>
      </c>
      <c r="T457" s="8">
        <v>5</v>
      </c>
      <c r="U457" s="8">
        <v>2</v>
      </c>
      <c r="V457" s="8" t="str">
        <f>IF(Table13[[#This Row],[BMI]]&lt;=18.5,"Underweight",IF(Table13[[#This Row],[BMI]]&lt;=24.9,"Normal",IF(Table13[[#This Row],[BMI]]&lt;=29.9,"Overweight",IF(Table13[[#This Row],[BMI]]&lt;=39,"Obese","Severly Obese"))))</f>
        <v>Underweight</v>
      </c>
      <c r="W457" s="18">
        <v>16.010000000000002</v>
      </c>
    </row>
    <row r="458" spans="6:23" x14ac:dyDescent="0.3">
      <c r="F458" s="17">
        <v>42</v>
      </c>
      <c r="G458" s="8" t="str">
        <f>IF(Table13[[#This Row],[Age]]&lt;25,"18-24",IF(Table13[[#This Row],[Age]]&lt;35,"25-34",IF(Table13[[#This Row],[Age]]&lt;45,"35-44",IF(Table13[[#This Row],[Age]]&lt;55,"45-54","55-64"))))</f>
        <v>35-44</v>
      </c>
      <c r="H458" s="8" t="s">
        <v>19</v>
      </c>
      <c r="I458" s="8">
        <v>41.9</v>
      </c>
      <c r="J458" s="8">
        <v>1.84</v>
      </c>
      <c r="K458" s="8">
        <v>168</v>
      </c>
      <c r="L458" s="8">
        <v>154</v>
      </c>
      <c r="M458" s="8">
        <v>71</v>
      </c>
      <c r="N458" s="8">
        <v>1.49</v>
      </c>
      <c r="O458" s="8">
        <v>1029</v>
      </c>
      <c r="P458" s="8" t="s">
        <v>23</v>
      </c>
      <c r="Q458" s="8" t="str">
        <f>_xlfn.IFS(AND(Table13[[#This Row],[Gender]]="female",R458&lt;20),"Athletes",AND(Table13[[#This Row],[Gender]]="female",R458&lt;24),"Fitnesss",AND(Table13[[#This Row],[Gender]]="female",R458&lt;31),"Acceptable",AND(Table13[[#This Row],[Gender]]="female",R458&lt;40),"Obese",AND(Table13[[#This Row],[Gender]]="male",R458&lt;13),"Athletes",AND(Table13[[#This Row],[Gender]]="male",R458&lt;17),"Fitnesss",AND(Table13[[#This Row],[Gender]]="male",R458&lt;24.9),"Acceptable",AND(Table13[[#This Row],[Gender]]="male",R458&lt;40),"Obese",AND(Table13[[#This Row],[Gender]]="others",R458&lt;20),"Athletes",AND(Table13[[#This Row],[Gender]]="others",R458&lt;24),"Fitnesss",AND(Table13[[#This Row],[Gender]]="others",R458&lt;31),"Acceptable",AND(Table13[[#This Row],[Gender]]="others",R458&lt;40),"Obese")</f>
        <v>Obese</v>
      </c>
      <c r="R458" s="8">
        <v>30.6</v>
      </c>
      <c r="S458" s="8">
        <v>2.6</v>
      </c>
      <c r="T458" s="8">
        <v>4</v>
      </c>
      <c r="U458" s="8">
        <v>2</v>
      </c>
      <c r="V458" s="8" t="str">
        <f>IF(Table13[[#This Row],[BMI]]&lt;=18.5,"Underweight",IF(Table13[[#This Row],[BMI]]&lt;=24.9,"Normal",IF(Table13[[#This Row],[BMI]]&lt;=29.9,"Overweight",IF(Table13[[#This Row],[BMI]]&lt;=39,"Obese","Severly Obese"))))</f>
        <v>Normal</v>
      </c>
      <c r="W458" s="18">
        <v>22.97</v>
      </c>
    </row>
    <row r="459" spans="6:23" x14ac:dyDescent="0.3">
      <c r="F459" s="17">
        <v>26</v>
      </c>
      <c r="G459" s="8" t="str">
        <f>IF(Table13[[#This Row],[Age]]&lt;25,"18-24",IF(Table13[[#This Row],[Age]]&lt;35,"25-34",IF(Table13[[#This Row],[Age]]&lt;45,"35-44",IF(Table13[[#This Row],[Age]]&lt;55,"45-54","55-64"))))</f>
        <v>25-34</v>
      </c>
      <c r="H459" s="8" t="s">
        <v>19</v>
      </c>
      <c r="I459" s="8">
        <v>40</v>
      </c>
      <c r="J459" s="8">
        <v>1.72</v>
      </c>
      <c r="K459" s="8">
        <v>164</v>
      </c>
      <c r="L459" s="8">
        <v>169</v>
      </c>
      <c r="M459" s="8">
        <v>58</v>
      </c>
      <c r="N459" s="8">
        <v>0.89</v>
      </c>
      <c r="O459" s="8">
        <v>1198</v>
      </c>
      <c r="P459" s="8" t="s">
        <v>21</v>
      </c>
      <c r="Q459" s="8" t="str">
        <f>_xlfn.IFS(AND(Table13[[#This Row],[Gender]]="female",R459&lt;20),"Athletes",AND(Table13[[#This Row],[Gender]]="female",R459&lt;24),"Fitnesss",AND(Table13[[#This Row],[Gender]]="female",R459&lt;31),"Acceptable",AND(Table13[[#This Row],[Gender]]="female",R459&lt;40),"Obese",AND(Table13[[#This Row],[Gender]]="male",R459&lt;13),"Athletes",AND(Table13[[#This Row],[Gender]]="male",R459&lt;17),"Fitnesss",AND(Table13[[#This Row],[Gender]]="male",R459&lt;24.9),"Acceptable",AND(Table13[[#This Row],[Gender]]="male",R459&lt;40),"Obese",AND(Table13[[#This Row],[Gender]]="others",R459&lt;20),"Athletes",AND(Table13[[#This Row],[Gender]]="others",R459&lt;24),"Fitnesss",AND(Table13[[#This Row],[Gender]]="others",R459&lt;31),"Acceptable",AND(Table13[[#This Row],[Gender]]="others",R459&lt;40),"Obese")</f>
        <v>Acceptable</v>
      </c>
      <c r="R459" s="8">
        <v>17</v>
      </c>
      <c r="S459" s="8">
        <v>1.6</v>
      </c>
      <c r="T459" s="8">
        <v>5</v>
      </c>
      <c r="U459" s="8">
        <v>2</v>
      </c>
      <c r="V459" s="8" t="str">
        <f>IF(Table13[[#This Row],[BMI]]&lt;=18.5,"Underweight",IF(Table13[[#This Row],[BMI]]&lt;=24.9,"Normal",IF(Table13[[#This Row],[BMI]]&lt;=29.9,"Overweight",IF(Table13[[#This Row],[BMI]]&lt;=39,"Obese","Severly Obese"))))</f>
        <v>Normal</v>
      </c>
      <c r="W459" s="18">
        <v>20.71</v>
      </c>
    </row>
    <row r="460" spans="6:23" x14ac:dyDescent="0.3">
      <c r="F460" s="17">
        <v>18</v>
      </c>
      <c r="G460" s="8" t="str">
        <f>IF(Table13[[#This Row],[Age]]&lt;25,"18-24",IF(Table13[[#This Row],[Age]]&lt;35,"25-34",IF(Table13[[#This Row],[Age]]&lt;45,"35-44",IF(Table13[[#This Row],[Age]]&lt;55,"45-54","55-64"))))</f>
        <v>18-24</v>
      </c>
      <c r="H460" s="8" t="s">
        <v>19</v>
      </c>
      <c r="I460" s="8">
        <v>47.3</v>
      </c>
      <c r="J460" s="8">
        <v>1.75</v>
      </c>
      <c r="K460" s="8">
        <v>196</v>
      </c>
      <c r="L460" s="8">
        <v>169</v>
      </c>
      <c r="M460" s="8">
        <v>56</v>
      </c>
      <c r="N460" s="8">
        <v>1.32</v>
      </c>
      <c r="O460" s="8">
        <v>706</v>
      </c>
      <c r="P460" s="8" t="s">
        <v>20</v>
      </c>
      <c r="Q460" s="8" t="str">
        <f>_xlfn.IFS(AND(Table13[[#This Row],[Gender]]="female",R460&lt;20),"Athletes",AND(Table13[[#This Row],[Gender]]="female",R460&lt;24),"Fitnesss",AND(Table13[[#This Row],[Gender]]="female",R460&lt;31),"Acceptable",AND(Table13[[#This Row],[Gender]]="female",R460&lt;40),"Obese",AND(Table13[[#This Row],[Gender]]="male",R460&lt;13),"Athletes",AND(Table13[[#This Row],[Gender]]="male",R460&lt;17),"Fitnesss",AND(Table13[[#This Row],[Gender]]="male",R460&lt;24.9),"Acceptable",AND(Table13[[#This Row],[Gender]]="male",R460&lt;40),"Obese",AND(Table13[[#This Row],[Gender]]="others",R460&lt;20),"Athletes",AND(Table13[[#This Row],[Gender]]="others",R460&lt;24),"Fitnesss",AND(Table13[[#This Row],[Gender]]="others",R460&lt;31),"Acceptable",AND(Table13[[#This Row],[Gender]]="others",R460&lt;40),"Obese")</f>
        <v>Obese</v>
      </c>
      <c r="R460" s="8">
        <v>29</v>
      </c>
      <c r="S460" s="8">
        <v>1.9</v>
      </c>
      <c r="T460" s="8">
        <v>2</v>
      </c>
      <c r="U460" s="8">
        <v>2</v>
      </c>
      <c r="V460" s="8" t="str">
        <f>IF(Table13[[#This Row],[BMI]]&lt;=18.5,"Underweight",IF(Table13[[#This Row],[BMI]]&lt;=24.9,"Normal",IF(Table13[[#This Row],[BMI]]&lt;=29.9,"Overweight",IF(Table13[[#This Row],[BMI]]&lt;=39,"Obese","Severly Obese"))))</f>
        <v>Obese</v>
      </c>
      <c r="W460" s="18">
        <v>30.5</v>
      </c>
    </row>
    <row r="461" spans="6:23" x14ac:dyDescent="0.3">
      <c r="F461" s="17">
        <v>54</v>
      </c>
      <c r="G461" s="8" t="str">
        <f>IF(Table13[[#This Row],[Age]]&lt;25,"18-24",IF(Table13[[#This Row],[Age]]&lt;35,"25-34",IF(Table13[[#This Row],[Age]]&lt;45,"35-44",IF(Table13[[#This Row],[Age]]&lt;55,"45-54","55-64"))))</f>
        <v>45-54</v>
      </c>
      <c r="H461" s="8" t="s">
        <v>19</v>
      </c>
      <c r="I461" s="8">
        <v>79.599999999999994</v>
      </c>
      <c r="J461" s="8">
        <v>1.87</v>
      </c>
      <c r="K461" s="8">
        <v>190</v>
      </c>
      <c r="L461" s="8">
        <v>155</v>
      </c>
      <c r="M461" s="8">
        <v>53</v>
      </c>
      <c r="N461" s="8"/>
      <c r="O461" s="8">
        <v>884</v>
      </c>
      <c r="P461" s="8" t="s">
        <v>18</v>
      </c>
      <c r="Q461" s="8" t="str">
        <f>_xlfn.IFS(AND(Table13[[#This Row],[Gender]]="female",R461&lt;20),"Athletes",AND(Table13[[#This Row],[Gender]]="female",R461&lt;24),"Fitnesss",AND(Table13[[#This Row],[Gender]]="female",R461&lt;31),"Acceptable",AND(Table13[[#This Row],[Gender]]="female",R461&lt;40),"Obese",AND(Table13[[#This Row],[Gender]]="male",R461&lt;13),"Athletes",AND(Table13[[#This Row],[Gender]]="male",R461&lt;17),"Fitnesss",AND(Table13[[#This Row],[Gender]]="male",R461&lt;24.9),"Acceptable",AND(Table13[[#This Row],[Gender]]="male",R461&lt;40),"Obese",AND(Table13[[#This Row],[Gender]]="others",R461&lt;20),"Athletes",AND(Table13[[#This Row],[Gender]]="others",R461&lt;24),"Fitnesss",AND(Table13[[#This Row],[Gender]]="others",R461&lt;31),"Acceptable",AND(Table13[[#This Row],[Gender]]="others",R461&lt;40),"Obese")</f>
        <v>Obese</v>
      </c>
      <c r="R461" s="8">
        <v>27.7</v>
      </c>
      <c r="S461" s="8">
        <v>3.5</v>
      </c>
      <c r="T461" s="8">
        <v>2</v>
      </c>
      <c r="U461" s="8">
        <v>2</v>
      </c>
      <c r="V461" s="8" t="str">
        <f>IF(Table13[[#This Row],[BMI]]&lt;=18.5,"Underweight",IF(Table13[[#This Row],[BMI]]&lt;=24.9,"Normal",IF(Table13[[#This Row],[BMI]]&lt;=29.9,"Overweight",IF(Table13[[#This Row],[BMI]]&lt;=39,"Obese","Severly Obese"))))</f>
        <v>Underweight</v>
      </c>
      <c r="W461" s="18">
        <v>12.32</v>
      </c>
    </row>
    <row r="462" spans="6:23" x14ac:dyDescent="0.3">
      <c r="F462" s="17">
        <v>19</v>
      </c>
      <c r="G462" s="8" t="str">
        <f>IF(Table13[[#This Row],[Age]]&lt;25,"18-24",IF(Table13[[#This Row],[Age]]&lt;35,"25-34",IF(Table13[[#This Row],[Age]]&lt;45,"35-44",IF(Table13[[#This Row],[Age]]&lt;55,"45-54","55-64"))))</f>
        <v>18-24</v>
      </c>
      <c r="H462" s="8" t="s">
        <v>17</v>
      </c>
      <c r="I462" s="8">
        <v>76.599999999999994</v>
      </c>
      <c r="J462" s="8">
        <v>1.84</v>
      </c>
      <c r="K462" s="8">
        <v>188</v>
      </c>
      <c r="L462" s="8">
        <v>138</v>
      </c>
      <c r="M462" s="8">
        <v>71</v>
      </c>
      <c r="N462" s="8">
        <v>1.72</v>
      </c>
      <c r="O462" s="8">
        <v>699</v>
      </c>
      <c r="P462" s="8" t="s">
        <v>21</v>
      </c>
      <c r="Q462" s="8" t="str">
        <f>_xlfn.IFS(AND(Table13[[#This Row],[Gender]]="female",R462&lt;20),"Athletes",AND(Table13[[#This Row],[Gender]]="female",R462&lt;24),"Fitnesss",AND(Table13[[#This Row],[Gender]]="female",R462&lt;31),"Acceptable",AND(Table13[[#This Row],[Gender]]="female",R462&lt;40),"Obese",AND(Table13[[#This Row],[Gender]]="male",R462&lt;13),"Athletes",AND(Table13[[#This Row],[Gender]]="male",R462&lt;17),"Fitnesss",AND(Table13[[#This Row],[Gender]]="male",R462&lt;24.9),"Acceptable",AND(Table13[[#This Row],[Gender]]="male",R462&lt;40),"Obese",AND(Table13[[#This Row],[Gender]]="others",R462&lt;20),"Athletes",AND(Table13[[#This Row],[Gender]]="others",R462&lt;24),"Fitnesss",AND(Table13[[#This Row],[Gender]]="others",R462&lt;31),"Acceptable",AND(Table13[[#This Row],[Gender]]="others",R462&lt;40),"Obese")</f>
        <v>Acceptable</v>
      </c>
      <c r="R462" s="8">
        <v>28.3</v>
      </c>
      <c r="S462" s="8">
        <v>3.5</v>
      </c>
      <c r="T462" s="8">
        <v>4</v>
      </c>
      <c r="U462" s="8">
        <v>1</v>
      </c>
      <c r="V462" s="8" t="str">
        <f>IF(Table13[[#This Row],[BMI]]&lt;=18.5,"Underweight",IF(Table13[[#This Row],[BMI]]&lt;=24.9,"Normal",IF(Table13[[#This Row],[BMI]]&lt;=29.9,"Overweight",IF(Table13[[#This Row],[BMI]]&lt;=39,"Obese","Severly Obese"))))</f>
        <v>Normal</v>
      </c>
      <c r="W462" s="18">
        <v>19.760000000000002</v>
      </c>
    </row>
    <row r="463" spans="6:23" x14ac:dyDescent="0.3">
      <c r="F463" s="17">
        <v>32</v>
      </c>
      <c r="G463" s="8" t="str">
        <f>IF(Table13[[#This Row],[Age]]&lt;25,"18-24",IF(Table13[[#This Row],[Age]]&lt;35,"25-34",IF(Table13[[#This Row],[Age]]&lt;45,"35-44",IF(Table13[[#This Row],[Age]]&lt;55,"45-54","55-64"))))</f>
        <v>25-34</v>
      </c>
      <c r="H463" s="8" t="s">
        <v>17</v>
      </c>
      <c r="I463" s="8">
        <v>69.5</v>
      </c>
      <c r="J463" s="8">
        <v>1.65</v>
      </c>
      <c r="K463" s="8">
        <v>192</v>
      </c>
      <c r="L463" s="8">
        <v>140</v>
      </c>
      <c r="M463" s="8">
        <v>52</v>
      </c>
      <c r="N463" s="8">
        <v>1.71</v>
      </c>
      <c r="O463" s="8">
        <v>1163</v>
      </c>
      <c r="P463" s="8" t="s">
        <v>20</v>
      </c>
      <c r="Q463" s="8" t="str">
        <f>_xlfn.IFS(AND(Table13[[#This Row],[Gender]]="female",R463&lt;20),"Athletes",AND(Table13[[#This Row],[Gender]]="female",R463&lt;24),"Fitnesss",AND(Table13[[#This Row],[Gender]]="female",R463&lt;31),"Acceptable",AND(Table13[[#This Row],[Gender]]="female",R463&lt;40),"Obese",AND(Table13[[#This Row],[Gender]]="male",R463&lt;13),"Athletes",AND(Table13[[#This Row],[Gender]]="male",R463&lt;17),"Fitnesss",AND(Table13[[#This Row],[Gender]]="male",R463&lt;24.9),"Acceptable",AND(Table13[[#This Row],[Gender]]="male",R463&lt;40),"Obese",AND(Table13[[#This Row],[Gender]]="others",R463&lt;20),"Athletes",AND(Table13[[#This Row],[Gender]]="others",R463&lt;24),"Fitnesss",AND(Table13[[#This Row],[Gender]]="others",R463&lt;31),"Acceptable",AND(Table13[[#This Row],[Gender]]="others",R463&lt;40),"Obese")</f>
        <v>Acceptable</v>
      </c>
      <c r="R463" s="8">
        <v>29.8</v>
      </c>
      <c r="S463" s="8">
        <v>3.5</v>
      </c>
      <c r="T463" s="8">
        <v>4</v>
      </c>
      <c r="U463" s="8">
        <v>1</v>
      </c>
      <c r="V463" s="8" t="str">
        <f>IF(Table13[[#This Row],[BMI]]&lt;=18.5,"Underweight",IF(Table13[[#This Row],[BMI]]&lt;=24.9,"Normal",IF(Table13[[#This Row],[BMI]]&lt;=29.9,"Overweight",IF(Table13[[#This Row],[BMI]]&lt;=39,"Obese","Severly Obese"))))</f>
        <v>Underweight</v>
      </c>
      <c r="W463" s="18">
        <v>15.8</v>
      </c>
    </row>
    <row r="464" spans="6:23" x14ac:dyDescent="0.3">
      <c r="F464" s="17">
        <v>46</v>
      </c>
      <c r="G464" s="8" t="str">
        <f>IF(Table13[[#This Row],[Age]]&lt;25,"18-24",IF(Table13[[#This Row],[Age]]&lt;35,"25-34",IF(Table13[[#This Row],[Age]]&lt;45,"35-44",IF(Table13[[#This Row],[Age]]&lt;55,"45-54","55-64"))))</f>
        <v>45-54</v>
      </c>
      <c r="H464" s="8" t="s">
        <v>17</v>
      </c>
      <c r="I464" s="8">
        <v>68.599999999999994</v>
      </c>
      <c r="J464" s="8">
        <v>1.63</v>
      </c>
      <c r="K464" s="8">
        <v>177</v>
      </c>
      <c r="L464" s="8">
        <v>150</v>
      </c>
      <c r="M464" s="8">
        <v>58</v>
      </c>
      <c r="N464" s="8">
        <v>2</v>
      </c>
      <c r="O464" s="8">
        <v>1074</v>
      </c>
      <c r="P464" s="8" t="s">
        <v>18</v>
      </c>
      <c r="Q464" s="8" t="str">
        <f>_xlfn.IFS(AND(Table13[[#This Row],[Gender]]="female",R464&lt;20),"Athletes",AND(Table13[[#This Row],[Gender]]="female",R464&lt;24),"Fitnesss",AND(Table13[[#This Row],[Gender]]="female",R464&lt;31),"Acceptable",AND(Table13[[#This Row],[Gender]]="female",R464&lt;40),"Obese",AND(Table13[[#This Row],[Gender]]="male",R464&lt;13),"Athletes",AND(Table13[[#This Row],[Gender]]="male",R464&lt;17),"Fitnesss",AND(Table13[[#This Row],[Gender]]="male",R464&lt;24.9),"Acceptable",AND(Table13[[#This Row],[Gender]]="male",R464&lt;40),"Obese",AND(Table13[[#This Row],[Gender]]="others",R464&lt;20),"Athletes",AND(Table13[[#This Row],[Gender]]="others",R464&lt;24),"Fitnesss",AND(Table13[[#This Row],[Gender]]="others",R464&lt;31),"Acceptable",AND(Table13[[#This Row],[Gender]]="others",R464&lt;40),"Obese")</f>
        <v>Acceptable</v>
      </c>
      <c r="R464" s="8">
        <v>25.8</v>
      </c>
      <c r="S464" s="8">
        <v>3.6</v>
      </c>
      <c r="T464" s="8">
        <v>3</v>
      </c>
      <c r="U464" s="8">
        <v>3</v>
      </c>
      <c r="V464" s="8" t="str">
        <f>IF(Table13[[#This Row],[BMI]]&lt;=18.5,"Underweight",IF(Table13[[#This Row],[BMI]]&lt;=24.9,"Normal",IF(Table13[[#This Row],[BMI]]&lt;=29.9,"Overweight",IF(Table13[[#This Row],[BMI]]&lt;=39,"Obese","Severly Obese"))))</f>
        <v>Normal</v>
      </c>
      <c r="W464" s="18">
        <v>19.420000000000002</v>
      </c>
    </row>
    <row r="465" spans="6:23" x14ac:dyDescent="0.3">
      <c r="F465" s="17">
        <v>46</v>
      </c>
      <c r="G465" s="8" t="str">
        <f>IF(Table13[[#This Row],[Age]]&lt;25,"18-24",IF(Table13[[#This Row],[Age]]&lt;35,"25-34",IF(Table13[[#This Row],[Age]]&lt;45,"35-44",IF(Table13[[#This Row],[Age]]&lt;55,"45-54","55-64"))))</f>
        <v>45-54</v>
      </c>
      <c r="H465" s="8" t="s">
        <v>19</v>
      </c>
      <c r="I465" s="8">
        <v>73</v>
      </c>
      <c r="J465" s="8">
        <v>2</v>
      </c>
      <c r="K465" s="8">
        <v>184</v>
      </c>
      <c r="L465" s="8">
        <v>123</v>
      </c>
      <c r="M465" s="8">
        <v>64</v>
      </c>
      <c r="N465" s="8">
        <v>0.9</v>
      </c>
      <c r="O465" s="8">
        <v>1159</v>
      </c>
      <c r="P465" s="8" t="s">
        <v>20</v>
      </c>
      <c r="Q465" s="8" t="str">
        <f>_xlfn.IFS(AND(Table13[[#This Row],[Gender]]="female",R465&lt;20),"Athletes",AND(Table13[[#This Row],[Gender]]="female",R465&lt;24),"Fitnesss",AND(Table13[[#This Row],[Gender]]="female",R465&lt;31),"Acceptable",AND(Table13[[#This Row],[Gender]]="female",R465&lt;40),"Obese",AND(Table13[[#This Row],[Gender]]="male",R465&lt;13),"Athletes",AND(Table13[[#This Row],[Gender]]="male",R465&lt;17),"Fitnesss",AND(Table13[[#This Row],[Gender]]="male",R465&lt;24.9),"Acceptable",AND(Table13[[#This Row],[Gender]]="male",R465&lt;40),"Obese",AND(Table13[[#This Row],[Gender]]="others",R465&lt;20),"Athletes",AND(Table13[[#This Row],[Gender]]="others",R465&lt;24),"Fitnesss",AND(Table13[[#This Row],[Gender]]="others",R465&lt;31),"Acceptable",AND(Table13[[#This Row],[Gender]]="others",R465&lt;40),"Obese")</f>
        <v>Athletes</v>
      </c>
      <c r="R465" s="8">
        <v>10</v>
      </c>
      <c r="S465" s="8">
        <v>3.4</v>
      </c>
      <c r="T465" s="8">
        <v>5</v>
      </c>
      <c r="U465" s="8">
        <v>3</v>
      </c>
      <c r="V465" s="8" t="str">
        <f>IF(Table13[[#This Row],[BMI]]&lt;=18.5,"Underweight",IF(Table13[[#This Row],[BMI]]&lt;=24.9,"Normal",IF(Table13[[#This Row],[BMI]]&lt;=29.9,"Overweight",IF(Table13[[#This Row],[BMI]]&lt;=39,"Obese","Severly Obese"))))</f>
        <v>Underweight</v>
      </c>
      <c r="W465" s="18">
        <v>14.91</v>
      </c>
    </row>
    <row r="466" spans="6:23" x14ac:dyDescent="0.3">
      <c r="F466" s="17">
        <v>52</v>
      </c>
      <c r="G466" s="8" t="str">
        <f>IF(Table13[[#This Row],[Age]]&lt;25,"18-24",IF(Table13[[#This Row],[Age]]&lt;35,"25-34",IF(Table13[[#This Row],[Age]]&lt;45,"35-44",IF(Table13[[#This Row],[Age]]&lt;55,"45-54","55-64"))))</f>
        <v>45-54</v>
      </c>
      <c r="H466" s="8" t="s">
        <v>17</v>
      </c>
      <c r="I466" s="8">
        <v>40.799999999999997</v>
      </c>
      <c r="J466" s="8">
        <v>1.71</v>
      </c>
      <c r="K466" s="8">
        <v>181</v>
      </c>
      <c r="L466" s="8">
        <v>169</v>
      </c>
      <c r="M466" s="8">
        <v>73</v>
      </c>
      <c r="N466" s="8">
        <v>1.44</v>
      </c>
      <c r="O466" s="8">
        <v>303</v>
      </c>
      <c r="P466" s="8" t="s">
        <v>22</v>
      </c>
      <c r="Q466" s="8" t="str">
        <f>_xlfn.IFS(AND(Table13[[#This Row],[Gender]]="female",R466&lt;20),"Athletes",AND(Table13[[#This Row],[Gender]]="female",R466&lt;24),"Fitnesss",AND(Table13[[#This Row],[Gender]]="female",R466&lt;31),"Acceptable",AND(Table13[[#This Row],[Gender]]="female",R466&lt;40),"Obese",AND(Table13[[#This Row],[Gender]]="male",R466&lt;13),"Athletes",AND(Table13[[#This Row],[Gender]]="male",R466&lt;17),"Fitnesss",AND(Table13[[#This Row],[Gender]]="male",R466&lt;24.9),"Acceptable",AND(Table13[[#This Row],[Gender]]="male",R466&lt;40),"Obese",AND(Table13[[#This Row],[Gender]]="others",R466&lt;20),"Athletes",AND(Table13[[#This Row],[Gender]]="others",R466&lt;24),"Fitnesss",AND(Table13[[#This Row],[Gender]]="others",R466&lt;31),"Acceptable",AND(Table13[[#This Row],[Gender]]="others",R466&lt;40),"Obese")</f>
        <v>Acceptable</v>
      </c>
      <c r="R466" s="8">
        <v>28.3</v>
      </c>
      <c r="S466" s="8">
        <v>1.6</v>
      </c>
      <c r="T466" s="8">
        <v>3</v>
      </c>
      <c r="U466" s="8">
        <v>1</v>
      </c>
      <c r="V466" s="8" t="str">
        <f>IF(Table13[[#This Row],[BMI]]&lt;=18.5,"Underweight",IF(Table13[[#This Row],[BMI]]&lt;=24.9,"Normal",IF(Table13[[#This Row],[BMI]]&lt;=29.9,"Overweight",IF(Table13[[#This Row],[BMI]]&lt;=39,"Obese","Severly Obese"))))</f>
        <v>Underweight</v>
      </c>
      <c r="W466" s="18">
        <v>18.309999999999999</v>
      </c>
    </row>
    <row r="467" spans="6:23" x14ac:dyDescent="0.3">
      <c r="F467" s="17">
        <v>19</v>
      </c>
      <c r="G467" s="8" t="str">
        <f>IF(Table13[[#This Row],[Age]]&lt;25,"18-24",IF(Table13[[#This Row],[Age]]&lt;35,"25-34",IF(Table13[[#This Row],[Age]]&lt;45,"35-44",IF(Table13[[#This Row],[Age]]&lt;55,"45-54","55-64"))))</f>
        <v>18-24</v>
      </c>
      <c r="H467" s="8" t="s">
        <v>19</v>
      </c>
      <c r="I467" s="8">
        <v>42.1</v>
      </c>
      <c r="J467" s="8">
        <v>1.6</v>
      </c>
      <c r="K467" s="8">
        <v>194</v>
      </c>
      <c r="L467" s="8">
        <v>148</v>
      </c>
      <c r="M467" s="8">
        <v>73</v>
      </c>
      <c r="N467" s="8">
        <v>1.27</v>
      </c>
      <c r="O467" s="8">
        <v>1305</v>
      </c>
      <c r="P467" s="8" t="s">
        <v>20</v>
      </c>
      <c r="Q467" s="8" t="str">
        <f>_xlfn.IFS(AND(Table13[[#This Row],[Gender]]="female",R467&lt;20),"Athletes",AND(Table13[[#This Row],[Gender]]="female",R467&lt;24),"Fitnesss",AND(Table13[[#This Row],[Gender]]="female",R467&lt;31),"Acceptable",AND(Table13[[#This Row],[Gender]]="female",R467&lt;40),"Obese",AND(Table13[[#This Row],[Gender]]="male",R467&lt;13),"Athletes",AND(Table13[[#This Row],[Gender]]="male",R467&lt;17),"Fitnesss",AND(Table13[[#This Row],[Gender]]="male",R467&lt;24.9),"Acceptable",AND(Table13[[#This Row],[Gender]]="male",R467&lt;40),"Obese",AND(Table13[[#This Row],[Gender]]="others",R467&lt;20),"Athletes",AND(Table13[[#This Row],[Gender]]="others",R467&lt;24),"Fitnesss",AND(Table13[[#This Row],[Gender]]="others",R467&lt;31),"Acceptable",AND(Table13[[#This Row],[Gender]]="others",R467&lt;40),"Obese")</f>
        <v>Athletes</v>
      </c>
      <c r="R467" s="8">
        <v>12.7</v>
      </c>
      <c r="S467" s="8">
        <v>3.3</v>
      </c>
      <c r="T467" s="8">
        <v>2</v>
      </c>
      <c r="U467" s="8">
        <v>2</v>
      </c>
      <c r="V467" s="8" t="str">
        <f>IF(Table13[[#This Row],[BMI]]&lt;=18.5,"Underweight",IF(Table13[[#This Row],[BMI]]&lt;=24.9,"Normal",IF(Table13[[#This Row],[BMI]]&lt;=29.9,"Overweight",IF(Table13[[#This Row],[BMI]]&lt;=39,"Obese","Severly Obese"))))</f>
        <v>Underweight</v>
      </c>
      <c r="W467" s="18">
        <v>16.649999999999999</v>
      </c>
    </row>
    <row r="468" spans="6:23" x14ac:dyDescent="0.3">
      <c r="F468" s="17">
        <v>34</v>
      </c>
      <c r="G468" s="8" t="str">
        <f>IF(Table13[[#This Row],[Age]]&lt;25,"18-24",IF(Table13[[#This Row],[Age]]&lt;35,"25-34",IF(Table13[[#This Row],[Age]]&lt;45,"35-44",IF(Table13[[#This Row],[Age]]&lt;55,"45-54","55-64"))))</f>
        <v>25-34</v>
      </c>
      <c r="H468" s="8" t="s">
        <v>19</v>
      </c>
      <c r="I468" s="8">
        <v>40</v>
      </c>
      <c r="J468" s="8">
        <v>1.82</v>
      </c>
      <c r="K468" s="8">
        <v>176</v>
      </c>
      <c r="L468" s="8">
        <v>141</v>
      </c>
      <c r="M468" s="8">
        <v>66</v>
      </c>
      <c r="N468" s="8">
        <v>1.34</v>
      </c>
      <c r="O468" s="8">
        <v>1709</v>
      </c>
      <c r="P468" s="8" t="s">
        <v>20</v>
      </c>
      <c r="Q468" s="8" t="str">
        <f>_xlfn.IFS(AND(Table13[[#This Row],[Gender]]="female",R468&lt;20),"Athletes",AND(Table13[[#This Row],[Gender]]="female",R468&lt;24),"Fitnesss",AND(Table13[[#This Row],[Gender]]="female",R468&lt;31),"Acceptable",AND(Table13[[#This Row],[Gender]]="female",R468&lt;40),"Obese",AND(Table13[[#This Row],[Gender]]="male",R468&lt;13),"Athletes",AND(Table13[[#This Row],[Gender]]="male",R468&lt;17),"Fitnesss",AND(Table13[[#This Row],[Gender]]="male",R468&lt;24.9),"Acceptable",AND(Table13[[#This Row],[Gender]]="male",R468&lt;40),"Obese",AND(Table13[[#This Row],[Gender]]="others",R468&lt;20),"Athletes",AND(Table13[[#This Row],[Gender]]="others",R468&lt;24),"Fitnesss",AND(Table13[[#This Row],[Gender]]="others",R468&lt;31),"Acceptable",AND(Table13[[#This Row],[Gender]]="others",R468&lt;40),"Obese")</f>
        <v>Acceptable</v>
      </c>
      <c r="R468" s="8">
        <v>24.1</v>
      </c>
      <c r="S468" s="8">
        <v>3</v>
      </c>
      <c r="T468" s="8">
        <v>4</v>
      </c>
      <c r="U468" s="8">
        <v>1</v>
      </c>
      <c r="V468" s="8" t="str">
        <f>IF(Table13[[#This Row],[BMI]]&lt;=18.5,"Underweight",IF(Table13[[#This Row],[BMI]]&lt;=24.9,"Normal",IF(Table13[[#This Row],[BMI]]&lt;=29.9,"Overweight",IF(Table13[[#This Row],[BMI]]&lt;=39,"Obese","Severly Obese"))))</f>
        <v>Underweight</v>
      </c>
      <c r="W468" s="18">
        <v>15.3</v>
      </c>
    </row>
    <row r="469" spans="6:23" x14ac:dyDescent="0.3">
      <c r="F469" s="17">
        <v>18</v>
      </c>
      <c r="G469" s="8" t="str">
        <f>IF(Table13[[#This Row],[Age]]&lt;25,"18-24",IF(Table13[[#This Row],[Age]]&lt;35,"25-34",IF(Table13[[#This Row],[Age]]&lt;45,"35-44",IF(Table13[[#This Row],[Age]]&lt;55,"45-54","55-64"))))</f>
        <v>18-24</v>
      </c>
      <c r="H469" s="8" t="s">
        <v>17</v>
      </c>
      <c r="I469" s="8">
        <v>67.099999999999994</v>
      </c>
      <c r="J469" s="8">
        <v>1.71</v>
      </c>
      <c r="K469" s="8">
        <v>174</v>
      </c>
      <c r="L469" s="8">
        <v>165</v>
      </c>
      <c r="M469" s="8">
        <v>74</v>
      </c>
      <c r="N469" s="8">
        <v>1.84</v>
      </c>
      <c r="O469" s="8">
        <v>577</v>
      </c>
      <c r="P469" s="8" t="s">
        <v>18</v>
      </c>
      <c r="Q469" s="8" t="str">
        <f>_xlfn.IFS(AND(Table13[[#This Row],[Gender]]="female",R469&lt;20),"Athletes",AND(Table13[[#This Row],[Gender]]="female",R469&lt;24),"Fitnesss",AND(Table13[[#This Row],[Gender]]="female",R469&lt;31),"Acceptable",AND(Table13[[#This Row],[Gender]]="female",R469&lt;40),"Obese",AND(Table13[[#This Row],[Gender]]="male",R469&lt;13),"Athletes",AND(Table13[[#This Row],[Gender]]="male",R469&lt;17),"Fitnesss",AND(Table13[[#This Row],[Gender]]="male",R469&lt;24.9),"Acceptable",AND(Table13[[#This Row],[Gender]]="male",R469&lt;40),"Obese",AND(Table13[[#This Row],[Gender]]="others",R469&lt;20),"Athletes",AND(Table13[[#This Row],[Gender]]="others",R469&lt;24),"Fitnesss",AND(Table13[[#This Row],[Gender]]="others",R469&lt;31),"Acceptable",AND(Table13[[#This Row],[Gender]]="others",R469&lt;40),"Obese")</f>
        <v>Acceptable</v>
      </c>
      <c r="R469" s="8">
        <v>27.1</v>
      </c>
      <c r="S469" s="8">
        <v>2.7</v>
      </c>
      <c r="T469" s="8">
        <v>4</v>
      </c>
      <c r="U469" s="8">
        <v>3</v>
      </c>
      <c r="V469" s="8" t="str">
        <f>IF(Table13[[#This Row],[BMI]]&lt;=18.5,"Underweight",IF(Table13[[#This Row],[BMI]]&lt;=24.9,"Normal",IF(Table13[[#This Row],[BMI]]&lt;=29.9,"Overweight",IF(Table13[[#This Row],[BMI]]&lt;=39,"Obese","Severly Obese"))))</f>
        <v>Normal</v>
      </c>
      <c r="W469" s="18">
        <v>24.9</v>
      </c>
    </row>
    <row r="470" spans="6:23" x14ac:dyDescent="0.3">
      <c r="F470" s="17">
        <v>53</v>
      </c>
      <c r="G470" s="8" t="str">
        <f>IF(Table13[[#This Row],[Age]]&lt;25,"18-24",IF(Table13[[#This Row],[Age]]&lt;35,"25-34",IF(Table13[[#This Row],[Age]]&lt;45,"35-44",IF(Table13[[#This Row],[Age]]&lt;55,"45-54","55-64"))))</f>
        <v>45-54</v>
      </c>
      <c r="H470" s="8" t="s">
        <v>19</v>
      </c>
      <c r="I470" s="8">
        <v>67.2</v>
      </c>
      <c r="J470" s="8">
        <v>1.68</v>
      </c>
      <c r="K470" s="8">
        <v>190</v>
      </c>
      <c r="L470" s="8">
        <v>138</v>
      </c>
      <c r="M470" s="8">
        <v>55</v>
      </c>
      <c r="N470" s="8">
        <v>1.67</v>
      </c>
      <c r="O470" s="8">
        <v>924</v>
      </c>
      <c r="P470" s="8" t="s">
        <v>23</v>
      </c>
      <c r="Q470" s="8" t="str">
        <f>_xlfn.IFS(AND(Table13[[#This Row],[Gender]]="female",R470&lt;20),"Athletes",AND(Table13[[#This Row],[Gender]]="female",R470&lt;24),"Fitnesss",AND(Table13[[#This Row],[Gender]]="female",R470&lt;31),"Acceptable",AND(Table13[[#This Row],[Gender]]="female",R470&lt;40),"Obese",AND(Table13[[#This Row],[Gender]]="male",R470&lt;13),"Athletes",AND(Table13[[#This Row],[Gender]]="male",R470&lt;17),"Fitnesss",AND(Table13[[#This Row],[Gender]]="male",R470&lt;24.9),"Acceptable",AND(Table13[[#This Row],[Gender]]="male",R470&lt;40),"Obese",AND(Table13[[#This Row],[Gender]]="others",R470&lt;20),"Athletes",AND(Table13[[#This Row],[Gender]]="others",R470&lt;24),"Fitnesss",AND(Table13[[#This Row],[Gender]]="others",R470&lt;31),"Acceptable",AND(Table13[[#This Row],[Gender]]="others",R470&lt;40),"Obese")</f>
        <v>Acceptable</v>
      </c>
      <c r="R470" s="8">
        <v>22.6</v>
      </c>
      <c r="S470" s="8">
        <v>1.5</v>
      </c>
      <c r="T470" s="8">
        <v>3</v>
      </c>
      <c r="U470" s="8">
        <v>1</v>
      </c>
      <c r="V470" s="8" t="str">
        <f>IF(Table13[[#This Row],[BMI]]&lt;=18.5,"Underweight",IF(Table13[[#This Row],[BMI]]&lt;=24.9,"Normal",IF(Table13[[#This Row],[BMI]]&lt;=29.9,"Overweight",IF(Table13[[#This Row],[BMI]]&lt;=39,"Obese","Severly Obese"))))</f>
        <v>Underweight</v>
      </c>
      <c r="W470" s="18">
        <v>13.91</v>
      </c>
    </row>
    <row r="471" spans="6:23" x14ac:dyDescent="0.3">
      <c r="F471" s="17">
        <v>29</v>
      </c>
      <c r="G471" s="8" t="str">
        <f>IF(Table13[[#This Row],[Age]]&lt;25,"18-24",IF(Table13[[#This Row],[Age]]&lt;35,"25-34",IF(Table13[[#This Row],[Age]]&lt;45,"35-44",IF(Table13[[#This Row],[Age]]&lt;55,"45-54","55-64"))))</f>
        <v>25-34</v>
      </c>
      <c r="H471" s="8" t="s">
        <v>19</v>
      </c>
      <c r="I471" s="8">
        <v>72.099999999999994</v>
      </c>
      <c r="J471" s="8">
        <v>2</v>
      </c>
      <c r="K471" s="8">
        <v>166</v>
      </c>
      <c r="L471" s="8">
        <v>124</v>
      </c>
      <c r="M471" s="8">
        <v>67</v>
      </c>
      <c r="N471" s="8">
        <v>2</v>
      </c>
      <c r="O471" s="8">
        <v>1582</v>
      </c>
      <c r="P471" s="8" t="s">
        <v>18</v>
      </c>
      <c r="Q471" s="8" t="str">
        <f>_xlfn.IFS(AND(Table13[[#This Row],[Gender]]="female",R471&lt;20),"Athletes",AND(Table13[[#This Row],[Gender]]="female",R471&lt;24),"Fitnesss",AND(Table13[[#This Row],[Gender]]="female",R471&lt;31),"Acceptable",AND(Table13[[#This Row],[Gender]]="female",R471&lt;40),"Obese",AND(Table13[[#This Row],[Gender]]="male",R471&lt;13),"Athletes",AND(Table13[[#This Row],[Gender]]="male",R471&lt;17),"Fitnesss",AND(Table13[[#This Row],[Gender]]="male",R471&lt;24.9),"Acceptable",AND(Table13[[#This Row],[Gender]]="male",R471&lt;40),"Obese",AND(Table13[[#This Row],[Gender]]="others",R471&lt;20),"Athletes",AND(Table13[[#This Row],[Gender]]="others",R471&lt;24),"Fitnesss",AND(Table13[[#This Row],[Gender]]="others",R471&lt;31),"Acceptable",AND(Table13[[#This Row],[Gender]]="others",R471&lt;40),"Obese")</f>
        <v>Obese</v>
      </c>
      <c r="R471" s="8">
        <v>32.700000000000003</v>
      </c>
      <c r="S471" s="8">
        <v>3.4</v>
      </c>
      <c r="T471" s="8">
        <v>3</v>
      </c>
      <c r="U471" s="8">
        <v>2</v>
      </c>
      <c r="V471" s="8" t="str">
        <f>IF(Table13[[#This Row],[BMI]]&lt;=18.5,"Underweight",IF(Table13[[#This Row],[BMI]]&lt;=24.9,"Normal",IF(Table13[[#This Row],[BMI]]&lt;=29.9,"Overweight",IF(Table13[[#This Row],[BMI]]&lt;=39,"Obese","Severly Obese"))))</f>
        <v>Normal</v>
      </c>
      <c r="W471" s="18">
        <v>21.75</v>
      </c>
    </row>
    <row r="472" spans="6:23" x14ac:dyDescent="0.3">
      <c r="F472" s="17">
        <v>49</v>
      </c>
      <c r="G472" s="8" t="str">
        <f>IF(Table13[[#This Row],[Age]]&lt;25,"18-24",IF(Table13[[#This Row],[Age]]&lt;35,"25-34",IF(Table13[[#This Row],[Age]]&lt;45,"35-44",IF(Table13[[#This Row],[Age]]&lt;55,"45-54","55-64"))))</f>
        <v>45-54</v>
      </c>
      <c r="H472" s="8" t="s">
        <v>17</v>
      </c>
      <c r="I472" s="8">
        <v>62</v>
      </c>
      <c r="J472" s="8">
        <v>1.87</v>
      </c>
      <c r="K472" s="8">
        <v>195</v>
      </c>
      <c r="L472" s="8">
        <v>125</v>
      </c>
      <c r="M472" s="8">
        <v>74</v>
      </c>
      <c r="N472" s="8">
        <v>1.04</v>
      </c>
      <c r="O472" s="8">
        <v>842</v>
      </c>
      <c r="P472" s="8" t="s">
        <v>21</v>
      </c>
      <c r="Q472" s="8" t="str">
        <f>_xlfn.IFS(AND(Table13[[#This Row],[Gender]]="female",R472&lt;20),"Athletes",AND(Table13[[#This Row],[Gender]]="female",R472&lt;24),"Fitnesss",AND(Table13[[#This Row],[Gender]]="female",R472&lt;31),"Acceptable",AND(Table13[[#This Row],[Gender]]="female",R472&lt;40),"Obese",AND(Table13[[#This Row],[Gender]]="male",R472&lt;13),"Athletes",AND(Table13[[#This Row],[Gender]]="male",R472&lt;17),"Fitnesss",AND(Table13[[#This Row],[Gender]]="male",R472&lt;24.9),"Acceptable",AND(Table13[[#This Row],[Gender]]="male",R472&lt;40),"Obese",AND(Table13[[#This Row],[Gender]]="others",R472&lt;20),"Athletes",AND(Table13[[#This Row],[Gender]]="others",R472&lt;24),"Fitnesss",AND(Table13[[#This Row],[Gender]]="others",R472&lt;31),"Acceptable",AND(Table13[[#This Row],[Gender]]="others",R472&lt;40),"Obese")</f>
        <v>Fitnesss</v>
      </c>
      <c r="R472" s="8">
        <v>20</v>
      </c>
      <c r="S472" s="8">
        <v>3.5</v>
      </c>
      <c r="T472" s="8">
        <v>3</v>
      </c>
      <c r="U472" s="8">
        <v>1</v>
      </c>
      <c r="V472" s="8" t="str">
        <f>IF(Table13[[#This Row],[BMI]]&lt;=18.5,"Underweight",IF(Table13[[#This Row],[BMI]]&lt;=24.9,"Normal",IF(Table13[[#This Row],[BMI]]&lt;=29.9,"Overweight",IF(Table13[[#This Row],[BMI]]&lt;=39,"Obese","Severly Obese"))))</f>
        <v>Normal</v>
      </c>
      <c r="W472" s="18">
        <v>22.02</v>
      </c>
    </row>
    <row r="473" spans="6:23" x14ac:dyDescent="0.3">
      <c r="F473" s="17">
        <v>52</v>
      </c>
      <c r="G473" s="8" t="str">
        <f>IF(Table13[[#This Row],[Age]]&lt;25,"18-24",IF(Table13[[#This Row],[Age]]&lt;35,"25-34",IF(Table13[[#This Row],[Age]]&lt;45,"35-44",IF(Table13[[#This Row],[Age]]&lt;55,"45-54","55-64"))))</f>
        <v>45-54</v>
      </c>
      <c r="H473" s="8" t="s">
        <v>19</v>
      </c>
      <c r="I473" s="8">
        <v>71.3</v>
      </c>
      <c r="J473" s="8">
        <v>1.84</v>
      </c>
      <c r="K473" s="8">
        <v>197</v>
      </c>
      <c r="L473" s="8">
        <v>126</v>
      </c>
      <c r="M473" s="8">
        <v>73</v>
      </c>
      <c r="N473" s="8">
        <v>1.22</v>
      </c>
      <c r="O473" s="8">
        <v>765</v>
      </c>
      <c r="P473" s="8" t="s">
        <v>20</v>
      </c>
      <c r="Q473" s="8" t="str">
        <f>_xlfn.IFS(AND(Table13[[#This Row],[Gender]]="female",R473&lt;20),"Athletes",AND(Table13[[#This Row],[Gender]]="female",R473&lt;24),"Fitnesss",AND(Table13[[#This Row],[Gender]]="female",R473&lt;31),"Acceptable",AND(Table13[[#This Row],[Gender]]="female",R473&lt;40),"Obese",AND(Table13[[#This Row],[Gender]]="male",R473&lt;13),"Athletes",AND(Table13[[#This Row],[Gender]]="male",R473&lt;17),"Fitnesss",AND(Table13[[#This Row],[Gender]]="male",R473&lt;24.9),"Acceptable",AND(Table13[[#This Row],[Gender]]="male",R473&lt;40),"Obese",AND(Table13[[#This Row],[Gender]]="others",R473&lt;20),"Athletes",AND(Table13[[#This Row],[Gender]]="others",R473&lt;24),"Fitnesss",AND(Table13[[#This Row],[Gender]]="others",R473&lt;31),"Acceptable",AND(Table13[[#This Row],[Gender]]="others",R473&lt;40),"Obese")</f>
        <v>Obese</v>
      </c>
      <c r="R473" s="8">
        <v>29.2</v>
      </c>
      <c r="S473" s="8">
        <v>1.8</v>
      </c>
      <c r="T473" s="8">
        <v>2</v>
      </c>
      <c r="U473" s="8"/>
      <c r="V473" s="8" t="str">
        <f>IF(Table13[[#This Row],[BMI]]&lt;=18.5,"Underweight",IF(Table13[[#This Row],[BMI]]&lt;=24.9,"Normal",IF(Table13[[#This Row],[BMI]]&lt;=29.9,"Overweight",IF(Table13[[#This Row],[BMI]]&lt;=39,"Obese","Severly Obese"))))</f>
        <v>Underweight</v>
      </c>
      <c r="W473" s="18">
        <v>12.32</v>
      </c>
    </row>
    <row r="474" spans="6:23" x14ac:dyDescent="0.3">
      <c r="F474" s="17">
        <v>28</v>
      </c>
      <c r="G474" s="8" t="str">
        <f>IF(Table13[[#This Row],[Age]]&lt;25,"18-24",IF(Table13[[#This Row],[Age]]&lt;35,"25-34",IF(Table13[[#This Row],[Age]]&lt;45,"35-44",IF(Table13[[#This Row],[Age]]&lt;55,"45-54","55-64"))))</f>
        <v>25-34</v>
      </c>
      <c r="H474" s="8" t="s">
        <v>23</v>
      </c>
      <c r="I474" s="8">
        <v>85.6</v>
      </c>
      <c r="J474" s="8">
        <v>1.54</v>
      </c>
      <c r="K474" s="8">
        <v>168</v>
      </c>
      <c r="L474" s="8">
        <v>128</v>
      </c>
      <c r="M474" s="8">
        <v>59</v>
      </c>
      <c r="N474" s="8">
        <v>1.45</v>
      </c>
      <c r="O474" s="8">
        <v>860</v>
      </c>
      <c r="P474" s="8" t="s">
        <v>22</v>
      </c>
      <c r="Q474" s="8" t="str">
        <f>_xlfn.IFS(AND(Table13[[#This Row],[Gender]]="female",R474&lt;20),"Athletes",AND(Table13[[#This Row],[Gender]]="female",R474&lt;24),"Fitnesss",AND(Table13[[#This Row],[Gender]]="female",R474&lt;31),"Acceptable",AND(Table13[[#This Row],[Gender]]="female",R474&lt;40),"Obese",AND(Table13[[#This Row],[Gender]]="male",R474&lt;13),"Athletes",AND(Table13[[#This Row],[Gender]]="male",R474&lt;17),"Fitnesss",AND(Table13[[#This Row],[Gender]]="male",R474&lt;24.9),"Acceptable",AND(Table13[[#This Row],[Gender]]="male",R474&lt;40),"Obese",AND(Table13[[#This Row],[Gender]]="others",R474&lt;20),"Athletes",AND(Table13[[#This Row],[Gender]]="others",R474&lt;24),"Fitnesss",AND(Table13[[#This Row],[Gender]]="others",R474&lt;31),"Acceptable",AND(Table13[[#This Row],[Gender]]="others",R474&lt;40),"Obese")</f>
        <v>Athletes</v>
      </c>
      <c r="R474" s="8">
        <v>14.9</v>
      </c>
      <c r="S474" s="8">
        <v>2.4</v>
      </c>
      <c r="T474" s="8">
        <v>4</v>
      </c>
      <c r="U474" s="8">
        <v>1</v>
      </c>
      <c r="V474" s="8" t="str">
        <f>IF(Table13[[#This Row],[BMI]]&lt;=18.5,"Underweight",IF(Table13[[#This Row],[BMI]]&lt;=24.9,"Normal",IF(Table13[[#This Row],[BMI]]&lt;=29.9,"Overweight",IF(Table13[[#This Row],[BMI]]&lt;=39,"Obese","Severly Obese"))))</f>
        <v>Underweight</v>
      </c>
      <c r="W474" s="18">
        <v>12.32</v>
      </c>
    </row>
    <row r="475" spans="6:23" x14ac:dyDescent="0.3">
      <c r="F475" s="17">
        <v>21</v>
      </c>
      <c r="G475" s="8" t="str">
        <f>IF(Table13[[#This Row],[Age]]&lt;25,"18-24",IF(Table13[[#This Row],[Age]]&lt;35,"25-34",IF(Table13[[#This Row],[Age]]&lt;45,"35-44",IF(Table13[[#This Row],[Age]]&lt;55,"45-54","55-64"))))</f>
        <v>18-24</v>
      </c>
      <c r="H475" s="8" t="s">
        <v>19</v>
      </c>
      <c r="I475" s="8">
        <v>51.9</v>
      </c>
      <c r="J475" s="8">
        <v>1.57</v>
      </c>
      <c r="K475" s="8">
        <v>170</v>
      </c>
      <c r="L475" s="8">
        <v>167</v>
      </c>
      <c r="M475" s="8">
        <v>73</v>
      </c>
      <c r="N475" s="8">
        <v>1.25</v>
      </c>
      <c r="O475" s="8">
        <v>1082</v>
      </c>
      <c r="P475" s="8" t="s">
        <v>18</v>
      </c>
      <c r="Q475" s="8" t="str">
        <f>_xlfn.IFS(AND(Table13[[#This Row],[Gender]]="female",R475&lt;20),"Athletes",AND(Table13[[#This Row],[Gender]]="female",R475&lt;24),"Fitnesss",AND(Table13[[#This Row],[Gender]]="female",R475&lt;31),"Acceptable",AND(Table13[[#This Row],[Gender]]="female",R475&lt;40),"Obese",AND(Table13[[#This Row],[Gender]]="male",R475&lt;13),"Athletes",AND(Table13[[#This Row],[Gender]]="male",R475&lt;17),"Fitnesss",AND(Table13[[#This Row],[Gender]]="male",R475&lt;24.9),"Acceptable",AND(Table13[[#This Row],[Gender]]="male",R475&lt;40),"Obese",AND(Table13[[#This Row],[Gender]]="others",R475&lt;20),"Athletes",AND(Table13[[#This Row],[Gender]]="others",R475&lt;24),"Fitnesss",AND(Table13[[#This Row],[Gender]]="others",R475&lt;31),"Acceptable",AND(Table13[[#This Row],[Gender]]="others",R475&lt;40),"Obese")</f>
        <v>Obese</v>
      </c>
      <c r="R475" s="8">
        <v>27.5</v>
      </c>
      <c r="S475" s="8">
        <v>1.6</v>
      </c>
      <c r="T475" s="8">
        <v>3</v>
      </c>
      <c r="U475" s="8">
        <v>2</v>
      </c>
      <c r="V475" s="8" t="str">
        <f>IF(Table13[[#This Row],[BMI]]&lt;=18.5,"Underweight",IF(Table13[[#This Row],[BMI]]&lt;=24.9,"Normal",IF(Table13[[#This Row],[BMI]]&lt;=29.9,"Overweight",IF(Table13[[#This Row],[BMI]]&lt;=39,"Obese","Severly Obese"))))</f>
        <v>Normal</v>
      </c>
      <c r="W475" s="18">
        <v>18.89</v>
      </c>
    </row>
    <row r="476" spans="6:23" x14ac:dyDescent="0.3">
      <c r="F476" s="17">
        <v>33</v>
      </c>
      <c r="G476" s="8" t="str">
        <f>IF(Table13[[#This Row],[Age]]&lt;25,"18-24",IF(Table13[[#This Row],[Age]]&lt;35,"25-34",IF(Table13[[#This Row],[Age]]&lt;45,"35-44",IF(Table13[[#This Row],[Age]]&lt;55,"45-54","55-64"))))</f>
        <v>25-34</v>
      </c>
      <c r="H476" s="8" t="s">
        <v>19</v>
      </c>
      <c r="I476" s="8">
        <v>92.8</v>
      </c>
      <c r="J476" s="8">
        <v>1.59</v>
      </c>
      <c r="K476" s="8">
        <v>161</v>
      </c>
      <c r="L476" s="8">
        <v>150</v>
      </c>
      <c r="M476" s="8">
        <v>52</v>
      </c>
      <c r="N476" s="8">
        <v>1.19</v>
      </c>
      <c r="O476" s="8">
        <v>1640</v>
      </c>
      <c r="P476" s="8" t="s">
        <v>20</v>
      </c>
      <c r="Q476" s="8" t="str">
        <f>_xlfn.IFS(AND(Table13[[#This Row],[Gender]]="female",R476&lt;20),"Athletes",AND(Table13[[#This Row],[Gender]]="female",R476&lt;24),"Fitnesss",AND(Table13[[#This Row],[Gender]]="female",R476&lt;31),"Acceptable",AND(Table13[[#This Row],[Gender]]="female",R476&lt;40),"Obese",AND(Table13[[#This Row],[Gender]]="male",R476&lt;13),"Athletes",AND(Table13[[#This Row],[Gender]]="male",R476&lt;17),"Fitnesss",AND(Table13[[#This Row],[Gender]]="male",R476&lt;24.9),"Acceptable",AND(Table13[[#This Row],[Gender]]="male",R476&lt;40),"Obese",AND(Table13[[#This Row],[Gender]]="others",R476&lt;20),"Athletes",AND(Table13[[#This Row],[Gender]]="others",R476&lt;24),"Fitnesss",AND(Table13[[#This Row],[Gender]]="others",R476&lt;31),"Acceptable",AND(Table13[[#This Row],[Gender]]="others",R476&lt;40),"Obese")</f>
        <v>Acceptable</v>
      </c>
      <c r="R476" s="8">
        <v>23.8</v>
      </c>
      <c r="S476" s="8">
        <v>2.6</v>
      </c>
      <c r="T476" s="8">
        <v>3</v>
      </c>
      <c r="U476" s="8">
        <v>3</v>
      </c>
      <c r="V476" s="8" t="str">
        <f>IF(Table13[[#This Row],[BMI]]&lt;=18.5,"Underweight",IF(Table13[[#This Row],[BMI]]&lt;=24.9,"Normal",IF(Table13[[#This Row],[BMI]]&lt;=29.9,"Overweight",IF(Table13[[#This Row],[BMI]]&lt;=39,"Obese","Severly Obese"))))</f>
        <v>Underweight</v>
      </c>
      <c r="W476" s="18">
        <v>15.84</v>
      </c>
    </row>
    <row r="477" spans="6:23" x14ac:dyDescent="0.3">
      <c r="F477" s="17">
        <v>58</v>
      </c>
      <c r="G477" s="8" t="str">
        <f>IF(Table13[[#This Row],[Age]]&lt;25,"18-24",IF(Table13[[#This Row],[Age]]&lt;35,"25-34",IF(Table13[[#This Row],[Age]]&lt;45,"35-44",IF(Table13[[#This Row],[Age]]&lt;55,"45-54","55-64"))))</f>
        <v>55-64</v>
      </c>
      <c r="H477" s="8" t="s">
        <v>17</v>
      </c>
      <c r="I477" s="8">
        <v>40</v>
      </c>
      <c r="J477" s="8">
        <v>1.7</v>
      </c>
      <c r="K477" s="8">
        <v>193</v>
      </c>
      <c r="L477" s="8">
        <v>120</v>
      </c>
      <c r="M477" s="8">
        <v>52</v>
      </c>
      <c r="N477" s="8">
        <v>0.99</v>
      </c>
      <c r="O477" s="8">
        <v>1178</v>
      </c>
      <c r="P477" s="8" t="s">
        <v>22</v>
      </c>
      <c r="Q477" s="8" t="str">
        <f>_xlfn.IFS(AND(Table13[[#This Row],[Gender]]="female",R477&lt;20),"Athletes",AND(Table13[[#This Row],[Gender]]="female",R477&lt;24),"Fitnesss",AND(Table13[[#This Row],[Gender]]="female",R477&lt;31),"Acceptable",AND(Table13[[#This Row],[Gender]]="female",R477&lt;40),"Obese",AND(Table13[[#This Row],[Gender]]="male",R477&lt;13),"Athletes",AND(Table13[[#This Row],[Gender]]="male",R477&lt;17),"Fitnesss",AND(Table13[[#This Row],[Gender]]="male",R477&lt;24.9),"Acceptable",AND(Table13[[#This Row],[Gender]]="male",R477&lt;40),"Obese",AND(Table13[[#This Row],[Gender]]="others",R477&lt;20),"Athletes",AND(Table13[[#This Row],[Gender]]="others",R477&lt;24),"Fitnesss",AND(Table13[[#This Row],[Gender]]="others",R477&lt;31),"Acceptable",AND(Table13[[#This Row],[Gender]]="others",R477&lt;40),"Obese")</f>
        <v>Fitnesss</v>
      </c>
      <c r="R477" s="8">
        <v>21.2</v>
      </c>
      <c r="S477" s="8">
        <v>2.5</v>
      </c>
      <c r="T477" s="8">
        <v>5</v>
      </c>
      <c r="U477" s="8">
        <v>1</v>
      </c>
      <c r="V477" s="8" t="str">
        <f>IF(Table13[[#This Row],[BMI]]&lt;=18.5,"Underweight",IF(Table13[[#This Row],[BMI]]&lt;=24.9,"Normal",IF(Table13[[#This Row],[BMI]]&lt;=29.9,"Overweight",IF(Table13[[#This Row],[BMI]]&lt;=39,"Obese","Severly Obese"))))</f>
        <v>Underweight</v>
      </c>
      <c r="W477" s="18">
        <v>12.32</v>
      </c>
    </row>
    <row r="478" spans="6:23" x14ac:dyDescent="0.3">
      <c r="F478" s="17">
        <v>36</v>
      </c>
      <c r="G478" s="8" t="str">
        <f>IF(Table13[[#This Row],[Age]]&lt;25,"18-24",IF(Table13[[#This Row],[Age]]&lt;35,"25-34",IF(Table13[[#This Row],[Age]]&lt;45,"35-44",IF(Table13[[#This Row],[Age]]&lt;55,"45-54","55-64"))))</f>
        <v>35-44</v>
      </c>
      <c r="H478" s="8" t="s">
        <v>17</v>
      </c>
      <c r="I478" s="8">
        <v>44.9</v>
      </c>
      <c r="J478" s="8">
        <v>1.79</v>
      </c>
      <c r="K478" s="8">
        <v>166</v>
      </c>
      <c r="L478" s="8">
        <v>120</v>
      </c>
      <c r="M478" s="8">
        <v>74</v>
      </c>
      <c r="N478" s="8">
        <v>1.66</v>
      </c>
      <c r="O478" s="8">
        <v>811</v>
      </c>
      <c r="P478" s="8" t="s">
        <v>21</v>
      </c>
      <c r="Q478" s="8" t="str">
        <f>_xlfn.IFS(AND(Table13[[#This Row],[Gender]]="female",R478&lt;20),"Athletes",AND(Table13[[#This Row],[Gender]]="female",R478&lt;24),"Fitnesss",AND(Table13[[#This Row],[Gender]]="female",R478&lt;31),"Acceptable",AND(Table13[[#This Row],[Gender]]="female",R478&lt;40),"Obese",AND(Table13[[#This Row],[Gender]]="male",R478&lt;13),"Athletes",AND(Table13[[#This Row],[Gender]]="male",R478&lt;17),"Fitnesss",AND(Table13[[#This Row],[Gender]]="male",R478&lt;24.9),"Acceptable",AND(Table13[[#This Row],[Gender]]="male",R478&lt;40),"Obese",AND(Table13[[#This Row],[Gender]]="others",R478&lt;20),"Athletes",AND(Table13[[#This Row],[Gender]]="others",R478&lt;24),"Fitnesss",AND(Table13[[#This Row],[Gender]]="others",R478&lt;31),"Acceptable",AND(Table13[[#This Row],[Gender]]="others",R478&lt;40),"Obese")</f>
        <v>Athletes</v>
      </c>
      <c r="R478" s="8">
        <v>16.2</v>
      </c>
      <c r="S478" s="8">
        <v>3.3</v>
      </c>
      <c r="T478" s="8">
        <v>3</v>
      </c>
      <c r="U478" s="8">
        <v>1</v>
      </c>
      <c r="V478" s="8" t="str">
        <f>IF(Table13[[#This Row],[BMI]]&lt;=18.5,"Underweight",IF(Table13[[#This Row],[BMI]]&lt;=24.9,"Normal",IF(Table13[[#This Row],[BMI]]&lt;=29.9,"Overweight",IF(Table13[[#This Row],[BMI]]&lt;=39,"Obese","Severly Obese"))))</f>
        <v>Overweight</v>
      </c>
      <c r="W478" s="18">
        <v>29.4</v>
      </c>
    </row>
    <row r="479" spans="6:23" x14ac:dyDescent="0.3">
      <c r="F479" s="17">
        <v>33</v>
      </c>
      <c r="G479" s="8" t="str">
        <f>IF(Table13[[#This Row],[Age]]&lt;25,"18-24",IF(Table13[[#This Row],[Age]]&lt;35,"25-34",IF(Table13[[#This Row],[Age]]&lt;45,"35-44",IF(Table13[[#This Row],[Age]]&lt;55,"45-54","55-64"))))</f>
        <v>25-34</v>
      </c>
      <c r="H479" s="8" t="s">
        <v>19</v>
      </c>
      <c r="I479" s="8">
        <v>78.599999999999994</v>
      </c>
      <c r="J479" s="8">
        <v>1.7</v>
      </c>
      <c r="K479" s="8">
        <v>161</v>
      </c>
      <c r="L479" s="8">
        <v>168</v>
      </c>
      <c r="M479" s="8">
        <v>65</v>
      </c>
      <c r="N479" s="8">
        <v>2</v>
      </c>
      <c r="O479" s="8">
        <v>855</v>
      </c>
      <c r="P479" s="8" t="s">
        <v>20</v>
      </c>
      <c r="Q479" s="8" t="str">
        <f>_xlfn.IFS(AND(Table13[[#This Row],[Gender]]="female",R479&lt;20),"Athletes",AND(Table13[[#This Row],[Gender]]="female",R479&lt;24),"Fitnesss",AND(Table13[[#This Row],[Gender]]="female",R479&lt;31),"Acceptable",AND(Table13[[#This Row],[Gender]]="female",R479&lt;40),"Obese",AND(Table13[[#This Row],[Gender]]="male",R479&lt;13),"Athletes",AND(Table13[[#This Row],[Gender]]="male",R479&lt;17),"Fitnesss",AND(Table13[[#This Row],[Gender]]="male",R479&lt;24.9),"Acceptable",AND(Table13[[#This Row],[Gender]]="male",R479&lt;40),"Obese",AND(Table13[[#This Row],[Gender]]="others",R479&lt;20),"Athletes",AND(Table13[[#This Row],[Gender]]="others",R479&lt;24),"Fitnesss",AND(Table13[[#This Row],[Gender]]="others",R479&lt;31),"Acceptable",AND(Table13[[#This Row],[Gender]]="others",R479&lt;40),"Obese")</f>
        <v>Athletes</v>
      </c>
      <c r="R479" s="8">
        <v>10</v>
      </c>
      <c r="S479" s="8">
        <v>3.2</v>
      </c>
      <c r="T479" s="8">
        <v>2</v>
      </c>
      <c r="U479" s="8">
        <v>1</v>
      </c>
      <c r="V479" s="8" t="str">
        <f>IF(Table13[[#This Row],[BMI]]&lt;=18.5,"Underweight",IF(Table13[[#This Row],[BMI]]&lt;=24.9,"Normal",IF(Table13[[#This Row],[BMI]]&lt;=29.9,"Overweight",IF(Table13[[#This Row],[BMI]]&lt;=39,"Obese","Severly Obese"))))</f>
        <v>Underweight</v>
      </c>
      <c r="W479" s="18">
        <v>16.53</v>
      </c>
    </row>
    <row r="480" spans="6:23" x14ac:dyDescent="0.3">
      <c r="F480" s="17">
        <v>42</v>
      </c>
      <c r="G480" s="8" t="str">
        <f>IF(Table13[[#This Row],[Age]]&lt;25,"18-24",IF(Table13[[#This Row],[Age]]&lt;35,"25-34",IF(Table13[[#This Row],[Age]]&lt;45,"35-44",IF(Table13[[#This Row],[Age]]&lt;55,"45-54","55-64"))))</f>
        <v>35-44</v>
      </c>
      <c r="H480" s="8" t="s">
        <v>17</v>
      </c>
      <c r="I480" s="8">
        <v>54</v>
      </c>
      <c r="J480" s="8">
        <v>1.69</v>
      </c>
      <c r="K480" s="8">
        <v>179</v>
      </c>
      <c r="L480" s="8">
        <v>169</v>
      </c>
      <c r="M480" s="8">
        <v>53</v>
      </c>
      <c r="N480" s="8">
        <v>1.19</v>
      </c>
      <c r="O480" s="8">
        <v>458</v>
      </c>
      <c r="P480" s="8" t="s">
        <v>23</v>
      </c>
      <c r="Q480" s="8" t="str">
        <f>_xlfn.IFS(AND(Table13[[#This Row],[Gender]]="female",R480&lt;20),"Athletes",AND(Table13[[#This Row],[Gender]]="female",R480&lt;24),"Fitnesss",AND(Table13[[#This Row],[Gender]]="female",R480&lt;31),"Acceptable",AND(Table13[[#This Row],[Gender]]="female",R480&lt;40),"Obese",AND(Table13[[#This Row],[Gender]]="male",R480&lt;13),"Athletes",AND(Table13[[#This Row],[Gender]]="male",R480&lt;17),"Fitnesss",AND(Table13[[#This Row],[Gender]]="male",R480&lt;24.9),"Acceptable",AND(Table13[[#This Row],[Gender]]="male",R480&lt;40),"Obese",AND(Table13[[#This Row],[Gender]]="others",R480&lt;20),"Athletes",AND(Table13[[#This Row],[Gender]]="others",R480&lt;24),"Fitnesss",AND(Table13[[#This Row],[Gender]]="others",R480&lt;31),"Acceptable",AND(Table13[[#This Row],[Gender]]="others",R480&lt;40),"Obese")</f>
        <v>Acceptable</v>
      </c>
      <c r="R480" s="8">
        <v>25.7</v>
      </c>
      <c r="S480" s="8">
        <v>3.3</v>
      </c>
      <c r="T480" s="8">
        <v>3</v>
      </c>
      <c r="U480" s="8">
        <v>3</v>
      </c>
      <c r="V480" s="8" t="str">
        <f>IF(Table13[[#This Row],[BMI]]&lt;=18.5,"Underweight",IF(Table13[[#This Row],[BMI]]&lt;=24.9,"Normal",IF(Table13[[#This Row],[BMI]]&lt;=29.9,"Overweight",IF(Table13[[#This Row],[BMI]]&lt;=39,"Obese","Severly Obese"))))</f>
        <v>Underweight</v>
      </c>
      <c r="W480" s="18">
        <v>14.91</v>
      </c>
    </row>
    <row r="481" spans="6:23" x14ac:dyDescent="0.3">
      <c r="F481" s="17">
        <v>29</v>
      </c>
      <c r="G481" s="8" t="str">
        <f>IF(Table13[[#This Row],[Age]]&lt;25,"18-24",IF(Table13[[#This Row],[Age]]&lt;35,"25-34",IF(Table13[[#This Row],[Age]]&lt;45,"35-44",IF(Table13[[#This Row],[Age]]&lt;55,"45-54","55-64"))))</f>
        <v>25-34</v>
      </c>
      <c r="H481" s="8" t="s">
        <v>19</v>
      </c>
      <c r="I481" s="8">
        <v>53.8</v>
      </c>
      <c r="J481" s="8">
        <v>1.66</v>
      </c>
      <c r="K481" s="8">
        <v>163</v>
      </c>
      <c r="L481" s="8">
        <v>133</v>
      </c>
      <c r="M481" s="8">
        <v>64</v>
      </c>
      <c r="N481" s="8">
        <v>2</v>
      </c>
      <c r="O481" s="8">
        <v>1187</v>
      </c>
      <c r="P481" s="8" t="s">
        <v>18</v>
      </c>
      <c r="Q481" s="8" t="str">
        <f>_xlfn.IFS(AND(Table13[[#This Row],[Gender]]="female",R481&lt;20),"Athletes",AND(Table13[[#This Row],[Gender]]="female",R481&lt;24),"Fitnesss",AND(Table13[[#This Row],[Gender]]="female",R481&lt;31),"Acceptable",AND(Table13[[#This Row],[Gender]]="female",R481&lt;40),"Obese",AND(Table13[[#This Row],[Gender]]="male",R481&lt;13),"Athletes",AND(Table13[[#This Row],[Gender]]="male",R481&lt;17),"Fitnesss",AND(Table13[[#This Row],[Gender]]="male",R481&lt;24.9),"Acceptable",AND(Table13[[#This Row],[Gender]]="male",R481&lt;40),"Obese",AND(Table13[[#This Row],[Gender]]="others",R481&lt;20),"Athletes",AND(Table13[[#This Row],[Gender]]="others",R481&lt;24),"Fitnesss",AND(Table13[[#This Row],[Gender]]="others",R481&lt;31),"Acceptable",AND(Table13[[#This Row],[Gender]]="others",R481&lt;40),"Obese")</f>
        <v>Obese</v>
      </c>
      <c r="R481" s="8">
        <v>34.5</v>
      </c>
      <c r="S481" s="8">
        <v>1.5</v>
      </c>
      <c r="T481" s="8">
        <v>4</v>
      </c>
      <c r="U481" s="8">
        <v>1</v>
      </c>
      <c r="V481" s="8" t="str">
        <f>IF(Table13[[#This Row],[BMI]]&lt;=18.5,"Underweight",IF(Table13[[#This Row],[BMI]]&lt;=24.9,"Normal",IF(Table13[[#This Row],[BMI]]&lt;=29.9,"Overweight",IF(Table13[[#This Row],[BMI]]&lt;=39,"Obese","Severly Obese"))))</f>
        <v>Normal</v>
      </c>
      <c r="W481" s="18">
        <v>23.95</v>
      </c>
    </row>
    <row r="482" spans="6:23" x14ac:dyDescent="0.3">
      <c r="F482" s="17">
        <v>26</v>
      </c>
      <c r="G482" s="8" t="str">
        <f>IF(Table13[[#This Row],[Age]]&lt;25,"18-24",IF(Table13[[#This Row],[Age]]&lt;35,"25-34",IF(Table13[[#This Row],[Age]]&lt;45,"35-44",IF(Table13[[#This Row],[Age]]&lt;55,"45-54","55-64"))))</f>
        <v>25-34</v>
      </c>
      <c r="H482" s="8" t="s">
        <v>17</v>
      </c>
      <c r="I482" s="8">
        <v>91.7</v>
      </c>
      <c r="J482" s="8">
        <v>1.58</v>
      </c>
      <c r="K482" s="8">
        <v>167</v>
      </c>
      <c r="L482" s="8">
        <v>120</v>
      </c>
      <c r="M482" s="8">
        <v>52</v>
      </c>
      <c r="N482" s="8">
        <v>1.65</v>
      </c>
      <c r="O482" s="8">
        <v>1334</v>
      </c>
      <c r="P482" s="8" t="s">
        <v>20</v>
      </c>
      <c r="Q482" s="8" t="str">
        <f>_xlfn.IFS(AND(Table13[[#This Row],[Gender]]="female",R482&lt;20),"Athletes",AND(Table13[[#This Row],[Gender]]="female",R482&lt;24),"Fitnesss",AND(Table13[[#This Row],[Gender]]="female",R482&lt;31),"Acceptable",AND(Table13[[#This Row],[Gender]]="female",R482&lt;40),"Obese",AND(Table13[[#This Row],[Gender]]="male",R482&lt;13),"Athletes",AND(Table13[[#This Row],[Gender]]="male",R482&lt;17),"Fitnesss",AND(Table13[[#This Row],[Gender]]="male",R482&lt;24.9),"Acceptable",AND(Table13[[#This Row],[Gender]]="male",R482&lt;40),"Obese",AND(Table13[[#This Row],[Gender]]="others",R482&lt;20),"Athletes",AND(Table13[[#This Row],[Gender]]="others",R482&lt;24),"Fitnesss",AND(Table13[[#This Row],[Gender]]="others",R482&lt;31),"Acceptable",AND(Table13[[#This Row],[Gender]]="others",R482&lt;40),"Obese")</f>
        <v>Acceptable</v>
      </c>
      <c r="R482" s="8">
        <v>29.2</v>
      </c>
      <c r="S482" s="8">
        <v>2.6</v>
      </c>
      <c r="T482" s="8">
        <v>2</v>
      </c>
      <c r="U482" s="8">
        <v>2</v>
      </c>
      <c r="V482" s="8" t="str">
        <f>IF(Table13[[#This Row],[BMI]]&lt;=18.5,"Underweight",IF(Table13[[#This Row],[BMI]]&lt;=24.9,"Normal",IF(Table13[[#This Row],[BMI]]&lt;=29.9,"Overweight",IF(Table13[[#This Row],[BMI]]&lt;=39,"Obese","Severly Obese"))))</f>
        <v>Underweight</v>
      </c>
      <c r="W482" s="18"/>
    </row>
    <row r="483" spans="6:23" x14ac:dyDescent="0.3">
      <c r="F483" s="17">
        <v>44</v>
      </c>
      <c r="G483" s="8" t="str">
        <f>IF(Table13[[#This Row],[Age]]&lt;25,"18-24",IF(Table13[[#This Row],[Age]]&lt;35,"25-34",IF(Table13[[#This Row],[Age]]&lt;45,"35-44",IF(Table13[[#This Row],[Age]]&lt;55,"45-54","55-64"))))</f>
        <v>35-44</v>
      </c>
      <c r="H483" s="8" t="s">
        <v>19</v>
      </c>
      <c r="I483" s="8">
        <v>63.3</v>
      </c>
      <c r="J483" s="8">
        <v>1.88</v>
      </c>
      <c r="K483" s="8">
        <v>189</v>
      </c>
      <c r="L483" s="8">
        <v>150</v>
      </c>
      <c r="M483" s="8">
        <v>74</v>
      </c>
      <c r="N483" s="8">
        <v>1.02</v>
      </c>
      <c r="O483" s="8">
        <v>1184</v>
      </c>
      <c r="P483" s="8" t="s">
        <v>18</v>
      </c>
      <c r="Q483" s="8" t="str">
        <f>_xlfn.IFS(AND(Table13[[#This Row],[Gender]]="female",R483&lt;20),"Athletes",AND(Table13[[#This Row],[Gender]]="female",R483&lt;24),"Fitnesss",AND(Table13[[#This Row],[Gender]]="female",R483&lt;31),"Acceptable",AND(Table13[[#This Row],[Gender]]="female",R483&lt;40),"Obese",AND(Table13[[#This Row],[Gender]]="male",R483&lt;13),"Athletes",AND(Table13[[#This Row],[Gender]]="male",R483&lt;17),"Fitnesss",AND(Table13[[#This Row],[Gender]]="male",R483&lt;24.9),"Acceptable",AND(Table13[[#This Row],[Gender]]="male",R483&lt;40),"Obese",AND(Table13[[#This Row],[Gender]]="others",R483&lt;20),"Athletes",AND(Table13[[#This Row],[Gender]]="others",R483&lt;24),"Fitnesss",AND(Table13[[#This Row],[Gender]]="others",R483&lt;31),"Acceptable",AND(Table13[[#This Row],[Gender]]="others",R483&lt;40),"Obese")</f>
        <v>Fitnesss</v>
      </c>
      <c r="R483" s="8">
        <v>16.5</v>
      </c>
      <c r="S483" s="8">
        <v>3.5</v>
      </c>
      <c r="T483" s="8">
        <v>4</v>
      </c>
      <c r="U483" s="8">
        <v>1</v>
      </c>
      <c r="V483" s="8" t="str">
        <f>IF(Table13[[#This Row],[BMI]]&lt;=18.5,"Underweight",IF(Table13[[#This Row],[BMI]]&lt;=24.9,"Normal",IF(Table13[[#This Row],[BMI]]&lt;=29.9,"Overweight",IF(Table13[[#This Row],[BMI]]&lt;=39,"Obese","Severly Obese"))))</f>
        <v>Underweight</v>
      </c>
      <c r="W483" s="18">
        <v>13.03</v>
      </c>
    </row>
    <row r="484" spans="6:23" x14ac:dyDescent="0.3">
      <c r="F484" s="17">
        <v>42</v>
      </c>
      <c r="G484" s="8" t="str">
        <f>IF(Table13[[#This Row],[Age]]&lt;25,"18-24",IF(Table13[[#This Row],[Age]]&lt;35,"25-34",IF(Table13[[#This Row],[Age]]&lt;45,"35-44",IF(Table13[[#This Row],[Age]]&lt;55,"45-54","55-64"))))</f>
        <v>35-44</v>
      </c>
      <c r="H484" s="8" t="s">
        <v>17</v>
      </c>
      <c r="I484" s="8">
        <v>98.1</v>
      </c>
      <c r="J484" s="8">
        <v>1.73</v>
      </c>
      <c r="K484" s="8">
        <v>165</v>
      </c>
      <c r="L484" s="8">
        <v>120</v>
      </c>
      <c r="M484" s="8">
        <v>69</v>
      </c>
      <c r="N484" s="8">
        <v>1.52</v>
      </c>
      <c r="O484" s="8">
        <v>477</v>
      </c>
      <c r="P484" s="8" t="s">
        <v>22</v>
      </c>
      <c r="Q484" s="8" t="str">
        <f>_xlfn.IFS(AND(Table13[[#This Row],[Gender]]="female",R484&lt;20),"Athletes",AND(Table13[[#This Row],[Gender]]="female",R484&lt;24),"Fitnesss",AND(Table13[[#This Row],[Gender]]="female",R484&lt;31),"Acceptable",AND(Table13[[#This Row],[Gender]]="female",R484&lt;40),"Obese",AND(Table13[[#This Row],[Gender]]="male",R484&lt;13),"Athletes",AND(Table13[[#This Row],[Gender]]="male",R484&lt;17),"Fitnesss",AND(Table13[[#This Row],[Gender]]="male",R484&lt;24.9),"Acceptable",AND(Table13[[#This Row],[Gender]]="male",R484&lt;40),"Obese",AND(Table13[[#This Row],[Gender]]="others",R484&lt;20),"Athletes",AND(Table13[[#This Row],[Gender]]="others",R484&lt;24),"Fitnesss",AND(Table13[[#This Row],[Gender]]="others",R484&lt;31),"Acceptable",AND(Table13[[#This Row],[Gender]]="others",R484&lt;40),"Obese")</f>
        <v>Fitnesss</v>
      </c>
      <c r="R484" s="8">
        <v>21.7</v>
      </c>
      <c r="S484" s="8">
        <v>1.9</v>
      </c>
      <c r="T484" s="8">
        <v>2</v>
      </c>
      <c r="U484" s="8">
        <v>2</v>
      </c>
      <c r="V484" s="8" t="str">
        <f>IF(Table13[[#This Row],[BMI]]&lt;=18.5,"Underweight",IF(Table13[[#This Row],[BMI]]&lt;=24.9,"Normal",IF(Table13[[#This Row],[BMI]]&lt;=29.9,"Overweight",IF(Table13[[#This Row],[BMI]]&lt;=39,"Obese","Severly Obese"))))</f>
        <v>Underweight</v>
      </c>
      <c r="W484" s="18">
        <v>15.29</v>
      </c>
    </row>
    <row r="485" spans="6:23" x14ac:dyDescent="0.3">
      <c r="F485" s="17">
        <v>39</v>
      </c>
      <c r="G485" s="8" t="str">
        <f>IF(Table13[[#This Row],[Age]]&lt;25,"18-24",IF(Table13[[#This Row],[Age]]&lt;35,"25-34",IF(Table13[[#This Row],[Age]]&lt;45,"35-44",IF(Table13[[#This Row],[Age]]&lt;55,"45-54","55-64"))))</f>
        <v>35-44</v>
      </c>
      <c r="H485" s="8" t="s">
        <v>19</v>
      </c>
      <c r="I485" s="8">
        <v>129.9</v>
      </c>
      <c r="J485" s="8">
        <v>1.81</v>
      </c>
      <c r="K485" s="8">
        <v>190</v>
      </c>
      <c r="L485" s="8">
        <v>140</v>
      </c>
      <c r="M485" s="8">
        <v>74</v>
      </c>
      <c r="N485" s="8">
        <v>1.89</v>
      </c>
      <c r="O485" s="8"/>
      <c r="P485" s="8" t="s">
        <v>21</v>
      </c>
      <c r="Q485" s="8" t="str">
        <f>_xlfn.IFS(AND(Table13[[#This Row],[Gender]]="female",R485&lt;20),"Athletes",AND(Table13[[#This Row],[Gender]]="female",R485&lt;24),"Fitnesss",AND(Table13[[#This Row],[Gender]]="female",R485&lt;31),"Acceptable",AND(Table13[[#This Row],[Gender]]="female",R485&lt;40),"Obese",AND(Table13[[#This Row],[Gender]]="male",R485&lt;13),"Athletes",AND(Table13[[#This Row],[Gender]]="male",R485&lt;17),"Fitnesss",AND(Table13[[#This Row],[Gender]]="male",R485&lt;24.9),"Acceptable",AND(Table13[[#This Row],[Gender]]="male",R485&lt;40),"Obese",AND(Table13[[#This Row],[Gender]]="others",R485&lt;20),"Athletes",AND(Table13[[#This Row],[Gender]]="others",R485&lt;24),"Fitnesss",AND(Table13[[#This Row],[Gender]]="others",R485&lt;31),"Acceptable",AND(Table13[[#This Row],[Gender]]="others",R485&lt;40),"Obese")</f>
        <v>Fitnesss</v>
      </c>
      <c r="R485" s="8">
        <v>14.9</v>
      </c>
      <c r="S485" s="8">
        <v>2.5</v>
      </c>
      <c r="T485" s="8">
        <v>2</v>
      </c>
      <c r="U485" s="8">
        <v>3</v>
      </c>
      <c r="V485" s="8" t="str">
        <f>IF(Table13[[#This Row],[BMI]]&lt;=18.5,"Underweight",IF(Table13[[#This Row],[BMI]]&lt;=24.9,"Normal",IF(Table13[[#This Row],[BMI]]&lt;=29.9,"Overweight",IF(Table13[[#This Row],[BMI]]&lt;=39,"Obese","Severly Obese"))))</f>
        <v>Overweight</v>
      </c>
      <c r="W485" s="18">
        <v>26.54</v>
      </c>
    </row>
    <row r="486" spans="6:23" x14ac:dyDescent="0.3">
      <c r="F486" s="17">
        <v>56</v>
      </c>
      <c r="G486" s="8" t="str">
        <f>IF(Table13[[#This Row],[Age]]&lt;25,"18-24",IF(Table13[[#This Row],[Age]]&lt;35,"25-34",IF(Table13[[#This Row],[Age]]&lt;45,"35-44",IF(Table13[[#This Row],[Age]]&lt;55,"45-54","55-64"))))</f>
        <v>55-64</v>
      </c>
      <c r="H486" s="8" t="s">
        <v>23</v>
      </c>
      <c r="I486" s="8">
        <v>40</v>
      </c>
      <c r="J486" s="8">
        <v>1.85</v>
      </c>
      <c r="K486" s="8">
        <v>194</v>
      </c>
      <c r="L486" s="8">
        <v>158</v>
      </c>
      <c r="M486" s="8">
        <v>67</v>
      </c>
      <c r="N486" s="8">
        <v>1.43</v>
      </c>
      <c r="O486" s="8">
        <v>1633</v>
      </c>
      <c r="P486" s="8" t="s">
        <v>22</v>
      </c>
      <c r="Q486" s="8" t="str">
        <f>_xlfn.IFS(AND(Table13[[#This Row],[Gender]]="female",R486&lt;20),"Athletes",AND(Table13[[#This Row],[Gender]]="female",R486&lt;24),"Fitnesss",AND(Table13[[#This Row],[Gender]]="female",R486&lt;31),"Acceptable",AND(Table13[[#This Row],[Gender]]="female",R486&lt;40),"Obese",AND(Table13[[#This Row],[Gender]]="male",R486&lt;13),"Athletes",AND(Table13[[#This Row],[Gender]]="male",R486&lt;17),"Fitnesss",AND(Table13[[#This Row],[Gender]]="male",R486&lt;24.9),"Acceptable",AND(Table13[[#This Row],[Gender]]="male",R486&lt;40),"Obese",AND(Table13[[#This Row],[Gender]]="others",R486&lt;20),"Athletes",AND(Table13[[#This Row],[Gender]]="others",R486&lt;24),"Fitnesss",AND(Table13[[#This Row],[Gender]]="others",R486&lt;31),"Acceptable",AND(Table13[[#This Row],[Gender]]="others",R486&lt;40),"Obese")</f>
        <v>Acceptable</v>
      </c>
      <c r="R486" s="8">
        <v>30.6</v>
      </c>
      <c r="S486" s="8">
        <v>1.9</v>
      </c>
      <c r="T486" s="8">
        <v>4</v>
      </c>
      <c r="U486" s="8">
        <v>1</v>
      </c>
      <c r="V486" s="8" t="str">
        <f>IF(Table13[[#This Row],[BMI]]&lt;=18.5,"Underweight",IF(Table13[[#This Row],[BMI]]&lt;=24.9,"Normal",IF(Table13[[#This Row],[BMI]]&lt;=29.9,"Overweight",IF(Table13[[#This Row],[BMI]]&lt;=39,"Obese","Severly Obese"))))</f>
        <v>Normal</v>
      </c>
      <c r="W486" s="18">
        <v>21.57</v>
      </c>
    </row>
    <row r="487" spans="6:23" x14ac:dyDescent="0.3">
      <c r="F487" s="17">
        <v>32</v>
      </c>
      <c r="G487" s="8" t="str">
        <f>IF(Table13[[#This Row],[Age]]&lt;25,"18-24",IF(Table13[[#This Row],[Age]]&lt;35,"25-34",IF(Table13[[#This Row],[Age]]&lt;45,"35-44",IF(Table13[[#This Row],[Age]]&lt;55,"45-54","55-64"))))</f>
        <v>25-34</v>
      </c>
      <c r="H487" s="8" t="s">
        <v>19</v>
      </c>
      <c r="I487" s="8">
        <v>87.2</v>
      </c>
      <c r="J487" s="8">
        <v>1.5</v>
      </c>
      <c r="K487" s="8">
        <v>193</v>
      </c>
      <c r="L487" s="8">
        <v>152</v>
      </c>
      <c r="M487" s="8">
        <v>58</v>
      </c>
      <c r="N487" s="8">
        <v>1.28</v>
      </c>
      <c r="O487" s="8">
        <v>1538</v>
      </c>
      <c r="P487" s="8" t="s">
        <v>20</v>
      </c>
      <c r="Q487" s="8" t="str">
        <f>_xlfn.IFS(AND(Table13[[#This Row],[Gender]]="female",R487&lt;20),"Athletes",AND(Table13[[#This Row],[Gender]]="female",R487&lt;24),"Fitnesss",AND(Table13[[#This Row],[Gender]]="female",R487&lt;31),"Acceptable",AND(Table13[[#This Row],[Gender]]="female",R487&lt;40),"Obese",AND(Table13[[#This Row],[Gender]]="male",R487&lt;13),"Athletes",AND(Table13[[#This Row],[Gender]]="male",R487&lt;17),"Fitnesss",AND(Table13[[#This Row],[Gender]]="male",R487&lt;24.9),"Acceptable",AND(Table13[[#This Row],[Gender]]="male",R487&lt;40),"Obese",AND(Table13[[#This Row],[Gender]]="others",R487&lt;20),"Athletes",AND(Table13[[#This Row],[Gender]]="others",R487&lt;24),"Fitnesss",AND(Table13[[#This Row],[Gender]]="others",R487&lt;31),"Acceptable",AND(Table13[[#This Row],[Gender]]="others",R487&lt;40),"Obese")</f>
        <v>Acceptable</v>
      </c>
      <c r="R487" s="8">
        <v>23.2</v>
      </c>
      <c r="S487" s="8">
        <v>2.1</v>
      </c>
      <c r="T487" s="8">
        <v>3</v>
      </c>
      <c r="U487" s="8">
        <v>3</v>
      </c>
      <c r="V487" s="8" t="str">
        <f>IF(Table13[[#This Row],[BMI]]&lt;=18.5,"Underweight",IF(Table13[[#This Row],[BMI]]&lt;=24.9,"Normal",IF(Table13[[#This Row],[BMI]]&lt;=29.9,"Overweight",IF(Table13[[#This Row],[BMI]]&lt;=39,"Obese","Severly Obese"))))</f>
        <v>Underweight</v>
      </c>
      <c r="W487" s="18">
        <v>16.29</v>
      </c>
    </row>
    <row r="488" spans="6:23" x14ac:dyDescent="0.3">
      <c r="F488" s="17">
        <v>31</v>
      </c>
      <c r="G488" s="8" t="str">
        <f>IF(Table13[[#This Row],[Age]]&lt;25,"18-24",IF(Table13[[#This Row],[Age]]&lt;35,"25-34",IF(Table13[[#This Row],[Age]]&lt;45,"35-44",IF(Table13[[#This Row],[Age]]&lt;55,"45-54","55-64"))))</f>
        <v>25-34</v>
      </c>
      <c r="H488" s="8" t="s">
        <v>19</v>
      </c>
      <c r="I488" s="8">
        <v>64.8</v>
      </c>
      <c r="J488" s="8">
        <v>1.71</v>
      </c>
      <c r="K488" s="8">
        <v>174</v>
      </c>
      <c r="L488" s="8">
        <v>164</v>
      </c>
      <c r="M488" s="8">
        <v>57</v>
      </c>
      <c r="N488" s="8">
        <v>1.64</v>
      </c>
      <c r="O488" s="8">
        <v>857</v>
      </c>
      <c r="P488" s="8" t="s">
        <v>21</v>
      </c>
      <c r="Q488" s="8" t="str">
        <f>_xlfn.IFS(AND(Table13[[#This Row],[Gender]]="female",R488&lt;20),"Athletes",AND(Table13[[#This Row],[Gender]]="female",R488&lt;24),"Fitnesss",AND(Table13[[#This Row],[Gender]]="female",R488&lt;31),"Acceptable",AND(Table13[[#This Row],[Gender]]="female",R488&lt;40),"Obese",AND(Table13[[#This Row],[Gender]]="male",R488&lt;13),"Athletes",AND(Table13[[#This Row],[Gender]]="male",R488&lt;17),"Fitnesss",AND(Table13[[#This Row],[Gender]]="male",R488&lt;24.9),"Acceptable",AND(Table13[[#This Row],[Gender]]="male",R488&lt;40),"Obese",AND(Table13[[#This Row],[Gender]]="others",R488&lt;20),"Athletes",AND(Table13[[#This Row],[Gender]]="others",R488&lt;24),"Fitnesss",AND(Table13[[#This Row],[Gender]]="others",R488&lt;31),"Acceptable",AND(Table13[[#This Row],[Gender]]="others",R488&lt;40),"Obese")</f>
        <v>Obese</v>
      </c>
      <c r="R488" s="8">
        <v>26.2</v>
      </c>
      <c r="S488" s="8">
        <v>2.7</v>
      </c>
      <c r="T488" s="8">
        <v>4</v>
      </c>
      <c r="U488" s="8"/>
      <c r="V488" s="8" t="str">
        <f>IF(Table13[[#This Row],[BMI]]&lt;=18.5,"Underweight",IF(Table13[[#This Row],[BMI]]&lt;=24.9,"Normal",IF(Table13[[#This Row],[BMI]]&lt;=29.9,"Overweight",IF(Table13[[#This Row],[BMI]]&lt;=39,"Obese","Severly Obese"))))</f>
        <v>Normal</v>
      </c>
      <c r="W488" s="18">
        <v>23.64</v>
      </c>
    </row>
    <row r="489" spans="6:23" x14ac:dyDescent="0.3">
      <c r="F489" s="17">
        <v>48</v>
      </c>
      <c r="G489" s="8" t="str">
        <f>IF(Table13[[#This Row],[Age]]&lt;25,"18-24",IF(Table13[[#This Row],[Age]]&lt;35,"25-34",IF(Table13[[#This Row],[Age]]&lt;45,"35-44",IF(Table13[[#This Row],[Age]]&lt;55,"45-54","55-64"))))</f>
        <v>45-54</v>
      </c>
      <c r="H489" s="8" t="s">
        <v>19</v>
      </c>
      <c r="I489" s="8">
        <v>51.6</v>
      </c>
      <c r="J489" s="8">
        <v>1.8</v>
      </c>
      <c r="K489" s="8">
        <v>181</v>
      </c>
      <c r="L489" s="8">
        <v>161</v>
      </c>
      <c r="M489" s="8">
        <v>68</v>
      </c>
      <c r="N489" s="8">
        <v>0.82</v>
      </c>
      <c r="O489" s="8">
        <v>1487</v>
      </c>
      <c r="P489" s="8" t="s">
        <v>20</v>
      </c>
      <c r="Q489" s="8" t="str">
        <f>_xlfn.IFS(AND(Table13[[#This Row],[Gender]]="female",R489&lt;20),"Athletes",AND(Table13[[#This Row],[Gender]]="female",R489&lt;24),"Fitnesss",AND(Table13[[#This Row],[Gender]]="female",R489&lt;31),"Acceptable",AND(Table13[[#This Row],[Gender]]="female",R489&lt;40),"Obese",AND(Table13[[#This Row],[Gender]]="male",R489&lt;13),"Athletes",AND(Table13[[#This Row],[Gender]]="male",R489&lt;17),"Fitnesss",AND(Table13[[#This Row],[Gender]]="male",R489&lt;24.9),"Acceptable",AND(Table13[[#This Row],[Gender]]="male",R489&lt;40),"Obese",AND(Table13[[#This Row],[Gender]]="others",R489&lt;20),"Athletes",AND(Table13[[#This Row],[Gender]]="others",R489&lt;24),"Fitnesss",AND(Table13[[#This Row],[Gender]]="others",R489&lt;31),"Acceptable",AND(Table13[[#This Row],[Gender]]="others",R489&lt;40),"Obese")</f>
        <v>Acceptable</v>
      </c>
      <c r="R489" s="8">
        <v>22.5</v>
      </c>
      <c r="S489" s="8">
        <v>1.9</v>
      </c>
      <c r="T489" s="8">
        <v>4</v>
      </c>
      <c r="U489" s="8">
        <v>2</v>
      </c>
      <c r="V489" s="8" t="str">
        <f>IF(Table13[[#This Row],[BMI]]&lt;=18.5,"Underweight",IF(Table13[[#This Row],[BMI]]&lt;=24.9,"Normal",IF(Table13[[#This Row],[BMI]]&lt;=29.9,"Overweight",IF(Table13[[#This Row],[BMI]]&lt;=39,"Obese","Severly Obese"))))</f>
        <v>Underweight</v>
      </c>
      <c r="W489" s="18">
        <v>13.29</v>
      </c>
    </row>
    <row r="490" spans="6:23" x14ac:dyDescent="0.3">
      <c r="F490" s="17">
        <v>21</v>
      </c>
      <c r="G490" s="8" t="str">
        <f>IF(Table13[[#This Row],[Age]]&lt;25,"18-24",IF(Table13[[#This Row],[Age]]&lt;35,"25-34",IF(Table13[[#This Row],[Age]]&lt;45,"35-44",IF(Table13[[#This Row],[Age]]&lt;55,"45-54","55-64"))))</f>
        <v>18-24</v>
      </c>
      <c r="H490" s="8" t="s">
        <v>19</v>
      </c>
      <c r="I490" s="8">
        <v>69.400000000000006</v>
      </c>
      <c r="J490" s="8">
        <v>1.85</v>
      </c>
      <c r="K490" s="8">
        <v>177</v>
      </c>
      <c r="L490" s="8">
        <v>153</v>
      </c>
      <c r="M490" s="8">
        <v>74</v>
      </c>
      <c r="N490" s="8">
        <v>1.55</v>
      </c>
      <c r="O490" s="8">
        <v>879</v>
      </c>
      <c r="P490" s="8" t="s">
        <v>18</v>
      </c>
      <c r="Q490" s="8" t="str">
        <f>_xlfn.IFS(AND(Table13[[#This Row],[Gender]]="female",R490&lt;20),"Athletes",AND(Table13[[#This Row],[Gender]]="female",R490&lt;24),"Fitnesss",AND(Table13[[#This Row],[Gender]]="female",R490&lt;31),"Acceptable",AND(Table13[[#This Row],[Gender]]="female",R490&lt;40),"Obese",AND(Table13[[#This Row],[Gender]]="male",R490&lt;13),"Athletes",AND(Table13[[#This Row],[Gender]]="male",R490&lt;17),"Fitnesss",AND(Table13[[#This Row],[Gender]]="male",R490&lt;24.9),"Acceptable",AND(Table13[[#This Row],[Gender]]="male",R490&lt;40),"Obese",AND(Table13[[#This Row],[Gender]]="others",R490&lt;20),"Athletes",AND(Table13[[#This Row],[Gender]]="others",R490&lt;24),"Fitnesss",AND(Table13[[#This Row],[Gender]]="others",R490&lt;31),"Acceptable",AND(Table13[[#This Row],[Gender]]="others",R490&lt;40),"Obese")</f>
        <v>Athletes</v>
      </c>
      <c r="R490" s="8">
        <v>10</v>
      </c>
      <c r="S490" s="8">
        <v>2.4</v>
      </c>
      <c r="T490" s="8">
        <v>3</v>
      </c>
      <c r="U490" s="8">
        <v>2</v>
      </c>
      <c r="V490" s="8" t="str">
        <f>IF(Table13[[#This Row],[BMI]]&lt;=18.5,"Underweight",IF(Table13[[#This Row],[BMI]]&lt;=24.9,"Normal",IF(Table13[[#This Row],[BMI]]&lt;=29.9,"Overweight",IF(Table13[[#This Row],[BMI]]&lt;=39,"Obese","Severly Obese"))))</f>
        <v>Underweight</v>
      </c>
      <c r="W490" s="18">
        <v>17.579999999999998</v>
      </c>
    </row>
    <row r="491" spans="6:23" x14ac:dyDescent="0.3">
      <c r="F491" s="17">
        <v>38</v>
      </c>
      <c r="G491" s="8" t="str">
        <f>IF(Table13[[#This Row],[Age]]&lt;25,"18-24",IF(Table13[[#This Row],[Age]]&lt;35,"25-34",IF(Table13[[#This Row],[Age]]&lt;45,"35-44",IF(Table13[[#This Row],[Age]]&lt;55,"45-54","55-64"))))</f>
        <v>35-44</v>
      </c>
      <c r="H491" s="8" t="s">
        <v>17</v>
      </c>
      <c r="I491" s="8">
        <v>77.400000000000006</v>
      </c>
      <c r="J491" s="8">
        <v>1.54</v>
      </c>
      <c r="K491" s="8">
        <v>169</v>
      </c>
      <c r="L491" s="8">
        <v>149</v>
      </c>
      <c r="M491" s="8">
        <v>50</v>
      </c>
      <c r="N491" s="8">
        <v>2</v>
      </c>
      <c r="O491" s="8">
        <v>867</v>
      </c>
      <c r="P491" s="8" t="s">
        <v>18</v>
      </c>
      <c r="Q491" s="8" t="str">
        <f>_xlfn.IFS(AND(Table13[[#This Row],[Gender]]="female",R491&lt;20),"Athletes",AND(Table13[[#This Row],[Gender]]="female",R491&lt;24),"Fitnesss",AND(Table13[[#This Row],[Gender]]="female",R491&lt;31),"Acceptable",AND(Table13[[#This Row],[Gender]]="female",R491&lt;40),"Obese",AND(Table13[[#This Row],[Gender]]="male",R491&lt;13),"Athletes",AND(Table13[[#This Row],[Gender]]="male",R491&lt;17),"Fitnesss",AND(Table13[[#This Row],[Gender]]="male",R491&lt;24.9),"Acceptable",AND(Table13[[#This Row],[Gender]]="male",R491&lt;40),"Obese",AND(Table13[[#This Row],[Gender]]="others",R491&lt;20),"Athletes",AND(Table13[[#This Row],[Gender]]="others",R491&lt;24),"Fitnesss",AND(Table13[[#This Row],[Gender]]="others",R491&lt;31),"Acceptable",AND(Table13[[#This Row],[Gender]]="others",R491&lt;40),"Obese")</f>
        <v>Acceptable</v>
      </c>
      <c r="R491" s="8">
        <v>29</v>
      </c>
      <c r="S491" s="8">
        <v>3.6</v>
      </c>
      <c r="T491" s="8">
        <v>5</v>
      </c>
      <c r="U491" s="8">
        <v>2</v>
      </c>
      <c r="V491" s="8" t="str">
        <f>IF(Table13[[#This Row],[BMI]]&lt;=18.5,"Underweight",IF(Table13[[#This Row],[BMI]]&lt;=24.9,"Normal",IF(Table13[[#This Row],[BMI]]&lt;=29.9,"Overweight",IF(Table13[[#This Row],[BMI]]&lt;=39,"Obese","Severly Obese"))))</f>
        <v>Underweight</v>
      </c>
      <c r="W491" s="18">
        <v>13.58</v>
      </c>
    </row>
    <row r="492" spans="6:23" x14ac:dyDescent="0.3">
      <c r="F492" s="17">
        <v>58</v>
      </c>
      <c r="G492" s="8" t="str">
        <f>IF(Table13[[#This Row],[Age]]&lt;25,"18-24",IF(Table13[[#This Row],[Age]]&lt;35,"25-34",IF(Table13[[#This Row],[Age]]&lt;45,"35-44",IF(Table13[[#This Row],[Age]]&lt;55,"45-54","55-64"))))</f>
        <v>55-64</v>
      </c>
      <c r="H492" s="8" t="s">
        <v>17</v>
      </c>
      <c r="I492" s="8">
        <v>76.3</v>
      </c>
      <c r="J492" s="8">
        <v>1.56</v>
      </c>
      <c r="K492" s="8">
        <v>190</v>
      </c>
      <c r="L492" s="8">
        <v>145</v>
      </c>
      <c r="M492" s="8">
        <v>72</v>
      </c>
      <c r="N492" s="8">
        <v>2</v>
      </c>
      <c r="O492" s="8">
        <v>913</v>
      </c>
      <c r="P492" s="8" t="s">
        <v>18</v>
      </c>
      <c r="Q492" s="8" t="str">
        <f>_xlfn.IFS(AND(Table13[[#This Row],[Gender]]="female",R492&lt;20),"Athletes",AND(Table13[[#This Row],[Gender]]="female",R492&lt;24),"Fitnesss",AND(Table13[[#This Row],[Gender]]="female",R492&lt;31),"Acceptable",AND(Table13[[#This Row],[Gender]]="female",R492&lt;40),"Obese",AND(Table13[[#This Row],[Gender]]="male",R492&lt;13),"Athletes",AND(Table13[[#This Row],[Gender]]="male",R492&lt;17),"Fitnesss",AND(Table13[[#This Row],[Gender]]="male",R492&lt;24.9),"Acceptable",AND(Table13[[#This Row],[Gender]]="male",R492&lt;40),"Obese",AND(Table13[[#This Row],[Gender]]="others",R492&lt;20),"Athletes",AND(Table13[[#This Row],[Gender]]="others",R492&lt;24),"Fitnesss",AND(Table13[[#This Row],[Gender]]="others",R492&lt;31),"Acceptable",AND(Table13[[#This Row],[Gender]]="others",R492&lt;40),"Obese")</f>
        <v>Athletes</v>
      </c>
      <c r="R492" s="8"/>
      <c r="S492" s="8">
        <v>3.3</v>
      </c>
      <c r="T492" s="8">
        <v>3</v>
      </c>
      <c r="U492" s="8">
        <v>3</v>
      </c>
      <c r="V492" s="8" t="str">
        <f>IF(Table13[[#This Row],[BMI]]&lt;=18.5,"Underweight",IF(Table13[[#This Row],[BMI]]&lt;=24.9,"Normal",IF(Table13[[#This Row],[BMI]]&lt;=29.9,"Overweight",IF(Table13[[#This Row],[BMI]]&lt;=39,"Obese","Severly Obese"))))</f>
        <v>Underweight</v>
      </c>
      <c r="W492" s="18">
        <v>16.670000000000002</v>
      </c>
    </row>
    <row r="493" spans="6:23" x14ac:dyDescent="0.3">
      <c r="F493" s="17">
        <v>42</v>
      </c>
      <c r="G493" s="8" t="str">
        <f>IF(Table13[[#This Row],[Age]]&lt;25,"18-24",IF(Table13[[#This Row],[Age]]&lt;35,"25-34",IF(Table13[[#This Row],[Age]]&lt;45,"35-44",IF(Table13[[#This Row],[Age]]&lt;55,"45-54","55-64"))))</f>
        <v>35-44</v>
      </c>
      <c r="H493" s="8" t="s">
        <v>17</v>
      </c>
      <c r="I493" s="8">
        <v>82.3</v>
      </c>
      <c r="J493" s="8">
        <v>1.94</v>
      </c>
      <c r="K493" s="8">
        <v>198</v>
      </c>
      <c r="L493" s="8">
        <v>132</v>
      </c>
      <c r="M493" s="8">
        <v>57</v>
      </c>
      <c r="N493" s="8">
        <v>1.46</v>
      </c>
      <c r="O493" s="8">
        <v>1050</v>
      </c>
      <c r="P493" s="8" t="s">
        <v>22</v>
      </c>
      <c r="Q493" s="8" t="str">
        <f>_xlfn.IFS(AND(Table13[[#This Row],[Gender]]="female",R493&lt;20),"Athletes",AND(Table13[[#This Row],[Gender]]="female",R493&lt;24),"Fitnesss",AND(Table13[[#This Row],[Gender]]="female",R493&lt;31),"Acceptable",AND(Table13[[#This Row],[Gender]]="female",R493&lt;40),"Obese",AND(Table13[[#This Row],[Gender]]="male",R493&lt;13),"Athletes",AND(Table13[[#This Row],[Gender]]="male",R493&lt;17),"Fitnesss",AND(Table13[[#This Row],[Gender]]="male",R493&lt;24.9),"Acceptable",AND(Table13[[#This Row],[Gender]]="male",R493&lt;40),"Obese",AND(Table13[[#This Row],[Gender]]="others",R493&lt;20),"Athletes",AND(Table13[[#This Row],[Gender]]="others",R493&lt;24),"Fitnesss",AND(Table13[[#This Row],[Gender]]="others",R493&lt;31),"Acceptable",AND(Table13[[#This Row],[Gender]]="others",R493&lt;40),"Obese")</f>
        <v>Athletes</v>
      </c>
      <c r="R493" s="8">
        <v>10</v>
      </c>
      <c r="S493" s="8">
        <v>3.2</v>
      </c>
      <c r="T493" s="8">
        <v>3</v>
      </c>
      <c r="U493" s="8">
        <v>2</v>
      </c>
      <c r="V493" s="8" t="str">
        <f>IF(Table13[[#This Row],[BMI]]&lt;=18.5,"Underweight",IF(Table13[[#This Row],[BMI]]&lt;=24.9,"Normal",IF(Table13[[#This Row],[BMI]]&lt;=29.9,"Overweight",IF(Table13[[#This Row],[BMI]]&lt;=39,"Obese","Severly Obese"))))</f>
        <v>Normal</v>
      </c>
      <c r="W493" s="18">
        <v>20.23</v>
      </c>
    </row>
    <row r="494" spans="6:23" x14ac:dyDescent="0.3">
      <c r="F494" s="17">
        <v>40</v>
      </c>
      <c r="G494" s="8" t="str">
        <f>IF(Table13[[#This Row],[Age]]&lt;25,"18-24",IF(Table13[[#This Row],[Age]]&lt;35,"25-34",IF(Table13[[#This Row],[Age]]&lt;45,"35-44",IF(Table13[[#This Row],[Age]]&lt;55,"45-54","55-64"))))</f>
        <v>35-44</v>
      </c>
      <c r="H494" s="8" t="s">
        <v>17</v>
      </c>
      <c r="I494" s="8">
        <v>95.5</v>
      </c>
      <c r="J494" s="8">
        <v>1.84</v>
      </c>
      <c r="K494" s="8">
        <v>196</v>
      </c>
      <c r="L494" s="8">
        <v>144</v>
      </c>
      <c r="M494" s="8">
        <v>68</v>
      </c>
      <c r="N494" s="8">
        <v>1.94</v>
      </c>
      <c r="O494" s="8">
        <v>1568</v>
      </c>
      <c r="P494" s="8" t="s">
        <v>22</v>
      </c>
      <c r="Q494" s="8" t="str">
        <f>_xlfn.IFS(AND(Table13[[#This Row],[Gender]]="female",R494&lt;20),"Athletes",AND(Table13[[#This Row],[Gender]]="female",R494&lt;24),"Fitnesss",AND(Table13[[#This Row],[Gender]]="female",R494&lt;31),"Acceptable",AND(Table13[[#This Row],[Gender]]="female",R494&lt;40),"Obese",AND(Table13[[#This Row],[Gender]]="male",R494&lt;13),"Athletes",AND(Table13[[#This Row],[Gender]]="male",R494&lt;17),"Fitnesss",AND(Table13[[#This Row],[Gender]]="male",R494&lt;24.9),"Acceptable",AND(Table13[[#This Row],[Gender]]="male",R494&lt;40),"Obese",AND(Table13[[#This Row],[Gender]]="others",R494&lt;20),"Athletes",AND(Table13[[#This Row],[Gender]]="others",R494&lt;24),"Fitnesss",AND(Table13[[#This Row],[Gender]]="others",R494&lt;31),"Acceptable",AND(Table13[[#This Row],[Gender]]="others",R494&lt;40),"Obese")</f>
        <v>Acceptable</v>
      </c>
      <c r="R494" s="8">
        <v>26.7</v>
      </c>
      <c r="S494" s="8">
        <v>3.7</v>
      </c>
      <c r="T494" s="8">
        <v>3</v>
      </c>
      <c r="U494" s="8">
        <v>1</v>
      </c>
      <c r="V494" s="8" t="str">
        <f>IF(Table13[[#This Row],[BMI]]&lt;=18.5,"Underweight",IF(Table13[[#This Row],[BMI]]&lt;=24.9,"Normal",IF(Table13[[#This Row],[BMI]]&lt;=29.9,"Overweight",IF(Table13[[#This Row],[BMI]]&lt;=39,"Obese","Severly Obese"))))</f>
        <v>Underweight</v>
      </c>
      <c r="W494" s="18">
        <v>17.55</v>
      </c>
    </row>
    <row r="495" spans="6:23" x14ac:dyDescent="0.3">
      <c r="F495" s="17">
        <v>19</v>
      </c>
      <c r="G495" s="8" t="str">
        <f>IF(Table13[[#This Row],[Age]]&lt;25,"18-24",IF(Table13[[#This Row],[Age]]&lt;35,"25-34",IF(Table13[[#This Row],[Age]]&lt;45,"35-44",IF(Table13[[#This Row],[Age]]&lt;55,"45-54","55-64"))))</f>
        <v>18-24</v>
      </c>
      <c r="H495" s="8" t="s">
        <v>19</v>
      </c>
      <c r="I495" s="8">
        <v>60.7</v>
      </c>
      <c r="J495" s="8">
        <v>1.7</v>
      </c>
      <c r="K495" s="8">
        <v>183</v>
      </c>
      <c r="L495" s="8">
        <v>128</v>
      </c>
      <c r="M495" s="8">
        <v>74</v>
      </c>
      <c r="N495" s="8">
        <v>1.22</v>
      </c>
      <c r="O495" s="8">
        <v>817</v>
      </c>
      <c r="P495" s="8" t="s">
        <v>18</v>
      </c>
      <c r="Q495" s="8" t="str">
        <f>_xlfn.IFS(AND(Table13[[#This Row],[Gender]]="female",R495&lt;20),"Athletes",AND(Table13[[#This Row],[Gender]]="female",R495&lt;24),"Fitnesss",AND(Table13[[#This Row],[Gender]]="female",R495&lt;31),"Acceptable",AND(Table13[[#This Row],[Gender]]="female",R495&lt;40),"Obese",AND(Table13[[#This Row],[Gender]]="male",R495&lt;13),"Athletes",AND(Table13[[#This Row],[Gender]]="male",R495&lt;17),"Fitnesss",AND(Table13[[#This Row],[Gender]]="male",R495&lt;24.9),"Acceptable",AND(Table13[[#This Row],[Gender]]="male",R495&lt;40),"Obese",AND(Table13[[#This Row],[Gender]]="others",R495&lt;20),"Athletes",AND(Table13[[#This Row],[Gender]]="others",R495&lt;24),"Fitnesss",AND(Table13[[#This Row],[Gender]]="others",R495&lt;31),"Acceptable",AND(Table13[[#This Row],[Gender]]="others",R495&lt;40),"Obese")</f>
        <v>Acceptable</v>
      </c>
      <c r="R495" s="8">
        <v>20.9</v>
      </c>
      <c r="S495" s="8">
        <v>2.8</v>
      </c>
      <c r="T495" s="8">
        <v>4</v>
      </c>
      <c r="U495" s="8">
        <v>1</v>
      </c>
      <c r="V495" s="8" t="str">
        <f>IF(Table13[[#This Row],[BMI]]&lt;=18.5,"Underweight",IF(Table13[[#This Row],[BMI]]&lt;=24.9,"Normal",IF(Table13[[#This Row],[BMI]]&lt;=29.9,"Overweight",IF(Table13[[#This Row],[BMI]]&lt;=39,"Obese","Severly Obese"))))</f>
        <v>Obese</v>
      </c>
      <c r="W495" s="18">
        <v>35.869999999999997</v>
      </c>
    </row>
    <row r="496" spans="6:23" x14ac:dyDescent="0.3">
      <c r="F496" s="17">
        <v>34</v>
      </c>
      <c r="G496" s="8" t="str">
        <f>IF(Table13[[#This Row],[Age]]&lt;25,"18-24",IF(Table13[[#This Row],[Age]]&lt;35,"25-34",IF(Table13[[#This Row],[Age]]&lt;45,"35-44",IF(Table13[[#This Row],[Age]]&lt;55,"45-54","55-64"))))</f>
        <v>25-34</v>
      </c>
      <c r="H496" s="8" t="s">
        <v>19</v>
      </c>
      <c r="I496" s="8">
        <v>40</v>
      </c>
      <c r="J496" s="8">
        <v>1.88</v>
      </c>
      <c r="K496" s="8">
        <v>188</v>
      </c>
      <c r="L496" s="8">
        <v>131</v>
      </c>
      <c r="M496" s="8">
        <v>54</v>
      </c>
      <c r="N496" s="8">
        <v>1.29</v>
      </c>
      <c r="O496" s="8">
        <v>840</v>
      </c>
      <c r="P496" s="8" t="s">
        <v>20</v>
      </c>
      <c r="Q496" s="8" t="str">
        <f>_xlfn.IFS(AND(Table13[[#This Row],[Gender]]="female",R496&lt;20),"Athletes",AND(Table13[[#This Row],[Gender]]="female",R496&lt;24),"Fitnesss",AND(Table13[[#This Row],[Gender]]="female",R496&lt;31),"Acceptable",AND(Table13[[#This Row],[Gender]]="female",R496&lt;40),"Obese",AND(Table13[[#This Row],[Gender]]="male",R496&lt;13),"Athletes",AND(Table13[[#This Row],[Gender]]="male",R496&lt;17),"Fitnesss",AND(Table13[[#This Row],[Gender]]="male",R496&lt;24.9),"Acceptable",AND(Table13[[#This Row],[Gender]]="male",R496&lt;40),"Obese",AND(Table13[[#This Row],[Gender]]="others",R496&lt;20),"Athletes",AND(Table13[[#This Row],[Gender]]="others",R496&lt;24),"Fitnesss",AND(Table13[[#This Row],[Gender]]="others",R496&lt;31),"Acceptable",AND(Table13[[#This Row],[Gender]]="others",R496&lt;40),"Obese")</f>
        <v>Athletes</v>
      </c>
      <c r="R496" s="8">
        <v>11.9</v>
      </c>
      <c r="S496" s="8">
        <v>1.9</v>
      </c>
      <c r="T496" s="8">
        <v>3</v>
      </c>
      <c r="U496" s="8">
        <v>3</v>
      </c>
      <c r="V496" s="8" t="str">
        <f>IF(Table13[[#This Row],[BMI]]&lt;=18.5,"Underweight",IF(Table13[[#This Row],[BMI]]&lt;=24.9,"Normal",IF(Table13[[#This Row],[BMI]]&lt;=29.9,"Overweight",IF(Table13[[#This Row],[BMI]]&lt;=39,"Obese","Severly Obese"))))</f>
        <v>Normal</v>
      </c>
      <c r="W496" s="18">
        <v>18.809999999999999</v>
      </c>
    </row>
    <row r="497" spans="6:23" x14ac:dyDescent="0.3">
      <c r="F497" s="17">
        <v>37</v>
      </c>
      <c r="G497" s="8" t="str">
        <f>IF(Table13[[#This Row],[Age]]&lt;25,"18-24",IF(Table13[[#This Row],[Age]]&lt;35,"25-34",IF(Table13[[#This Row],[Age]]&lt;45,"35-44",IF(Table13[[#This Row],[Age]]&lt;55,"45-54","55-64"))))</f>
        <v>35-44</v>
      </c>
      <c r="H497" s="8" t="s">
        <v>17</v>
      </c>
      <c r="I497" s="8">
        <v>63.1</v>
      </c>
      <c r="J497" s="8">
        <v>1.84</v>
      </c>
      <c r="K497" s="8">
        <v>185</v>
      </c>
      <c r="L497" s="8">
        <v>158</v>
      </c>
      <c r="M497" s="8">
        <v>56</v>
      </c>
      <c r="N497" s="8">
        <v>1.3</v>
      </c>
      <c r="O497" s="8">
        <v>1248</v>
      </c>
      <c r="P497" s="8" t="s">
        <v>21</v>
      </c>
      <c r="Q497" s="8" t="str">
        <f>_xlfn.IFS(AND(Table13[[#This Row],[Gender]]="female",R497&lt;20),"Athletes",AND(Table13[[#This Row],[Gender]]="female",R497&lt;24),"Fitnesss",AND(Table13[[#This Row],[Gender]]="female",R497&lt;31),"Acceptable",AND(Table13[[#This Row],[Gender]]="female",R497&lt;40),"Obese",AND(Table13[[#This Row],[Gender]]="male",R497&lt;13),"Athletes",AND(Table13[[#This Row],[Gender]]="male",R497&lt;17),"Fitnesss",AND(Table13[[#This Row],[Gender]]="male",R497&lt;24.9),"Acceptable",AND(Table13[[#This Row],[Gender]]="male",R497&lt;40),"Obese",AND(Table13[[#This Row],[Gender]]="others",R497&lt;20),"Athletes",AND(Table13[[#This Row],[Gender]]="others",R497&lt;24),"Fitnesss",AND(Table13[[#This Row],[Gender]]="others",R497&lt;31),"Acceptable",AND(Table13[[#This Row],[Gender]]="others",R497&lt;40),"Obese")</f>
        <v>Obese</v>
      </c>
      <c r="R497" s="8">
        <v>31.9</v>
      </c>
      <c r="S497" s="8">
        <v>3.5</v>
      </c>
      <c r="T497" s="8">
        <v>3</v>
      </c>
      <c r="U497" s="8">
        <v>1</v>
      </c>
      <c r="V497" s="8" t="str">
        <f>IF(Table13[[#This Row],[BMI]]&lt;=18.5,"Underweight",IF(Table13[[#This Row],[BMI]]&lt;=24.9,"Normal",IF(Table13[[#This Row],[BMI]]&lt;=29.9,"Overweight",IF(Table13[[#This Row],[BMI]]&lt;=39,"Obese","Severly Obese"))))</f>
        <v>Overweight</v>
      </c>
      <c r="W497" s="18">
        <v>26.39</v>
      </c>
    </row>
    <row r="498" spans="6:23" x14ac:dyDescent="0.3">
      <c r="F498" s="17">
        <v>51</v>
      </c>
      <c r="G498" s="8" t="str">
        <f>IF(Table13[[#This Row],[Age]]&lt;25,"18-24",IF(Table13[[#This Row],[Age]]&lt;35,"25-34",IF(Table13[[#This Row],[Age]]&lt;45,"35-44",IF(Table13[[#This Row],[Age]]&lt;55,"45-54","55-64"))))</f>
        <v>45-54</v>
      </c>
      <c r="H498" s="8" t="s">
        <v>17</v>
      </c>
      <c r="I498" s="8">
        <v>55.7</v>
      </c>
      <c r="J498" s="8">
        <v>1.5</v>
      </c>
      <c r="K498" s="8">
        <v>188</v>
      </c>
      <c r="L498" s="8">
        <v>143</v>
      </c>
      <c r="M498" s="8">
        <v>58</v>
      </c>
      <c r="N498" s="8">
        <v>1.19</v>
      </c>
      <c r="O498" s="8">
        <v>1302</v>
      </c>
      <c r="P498" s="8" t="s">
        <v>21</v>
      </c>
      <c r="Q498" s="8" t="str">
        <f>_xlfn.IFS(AND(Table13[[#This Row],[Gender]]="female",R498&lt;20),"Athletes",AND(Table13[[#This Row],[Gender]]="female",R498&lt;24),"Fitnesss",AND(Table13[[#This Row],[Gender]]="female",R498&lt;31),"Acceptable",AND(Table13[[#This Row],[Gender]]="female",R498&lt;40),"Obese",AND(Table13[[#This Row],[Gender]]="male",R498&lt;13),"Athletes",AND(Table13[[#This Row],[Gender]]="male",R498&lt;17),"Fitnesss",AND(Table13[[#This Row],[Gender]]="male",R498&lt;24.9),"Acceptable",AND(Table13[[#This Row],[Gender]]="male",R498&lt;40),"Obese",AND(Table13[[#This Row],[Gender]]="others",R498&lt;20),"Athletes",AND(Table13[[#This Row],[Gender]]="others",R498&lt;24),"Fitnesss",AND(Table13[[#This Row],[Gender]]="others",R498&lt;31),"Acceptable",AND(Table13[[#This Row],[Gender]]="others",R498&lt;40),"Obese")</f>
        <v>Acceptable</v>
      </c>
      <c r="R498" s="8">
        <v>27.7</v>
      </c>
      <c r="S498" s="8">
        <v>2</v>
      </c>
      <c r="T498" s="8">
        <v>3</v>
      </c>
      <c r="U498" s="8">
        <v>1</v>
      </c>
      <c r="V498" s="8" t="str">
        <f>IF(Table13[[#This Row],[BMI]]&lt;=18.5,"Underweight",IF(Table13[[#This Row],[BMI]]&lt;=24.9,"Normal",IF(Table13[[#This Row],[BMI]]&lt;=29.9,"Overweight",IF(Table13[[#This Row],[BMI]]&lt;=39,"Obese","Severly Obese"))))</f>
        <v>Overweight</v>
      </c>
      <c r="W498" s="18">
        <v>28.28</v>
      </c>
    </row>
    <row r="499" spans="6:23" x14ac:dyDescent="0.3">
      <c r="F499" s="17">
        <v>52</v>
      </c>
      <c r="G499" s="8" t="str">
        <f>IF(Table13[[#This Row],[Age]]&lt;25,"18-24",IF(Table13[[#This Row],[Age]]&lt;35,"25-34",IF(Table13[[#This Row],[Age]]&lt;45,"35-44",IF(Table13[[#This Row],[Age]]&lt;55,"45-54","55-64"))))</f>
        <v>45-54</v>
      </c>
      <c r="H499" s="8" t="s">
        <v>19</v>
      </c>
      <c r="I499" s="8">
        <v>53.1</v>
      </c>
      <c r="J499" s="8">
        <v>1.55</v>
      </c>
      <c r="K499" s="8">
        <v>184</v>
      </c>
      <c r="L499" s="8">
        <v>167</v>
      </c>
      <c r="M499" s="8">
        <v>50</v>
      </c>
      <c r="N499" s="8">
        <v>1.95</v>
      </c>
      <c r="O499" s="8">
        <v>1205</v>
      </c>
      <c r="P499" s="8" t="s">
        <v>18</v>
      </c>
      <c r="Q499" s="8" t="str">
        <f>_xlfn.IFS(AND(Table13[[#This Row],[Gender]]="female",R499&lt;20),"Athletes",AND(Table13[[#This Row],[Gender]]="female",R499&lt;24),"Fitnesss",AND(Table13[[#This Row],[Gender]]="female",R499&lt;31),"Acceptable",AND(Table13[[#This Row],[Gender]]="female",R499&lt;40),"Obese",AND(Table13[[#This Row],[Gender]]="male",R499&lt;13),"Athletes",AND(Table13[[#This Row],[Gender]]="male",R499&lt;17),"Fitnesss",AND(Table13[[#This Row],[Gender]]="male",R499&lt;24.9),"Acceptable",AND(Table13[[#This Row],[Gender]]="male",R499&lt;40),"Obese",AND(Table13[[#This Row],[Gender]]="others",R499&lt;20),"Athletes",AND(Table13[[#This Row],[Gender]]="others",R499&lt;24),"Fitnesss",AND(Table13[[#This Row],[Gender]]="others",R499&lt;31),"Acceptable",AND(Table13[[#This Row],[Gender]]="others",R499&lt;40),"Obese")</f>
        <v>Fitnesss</v>
      </c>
      <c r="R499" s="8">
        <v>14.6</v>
      </c>
      <c r="S499" s="8">
        <v>3.5</v>
      </c>
      <c r="T499" s="8">
        <v>5</v>
      </c>
      <c r="U499" s="8">
        <v>1</v>
      </c>
      <c r="V499" s="8" t="str">
        <f>IF(Table13[[#This Row],[BMI]]&lt;=18.5,"Underweight",IF(Table13[[#This Row],[BMI]]&lt;=24.9,"Normal",IF(Table13[[#This Row],[BMI]]&lt;=29.9,"Overweight",IF(Table13[[#This Row],[BMI]]&lt;=39,"Obese","Severly Obese"))))</f>
        <v>Underweight</v>
      </c>
      <c r="W499" s="18">
        <v>12.32</v>
      </c>
    </row>
    <row r="500" spans="6:23" x14ac:dyDescent="0.3">
      <c r="F500" s="17">
        <v>52</v>
      </c>
      <c r="G500" s="8" t="str">
        <f>IF(Table13[[#This Row],[Age]]&lt;25,"18-24",IF(Table13[[#This Row],[Age]]&lt;35,"25-34",IF(Table13[[#This Row],[Age]]&lt;45,"35-44",IF(Table13[[#This Row],[Age]]&lt;55,"45-54","55-64"))))</f>
        <v>45-54</v>
      </c>
      <c r="H500" s="8" t="s">
        <v>17</v>
      </c>
      <c r="I500" s="8">
        <v>65.8</v>
      </c>
      <c r="J500" s="8">
        <v>1.82</v>
      </c>
      <c r="K500" s="8">
        <v>168</v>
      </c>
      <c r="L500" s="8">
        <v>167</v>
      </c>
      <c r="M500" s="8">
        <v>71</v>
      </c>
      <c r="N500" s="8">
        <v>1.1499999999999999</v>
      </c>
      <c r="O500" s="8">
        <v>751</v>
      </c>
      <c r="P500" s="8" t="s">
        <v>18</v>
      </c>
      <c r="Q500" s="8" t="str">
        <f>_xlfn.IFS(AND(Table13[[#This Row],[Gender]]="female",R500&lt;20),"Athletes",AND(Table13[[#This Row],[Gender]]="female",R500&lt;24),"Fitnesss",AND(Table13[[#This Row],[Gender]]="female",R500&lt;31),"Acceptable",AND(Table13[[#This Row],[Gender]]="female",R500&lt;40),"Obese",AND(Table13[[#This Row],[Gender]]="male",R500&lt;13),"Athletes",AND(Table13[[#This Row],[Gender]]="male",R500&lt;17),"Fitnesss",AND(Table13[[#This Row],[Gender]]="male",R500&lt;24.9),"Acceptable",AND(Table13[[#This Row],[Gender]]="male",R500&lt;40),"Obese",AND(Table13[[#This Row],[Gender]]="others",R500&lt;20),"Athletes",AND(Table13[[#This Row],[Gender]]="others",R500&lt;24),"Fitnesss",AND(Table13[[#This Row],[Gender]]="others",R500&lt;31),"Acceptable",AND(Table13[[#This Row],[Gender]]="others",R500&lt;40),"Obese")</f>
        <v>Athletes</v>
      </c>
      <c r="R500" s="8">
        <v>17.100000000000001</v>
      </c>
      <c r="S500" s="8">
        <v>1.5</v>
      </c>
      <c r="T500" s="8">
        <v>3</v>
      </c>
      <c r="U500" s="8">
        <v>1</v>
      </c>
      <c r="V500" s="8" t="str">
        <f>IF(Table13[[#This Row],[BMI]]&lt;=18.5,"Underweight",IF(Table13[[#This Row],[BMI]]&lt;=24.9,"Normal",IF(Table13[[#This Row],[BMI]]&lt;=29.9,"Overweight",IF(Table13[[#This Row],[BMI]]&lt;=39,"Obese","Severly Obese"))))</f>
        <v>Obese</v>
      </c>
      <c r="W500" s="18">
        <v>32.86</v>
      </c>
    </row>
    <row r="501" spans="6:23" x14ac:dyDescent="0.3">
      <c r="F501" s="17">
        <v>18</v>
      </c>
      <c r="G501" s="8" t="str">
        <f>IF(Table13[[#This Row],[Age]]&lt;25,"18-24",IF(Table13[[#This Row],[Age]]&lt;35,"25-34",IF(Table13[[#This Row],[Age]]&lt;45,"35-44",IF(Table13[[#This Row],[Age]]&lt;55,"45-54","55-64"))))</f>
        <v>18-24</v>
      </c>
      <c r="H501" s="8" t="s">
        <v>17</v>
      </c>
      <c r="I501" s="8"/>
      <c r="J501" s="8">
        <v>1.72</v>
      </c>
      <c r="K501" s="8">
        <v>169</v>
      </c>
      <c r="L501" s="8">
        <v>136</v>
      </c>
      <c r="M501" s="8">
        <v>66</v>
      </c>
      <c r="N501" s="8">
        <v>2</v>
      </c>
      <c r="O501" s="8">
        <v>945</v>
      </c>
      <c r="P501" s="8" t="s">
        <v>18</v>
      </c>
      <c r="Q501" s="8" t="str">
        <f>_xlfn.IFS(AND(Table13[[#This Row],[Gender]]="female",R501&lt;20),"Athletes",AND(Table13[[#This Row],[Gender]]="female",R501&lt;24),"Fitnesss",AND(Table13[[#This Row],[Gender]]="female",R501&lt;31),"Acceptable",AND(Table13[[#This Row],[Gender]]="female",R501&lt;40),"Obese",AND(Table13[[#This Row],[Gender]]="male",R501&lt;13),"Athletes",AND(Table13[[#This Row],[Gender]]="male",R501&lt;17),"Fitnesss",AND(Table13[[#This Row],[Gender]]="male",R501&lt;24.9),"Acceptable",AND(Table13[[#This Row],[Gender]]="male",R501&lt;40),"Obese",AND(Table13[[#This Row],[Gender]]="others",R501&lt;20),"Athletes",AND(Table13[[#This Row],[Gender]]="others",R501&lt;24),"Fitnesss",AND(Table13[[#This Row],[Gender]]="others",R501&lt;31),"Acceptable",AND(Table13[[#This Row],[Gender]]="others",R501&lt;40),"Obese")</f>
        <v>Fitnesss</v>
      </c>
      <c r="R501" s="8">
        <v>22.8</v>
      </c>
      <c r="S501" s="8">
        <v>3.3</v>
      </c>
      <c r="T501" s="8">
        <v>4</v>
      </c>
      <c r="U501" s="8">
        <v>2</v>
      </c>
      <c r="V501" s="8" t="str">
        <f>IF(Table13[[#This Row],[BMI]]&lt;=18.5,"Underweight",IF(Table13[[#This Row],[BMI]]&lt;=24.9,"Normal",IF(Table13[[#This Row],[BMI]]&lt;=29.9,"Overweight",IF(Table13[[#This Row],[BMI]]&lt;=39,"Obese","Severly Obese"))))</f>
        <v>Overweight</v>
      </c>
      <c r="W501" s="18">
        <v>26.19</v>
      </c>
    </row>
    <row r="502" spans="6:23" x14ac:dyDescent="0.3">
      <c r="F502" s="17">
        <v>35</v>
      </c>
      <c r="G502" s="8" t="str">
        <f>IF(Table13[[#This Row],[Age]]&lt;25,"18-24",IF(Table13[[#This Row],[Age]]&lt;35,"25-34",IF(Table13[[#This Row],[Age]]&lt;45,"35-44",IF(Table13[[#This Row],[Age]]&lt;55,"45-54","55-64"))))</f>
        <v>35-44</v>
      </c>
      <c r="H502" s="8" t="s">
        <v>17</v>
      </c>
      <c r="I502" s="8">
        <v>40.4</v>
      </c>
      <c r="J502" s="8">
        <v>1.71</v>
      </c>
      <c r="K502" s="8">
        <v>176</v>
      </c>
      <c r="L502" s="8">
        <v>130</v>
      </c>
      <c r="M502" s="8">
        <v>70</v>
      </c>
      <c r="N502" s="8">
        <v>1.97</v>
      </c>
      <c r="O502" s="8">
        <v>1110</v>
      </c>
      <c r="P502" s="8" t="s">
        <v>21</v>
      </c>
      <c r="Q502" s="8" t="str">
        <f>_xlfn.IFS(AND(Table13[[#This Row],[Gender]]="female",R502&lt;20),"Athletes",AND(Table13[[#This Row],[Gender]]="female",R502&lt;24),"Fitnesss",AND(Table13[[#This Row],[Gender]]="female",R502&lt;31),"Acceptable",AND(Table13[[#This Row],[Gender]]="female",R502&lt;40),"Obese",AND(Table13[[#This Row],[Gender]]="male",R502&lt;13),"Athletes",AND(Table13[[#This Row],[Gender]]="male",R502&lt;17),"Fitnesss",AND(Table13[[#This Row],[Gender]]="male",R502&lt;24.9),"Acceptable",AND(Table13[[#This Row],[Gender]]="male",R502&lt;40),"Obese",AND(Table13[[#This Row],[Gender]]="others",R502&lt;20),"Athletes",AND(Table13[[#This Row],[Gender]]="others",R502&lt;24),"Fitnesss",AND(Table13[[#This Row],[Gender]]="others",R502&lt;31),"Acceptable",AND(Table13[[#This Row],[Gender]]="others",R502&lt;40),"Obese")</f>
        <v>Athletes</v>
      </c>
      <c r="R502" s="8">
        <v>17</v>
      </c>
      <c r="S502" s="8">
        <v>3.6</v>
      </c>
      <c r="T502" s="8">
        <v>4</v>
      </c>
      <c r="U502" s="8">
        <v>3</v>
      </c>
      <c r="V502" s="8" t="str">
        <f>IF(Table13[[#This Row],[BMI]]&lt;=18.5,"Underweight",IF(Table13[[#This Row],[BMI]]&lt;=24.9,"Normal",IF(Table13[[#This Row],[BMI]]&lt;=29.9,"Overweight",IF(Table13[[#This Row],[BMI]]&lt;=39,"Obese","Severly Obese"))))</f>
        <v>Overweight</v>
      </c>
      <c r="W502" s="18">
        <v>29.32</v>
      </c>
    </row>
    <row r="503" spans="6:23" x14ac:dyDescent="0.3">
      <c r="F503" s="17">
        <v>45</v>
      </c>
      <c r="G503" s="8" t="str">
        <f>IF(Table13[[#This Row],[Age]]&lt;25,"18-24",IF(Table13[[#This Row],[Age]]&lt;35,"25-34",IF(Table13[[#This Row],[Age]]&lt;45,"35-44",IF(Table13[[#This Row],[Age]]&lt;55,"45-54","55-64"))))</f>
        <v>45-54</v>
      </c>
      <c r="H503" s="8" t="s">
        <v>19</v>
      </c>
      <c r="I503" s="8">
        <v>40</v>
      </c>
      <c r="J503" s="8">
        <v>1.75</v>
      </c>
      <c r="K503" s="8">
        <v>194</v>
      </c>
      <c r="L503" s="8">
        <v>120</v>
      </c>
      <c r="M503" s="8">
        <v>50</v>
      </c>
      <c r="N503" s="8">
        <v>1.67</v>
      </c>
      <c r="O503" s="8">
        <v>1296</v>
      </c>
      <c r="P503" s="8" t="s">
        <v>22</v>
      </c>
      <c r="Q503" s="8" t="str">
        <f>_xlfn.IFS(AND(Table13[[#This Row],[Gender]]="female",R503&lt;20),"Athletes",AND(Table13[[#This Row],[Gender]]="female",R503&lt;24),"Fitnesss",AND(Table13[[#This Row],[Gender]]="female",R503&lt;31),"Acceptable",AND(Table13[[#This Row],[Gender]]="female",R503&lt;40),"Obese",AND(Table13[[#This Row],[Gender]]="male",R503&lt;13),"Athletes",AND(Table13[[#This Row],[Gender]]="male",R503&lt;17),"Fitnesss",AND(Table13[[#This Row],[Gender]]="male",R503&lt;24.9),"Acceptable",AND(Table13[[#This Row],[Gender]]="male",R503&lt;40),"Obese",AND(Table13[[#This Row],[Gender]]="others",R503&lt;20),"Athletes",AND(Table13[[#This Row],[Gender]]="others",R503&lt;24),"Fitnesss",AND(Table13[[#This Row],[Gender]]="others",R503&lt;31),"Acceptable",AND(Table13[[#This Row],[Gender]]="others",R503&lt;40),"Obese")</f>
        <v>Obese</v>
      </c>
      <c r="R503" s="8">
        <v>28.8</v>
      </c>
      <c r="S503" s="8">
        <v>1.9</v>
      </c>
      <c r="T503" s="8">
        <v>3</v>
      </c>
      <c r="U503" s="8">
        <v>3</v>
      </c>
      <c r="V503" s="8" t="str">
        <f>IF(Table13[[#This Row],[BMI]]&lt;=18.5,"Underweight",IF(Table13[[#This Row],[BMI]]&lt;=24.9,"Normal",IF(Table13[[#This Row],[BMI]]&lt;=29.9,"Overweight",IF(Table13[[#This Row],[BMI]]&lt;=39,"Obese","Severly Obese"))))</f>
        <v>Overweight</v>
      </c>
      <c r="W503" s="18">
        <v>26.88</v>
      </c>
    </row>
    <row r="504" spans="6:23" x14ac:dyDescent="0.3">
      <c r="F504" s="17">
        <v>31</v>
      </c>
      <c r="G504" s="8" t="str">
        <f>IF(Table13[[#This Row],[Age]]&lt;25,"18-24",IF(Table13[[#This Row],[Age]]&lt;35,"25-34",IF(Table13[[#This Row],[Age]]&lt;45,"35-44",IF(Table13[[#This Row],[Age]]&lt;55,"45-54","55-64"))))</f>
        <v>25-34</v>
      </c>
      <c r="H504" s="8" t="s">
        <v>19</v>
      </c>
      <c r="I504" s="8">
        <v>40</v>
      </c>
      <c r="J504" s="8">
        <v>2</v>
      </c>
      <c r="K504" s="8">
        <v>176</v>
      </c>
      <c r="L504" s="8">
        <v>162</v>
      </c>
      <c r="M504" s="8">
        <v>69</v>
      </c>
      <c r="N504" s="8">
        <v>1.45</v>
      </c>
      <c r="O504" s="8">
        <v>949</v>
      </c>
      <c r="P504" s="8" t="s">
        <v>20</v>
      </c>
      <c r="Q504" s="8" t="str">
        <f>_xlfn.IFS(AND(Table13[[#This Row],[Gender]]="female",R504&lt;20),"Athletes",AND(Table13[[#This Row],[Gender]]="female",R504&lt;24),"Fitnesss",AND(Table13[[#This Row],[Gender]]="female",R504&lt;31),"Acceptable",AND(Table13[[#This Row],[Gender]]="female",R504&lt;40),"Obese",AND(Table13[[#This Row],[Gender]]="male",R504&lt;13),"Athletes",AND(Table13[[#This Row],[Gender]]="male",R504&lt;17),"Fitnesss",AND(Table13[[#This Row],[Gender]]="male",R504&lt;24.9),"Acceptable",AND(Table13[[#This Row],[Gender]]="male",R504&lt;40),"Obese",AND(Table13[[#This Row],[Gender]]="others",R504&lt;20),"Athletes",AND(Table13[[#This Row],[Gender]]="others",R504&lt;24),"Fitnesss",AND(Table13[[#This Row],[Gender]]="others",R504&lt;31),"Acceptable",AND(Table13[[#This Row],[Gender]]="others",R504&lt;40),"Obese")</f>
        <v>Obese</v>
      </c>
      <c r="R504" s="8">
        <v>26.9</v>
      </c>
      <c r="S504" s="8">
        <v>3.2</v>
      </c>
      <c r="T504" s="8">
        <v>3</v>
      </c>
      <c r="U504" s="8">
        <v>2</v>
      </c>
      <c r="V504" s="8" t="str">
        <f>IF(Table13[[#This Row],[BMI]]&lt;=18.5,"Underweight",IF(Table13[[#This Row],[BMI]]&lt;=24.9,"Normal",IF(Table13[[#This Row],[BMI]]&lt;=29.9,"Overweight",IF(Table13[[#This Row],[BMI]]&lt;=39,"Obese","Severly Obese"))))</f>
        <v>Obese</v>
      </c>
      <c r="W504" s="18">
        <v>30.36</v>
      </c>
    </row>
    <row r="505" spans="6:23" x14ac:dyDescent="0.3">
      <c r="F505" s="17">
        <v>27</v>
      </c>
      <c r="G505" s="8" t="str">
        <f>IF(Table13[[#This Row],[Age]]&lt;25,"18-24",IF(Table13[[#This Row],[Age]]&lt;35,"25-34",IF(Table13[[#This Row],[Age]]&lt;45,"35-44",IF(Table13[[#This Row],[Age]]&lt;55,"45-54","55-64"))))</f>
        <v>25-34</v>
      </c>
      <c r="H505" s="8" t="s">
        <v>19</v>
      </c>
      <c r="I505" s="8">
        <v>40</v>
      </c>
      <c r="J505" s="8">
        <v>1.68</v>
      </c>
      <c r="K505" s="8">
        <v>166</v>
      </c>
      <c r="L505" s="8">
        <v>128</v>
      </c>
      <c r="M505" s="8">
        <v>59</v>
      </c>
      <c r="N505" s="8">
        <v>1.6</v>
      </c>
      <c r="O505" s="8">
        <v>1112</v>
      </c>
      <c r="P505" s="8" t="s">
        <v>22</v>
      </c>
      <c r="Q505" s="8" t="str">
        <f>_xlfn.IFS(AND(Table13[[#This Row],[Gender]]="female",R505&lt;20),"Athletes",AND(Table13[[#This Row],[Gender]]="female",R505&lt;24),"Fitnesss",AND(Table13[[#This Row],[Gender]]="female",R505&lt;31),"Acceptable",AND(Table13[[#This Row],[Gender]]="female",R505&lt;40),"Obese",AND(Table13[[#This Row],[Gender]]="male",R505&lt;13),"Athletes",AND(Table13[[#This Row],[Gender]]="male",R505&lt;17),"Fitnesss",AND(Table13[[#This Row],[Gender]]="male",R505&lt;24.9),"Acceptable",AND(Table13[[#This Row],[Gender]]="male",R505&lt;40),"Obese",AND(Table13[[#This Row],[Gender]]="others",R505&lt;20),"Athletes",AND(Table13[[#This Row],[Gender]]="others",R505&lt;24),"Fitnesss",AND(Table13[[#This Row],[Gender]]="others",R505&lt;31),"Acceptable",AND(Table13[[#This Row],[Gender]]="others",R505&lt;40),"Obese")</f>
        <v>Athletes</v>
      </c>
      <c r="R505" s="8">
        <v>10</v>
      </c>
      <c r="S505" s="8">
        <v>2.6</v>
      </c>
      <c r="T505" s="8">
        <v>4</v>
      </c>
      <c r="U505" s="8">
        <v>2</v>
      </c>
      <c r="V505" s="8" t="str">
        <f>IF(Table13[[#This Row],[BMI]]&lt;=18.5,"Underweight",IF(Table13[[#This Row],[BMI]]&lt;=24.9,"Normal",IF(Table13[[#This Row],[BMI]]&lt;=29.9,"Overweight",IF(Table13[[#This Row],[BMI]]&lt;=39,"Obese","Severly Obese"))))</f>
        <v>Normal</v>
      </c>
      <c r="W505" s="18">
        <v>19.670000000000002</v>
      </c>
    </row>
    <row r="506" spans="6:23" x14ac:dyDescent="0.3">
      <c r="F506" s="17">
        <v>27</v>
      </c>
      <c r="G506" s="8" t="str">
        <f>IF(Table13[[#This Row],[Age]]&lt;25,"18-24",IF(Table13[[#This Row],[Age]]&lt;35,"25-34",IF(Table13[[#This Row],[Age]]&lt;45,"35-44",IF(Table13[[#This Row],[Age]]&lt;55,"45-54","55-64"))))</f>
        <v>25-34</v>
      </c>
      <c r="H506" s="8" t="s">
        <v>17</v>
      </c>
      <c r="I506" s="8">
        <v>60.1</v>
      </c>
      <c r="J506" s="8">
        <v>1.94</v>
      </c>
      <c r="K506" s="8">
        <v>184</v>
      </c>
      <c r="L506" s="8">
        <v>162</v>
      </c>
      <c r="M506" s="8">
        <v>74</v>
      </c>
      <c r="N506" s="8">
        <v>2</v>
      </c>
      <c r="O506" s="8"/>
      <c r="P506" s="8" t="s">
        <v>18</v>
      </c>
      <c r="Q506" s="8" t="str">
        <f>_xlfn.IFS(AND(Table13[[#This Row],[Gender]]="female",R506&lt;20),"Athletes",AND(Table13[[#This Row],[Gender]]="female",R506&lt;24),"Fitnesss",AND(Table13[[#This Row],[Gender]]="female",R506&lt;31),"Acceptable",AND(Table13[[#This Row],[Gender]]="female",R506&lt;40),"Obese",AND(Table13[[#This Row],[Gender]]="male",R506&lt;13),"Athletes",AND(Table13[[#This Row],[Gender]]="male",R506&lt;17),"Fitnesss",AND(Table13[[#This Row],[Gender]]="male",R506&lt;24.9),"Acceptable",AND(Table13[[#This Row],[Gender]]="male",R506&lt;40),"Obese",AND(Table13[[#This Row],[Gender]]="others",R506&lt;20),"Athletes",AND(Table13[[#This Row],[Gender]]="others",R506&lt;24),"Fitnesss",AND(Table13[[#This Row],[Gender]]="others",R506&lt;31),"Acceptable",AND(Table13[[#This Row],[Gender]]="others",R506&lt;40),"Obese")</f>
        <v>Acceptable</v>
      </c>
      <c r="R506" s="8">
        <v>27.2</v>
      </c>
      <c r="S506" s="8">
        <v>3.4</v>
      </c>
      <c r="T506" s="8">
        <v>3</v>
      </c>
      <c r="U506" s="8">
        <v>1</v>
      </c>
      <c r="V506" s="8" t="str">
        <f>IF(Table13[[#This Row],[BMI]]&lt;=18.5,"Underweight",IF(Table13[[#This Row],[BMI]]&lt;=24.9,"Normal",IF(Table13[[#This Row],[BMI]]&lt;=29.9,"Overweight",IF(Table13[[#This Row],[BMI]]&lt;=39,"Obese","Severly Obese"))))</f>
        <v>Underweight</v>
      </c>
      <c r="W506" s="18">
        <v>14.02</v>
      </c>
    </row>
    <row r="507" spans="6:23" x14ac:dyDescent="0.3">
      <c r="F507" s="17">
        <v>18</v>
      </c>
      <c r="G507" s="8" t="str">
        <f>IF(Table13[[#This Row],[Age]]&lt;25,"18-24",IF(Table13[[#This Row],[Age]]&lt;35,"25-34",IF(Table13[[#This Row],[Age]]&lt;45,"35-44",IF(Table13[[#This Row],[Age]]&lt;55,"45-54","55-64"))))</f>
        <v>18-24</v>
      </c>
      <c r="H507" s="8" t="s">
        <v>19</v>
      </c>
      <c r="I507" s="8">
        <v>73</v>
      </c>
      <c r="J507" s="8">
        <v>1.89</v>
      </c>
      <c r="K507" s="8">
        <v>172</v>
      </c>
      <c r="L507" s="8">
        <v>153</v>
      </c>
      <c r="M507" s="8">
        <v>56</v>
      </c>
      <c r="N507" s="8">
        <v>1.19</v>
      </c>
      <c r="O507" s="8">
        <v>596</v>
      </c>
      <c r="P507" s="8" t="s">
        <v>20</v>
      </c>
      <c r="Q507" s="8" t="str">
        <f>_xlfn.IFS(AND(Table13[[#This Row],[Gender]]="female",R507&lt;20),"Athletes",AND(Table13[[#This Row],[Gender]]="female",R507&lt;24),"Fitnesss",AND(Table13[[#This Row],[Gender]]="female",R507&lt;31),"Acceptable",AND(Table13[[#This Row],[Gender]]="female",R507&lt;40),"Obese",AND(Table13[[#This Row],[Gender]]="male",R507&lt;13),"Athletes",AND(Table13[[#This Row],[Gender]]="male",R507&lt;17),"Fitnesss",AND(Table13[[#This Row],[Gender]]="male",R507&lt;24.9),"Acceptable",AND(Table13[[#This Row],[Gender]]="male",R507&lt;40),"Obese",AND(Table13[[#This Row],[Gender]]="others",R507&lt;20),"Athletes",AND(Table13[[#This Row],[Gender]]="others",R507&lt;24),"Fitnesss",AND(Table13[[#This Row],[Gender]]="others",R507&lt;31),"Acceptable",AND(Table13[[#This Row],[Gender]]="others",R507&lt;40),"Obese")</f>
        <v>Fitnesss</v>
      </c>
      <c r="R507" s="8">
        <v>15.6</v>
      </c>
      <c r="S507" s="8">
        <v>3.4</v>
      </c>
      <c r="T507" s="8">
        <v>5</v>
      </c>
      <c r="U507" s="8">
        <v>1</v>
      </c>
      <c r="V507" s="8" t="str">
        <f>IF(Table13[[#This Row],[BMI]]&lt;=18.5,"Underweight",IF(Table13[[#This Row],[BMI]]&lt;=24.9,"Normal",IF(Table13[[#This Row],[BMI]]&lt;=29.9,"Overweight",IF(Table13[[#This Row],[BMI]]&lt;=39,"Obese","Severly Obese"))))</f>
        <v>Underweight</v>
      </c>
      <c r="W507" s="18">
        <v>17.22</v>
      </c>
    </row>
    <row r="508" spans="6:23" x14ac:dyDescent="0.3">
      <c r="F508" s="17">
        <v>35</v>
      </c>
      <c r="G508" s="8" t="str">
        <f>IF(Table13[[#This Row],[Age]]&lt;25,"18-24",IF(Table13[[#This Row],[Age]]&lt;35,"25-34",IF(Table13[[#This Row],[Age]]&lt;45,"35-44",IF(Table13[[#This Row],[Age]]&lt;55,"45-54","55-64"))))</f>
        <v>35-44</v>
      </c>
      <c r="H508" s="8" t="s">
        <v>17</v>
      </c>
      <c r="I508" s="8">
        <v>127.6</v>
      </c>
      <c r="J508" s="8">
        <v>1.65</v>
      </c>
      <c r="K508" s="8">
        <v>174</v>
      </c>
      <c r="L508" s="8">
        <v>156</v>
      </c>
      <c r="M508" s="8">
        <v>56</v>
      </c>
      <c r="N508" s="8">
        <v>1.9</v>
      </c>
      <c r="O508" s="8">
        <v>1084</v>
      </c>
      <c r="P508" s="8" t="s">
        <v>21</v>
      </c>
      <c r="Q508" s="8" t="str">
        <f>_xlfn.IFS(AND(Table13[[#This Row],[Gender]]="female",R508&lt;20),"Athletes",AND(Table13[[#This Row],[Gender]]="female",R508&lt;24),"Fitnesss",AND(Table13[[#This Row],[Gender]]="female",R508&lt;31),"Acceptable",AND(Table13[[#This Row],[Gender]]="female",R508&lt;40),"Obese",AND(Table13[[#This Row],[Gender]]="male",R508&lt;13),"Athletes",AND(Table13[[#This Row],[Gender]]="male",R508&lt;17),"Fitnesss",AND(Table13[[#This Row],[Gender]]="male",R508&lt;24.9),"Acceptable",AND(Table13[[#This Row],[Gender]]="male",R508&lt;40),"Obese",AND(Table13[[#This Row],[Gender]]="others",R508&lt;20),"Athletes",AND(Table13[[#This Row],[Gender]]="others",R508&lt;24),"Fitnesss",AND(Table13[[#This Row],[Gender]]="others",R508&lt;31),"Acceptable",AND(Table13[[#This Row],[Gender]]="others",R508&lt;40),"Obese")</f>
        <v>Fitnesss</v>
      </c>
      <c r="R508" s="8">
        <v>20.399999999999999</v>
      </c>
      <c r="S508" s="8">
        <v>3.4</v>
      </c>
      <c r="T508" s="8">
        <v>5</v>
      </c>
      <c r="U508" s="8">
        <v>1</v>
      </c>
      <c r="V508" s="8" t="str">
        <f>IF(Table13[[#This Row],[BMI]]&lt;=18.5,"Underweight",IF(Table13[[#This Row],[BMI]]&lt;=24.9,"Normal",IF(Table13[[#This Row],[BMI]]&lt;=29.9,"Overweight",IF(Table13[[#This Row],[BMI]]&lt;=39,"Obese","Severly Obese"))))</f>
        <v>Underweight</v>
      </c>
      <c r="W508" s="18">
        <v>15.36</v>
      </c>
    </row>
    <row r="509" spans="6:23" x14ac:dyDescent="0.3">
      <c r="F509" s="17">
        <v>49</v>
      </c>
      <c r="G509" s="8" t="str">
        <f>IF(Table13[[#This Row],[Age]]&lt;25,"18-24",IF(Table13[[#This Row],[Age]]&lt;35,"25-34",IF(Table13[[#This Row],[Age]]&lt;45,"35-44",IF(Table13[[#This Row],[Age]]&lt;55,"45-54","55-64"))))</f>
        <v>45-54</v>
      </c>
      <c r="H509" s="8" t="s">
        <v>17</v>
      </c>
      <c r="I509" s="8"/>
      <c r="J509" s="8">
        <v>1.72</v>
      </c>
      <c r="K509" s="8">
        <v>171</v>
      </c>
      <c r="L509" s="8">
        <v>122</v>
      </c>
      <c r="M509" s="8">
        <v>73</v>
      </c>
      <c r="N509" s="8">
        <v>1.02</v>
      </c>
      <c r="O509" s="8">
        <v>614</v>
      </c>
      <c r="P509" s="8" t="s">
        <v>21</v>
      </c>
      <c r="Q509" s="8" t="str">
        <f>_xlfn.IFS(AND(Table13[[#This Row],[Gender]]="female",R509&lt;20),"Athletes",AND(Table13[[#This Row],[Gender]]="female",R509&lt;24),"Fitnesss",AND(Table13[[#This Row],[Gender]]="female",R509&lt;31),"Acceptable",AND(Table13[[#This Row],[Gender]]="female",R509&lt;40),"Obese",AND(Table13[[#This Row],[Gender]]="male",R509&lt;13),"Athletes",AND(Table13[[#This Row],[Gender]]="male",R509&lt;17),"Fitnesss",AND(Table13[[#This Row],[Gender]]="male",R509&lt;24.9),"Acceptable",AND(Table13[[#This Row],[Gender]]="male",R509&lt;40),"Obese",AND(Table13[[#This Row],[Gender]]="others",R509&lt;20),"Athletes",AND(Table13[[#This Row],[Gender]]="others",R509&lt;24),"Fitnesss",AND(Table13[[#This Row],[Gender]]="others",R509&lt;31),"Acceptable",AND(Table13[[#This Row],[Gender]]="others",R509&lt;40),"Obese")</f>
        <v>Fitnesss</v>
      </c>
      <c r="R509" s="8">
        <v>21.6</v>
      </c>
      <c r="S509" s="8">
        <v>1.8</v>
      </c>
      <c r="T509" s="8">
        <v>4</v>
      </c>
      <c r="U509" s="8">
        <v>1</v>
      </c>
      <c r="V509" s="8" t="str">
        <f>IF(Table13[[#This Row],[BMI]]&lt;=18.5,"Underweight",IF(Table13[[#This Row],[BMI]]&lt;=24.9,"Normal",IF(Table13[[#This Row],[BMI]]&lt;=29.9,"Overweight",IF(Table13[[#This Row],[BMI]]&lt;=39,"Obese","Severly Obese"))))</f>
        <v>Normal</v>
      </c>
      <c r="W509" s="18">
        <v>18.86</v>
      </c>
    </row>
    <row r="510" spans="6:23" x14ac:dyDescent="0.3">
      <c r="F510" s="17">
        <v>18</v>
      </c>
      <c r="G510" s="8" t="str">
        <f>IF(Table13[[#This Row],[Age]]&lt;25,"18-24",IF(Table13[[#This Row],[Age]]&lt;35,"25-34",IF(Table13[[#This Row],[Age]]&lt;45,"35-44",IF(Table13[[#This Row],[Age]]&lt;55,"45-54","55-64"))))</f>
        <v>18-24</v>
      </c>
      <c r="H510" s="8" t="s">
        <v>23</v>
      </c>
      <c r="I510" s="8">
        <v>40</v>
      </c>
      <c r="J510" s="8">
        <v>1.68</v>
      </c>
      <c r="K510" s="8">
        <v>178</v>
      </c>
      <c r="L510" s="8">
        <v>147</v>
      </c>
      <c r="M510" s="8">
        <v>71</v>
      </c>
      <c r="N510" s="8">
        <v>2</v>
      </c>
      <c r="O510" s="8">
        <v>831</v>
      </c>
      <c r="P510" s="8" t="s">
        <v>21</v>
      </c>
      <c r="Q510" s="8" t="str">
        <f>_xlfn.IFS(AND(Table13[[#This Row],[Gender]]="female",R510&lt;20),"Athletes",AND(Table13[[#This Row],[Gender]]="female",R510&lt;24),"Fitnesss",AND(Table13[[#This Row],[Gender]]="female",R510&lt;31),"Acceptable",AND(Table13[[#This Row],[Gender]]="female",R510&lt;40),"Obese",AND(Table13[[#This Row],[Gender]]="male",R510&lt;13),"Athletes",AND(Table13[[#This Row],[Gender]]="male",R510&lt;17),"Fitnesss",AND(Table13[[#This Row],[Gender]]="male",R510&lt;24.9),"Acceptable",AND(Table13[[#This Row],[Gender]]="male",R510&lt;40),"Obese",AND(Table13[[#This Row],[Gender]]="others",R510&lt;20),"Athletes",AND(Table13[[#This Row],[Gender]]="others",R510&lt;24),"Fitnesss",AND(Table13[[#This Row],[Gender]]="others",R510&lt;31),"Acceptable",AND(Table13[[#This Row],[Gender]]="others",R510&lt;40),"Obese")</f>
        <v>Athletes</v>
      </c>
      <c r="R510" s="8">
        <v>17.3</v>
      </c>
      <c r="S510" s="8">
        <v>3.5</v>
      </c>
      <c r="T510" s="8">
        <v>4</v>
      </c>
      <c r="U510" s="8">
        <v>1</v>
      </c>
      <c r="V510" s="8" t="str">
        <f>IF(Table13[[#This Row],[BMI]]&lt;=18.5,"Underweight",IF(Table13[[#This Row],[BMI]]&lt;=24.9,"Normal",IF(Table13[[#This Row],[BMI]]&lt;=29.9,"Overweight",IF(Table13[[#This Row],[BMI]]&lt;=39,"Obese","Severly Obese"))))</f>
        <v>Normal</v>
      </c>
      <c r="W510" s="18">
        <v>24.89</v>
      </c>
    </row>
    <row r="511" spans="6:23" x14ac:dyDescent="0.3">
      <c r="F511" s="17">
        <v>19</v>
      </c>
      <c r="G511" s="8" t="str">
        <f>IF(Table13[[#This Row],[Age]]&lt;25,"18-24",IF(Table13[[#This Row],[Age]]&lt;35,"25-34",IF(Table13[[#This Row],[Age]]&lt;45,"35-44",IF(Table13[[#This Row],[Age]]&lt;55,"45-54","55-64"))))</f>
        <v>18-24</v>
      </c>
      <c r="H511" s="8" t="s">
        <v>17</v>
      </c>
      <c r="I511" s="8">
        <v>43.6</v>
      </c>
      <c r="J511" s="8">
        <v>1.7</v>
      </c>
      <c r="K511" s="8">
        <v>168</v>
      </c>
      <c r="L511" s="8">
        <v>126</v>
      </c>
      <c r="M511" s="8">
        <v>55</v>
      </c>
      <c r="N511" s="8">
        <v>1.42</v>
      </c>
      <c r="O511" s="8">
        <v>685</v>
      </c>
      <c r="P511" s="8" t="s">
        <v>21</v>
      </c>
      <c r="Q511" s="8" t="str">
        <f>_xlfn.IFS(AND(Table13[[#This Row],[Gender]]="female",R511&lt;20),"Athletes",AND(Table13[[#This Row],[Gender]]="female",R511&lt;24),"Fitnesss",AND(Table13[[#This Row],[Gender]]="female",R511&lt;31),"Acceptable",AND(Table13[[#This Row],[Gender]]="female",R511&lt;40),"Obese",AND(Table13[[#This Row],[Gender]]="male",R511&lt;13),"Athletes",AND(Table13[[#This Row],[Gender]]="male",R511&lt;17),"Fitnesss",AND(Table13[[#This Row],[Gender]]="male",R511&lt;24.9),"Acceptable",AND(Table13[[#This Row],[Gender]]="male",R511&lt;40),"Obese",AND(Table13[[#This Row],[Gender]]="others",R511&lt;20),"Athletes",AND(Table13[[#This Row],[Gender]]="others",R511&lt;24),"Fitnesss",AND(Table13[[#This Row],[Gender]]="others",R511&lt;31),"Acceptable",AND(Table13[[#This Row],[Gender]]="others",R511&lt;40),"Obese")</f>
        <v>Fitnesss</v>
      </c>
      <c r="R511" s="8">
        <v>23.9</v>
      </c>
      <c r="S511" s="8">
        <v>1.5</v>
      </c>
      <c r="T511" s="8">
        <v>4</v>
      </c>
      <c r="U511" s="8">
        <v>3</v>
      </c>
      <c r="V511" s="8" t="str">
        <f>IF(Table13[[#This Row],[BMI]]&lt;=18.5,"Underweight",IF(Table13[[#This Row],[BMI]]&lt;=24.9,"Normal",IF(Table13[[#This Row],[BMI]]&lt;=29.9,"Overweight",IF(Table13[[#This Row],[BMI]]&lt;=39,"Obese","Severly Obese"))))</f>
        <v>Normal</v>
      </c>
      <c r="W511" s="18">
        <v>19.350000000000001</v>
      </c>
    </row>
    <row r="512" spans="6:23" x14ac:dyDescent="0.3">
      <c r="F512" s="17">
        <v>24</v>
      </c>
      <c r="G512" s="8" t="str">
        <f>IF(Table13[[#This Row],[Age]]&lt;25,"18-24",IF(Table13[[#This Row],[Age]]&lt;35,"25-34",IF(Table13[[#This Row],[Age]]&lt;45,"35-44",IF(Table13[[#This Row],[Age]]&lt;55,"45-54","55-64"))))</f>
        <v>18-24</v>
      </c>
      <c r="H512" s="8" t="s">
        <v>19</v>
      </c>
      <c r="I512" s="8">
        <v>54</v>
      </c>
      <c r="J512" s="8">
        <v>1.71</v>
      </c>
      <c r="K512" s="8">
        <v>191</v>
      </c>
      <c r="L512" s="8">
        <v>169</v>
      </c>
      <c r="M512" s="8">
        <v>71</v>
      </c>
      <c r="N512" s="8">
        <v>1.23</v>
      </c>
      <c r="O512" s="8">
        <v>730</v>
      </c>
      <c r="P512" s="8" t="s">
        <v>20</v>
      </c>
      <c r="Q512" s="8" t="str">
        <f>_xlfn.IFS(AND(Table13[[#This Row],[Gender]]="female",R512&lt;20),"Athletes",AND(Table13[[#This Row],[Gender]]="female",R512&lt;24),"Fitnesss",AND(Table13[[#This Row],[Gender]]="female",R512&lt;31),"Acceptable",AND(Table13[[#This Row],[Gender]]="female",R512&lt;40),"Obese",AND(Table13[[#This Row],[Gender]]="male",R512&lt;13),"Athletes",AND(Table13[[#This Row],[Gender]]="male",R512&lt;17),"Fitnesss",AND(Table13[[#This Row],[Gender]]="male",R512&lt;24.9),"Acceptable",AND(Table13[[#This Row],[Gender]]="male",R512&lt;40),"Obese",AND(Table13[[#This Row],[Gender]]="others",R512&lt;20),"Athletes",AND(Table13[[#This Row],[Gender]]="others",R512&lt;24),"Fitnesss",AND(Table13[[#This Row],[Gender]]="others",R512&lt;31),"Acceptable",AND(Table13[[#This Row],[Gender]]="others",R512&lt;40),"Obese")</f>
        <v>Obese</v>
      </c>
      <c r="R512" s="8">
        <v>29</v>
      </c>
      <c r="S512" s="8">
        <v>2.7</v>
      </c>
      <c r="T512" s="8">
        <v>2</v>
      </c>
      <c r="U512" s="8">
        <v>2</v>
      </c>
      <c r="V512" s="8" t="str">
        <f>IF(Table13[[#This Row],[BMI]]&lt;=18.5,"Underweight",IF(Table13[[#This Row],[BMI]]&lt;=24.9,"Normal",IF(Table13[[#This Row],[BMI]]&lt;=29.9,"Overweight",IF(Table13[[#This Row],[BMI]]&lt;=39,"Obese","Severly Obese"))))</f>
        <v>Underweight</v>
      </c>
      <c r="W512" s="18">
        <v>15.39</v>
      </c>
    </row>
    <row r="513" spans="6:23" x14ac:dyDescent="0.3">
      <c r="F513" s="17">
        <v>44</v>
      </c>
      <c r="G513" s="8" t="str">
        <f>IF(Table13[[#This Row],[Age]]&lt;25,"18-24",IF(Table13[[#This Row],[Age]]&lt;35,"25-34",IF(Table13[[#This Row],[Age]]&lt;45,"35-44",IF(Table13[[#This Row],[Age]]&lt;55,"45-54","55-64"))))</f>
        <v>35-44</v>
      </c>
      <c r="H513" s="8" t="s">
        <v>19</v>
      </c>
      <c r="I513" s="8">
        <v>53.1</v>
      </c>
      <c r="J513" s="8">
        <v>1.64</v>
      </c>
      <c r="K513" s="8">
        <v>160</v>
      </c>
      <c r="L513" s="8">
        <v>160</v>
      </c>
      <c r="M513" s="8">
        <v>74</v>
      </c>
      <c r="N513" s="8">
        <v>1.65</v>
      </c>
      <c r="O513" s="8">
        <v>749</v>
      </c>
      <c r="P513" s="8" t="s">
        <v>20</v>
      </c>
      <c r="Q513" s="8" t="str">
        <f>_xlfn.IFS(AND(Table13[[#This Row],[Gender]]="female",R513&lt;20),"Athletes",AND(Table13[[#This Row],[Gender]]="female",R513&lt;24),"Fitnesss",AND(Table13[[#This Row],[Gender]]="female",R513&lt;31),"Acceptable",AND(Table13[[#This Row],[Gender]]="female",R513&lt;40),"Obese",AND(Table13[[#This Row],[Gender]]="male",R513&lt;13),"Athletes",AND(Table13[[#This Row],[Gender]]="male",R513&lt;17),"Fitnesss",AND(Table13[[#This Row],[Gender]]="male",R513&lt;24.9),"Acceptable",AND(Table13[[#This Row],[Gender]]="male",R513&lt;40),"Obese",AND(Table13[[#This Row],[Gender]]="others",R513&lt;20),"Athletes",AND(Table13[[#This Row],[Gender]]="others",R513&lt;24),"Fitnesss",AND(Table13[[#This Row],[Gender]]="others",R513&lt;31),"Acceptable",AND(Table13[[#This Row],[Gender]]="others",R513&lt;40),"Obese")</f>
        <v>Obese</v>
      </c>
      <c r="R513" s="8">
        <v>27</v>
      </c>
      <c r="S513" s="8">
        <v>3.2</v>
      </c>
      <c r="T513" s="8"/>
      <c r="U513" s="8">
        <v>2</v>
      </c>
      <c r="V513" s="8" t="str">
        <f>IF(Table13[[#This Row],[BMI]]&lt;=18.5,"Underweight",IF(Table13[[#This Row],[BMI]]&lt;=24.9,"Normal",IF(Table13[[#This Row],[BMI]]&lt;=29.9,"Overweight",IF(Table13[[#This Row],[BMI]]&lt;=39,"Obese","Severly Obese"))))</f>
        <v>Overweight</v>
      </c>
      <c r="W513" s="18">
        <v>27.79</v>
      </c>
    </row>
    <row r="514" spans="6:23" x14ac:dyDescent="0.3">
      <c r="F514" s="17">
        <v>21</v>
      </c>
      <c r="G514" s="8" t="str">
        <f>IF(Table13[[#This Row],[Age]]&lt;25,"18-24",IF(Table13[[#This Row],[Age]]&lt;35,"25-34",IF(Table13[[#This Row],[Age]]&lt;45,"35-44",IF(Table13[[#This Row],[Age]]&lt;55,"45-54","55-64"))))</f>
        <v>18-24</v>
      </c>
      <c r="H514" s="8" t="s">
        <v>17</v>
      </c>
      <c r="I514" s="8">
        <v>87.8</v>
      </c>
      <c r="J514" s="8">
        <v>1.88</v>
      </c>
      <c r="K514" s="8">
        <v>195</v>
      </c>
      <c r="L514" s="8">
        <v>133</v>
      </c>
      <c r="M514" s="8">
        <v>74</v>
      </c>
      <c r="N514" s="8">
        <v>1.95</v>
      </c>
      <c r="O514" s="8">
        <v>621</v>
      </c>
      <c r="P514" s="8" t="s">
        <v>21</v>
      </c>
      <c r="Q514" s="8" t="str">
        <f>_xlfn.IFS(AND(Table13[[#This Row],[Gender]]="female",R514&lt;20),"Athletes",AND(Table13[[#This Row],[Gender]]="female",R514&lt;24),"Fitnesss",AND(Table13[[#This Row],[Gender]]="female",R514&lt;31),"Acceptable",AND(Table13[[#This Row],[Gender]]="female",R514&lt;40),"Obese",AND(Table13[[#This Row],[Gender]]="male",R514&lt;13),"Athletes",AND(Table13[[#This Row],[Gender]]="male",R514&lt;17),"Fitnesss",AND(Table13[[#This Row],[Gender]]="male",R514&lt;24.9),"Acceptable",AND(Table13[[#This Row],[Gender]]="male",R514&lt;40),"Obese",AND(Table13[[#This Row],[Gender]]="others",R514&lt;20),"Athletes",AND(Table13[[#This Row],[Gender]]="others",R514&lt;24),"Fitnesss",AND(Table13[[#This Row],[Gender]]="others",R514&lt;31),"Acceptable",AND(Table13[[#This Row],[Gender]]="others",R514&lt;40),"Obese")</f>
        <v>Athletes</v>
      </c>
      <c r="R514" s="8">
        <v>19.899999999999999</v>
      </c>
      <c r="S514" s="8">
        <v>3.4</v>
      </c>
      <c r="T514" s="8">
        <v>3</v>
      </c>
      <c r="U514" s="8">
        <v>3</v>
      </c>
      <c r="V514" s="8" t="str">
        <f>IF(Table13[[#This Row],[BMI]]&lt;=18.5,"Underweight",IF(Table13[[#This Row],[BMI]]&lt;=24.9,"Normal",IF(Table13[[#This Row],[BMI]]&lt;=29.9,"Overweight",IF(Table13[[#This Row],[BMI]]&lt;=39,"Obese","Severly Obese"))))</f>
        <v>Normal</v>
      </c>
      <c r="W514" s="18">
        <v>20.22</v>
      </c>
    </row>
    <row r="515" spans="6:23" x14ac:dyDescent="0.3">
      <c r="F515" s="17">
        <v>42</v>
      </c>
      <c r="G515" s="8" t="str">
        <f>IF(Table13[[#This Row],[Age]]&lt;25,"18-24",IF(Table13[[#This Row],[Age]]&lt;35,"25-34",IF(Table13[[#This Row],[Age]]&lt;45,"35-44",IF(Table13[[#This Row],[Age]]&lt;55,"45-54","55-64"))))</f>
        <v>35-44</v>
      </c>
      <c r="H515" s="8" t="s">
        <v>19</v>
      </c>
      <c r="I515" s="8">
        <v>67.400000000000006</v>
      </c>
      <c r="J515" s="8">
        <v>1.91</v>
      </c>
      <c r="K515" s="8">
        <v>191</v>
      </c>
      <c r="L515" s="8">
        <v>146</v>
      </c>
      <c r="M515" s="8">
        <v>52</v>
      </c>
      <c r="N515" s="8">
        <v>1.26</v>
      </c>
      <c r="O515" s="8"/>
      <c r="P515" s="8" t="s">
        <v>21</v>
      </c>
      <c r="Q515" s="8" t="str">
        <f>_xlfn.IFS(AND(Table13[[#This Row],[Gender]]="female",R515&lt;20),"Athletes",AND(Table13[[#This Row],[Gender]]="female",R515&lt;24),"Fitnesss",AND(Table13[[#This Row],[Gender]]="female",R515&lt;31),"Acceptable",AND(Table13[[#This Row],[Gender]]="female",R515&lt;40),"Obese",AND(Table13[[#This Row],[Gender]]="male",R515&lt;13),"Athletes",AND(Table13[[#This Row],[Gender]]="male",R515&lt;17),"Fitnesss",AND(Table13[[#This Row],[Gender]]="male",R515&lt;24.9),"Acceptable",AND(Table13[[#This Row],[Gender]]="male",R515&lt;40),"Obese",AND(Table13[[#This Row],[Gender]]="others",R515&lt;20),"Athletes",AND(Table13[[#This Row],[Gender]]="others",R515&lt;24),"Fitnesss",AND(Table13[[#This Row],[Gender]]="others",R515&lt;31),"Acceptable",AND(Table13[[#This Row],[Gender]]="others",R515&lt;40),"Obese")</f>
        <v>Obese</v>
      </c>
      <c r="R515" s="8">
        <v>26.9</v>
      </c>
      <c r="S515" s="8">
        <v>3.7</v>
      </c>
      <c r="T515" s="8">
        <v>3</v>
      </c>
      <c r="U515" s="8">
        <v>3</v>
      </c>
      <c r="V515" s="8" t="str">
        <f>IF(Table13[[#This Row],[BMI]]&lt;=18.5,"Underweight",IF(Table13[[#This Row],[BMI]]&lt;=24.9,"Normal",IF(Table13[[#This Row],[BMI]]&lt;=29.9,"Overweight",IF(Table13[[#This Row],[BMI]]&lt;=39,"Obese","Severly Obese"))))</f>
        <v>Normal</v>
      </c>
      <c r="W515" s="18">
        <v>23.62</v>
      </c>
    </row>
    <row r="516" spans="6:23" x14ac:dyDescent="0.3">
      <c r="F516" s="17">
        <v>38</v>
      </c>
      <c r="G516" s="8" t="str">
        <f>IF(Table13[[#This Row],[Age]]&lt;25,"18-24",IF(Table13[[#This Row],[Age]]&lt;35,"25-34",IF(Table13[[#This Row],[Age]]&lt;45,"35-44",IF(Table13[[#This Row],[Age]]&lt;55,"45-54","55-64"))))</f>
        <v>35-44</v>
      </c>
      <c r="H516" s="8" t="s">
        <v>19</v>
      </c>
      <c r="I516" s="8">
        <v>82.7</v>
      </c>
      <c r="J516" s="8">
        <v>2</v>
      </c>
      <c r="K516" s="8">
        <v>178</v>
      </c>
      <c r="L516" s="8">
        <v>138</v>
      </c>
      <c r="M516" s="8">
        <v>72</v>
      </c>
      <c r="N516" s="8">
        <v>1.46</v>
      </c>
      <c r="O516" s="8">
        <v>1219</v>
      </c>
      <c r="P516" s="8" t="s">
        <v>22</v>
      </c>
      <c r="Q516" s="8" t="str">
        <f>_xlfn.IFS(AND(Table13[[#This Row],[Gender]]="female",R516&lt;20),"Athletes",AND(Table13[[#This Row],[Gender]]="female",R516&lt;24),"Fitnesss",AND(Table13[[#This Row],[Gender]]="female",R516&lt;31),"Acceptable",AND(Table13[[#This Row],[Gender]]="female",R516&lt;40),"Obese",AND(Table13[[#This Row],[Gender]]="male",R516&lt;13),"Athletes",AND(Table13[[#This Row],[Gender]]="male",R516&lt;17),"Fitnesss",AND(Table13[[#This Row],[Gender]]="male",R516&lt;24.9),"Acceptable",AND(Table13[[#This Row],[Gender]]="male",R516&lt;40),"Obese",AND(Table13[[#This Row],[Gender]]="others",R516&lt;20),"Athletes",AND(Table13[[#This Row],[Gender]]="others",R516&lt;24),"Fitnesss",AND(Table13[[#This Row],[Gender]]="others",R516&lt;31),"Acceptable",AND(Table13[[#This Row],[Gender]]="others",R516&lt;40),"Obese")</f>
        <v>Obese</v>
      </c>
      <c r="R516" s="8">
        <v>25.8</v>
      </c>
      <c r="S516" s="8">
        <v>3.6</v>
      </c>
      <c r="T516" s="8">
        <v>4</v>
      </c>
      <c r="U516" s="8">
        <v>1</v>
      </c>
      <c r="V516" s="8" t="str">
        <f>IF(Table13[[#This Row],[BMI]]&lt;=18.5,"Underweight",IF(Table13[[#This Row],[BMI]]&lt;=24.9,"Normal",IF(Table13[[#This Row],[BMI]]&lt;=29.9,"Overweight",IF(Table13[[#This Row],[BMI]]&lt;=39,"Obese","Severly Obese"))))</f>
        <v>Normal</v>
      </c>
      <c r="W516" s="18">
        <v>24.74</v>
      </c>
    </row>
    <row r="517" spans="6:23" x14ac:dyDescent="0.3">
      <c r="F517" s="17">
        <v>33</v>
      </c>
      <c r="G517" s="8" t="str">
        <f>IF(Table13[[#This Row],[Age]]&lt;25,"18-24",IF(Table13[[#This Row],[Age]]&lt;35,"25-34",IF(Table13[[#This Row],[Age]]&lt;45,"35-44",IF(Table13[[#This Row],[Age]]&lt;55,"45-54","55-64"))))</f>
        <v>25-34</v>
      </c>
      <c r="H517" s="8" t="s">
        <v>19</v>
      </c>
      <c r="I517" s="8">
        <v>84</v>
      </c>
      <c r="J517" s="8">
        <v>1.7</v>
      </c>
      <c r="K517" s="8">
        <v>194</v>
      </c>
      <c r="L517" s="8">
        <v>156</v>
      </c>
      <c r="M517" s="8">
        <v>73</v>
      </c>
      <c r="N517" s="8">
        <v>0.5</v>
      </c>
      <c r="O517" s="8">
        <v>580</v>
      </c>
      <c r="P517" s="8" t="s">
        <v>20</v>
      </c>
      <c r="Q517" s="8" t="str">
        <f>_xlfn.IFS(AND(Table13[[#This Row],[Gender]]="female",R517&lt;20),"Athletes",AND(Table13[[#This Row],[Gender]]="female",R517&lt;24),"Fitnesss",AND(Table13[[#This Row],[Gender]]="female",R517&lt;31),"Acceptable",AND(Table13[[#This Row],[Gender]]="female",R517&lt;40),"Obese",AND(Table13[[#This Row],[Gender]]="male",R517&lt;13),"Athletes",AND(Table13[[#This Row],[Gender]]="male",R517&lt;17),"Fitnesss",AND(Table13[[#This Row],[Gender]]="male",R517&lt;24.9),"Acceptable",AND(Table13[[#This Row],[Gender]]="male",R517&lt;40),"Obese",AND(Table13[[#This Row],[Gender]]="others",R517&lt;20),"Athletes",AND(Table13[[#This Row],[Gender]]="others",R517&lt;24),"Fitnesss",AND(Table13[[#This Row],[Gender]]="others",R517&lt;31),"Acceptable",AND(Table13[[#This Row],[Gender]]="others",R517&lt;40),"Obese")</f>
        <v>Acceptable</v>
      </c>
      <c r="R517" s="8">
        <v>20.5</v>
      </c>
      <c r="S517" s="8">
        <v>2.5</v>
      </c>
      <c r="T517" s="8">
        <v>3</v>
      </c>
      <c r="U517" s="8">
        <v>3</v>
      </c>
      <c r="V517" s="8" t="str">
        <f>IF(Table13[[#This Row],[BMI]]&lt;=18.5,"Underweight",IF(Table13[[#This Row],[BMI]]&lt;=24.9,"Normal",IF(Table13[[#This Row],[BMI]]&lt;=29.9,"Overweight",IF(Table13[[#This Row],[BMI]]&lt;=39,"Obese","Severly Obese"))))</f>
        <v>Underweight</v>
      </c>
      <c r="W517" s="18">
        <v>13.38</v>
      </c>
    </row>
    <row r="518" spans="6:23" x14ac:dyDescent="0.3">
      <c r="F518" s="17">
        <v>18</v>
      </c>
      <c r="G518" s="8" t="str">
        <f>IF(Table13[[#This Row],[Age]]&lt;25,"18-24",IF(Table13[[#This Row],[Age]]&lt;35,"25-34",IF(Table13[[#This Row],[Age]]&lt;45,"35-44",IF(Table13[[#This Row],[Age]]&lt;55,"45-54","55-64"))))</f>
        <v>18-24</v>
      </c>
      <c r="H518" s="8" t="s">
        <v>17</v>
      </c>
      <c r="I518" s="8">
        <v>58.4</v>
      </c>
      <c r="J518" s="8">
        <v>1.87</v>
      </c>
      <c r="K518" s="8">
        <v>167</v>
      </c>
      <c r="L518" s="8">
        <v>168</v>
      </c>
      <c r="M518" s="8">
        <v>74</v>
      </c>
      <c r="N518" s="8">
        <v>1.42</v>
      </c>
      <c r="O518" s="8">
        <v>1306</v>
      </c>
      <c r="P518" s="8" t="s">
        <v>20</v>
      </c>
      <c r="Q518" s="8" t="str">
        <f>_xlfn.IFS(AND(Table13[[#This Row],[Gender]]="female",R518&lt;20),"Athletes",AND(Table13[[#This Row],[Gender]]="female",R518&lt;24),"Fitnesss",AND(Table13[[#This Row],[Gender]]="female",R518&lt;31),"Acceptable",AND(Table13[[#This Row],[Gender]]="female",R518&lt;40),"Obese",AND(Table13[[#This Row],[Gender]]="male",R518&lt;13),"Athletes",AND(Table13[[#This Row],[Gender]]="male",R518&lt;17),"Fitnesss",AND(Table13[[#This Row],[Gender]]="male",R518&lt;24.9),"Acceptable",AND(Table13[[#This Row],[Gender]]="male",R518&lt;40),"Obese",AND(Table13[[#This Row],[Gender]]="others",R518&lt;20),"Athletes",AND(Table13[[#This Row],[Gender]]="others",R518&lt;24),"Fitnesss",AND(Table13[[#This Row],[Gender]]="others",R518&lt;31),"Acceptable",AND(Table13[[#This Row],[Gender]]="others",R518&lt;40),"Obese")</f>
        <v>Acceptable</v>
      </c>
      <c r="R518" s="8">
        <v>26.9</v>
      </c>
      <c r="S518" s="8">
        <v>3.2</v>
      </c>
      <c r="T518" s="8">
        <v>2</v>
      </c>
      <c r="U518" s="8">
        <v>1</v>
      </c>
      <c r="V518" s="8" t="str">
        <f>IF(Table13[[#This Row],[BMI]]&lt;=18.5,"Underweight",IF(Table13[[#This Row],[BMI]]&lt;=24.9,"Normal",IF(Table13[[#This Row],[BMI]]&lt;=29.9,"Overweight",IF(Table13[[#This Row],[BMI]]&lt;=39,"Obese","Severly Obese"))))</f>
        <v>Underweight</v>
      </c>
      <c r="W518" s="18">
        <v>17.66</v>
      </c>
    </row>
    <row r="519" spans="6:23" x14ac:dyDescent="0.3">
      <c r="F519" s="17">
        <v>48</v>
      </c>
      <c r="G519" s="8" t="str">
        <f>IF(Table13[[#This Row],[Age]]&lt;25,"18-24",IF(Table13[[#This Row],[Age]]&lt;35,"25-34",IF(Table13[[#This Row],[Age]]&lt;45,"35-44",IF(Table13[[#This Row],[Age]]&lt;55,"45-54","55-64"))))</f>
        <v>45-54</v>
      </c>
      <c r="H519" s="8" t="s">
        <v>19</v>
      </c>
      <c r="I519" s="8">
        <v>63.8</v>
      </c>
      <c r="J519" s="8">
        <v>1.79</v>
      </c>
      <c r="K519" s="8">
        <v>185</v>
      </c>
      <c r="L519" s="8">
        <v>135</v>
      </c>
      <c r="M519" s="8">
        <v>71</v>
      </c>
      <c r="N519" s="8">
        <v>1.69</v>
      </c>
      <c r="O519" s="8">
        <v>1242</v>
      </c>
      <c r="P519" s="8" t="s">
        <v>21</v>
      </c>
      <c r="Q519" s="8" t="str">
        <f>_xlfn.IFS(AND(Table13[[#This Row],[Gender]]="female",R519&lt;20),"Athletes",AND(Table13[[#This Row],[Gender]]="female",R519&lt;24),"Fitnesss",AND(Table13[[#This Row],[Gender]]="female",R519&lt;31),"Acceptable",AND(Table13[[#This Row],[Gender]]="female",R519&lt;40),"Obese",AND(Table13[[#This Row],[Gender]]="male",R519&lt;13),"Athletes",AND(Table13[[#This Row],[Gender]]="male",R519&lt;17),"Fitnesss",AND(Table13[[#This Row],[Gender]]="male",R519&lt;24.9),"Acceptable",AND(Table13[[#This Row],[Gender]]="male",R519&lt;40),"Obese",AND(Table13[[#This Row],[Gender]]="others",R519&lt;20),"Athletes",AND(Table13[[#This Row],[Gender]]="others",R519&lt;24),"Fitnesss",AND(Table13[[#This Row],[Gender]]="others",R519&lt;31),"Acceptable",AND(Table13[[#This Row],[Gender]]="others",R519&lt;40),"Obese")</f>
        <v>Obese</v>
      </c>
      <c r="R519" s="8">
        <v>29.7</v>
      </c>
      <c r="S519" s="8">
        <v>1.5</v>
      </c>
      <c r="T519" s="8">
        <v>4</v>
      </c>
      <c r="U519" s="8">
        <v>1</v>
      </c>
      <c r="V519" s="8" t="str">
        <f>IF(Table13[[#This Row],[BMI]]&lt;=18.5,"Underweight",IF(Table13[[#This Row],[BMI]]&lt;=24.9,"Normal",IF(Table13[[#This Row],[BMI]]&lt;=29.9,"Overweight",IF(Table13[[#This Row],[BMI]]&lt;=39,"Obese","Severly Obese"))))</f>
        <v>Overweight</v>
      </c>
      <c r="W519" s="18">
        <v>25.54</v>
      </c>
    </row>
    <row r="520" spans="6:23" x14ac:dyDescent="0.3">
      <c r="F520" s="17">
        <v>45</v>
      </c>
      <c r="G520" s="8" t="str">
        <f>IF(Table13[[#This Row],[Age]]&lt;25,"18-24",IF(Table13[[#This Row],[Age]]&lt;35,"25-34",IF(Table13[[#This Row],[Age]]&lt;45,"35-44",IF(Table13[[#This Row],[Age]]&lt;55,"45-54","55-64"))))</f>
        <v>45-54</v>
      </c>
      <c r="H520" s="8" t="s">
        <v>19</v>
      </c>
      <c r="I520" s="8">
        <v>94.6</v>
      </c>
      <c r="J520" s="8">
        <v>1.69</v>
      </c>
      <c r="K520" s="8">
        <v>178</v>
      </c>
      <c r="L520" s="8">
        <v>147</v>
      </c>
      <c r="M520" s="8">
        <v>56</v>
      </c>
      <c r="N520" s="8">
        <v>1.95</v>
      </c>
      <c r="O520" s="8">
        <v>1105</v>
      </c>
      <c r="P520" s="8" t="s">
        <v>22</v>
      </c>
      <c r="Q520" s="8" t="str">
        <f>_xlfn.IFS(AND(Table13[[#This Row],[Gender]]="female",R520&lt;20),"Athletes",AND(Table13[[#This Row],[Gender]]="female",R520&lt;24),"Fitnesss",AND(Table13[[#This Row],[Gender]]="female",R520&lt;31),"Acceptable",AND(Table13[[#This Row],[Gender]]="female",R520&lt;40),"Obese",AND(Table13[[#This Row],[Gender]]="male",R520&lt;13),"Athletes",AND(Table13[[#This Row],[Gender]]="male",R520&lt;17),"Fitnesss",AND(Table13[[#This Row],[Gender]]="male",R520&lt;24.9),"Acceptable",AND(Table13[[#This Row],[Gender]]="male",R520&lt;40),"Obese",AND(Table13[[#This Row],[Gender]]="others",R520&lt;20),"Athletes",AND(Table13[[#This Row],[Gender]]="others",R520&lt;24),"Fitnesss",AND(Table13[[#This Row],[Gender]]="others",R520&lt;31),"Acceptable",AND(Table13[[#This Row],[Gender]]="others",R520&lt;40),"Obese")</f>
        <v>Obese</v>
      </c>
      <c r="R520" s="8">
        <v>29.9</v>
      </c>
      <c r="S520" s="8">
        <v>1.8</v>
      </c>
      <c r="T520" s="8">
        <v>2</v>
      </c>
      <c r="U520" s="8">
        <v>2</v>
      </c>
      <c r="V520" s="8" t="str">
        <f>IF(Table13[[#This Row],[BMI]]&lt;=18.5,"Underweight",IF(Table13[[#This Row],[BMI]]&lt;=24.9,"Normal",IF(Table13[[#This Row],[BMI]]&lt;=29.9,"Overweight",IF(Table13[[#This Row],[BMI]]&lt;=39,"Obese","Severly Obese"))))</f>
        <v>Underweight</v>
      </c>
      <c r="W520" s="18">
        <v>15.15</v>
      </c>
    </row>
    <row r="521" spans="6:23" x14ac:dyDescent="0.3">
      <c r="F521" s="17">
        <v>21</v>
      </c>
      <c r="G521" s="8" t="str">
        <f>IF(Table13[[#This Row],[Age]]&lt;25,"18-24",IF(Table13[[#This Row],[Age]]&lt;35,"25-34",IF(Table13[[#This Row],[Age]]&lt;45,"35-44",IF(Table13[[#This Row],[Age]]&lt;55,"45-54","55-64"))))</f>
        <v>18-24</v>
      </c>
      <c r="H521" s="8" t="s">
        <v>17</v>
      </c>
      <c r="I521" s="8">
        <v>40</v>
      </c>
      <c r="J521" s="8">
        <v>1.58</v>
      </c>
      <c r="K521" s="8">
        <v>165</v>
      </c>
      <c r="L521" s="8">
        <v>134</v>
      </c>
      <c r="M521" s="8">
        <v>69</v>
      </c>
      <c r="N521" s="8">
        <v>1.05</v>
      </c>
      <c r="O521" s="8">
        <v>624</v>
      </c>
      <c r="P521" s="8" t="s">
        <v>18</v>
      </c>
      <c r="Q521" s="8" t="str">
        <f>_xlfn.IFS(AND(Table13[[#This Row],[Gender]]="female",R521&lt;20),"Athletes",AND(Table13[[#This Row],[Gender]]="female",R521&lt;24),"Fitnesss",AND(Table13[[#This Row],[Gender]]="female",R521&lt;31),"Acceptable",AND(Table13[[#This Row],[Gender]]="female",R521&lt;40),"Obese",AND(Table13[[#This Row],[Gender]]="male",R521&lt;13),"Athletes",AND(Table13[[#This Row],[Gender]]="male",R521&lt;17),"Fitnesss",AND(Table13[[#This Row],[Gender]]="male",R521&lt;24.9),"Acceptable",AND(Table13[[#This Row],[Gender]]="male",R521&lt;40),"Obese",AND(Table13[[#This Row],[Gender]]="others",R521&lt;20),"Athletes",AND(Table13[[#This Row],[Gender]]="others",R521&lt;24),"Fitnesss",AND(Table13[[#This Row],[Gender]]="others",R521&lt;31),"Acceptable",AND(Table13[[#This Row],[Gender]]="others",R521&lt;40),"Obese")</f>
        <v>Acceptable</v>
      </c>
      <c r="R521" s="8">
        <v>29.2</v>
      </c>
      <c r="S521" s="8">
        <v>1.7</v>
      </c>
      <c r="T521" s="8">
        <v>3</v>
      </c>
      <c r="U521" s="8">
        <v>1</v>
      </c>
      <c r="V521" s="8" t="str">
        <f>IF(Table13[[#This Row],[BMI]]&lt;=18.5,"Underweight",IF(Table13[[#This Row],[BMI]]&lt;=24.9,"Normal",IF(Table13[[#This Row],[BMI]]&lt;=29.9,"Overweight",IF(Table13[[#This Row],[BMI]]&lt;=39,"Obese","Severly Obese"))))</f>
        <v>Underweight</v>
      </c>
      <c r="W521" s="18">
        <v>12.47</v>
      </c>
    </row>
    <row r="522" spans="6:23" x14ac:dyDescent="0.3">
      <c r="F522" s="17">
        <v>59</v>
      </c>
      <c r="G522" s="8" t="str">
        <f>IF(Table13[[#This Row],[Age]]&lt;25,"18-24",IF(Table13[[#This Row],[Age]]&lt;35,"25-34",IF(Table13[[#This Row],[Age]]&lt;45,"35-44",IF(Table13[[#This Row],[Age]]&lt;55,"45-54","55-64"))))</f>
        <v>55-64</v>
      </c>
      <c r="H522" s="8" t="s">
        <v>17</v>
      </c>
      <c r="I522" s="8">
        <v>71.099999999999994</v>
      </c>
      <c r="J522" s="8">
        <v>1.73</v>
      </c>
      <c r="K522" s="8">
        <v>184</v>
      </c>
      <c r="L522" s="8">
        <v>125</v>
      </c>
      <c r="M522" s="8">
        <v>66</v>
      </c>
      <c r="N522" s="8">
        <v>1.07</v>
      </c>
      <c r="O522" s="8">
        <v>691</v>
      </c>
      <c r="P522" s="8" t="s">
        <v>20</v>
      </c>
      <c r="Q522" s="8" t="str">
        <f>_xlfn.IFS(AND(Table13[[#This Row],[Gender]]="female",R522&lt;20),"Athletes",AND(Table13[[#This Row],[Gender]]="female",R522&lt;24),"Fitnesss",AND(Table13[[#This Row],[Gender]]="female",R522&lt;31),"Acceptable",AND(Table13[[#This Row],[Gender]]="female",R522&lt;40),"Obese",AND(Table13[[#This Row],[Gender]]="male",R522&lt;13),"Athletes",AND(Table13[[#This Row],[Gender]]="male",R522&lt;17),"Fitnesss",AND(Table13[[#This Row],[Gender]]="male",R522&lt;24.9),"Acceptable",AND(Table13[[#This Row],[Gender]]="male",R522&lt;40),"Obese",AND(Table13[[#This Row],[Gender]]="others",R522&lt;20),"Athletes",AND(Table13[[#This Row],[Gender]]="others",R522&lt;24),"Fitnesss",AND(Table13[[#This Row],[Gender]]="others",R522&lt;31),"Acceptable",AND(Table13[[#This Row],[Gender]]="others",R522&lt;40),"Obese")</f>
        <v>Acceptable</v>
      </c>
      <c r="R522" s="8">
        <v>25.2</v>
      </c>
      <c r="S522" s="8">
        <v>2.6</v>
      </c>
      <c r="T522" s="8">
        <v>2</v>
      </c>
      <c r="U522" s="8">
        <v>3</v>
      </c>
      <c r="V522" s="8" t="str">
        <f>IF(Table13[[#This Row],[BMI]]&lt;=18.5,"Underweight",IF(Table13[[#This Row],[BMI]]&lt;=24.9,"Normal",IF(Table13[[#This Row],[BMI]]&lt;=29.9,"Overweight",IF(Table13[[#This Row],[BMI]]&lt;=39,"Obese","Severly Obese"))))</f>
        <v>Obese</v>
      </c>
      <c r="W522" s="18">
        <v>34.409999999999997</v>
      </c>
    </row>
    <row r="523" spans="6:23" x14ac:dyDescent="0.3">
      <c r="F523" s="17">
        <v>19</v>
      </c>
      <c r="G523" s="8" t="str">
        <f>IF(Table13[[#This Row],[Age]]&lt;25,"18-24",IF(Table13[[#This Row],[Age]]&lt;35,"25-34",IF(Table13[[#This Row],[Age]]&lt;45,"35-44",IF(Table13[[#This Row],[Age]]&lt;55,"45-54","55-64"))))</f>
        <v>18-24</v>
      </c>
      <c r="H523" s="8" t="s">
        <v>23</v>
      </c>
      <c r="I523" s="8">
        <v>116.6</v>
      </c>
      <c r="J523" s="8">
        <v>1.72</v>
      </c>
      <c r="K523" s="8">
        <v>187</v>
      </c>
      <c r="L523" s="8">
        <v>126</v>
      </c>
      <c r="M523" s="8">
        <v>70</v>
      </c>
      <c r="N523" s="8">
        <v>1.1000000000000001</v>
      </c>
      <c r="O523" s="8">
        <v>779</v>
      </c>
      <c r="P523" s="8" t="s">
        <v>18</v>
      </c>
      <c r="Q523" s="8" t="str">
        <f>_xlfn.IFS(AND(Table13[[#This Row],[Gender]]="female",R523&lt;20),"Athletes",AND(Table13[[#This Row],[Gender]]="female",R523&lt;24),"Fitnesss",AND(Table13[[#This Row],[Gender]]="female",R523&lt;31),"Acceptable",AND(Table13[[#This Row],[Gender]]="female",R523&lt;40),"Obese",AND(Table13[[#This Row],[Gender]]="male",R523&lt;13),"Athletes",AND(Table13[[#This Row],[Gender]]="male",R523&lt;17),"Fitnesss",AND(Table13[[#This Row],[Gender]]="male",R523&lt;24.9),"Acceptable",AND(Table13[[#This Row],[Gender]]="male",R523&lt;40),"Obese",AND(Table13[[#This Row],[Gender]]="others",R523&lt;20),"Athletes",AND(Table13[[#This Row],[Gender]]="others",R523&lt;24),"Fitnesss",AND(Table13[[#This Row],[Gender]]="others",R523&lt;31),"Acceptable",AND(Table13[[#This Row],[Gender]]="others",R523&lt;40),"Obese")</f>
        <v>Fitnesss</v>
      </c>
      <c r="R523" s="8">
        <v>23.8</v>
      </c>
      <c r="S523" s="8">
        <v>2.6</v>
      </c>
      <c r="T523" s="8">
        <v>3</v>
      </c>
      <c r="U523" s="8">
        <v>2</v>
      </c>
      <c r="V523" s="8" t="str">
        <f>IF(Table13[[#This Row],[BMI]]&lt;=18.5,"Underweight",IF(Table13[[#This Row],[BMI]]&lt;=24.9,"Normal",IF(Table13[[#This Row],[BMI]]&lt;=29.9,"Overweight",IF(Table13[[#This Row],[BMI]]&lt;=39,"Obese","Severly Obese"))))</f>
        <v>Underweight</v>
      </c>
      <c r="W523" s="18">
        <v>16.61</v>
      </c>
    </row>
    <row r="524" spans="6:23" x14ac:dyDescent="0.3">
      <c r="F524" s="17">
        <v>36</v>
      </c>
      <c r="G524" s="8" t="str">
        <f>IF(Table13[[#This Row],[Age]]&lt;25,"18-24",IF(Table13[[#This Row],[Age]]&lt;35,"25-34",IF(Table13[[#This Row],[Age]]&lt;45,"35-44",IF(Table13[[#This Row],[Age]]&lt;55,"45-54","55-64"))))</f>
        <v>35-44</v>
      </c>
      <c r="H524" s="8" t="s">
        <v>17</v>
      </c>
      <c r="I524" s="8">
        <v>55</v>
      </c>
      <c r="J524" s="8">
        <v>1.77</v>
      </c>
      <c r="K524" s="8">
        <v>161</v>
      </c>
      <c r="L524" s="8">
        <v>142</v>
      </c>
      <c r="M524" s="8">
        <v>74</v>
      </c>
      <c r="N524" s="8">
        <v>1.04</v>
      </c>
      <c r="O524" s="8">
        <v>1564</v>
      </c>
      <c r="P524" s="8" t="s">
        <v>23</v>
      </c>
      <c r="Q524" s="8" t="str">
        <f>_xlfn.IFS(AND(Table13[[#This Row],[Gender]]="female",R524&lt;20),"Athletes",AND(Table13[[#This Row],[Gender]]="female",R524&lt;24),"Fitnesss",AND(Table13[[#This Row],[Gender]]="female",R524&lt;31),"Acceptable",AND(Table13[[#This Row],[Gender]]="female",R524&lt;40),"Obese",AND(Table13[[#This Row],[Gender]]="male",R524&lt;13),"Athletes",AND(Table13[[#This Row],[Gender]]="male",R524&lt;17),"Fitnesss",AND(Table13[[#This Row],[Gender]]="male",R524&lt;24.9),"Acceptable",AND(Table13[[#This Row],[Gender]]="male",R524&lt;40),"Obese",AND(Table13[[#This Row],[Gender]]="others",R524&lt;20),"Athletes",AND(Table13[[#This Row],[Gender]]="others",R524&lt;24),"Fitnesss",AND(Table13[[#This Row],[Gender]]="others",R524&lt;31),"Acceptable",AND(Table13[[#This Row],[Gender]]="others",R524&lt;40),"Obese")</f>
        <v>Athletes</v>
      </c>
      <c r="R524" s="8">
        <v>19.8</v>
      </c>
      <c r="S524" s="8">
        <v>3.2</v>
      </c>
      <c r="T524" s="8">
        <v>2</v>
      </c>
      <c r="U524" s="8">
        <v>2</v>
      </c>
      <c r="V524" s="8" t="str">
        <f>IF(Table13[[#This Row],[BMI]]&lt;=18.5,"Underweight",IF(Table13[[#This Row],[BMI]]&lt;=24.9,"Normal",IF(Table13[[#This Row],[BMI]]&lt;=29.9,"Overweight",IF(Table13[[#This Row],[BMI]]&lt;=39,"Obese","Severly Obese"))))</f>
        <v>Normal</v>
      </c>
      <c r="W524" s="18">
        <v>21.97</v>
      </c>
    </row>
    <row r="525" spans="6:23" x14ac:dyDescent="0.3">
      <c r="F525" s="17">
        <v>33</v>
      </c>
      <c r="G525" s="8" t="str">
        <f>IF(Table13[[#This Row],[Age]]&lt;25,"18-24",IF(Table13[[#This Row],[Age]]&lt;35,"25-34",IF(Table13[[#This Row],[Age]]&lt;45,"35-44",IF(Table13[[#This Row],[Age]]&lt;55,"45-54","55-64"))))</f>
        <v>25-34</v>
      </c>
      <c r="H525" s="8" t="s">
        <v>17</v>
      </c>
      <c r="I525" s="8">
        <v>76.3</v>
      </c>
      <c r="J525" s="8">
        <v>1.88</v>
      </c>
      <c r="K525" s="8">
        <v>169</v>
      </c>
      <c r="L525" s="8">
        <v>161</v>
      </c>
      <c r="M525" s="8">
        <v>69</v>
      </c>
      <c r="N525" s="8"/>
      <c r="O525" s="8">
        <v>1265</v>
      </c>
      <c r="P525" s="8" t="s">
        <v>20</v>
      </c>
      <c r="Q525" s="8" t="str">
        <f>_xlfn.IFS(AND(Table13[[#This Row],[Gender]]="female",R525&lt;20),"Athletes",AND(Table13[[#This Row],[Gender]]="female",R525&lt;24),"Fitnesss",AND(Table13[[#This Row],[Gender]]="female",R525&lt;31),"Acceptable",AND(Table13[[#This Row],[Gender]]="female",R525&lt;40),"Obese",AND(Table13[[#This Row],[Gender]]="male",R525&lt;13),"Athletes",AND(Table13[[#This Row],[Gender]]="male",R525&lt;17),"Fitnesss",AND(Table13[[#This Row],[Gender]]="male",R525&lt;24.9),"Acceptable",AND(Table13[[#This Row],[Gender]]="male",R525&lt;40),"Obese",AND(Table13[[#This Row],[Gender]]="others",R525&lt;20),"Athletes",AND(Table13[[#This Row],[Gender]]="others",R525&lt;24),"Fitnesss",AND(Table13[[#This Row],[Gender]]="others",R525&lt;31),"Acceptable",AND(Table13[[#This Row],[Gender]]="others",R525&lt;40),"Obese")</f>
        <v>Acceptable</v>
      </c>
      <c r="R525" s="8">
        <v>24.2</v>
      </c>
      <c r="S525" s="8">
        <v>1.5</v>
      </c>
      <c r="T525" s="8">
        <v>4</v>
      </c>
      <c r="U525" s="8">
        <v>2</v>
      </c>
      <c r="V525" s="8" t="str">
        <f>IF(Table13[[#This Row],[BMI]]&lt;=18.5,"Underweight",IF(Table13[[#This Row],[BMI]]&lt;=24.9,"Normal",IF(Table13[[#This Row],[BMI]]&lt;=29.9,"Overweight",IF(Table13[[#This Row],[BMI]]&lt;=39,"Obese","Severly Obese"))))</f>
        <v>Underweight</v>
      </c>
      <c r="W525" s="18">
        <v>14.97</v>
      </c>
    </row>
    <row r="526" spans="6:23" x14ac:dyDescent="0.3">
      <c r="F526" s="17">
        <v>22</v>
      </c>
      <c r="G526" s="8" t="str">
        <f>IF(Table13[[#This Row],[Age]]&lt;25,"18-24",IF(Table13[[#This Row],[Age]]&lt;35,"25-34",IF(Table13[[#This Row],[Age]]&lt;45,"35-44",IF(Table13[[#This Row],[Age]]&lt;55,"45-54","55-64"))))</f>
        <v>18-24</v>
      </c>
      <c r="H526" s="8" t="s">
        <v>17</v>
      </c>
      <c r="I526" s="8">
        <v>48.6</v>
      </c>
      <c r="J526" s="8">
        <v>1.72</v>
      </c>
      <c r="K526" s="8">
        <v>177</v>
      </c>
      <c r="L526" s="8">
        <v>156</v>
      </c>
      <c r="M526" s="8">
        <v>70</v>
      </c>
      <c r="N526" s="8">
        <v>1.39</v>
      </c>
      <c r="O526" s="8">
        <v>708</v>
      </c>
      <c r="P526" s="8" t="s">
        <v>22</v>
      </c>
      <c r="Q526" s="8" t="str">
        <f>_xlfn.IFS(AND(Table13[[#This Row],[Gender]]="female",R526&lt;20),"Athletes",AND(Table13[[#This Row],[Gender]]="female",R526&lt;24),"Fitnesss",AND(Table13[[#This Row],[Gender]]="female",R526&lt;31),"Acceptable",AND(Table13[[#This Row],[Gender]]="female",R526&lt;40),"Obese",AND(Table13[[#This Row],[Gender]]="male",R526&lt;13),"Athletes",AND(Table13[[#This Row],[Gender]]="male",R526&lt;17),"Fitnesss",AND(Table13[[#This Row],[Gender]]="male",R526&lt;24.9),"Acceptable",AND(Table13[[#This Row],[Gender]]="male",R526&lt;40),"Obese",AND(Table13[[#This Row],[Gender]]="others",R526&lt;20),"Athletes",AND(Table13[[#This Row],[Gender]]="others",R526&lt;24),"Fitnesss",AND(Table13[[#This Row],[Gender]]="others",R526&lt;31),"Acceptable",AND(Table13[[#This Row],[Gender]]="others",R526&lt;40),"Obese")</f>
        <v>Acceptable</v>
      </c>
      <c r="R526" s="8">
        <v>25.4</v>
      </c>
      <c r="S526" s="8">
        <v>3.4</v>
      </c>
      <c r="T526" s="8">
        <v>3</v>
      </c>
      <c r="U526" s="8">
        <v>1</v>
      </c>
      <c r="V526" s="8" t="str">
        <f>IF(Table13[[#This Row],[BMI]]&lt;=18.5,"Underweight",IF(Table13[[#This Row],[BMI]]&lt;=24.9,"Normal",IF(Table13[[#This Row],[BMI]]&lt;=29.9,"Overweight",IF(Table13[[#This Row],[BMI]]&lt;=39,"Obese","Severly Obese"))))</f>
        <v>Normal</v>
      </c>
      <c r="W526" s="18">
        <v>20.420000000000002</v>
      </c>
    </row>
    <row r="527" spans="6:23" x14ac:dyDescent="0.3">
      <c r="F527" s="17">
        <v>42</v>
      </c>
      <c r="G527" s="8" t="str">
        <f>IF(Table13[[#This Row],[Age]]&lt;25,"18-24",IF(Table13[[#This Row],[Age]]&lt;35,"25-34",IF(Table13[[#This Row],[Age]]&lt;45,"35-44",IF(Table13[[#This Row],[Age]]&lt;55,"45-54","55-64"))))</f>
        <v>35-44</v>
      </c>
      <c r="H527" s="8" t="s">
        <v>19</v>
      </c>
      <c r="I527" s="8">
        <v>57.3</v>
      </c>
      <c r="J527" s="8">
        <v>1.73</v>
      </c>
      <c r="K527" s="8">
        <v>194</v>
      </c>
      <c r="L527" s="8">
        <v>153</v>
      </c>
      <c r="M527" s="8">
        <v>65</v>
      </c>
      <c r="N527" s="8">
        <v>1.97</v>
      </c>
      <c r="O527" s="8">
        <v>1132</v>
      </c>
      <c r="P527" s="8" t="s">
        <v>18</v>
      </c>
      <c r="Q527" s="8" t="str">
        <f>_xlfn.IFS(AND(Table13[[#This Row],[Gender]]="female",R527&lt;20),"Athletes",AND(Table13[[#This Row],[Gender]]="female",R527&lt;24),"Fitnesss",AND(Table13[[#This Row],[Gender]]="female",R527&lt;31),"Acceptable",AND(Table13[[#This Row],[Gender]]="female",R527&lt;40),"Obese",AND(Table13[[#This Row],[Gender]]="male",R527&lt;13),"Athletes",AND(Table13[[#This Row],[Gender]]="male",R527&lt;17),"Fitnesss",AND(Table13[[#This Row],[Gender]]="male",R527&lt;24.9),"Acceptable",AND(Table13[[#This Row],[Gender]]="male",R527&lt;40),"Obese",AND(Table13[[#This Row],[Gender]]="others",R527&lt;20),"Athletes",AND(Table13[[#This Row],[Gender]]="others",R527&lt;24),"Fitnesss",AND(Table13[[#This Row],[Gender]]="others",R527&lt;31),"Acceptable",AND(Table13[[#This Row],[Gender]]="others",R527&lt;40),"Obese")</f>
        <v>Acceptable</v>
      </c>
      <c r="R527" s="8">
        <v>22.2</v>
      </c>
      <c r="S527" s="8">
        <v>3.2</v>
      </c>
      <c r="T527" s="8">
        <v>4</v>
      </c>
      <c r="U527" s="8">
        <v>1</v>
      </c>
      <c r="V527" s="8" t="str">
        <f>IF(Table13[[#This Row],[BMI]]&lt;=18.5,"Underweight",IF(Table13[[#This Row],[BMI]]&lt;=24.9,"Normal",IF(Table13[[#This Row],[BMI]]&lt;=29.9,"Overweight",IF(Table13[[#This Row],[BMI]]&lt;=39,"Obese","Severly Obese"))))</f>
        <v>Normal</v>
      </c>
      <c r="W527" s="18">
        <v>19.54</v>
      </c>
    </row>
    <row r="528" spans="6:23" x14ac:dyDescent="0.3">
      <c r="F528" s="17">
        <v>36</v>
      </c>
      <c r="G528" s="8" t="str">
        <f>IF(Table13[[#This Row],[Age]]&lt;25,"18-24",IF(Table13[[#This Row],[Age]]&lt;35,"25-34",IF(Table13[[#This Row],[Age]]&lt;45,"35-44",IF(Table13[[#This Row],[Age]]&lt;55,"45-54","55-64"))))</f>
        <v>35-44</v>
      </c>
      <c r="H528" s="8" t="s">
        <v>17</v>
      </c>
      <c r="I528" s="8">
        <v>55.9</v>
      </c>
      <c r="J528" s="8">
        <v>1.76</v>
      </c>
      <c r="K528" s="8">
        <v>181</v>
      </c>
      <c r="L528" s="8">
        <v>169</v>
      </c>
      <c r="M528" s="8">
        <v>74</v>
      </c>
      <c r="N528" s="8">
        <v>1.91</v>
      </c>
      <c r="O528" s="8">
        <v>474</v>
      </c>
      <c r="P528" s="8" t="s">
        <v>18</v>
      </c>
      <c r="Q528" s="8" t="str">
        <f>_xlfn.IFS(AND(Table13[[#This Row],[Gender]]="female",R528&lt;20),"Athletes",AND(Table13[[#This Row],[Gender]]="female",R528&lt;24),"Fitnesss",AND(Table13[[#This Row],[Gender]]="female",R528&lt;31),"Acceptable",AND(Table13[[#This Row],[Gender]]="female",R528&lt;40),"Obese",AND(Table13[[#This Row],[Gender]]="male",R528&lt;13),"Athletes",AND(Table13[[#This Row],[Gender]]="male",R528&lt;17),"Fitnesss",AND(Table13[[#This Row],[Gender]]="male",R528&lt;24.9),"Acceptable",AND(Table13[[#This Row],[Gender]]="male",R528&lt;40),"Obese",AND(Table13[[#This Row],[Gender]]="others",R528&lt;20),"Athletes",AND(Table13[[#This Row],[Gender]]="others",R528&lt;24),"Fitnesss",AND(Table13[[#This Row],[Gender]]="others",R528&lt;31),"Acceptable",AND(Table13[[#This Row],[Gender]]="others",R528&lt;40),"Obese")</f>
        <v>Athletes</v>
      </c>
      <c r="R528" s="8">
        <v>18.2</v>
      </c>
      <c r="S528" s="8">
        <v>1.5</v>
      </c>
      <c r="T528" s="8">
        <v>5</v>
      </c>
      <c r="U528" s="8">
        <v>1</v>
      </c>
      <c r="V528" s="8" t="str">
        <f>IF(Table13[[#This Row],[BMI]]&lt;=18.5,"Underweight",IF(Table13[[#This Row],[BMI]]&lt;=24.9,"Normal",IF(Table13[[#This Row],[BMI]]&lt;=29.9,"Overweight",IF(Table13[[#This Row],[BMI]]&lt;=39,"Obese","Severly Obese"))))</f>
        <v>Underweight</v>
      </c>
      <c r="W528" s="18">
        <v>12.32</v>
      </c>
    </row>
    <row r="529" spans="6:23" x14ac:dyDescent="0.3">
      <c r="F529" s="17">
        <v>41</v>
      </c>
      <c r="G529" s="8" t="str">
        <f>IF(Table13[[#This Row],[Age]]&lt;25,"18-24",IF(Table13[[#This Row],[Age]]&lt;35,"25-34",IF(Table13[[#This Row],[Age]]&lt;45,"35-44",IF(Table13[[#This Row],[Age]]&lt;55,"45-54","55-64"))))</f>
        <v>35-44</v>
      </c>
      <c r="H529" s="8" t="s">
        <v>19</v>
      </c>
      <c r="I529" s="8">
        <v>73.2</v>
      </c>
      <c r="J529" s="8">
        <v>2</v>
      </c>
      <c r="K529" s="8">
        <v>179</v>
      </c>
      <c r="L529" s="8">
        <v>161</v>
      </c>
      <c r="M529" s="8">
        <v>58</v>
      </c>
      <c r="N529" s="8">
        <v>1.06</v>
      </c>
      <c r="O529" s="8">
        <v>758</v>
      </c>
      <c r="P529" s="8" t="s">
        <v>21</v>
      </c>
      <c r="Q529" s="8" t="str">
        <f>_xlfn.IFS(AND(Table13[[#This Row],[Gender]]="female",R529&lt;20),"Athletes",AND(Table13[[#This Row],[Gender]]="female",R529&lt;24),"Fitnesss",AND(Table13[[#This Row],[Gender]]="female",R529&lt;31),"Acceptable",AND(Table13[[#This Row],[Gender]]="female",R529&lt;40),"Obese",AND(Table13[[#This Row],[Gender]]="male",R529&lt;13),"Athletes",AND(Table13[[#This Row],[Gender]]="male",R529&lt;17),"Fitnesss",AND(Table13[[#This Row],[Gender]]="male",R529&lt;24.9),"Acceptable",AND(Table13[[#This Row],[Gender]]="male",R529&lt;40),"Obese",AND(Table13[[#This Row],[Gender]]="others",R529&lt;20),"Athletes",AND(Table13[[#This Row],[Gender]]="others",R529&lt;24),"Fitnesss",AND(Table13[[#This Row],[Gender]]="others",R529&lt;31),"Acceptable",AND(Table13[[#This Row],[Gender]]="others",R529&lt;40),"Obese")</f>
        <v>Acceptable</v>
      </c>
      <c r="R529" s="8">
        <v>17.600000000000001</v>
      </c>
      <c r="S529" s="8">
        <v>1.8</v>
      </c>
      <c r="T529" s="8">
        <v>2</v>
      </c>
      <c r="U529" s="8">
        <v>1</v>
      </c>
      <c r="V529" s="8" t="str">
        <f>IF(Table13[[#This Row],[BMI]]&lt;=18.5,"Underweight",IF(Table13[[#This Row],[BMI]]&lt;=24.9,"Normal",IF(Table13[[#This Row],[BMI]]&lt;=29.9,"Overweight",IF(Table13[[#This Row],[BMI]]&lt;=39,"Obese","Severly Obese"))))</f>
        <v>Normal</v>
      </c>
      <c r="W529" s="18">
        <v>18.61</v>
      </c>
    </row>
    <row r="530" spans="6:23" x14ac:dyDescent="0.3">
      <c r="F530" s="17">
        <v>23</v>
      </c>
      <c r="G530" s="8" t="str">
        <f>IF(Table13[[#This Row],[Age]]&lt;25,"18-24",IF(Table13[[#This Row],[Age]]&lt;35,"25-34",IF(Table13[[#This Row],[Age]]&lt;45,"35-44",IF(Table13[[#This Row],[Age]]&lt;55,"45-54","55-64"))))</f>
        <v>18-24</v>
      </c>
      <c r="H530" s="8" t="s">
        <v>19</v>
      </c>
      <c r="I530" s="8">
        <v>58.7</v>
      </c>
      <c r="J530" s="8">
        <v>1.69</v>
      </c>
      <c r="K530" s="8">
        <v>189</v>
      </c>
      <c r="L530" s="8">
        <v>135</v>
      </c>
      <c r="M530" s="8">
        <v>18</v>
      </c>
      <c r="N530" s="8">
        <v>1.37</v>
      </c>
      <c r="O530" s="8">
        <v>1231</v>
      </c>
      <c r="P530" s="8" t="s">
        <v>22</v>
      </c>
      <c r="Q530" s="8" t="str">
        <f>_xlfn.IFS(AND(Table13[[#This Row],[Gender]]="female",R530&lt;20),"Athletes",AND(Table13[[#This Row],[Gender]]="female",R530&lt;24),"Fitnesss",AND(Table13[[#This Row],[Gender]]="female",R530&lt;31),"Acceptable",AND(Table13[[#This Row],[Gender]]="female",R530&lt;40),"Obese",AND(Table13[[#This Row],[Gender]]="male",R530&lt;13),"Athletes",AND(Table13[[#This Row],[Gender]]="male",R530&lt;17),"Fitnesss",AND(Table13[[#This Row],[Gender]]="male",R530&lt;24.9),"Acceptable",AND(Table13[[#This Row],[Gender]]="male",R530&lt;40),"Obese",AND(Table13[[#This Row],[Gender]]="others",R530&lt;20),"Athletes",AND(Table13[[#This Row],[Gender]]="others",R530&lt;24),"Fitnesss",AND(Table13[[#This Row],[Gender]]="others",R530&lt;31),"Acceptable",AND(Table13[[#This Row],[Gender]]="others",R530&lt;40),"Obese")</f>
        <v>Obese</v>
      </c>
      <c r="R530" s="8">
        <v>26.6</v>
      </c>
      <c r="S530" s="8">
        <v>3.3</v>
      </c>
      <c r="T530" s="8">
        <v>2</v>
      </c>
      <c r="U530" s="8">
        <v>1</v>
      </c>
      <c r="V530" s="8" t="str">
        <f>IF(Table13[[#This Row],[BMI]]&lt;=18.5,"Underweight",IF(Table13[[#This Row],[BMI]]&lt;=24.9,"Normal",IF(Table13[[#This Row],[BMI]]&lt;=29.9,"Overweight",IF(Table13[[#This Row],[BMI]]&lt;=39,"Obese","Severly Obese"))))</f>
        <v>Normal</v>
      </c>
      <c r="W530" s="18">
        <v>23.64</v>
      </c>
    </row>
    <row r="531" spans="6:23" x14ac:dyDescent="0.3">
      <c r="F531" s="17">
        <v>24</v>
      </c>
      <c r="G531" s="8" t="str">
        <f>IF(Table13[[#This Row],[Age]]&lt;25,"18-24",IF(Table13[[#This Row],[Age]]&lt;35,"25-34",IF(Table13[[#This Row],[Age]]&lt;45,"35-44",IF(Table13[[#This Row],[Age]]&lt;55,"45-54","55-64"))))</f>
        <v>18-24</v>
      </c>
      <c r="H531" s="8" t="s">
        <v>17</v>
      </c>
      <c r="I531" s="8">
        <v>91.8</v>
      </c>
      <c r="J531" s="8">
        <v>1.82</v>
      </c>
      <c r="K531" s="8">
        <v>171</v>
      </c>
      <c r="L531" s="8">
        <v>140</v>
      </c>
      <c r="M531" s="8">
        <v>52</v>
      </c>
      <c r="N531" s="8">
        <v>2</v>
      </c>
      <c r="O531" s="8">
        <v>1065</v>
      </c>
      <c r="P531" s="8" t="s">
        <v>18</v>
      </c>
      <c r="Q531" s="8" t="str">
        <f>_xlfn.IFS(AND(Table13[[#This Row],[Gender]]="female",R531&lt;20),"Athletes",AND(Table13[[#This Row],[Gender]]="female",R531&lt;24),"Fitnesss",AND(Table13[[#This Row],[Gender]]="female",R531&lt;31),"Acceptable",AND(Table13[[#This Row],[Gender]]="female",R531&lt;40),"Obese",AND(Table13[[#This Row],[Gender]]="male",R531&lt;13),"Athletes",AND(Table13[[#This Row],[Gender]]="male",R531&lt;17),"Fitnesss",AND(Table13[[#This Row],[Gender]]="male",R531&lt;24.9),"Acceptable",AND(Table13[[#This Row],[Gender]]="male",R531&lt;40),"Obese",AND(Table13[[#This Row],[Gender]]="others",R531&lt;20),"Athletes",AND(Table13[[#This Row],[Gender]]="others",R531&lt;24),"Fitnesss",AND(Table13[[#This Row],[Gender]]="others",R531&lt;31),"Acceptable",AND(Table13[[#This Row],[Gender]]="others",R531&lt;40),"Obese")</f>
        <v>Athletes</v>
      </c>
      <c r="R531" s="8">
        <v>16.100000000000001</v>
      </c>
      <c r="S531" s="8">
        <v>2.7</v>
      </c>
      <c r="T531" s="8">
        <v>4</v>
      </c>
      <c r="U531" s="8">
        <v>2</v>
      </c>
      <c r="V531" s="8" t="str">
        <f>IF(Table13[[#This Row],[BMI]]&lt;=18.5,"Underweight",IF(Table13[[#This Row],[BMI]]&lt;=24.9,"Normal",IF(Table13[[#This Row],[BMI]]&lt;=29.9,"Overweight",IF(Table13[[#This Row],[BMI]]&lt;=39,"Obese","Severly Obese"))))</f>
        <v>Normal</v>
      </c>
      <c r="W531" s="18">
        <v>24.37</v>
      </c>
    </row>
    <row r="532" spans="6:23" x14ac:dyDescent="0.3">
      <c r="F532" s="17">
        <v>42</v>
      </c>
      <c r="G532" s="8" t="str">
        <f>IF(Table13[[#This Row],[Age]]&lt;25,"18-24",IF(Table13[[#This Row],[Age]]&lt;35,"25-34",IF(Table13[[#This Row],[Age]]&lt;45,"35-44",IF(Table13[[#This Row],[Age]]&lt;55,"45-54","55-64"))))</f>
        <v>35-44</v>
      </c>
      <c r="H532" s="8" t="s">
        <v>17</v>
      </c>
      <c r="I532" s="8">
        <v>47.7</v>
      </c>
      <c r="J532" s="8">
        <v>1.72</v>
      </c>
      <c r="K532" s="8">
        <v>183</v>
      </c>
      <c r="L532" s="8">
        <v>150</v>
      </c>
      <c r="M532" s="8">
        <v>57</v>
      </c>
      <c r="N532" s="8">
        <v>1.95</v>
      </c>
      <c r="O532" s="8">
        <v>782</v>
      </c>
      <c r="P532" s="8" t="s">
        <v>22</v>
      </c>
      <c r="Q532" s="8" t="str">
        <f>_xlfn.IFS(AND(Table13[[#This Row],[Gender]]="female",R532&lt;20),"Athletes",AND(Table13[[#This Row],[Gender]]="female",R532&lt;24),"Fitnesss",AND(Table13[[#This Row],[Gender]]="female",R532&lt;31),"Acceptable",AND(Table13[[#This Row],[Gender]]="female",R532&lt;40),"Obese",AND(Table13[[#This Row],[Gender]]="male",R532&lt;13),"Athletes",AND(Table13[[#This Row],[Gender]]="male",R532&lt;17),"Fitnesss",AND(Table13[[#This Row],[Gender]]="male",R532&lt;24.9),"Acceptable",AND(Table13[[#This Row],[Gender]]="male",R532&lt;40),"Obese",AND(Table13[[#This Row],[Gender]]="others",R532&lt;20),"Athletes",AND(Table13[[#This Row],[Gender]]="others",R532&lt;24),"Fitnesss",AND(Table13[[#This Row],[Gender]]="others",R532&lt;31),"Acceptable",AND(Table13[[#This Row],[Gender]]="others",R532&lt;40),"Obese")</f>
        <v>Obese</v>
      </c>
      <c r="R532" s="8">
        <v>31.4</v>
      </c>
      <c r="S532" s="8">
        <v>3.1</v>
      </c>
      <c r="T532" s="8">
        <v>3</v>
      </c>
      <c r="U532" s="8"/>
      <c r="V532" s="8" t="str">
        <f>IF(Table13[[#This Row],[BMI]]&lt;=18.5,"Underweight",IF(Table13[[#This Row],[BMI]]&lt;=24.9,"Normal",IF(Table13[[#This Row],[BMI]]&lt;=29.9,"Overweight",IF(Table13[[#This Row],[BMI]]&lt;=39,"Obese","Severly Obese"))))</f>
        <v>Underweight</v>
      </c>
      <c r="W532" s="18">
        <v>14.27</v>
      </c>
    </row>
    <row r="533" spans="6:23" x14ac:dyDescent="0.3">
      <c r="F533" s="17">
        <v>55</v>
      </c>
      <c r="G533" s="8" t="str">
        <f>IF(Table13[[#This Row],[Age]]&lt;25,"18-24",IF(Table13[[#This Row],[Age]]&lt;35,"25-34",IF(Table13[[#This Row],[Age]]&lt;45,"35-44",IF(Table13[[#This Row],[Age]]&lt;55,"45-54","55-64"))))</f>
        <v>55-64</v>
      </c>
      <c r="H533" s="8" t="s">
        <v>17</v>
      </c>
      <c r="I533" s="8">
        <v>51.9</v>
      </c>
      <c r="J533" s="8">
        <v>1.64</v>
      </c>
      <c r="K533" s="8">
        <v>171</v>
      </c>
      <c r="L533" s="8">
        <v>150</v>
      </c>
      <c r="M533" s="8">
        <v>68</v>
      </c>
      <c r="N533" s="8">
        <v>1.05</v>
      </c>
      <c r="O533" s="8">
        <v>1619</v>
      </c>
      <c r="P533" s="8" t="s">
        <v>18</v>
      </c>
      <c r="Q533" s="8" t="str">
        <f>_xlfn.IFS(AND(Table13[[#This Row],[Gender]]="female",R533&lt;20),"Athletes",AND(Table13[[#This Row],[Gender]]="female",R533&lt;24),"Fitnesss",AND(Table13[[#This Row],[Gender]]="female",R533&lt;31),"Acceptable",AND(Table13[[#This Row],[Gender]]="female",R533&lt;40),"Obese",AND(Table13[[#This Row],[Gender]]="male",R533&lt;13),"Athletes",AND(Table13[[#This Row],[Gender]]="male",R533&lt;17),"Fitnesss",AND(Table13[[#This Row],[Gender]]="male",R533&lt;24.9),"Acceptable",AND(Table13[[#This Row],[Gender]]="male",R533&lt;40),"Obese",AND(Table13[[#This Row],[Gender]]="others",R533&lt;20),"Athletes",AND(Table13[[#This Row],[Gender]]="others",R533&lt;24),"Fitnesss",AND(Table13[[#This Row],[Gender]]="others",R533&lt;31),"Acceptable",AND(Table13[[#This Row],[Gender]]="others",R533&lt;40),"Obese")</f>
        <v>Fitnesss</v>
      </c>
      <c r="R533" s="8">
        <v>22.8</v>
      </c>
      <c r="S533" s="8">
        <v>2.2000000000000002</v>
      </c>
      <c r="T533" s="8">
        <v>5</v>
      </c>
      <c r="U533" s="8">
        <v>3</v>
      </c>
      <c r="V533" s="8" t="str">
        <f>IF(Table13[[#This Row],[BMI]]&lt;=18.5,"Underweight",IF(Table13[[#This Row],[BMI]]&lt;=24.9,"Normal",IF(Table13[[#This Row],[BMI]]&lt;=29.9,"Overweight",IF(Table13[[#This Row],[BMI]]&lt;=39,"Obese","Severly Obese"))))</f>
        <v>Overweight</v>
      </c>
      <c r="W533" s="18">
        <v>25.06</v>
      </c>
    </row>
    <row r="534" spans="6:23" x14ac:dyDescent="0.3">
      <c r="F534" s="17">
        <v>36</v>
      </c>
      <c r="G534" s="8" t="str">
        <f>IF(Table13[[#This Row],[Age]]&lt;25,"18-24",IF(Table13[[#This Row],[Age]]&lt;35,"25-34",IF(Table13[[#This Row],[Age]]&lt;45,"35-44",IF(Table13[[#This Row],[Age]]&lt;55,"45-54","55-64"))))</f>
        <v>35-44</v>
      </c>
      <c r="H534" s="8" t="s">
        <v>19</v>
      </c>
      <c r="I534" s="8">
        <v>60.1</v>
      </c>
      <c r="J534" s="8">
        <v>1.78</v>
      </c>
      <c r="K534" s="8">
        <v>186</v>
      </c>
      <c r="L534" s="8">
        <v>169</v>
      </c>
      <c r="M534" s="8">
        <v>51</v>
      </c>
      <c r="N534" s="8">
        <v>1.46</v>
      </c>
      <c r="O534" s="8">
        <v>1108</v>
      </c>
      <c r="P534" s="8" t="s">
        <v>20</v>
      </c>
      <c r="Q534" s="8" t="str">
        <f>_xlfn.IFS(AND(Table13[[#This Row],[Gender]]="female",R534&lt;20),"Athletes",AND(Table13[[#This Row],[Gender]]="female",R534&lt;24),"Fitnesss",AND(Table13[[#This Row],[Gender]]="female",R534&lt;31),"Acceptable",AND(Table13[[#This Row],[Gender]]="female",R534&lt;40),"Obese",AND(Table13[[#This Row],[Gender]]="male",R534&lt;13),"Athletes",AND(Table13[[#This Row],[Gender]]="male",R534&lt;17),"Fitnesss",AND(Table13[[#This Row],[Gender]]="male",R534&lt;24.9),"Acceptable",AND(Table13[[#This Row],[Gender]]="male",R534&lt;40),"Obese",AND(Table13[[#This Row],[Gender]]="others",R534&lt;20),"Athletes",AND(Table13[[#This Row],[Gender]]="others",R534&lt;24),"Fitnesss",AND(Table13[[#This Row],[Gender]]="others",R534&lt;31),"Acceptable",AND(Table13[[#This Row],[Gender]]="others",R534&lt;40),"Obese")</f>
        <v>Obese</v>
      </c>
      <c r="R534" s="8">
        <v>35</v>
      </c>
      <c r="S534" s="8">
        <v>2</v>
      </c>
      <c r="T534" s="8">
        <v>3</v>
      </c>
      <c r="U534" s="8">
        <v>1</v>
      </c>
      <c r="V534" s="8" t="str">
        <f>IF(Table13[[#This Row],[BMI]]&lt;=18.5,"Underweight",IF(Table13[[#This Row],[BMI]]&lt;=24.9,"Normal",IF(Table13[[#This Row],[BMI]]&lt;=29.9,"Overweight",IF(Table13[[#This Row],[BMI]]&lt;=39,"Obese","Severly Obese"))))</f>
        <v>Underweight</v>
      </c>
      <c r="W534" s="18">
        <v>16.059999999999999</v>
      </c>
    </row>
    <row r="535" spans="6:23" x14ac:dyDescent="0.3">
      <c r="F535" s="17">
        <v>18</v>
      </c>
      <c r="G535" s="8" t="str">
        <f>IF(Table13[[#This Row],[Age]]&lt;25,"18-24",IF(Table13[[#This Row],[Age]]&lt;35,"25-34",IF(Table13[[#This Row],[Age]]&lt;45,"35-44",IF(Table13[[#This Row],[Age]]&lt;55,"45-54","55-64"))))</f>
        <v>18-24</v>
      </c>
      <c r="H535" s="8" t="s">
        <v>17</v>
      </c>
      <c r="I535" s="8">
        <v>40</v>
      </c>
      <c r="J535" s="8">
        <v>1.56</v>
      </c>
      <c r="K535" s="8">
        <v>196</v>
      </c>
      <c r="L535" s="8">
        <v>149</v>
      </c>
      <c r="M535" s="8">
        <v>56</v>
      </c>
      <c r="N535" s="8">
        <v>0.79</v>
      </c>
      <c r="O535" s="8">
        <v>1027</v>
      </c>
      <c r="P535" s="8" t="s">
        <v>18</v>
      </c>
      <c r="Q535" s="8" t="str">
        <f>_xlfn.IFS(AND(Table13[[#This Row],[Gender]]="female",R535&lt;20),"Athletes",AND(Table13[[#This Row],[Gender]]="female",R535&lt;24),"Fitnesss",AND(Table13[[#This Row],[Gender]]="female",R535&lt;31),"Acceptable",AND(Table13[[#This Row],[Gender]]="female",R535&lt;40),"Obese",AND(Table13[[#This Row],[Gender]]="male",R535&lt;13),"Athletes",AND(Table13[[#This Row],[Gender]]="male",R535&lt;17),"Fitnesss",AND(Table13[[#This Row],[Gender]]="male",R535&lt;24.9),"Acceptable",AND(Table13[[#This Row],[Gender]]="male",R535&lt;40),"Obese",AND(Table13[[#This Row],[Gender]]="others",R535&lt;20),"Athletes",AND(Table13[[#This Row],[Gender]]="others",R535&lt;24),"Fitnesss",AND(Table13[[#This Row],[Gender]]="others",R535&lt;31),"Acceptable",AND(Table13[[#This Row],[Gender]]="others",R535&lt;40),"Obese")</f>
        <v>Acceptable</v>
      </c>
      <c r="R535" s="8">
        <v>27.6</v>
      </c>
      <c r="S535" s="8">
        <v>1.9</v>
      </c>
      <c r="T535" s="8">
        <v>2</v>
      </c>
      <c r="U535" s="8">
        <v>1</v>
      </c>
      <c r="V535" s="8" t="str">
        <f>IF(Table13[[#This Row],[BMI]]&lt;=18.5,"Underweight",IF(Table13[[#This Row],[BMI]]&lt;=24.9,"Normal",IF(Table13[[#This Row],[BMI]]&lt;=29.9,"Overweight",IF(Table13[[#This Row],[BMI]]&lt;=39,"Obese","Severly Obese"))))</f>
        <v>Underweight</v>
      </c>
      <c r="W535" s="18">
        <v>12.98</v>
      </c>
    </row>
    <row r="536" spans="6:23" x14ac:dyDescent="0.3">
      <c r="F536" s="17">
        <v>23</v>
      </c>
      <c r="G536" s="8" t="str">
        <f>IF(Table13[[#This Row],[Age]]&lt;25,"18-24",IF(Table13[[#This Row],[Age]]&lt;35,"25-34",IF(Table13[[#This Row],[Age]]&lt;45,"35-44",IF(Table13[[#This Row],[Age]]&lt;55,"45-54","55-64"))))</f>
        <v>18-24</v>
      </c>
      <c r="H536" s="8" t="s">
        <v>17</v>
      </c>
      <c r="I536" s="8">
        <v>64.7</v>
      </c>
      <c r="J536" s="8">
        <v>2</v>
      </c>
      <c r="K536" s="8">
        <v>184</v>
      </c>
      <c r="L536" s="8">
        <v>169</v>
      </c>
      <c r="M536" s="8">
        <v>55</v>
      </c>
      <c r="N536" s="8">
        <v>1.46</v>
      </c>
      <c r="O536" s="8">
        <v>860</v>
      </c>
      <c r="P536" s="8" t="s">
        <v>18</v>
      </c>
      <c r="Q536" s="8" t="str">
        <f>_xlfn.IFS(AND(Table13[[#This Row],[Gender]]="female",R536&lt;20),"Athletes",AND(Table13[[#This Row],[Gender]]="female",R536&lt;24),"Fitnesss",AND(Table13[[#This Row],[Gender]]="female",R536&lt;31),"Acceptable",AND(Table13[[#This Row],[Gender]]="female",R536&lt;40),"Obese",AND(Table13[[#This Row],[Gender]]="male",R536&lt;13),"Athletes",AND(Table13[[#This Row],[Gender]]="male",R536&lt;17),"Fitnesss",AND(Table13[[#This Row],[Gender]]="male",R536&lt;24.9),"Acceptable",AND(Table13[[#This Row],[Gender]]="male",R536&lt;40),"Obese",AND(Table13[[#This Row],[Gender]]="others",R536&lt;20),"Athletes",AND(Table13[[#This Row],[Gender]]="others",R536&lt;24),"Fitnesss",AND(Table13[[#This Row],[Gender]]="others",R536&lt;31),"Acceptable",AND(Table13[[#This Row],[Gender]]="others",R536&lt;40),"Obese")</f>
        <v>Obese</v>
      </c>
      <c r="R536" s="8">
        <v>32.4</v>
      </c>
      <c r="S536" s="8">
        <v>2.5</v>
      </c>
      <c r="T536" s="8">
        <v>5</v>
      </c>
      <c r="U536" s="8">
        <v>2</v>
      </c>
      <c r="V536" s="8" t="str">
        <f>IF(Table13[[#This Row],[BMI]]&lt;=18.5,"Underweight",IF(Table13[[#This Row],[BMI]]&lt;=24.9,"Normal",IF(Table13[[#This Row],[BMI]]&lt;=29.9,"Overweight",IF(Table13[[#This Row],[BMI]]&lt;=39,"Obese","Severly Obese"))))</f>
        <v>Normal</v>
      </c>
      <c r="W536" s="18">
        <v>20.45</v>
      </c>
    </row>
    <row r="537" spans="6:23" x14ac:dyDescent="0.3">
      <c r="F537" s="17">
        <v>24</v>
      </c>
      <c r="G537" s="8" t="str">
        <f>IF(Table13[[#This Row],[Age]]&lt;25,"18-24",IF(Table13[[#This Row],[Age]]&lt;35,"25-34",IF(Table13[[#This Row],[Age]]&lt;45,"35-44",IF(Table13[[#This Row],[Age]]&lt;55,"45-54","55-64"))))</f>
        <v>18-24</v>
      </c>
      <c r="H537" s="8" t="s">
        <v>19</v>
      </c>
      <c r="I537" s="8">
        <v>73</v>
      </c>
      <c r="J537" s="8">
        <v>1.61</v>
      </c>
      <c r="K537" s="8">
        <v>188</v>
      </c>
      <c r="L537" s="8">
        <v>131</v>
      </c>
      <c r="M537" s="8">
        <v>60</v>
      </c>
      <c r="N537" s="8">
        <v>0.56000000000000005</v>
      </c>
      <c r="O537" s="8">
        <v>864</v>
      </c>
      <c r="P537" s="8" t="s">
        <v>22</v>
      </c>
      <c r="Q537" s="8" t="str">
        <f>_xlfn.IFS(AND(Table13[[#This Row],[Gender]]="female",R537&lt;20),"Athletes",AND(Table13[[#This Row],[Gender]]="female",R537&lt;24),"Fitnesss",AND(Table13[[#This Row],[Gender]]="female",R537&lt;31),"Acceptable",AND(Table13[[#This Row],[Gender]]="female",R537&lt;40),"Obese",AND(Table13[[#This Row],[Gender]]="male",R537&lt;13),"Athletes",AND(Table13[[#This Row],[Gender]]="male",R537&lt;17),"Fitnesss",AND(Table13[[#This Row],[Gender]]="male",R537&lt;24.9),"Acceptable",AND(Table13[[#This Row],[Gender]]="male",R537&lt;40),"Obese",AND(Table13[[#This Row],[Gender]]="others",R537&lt;20),"Athletes",AND(Table13[[#This Row],[Gender]]="others",R537&lt;24),"Fitnesss",AND(Table13[[#This Row],[Gender]]="others",R537&lt;31),"Acceptable",AND(Table13[[#This Row],[Gender]]="others",R537&lt;40),"Obese")</f>
        <v>Obese</v>
      </c>
      <c r="R537" s="8">
        <v>27.4</v>
      </c>
      <c r="S537" s="8">
        <v>3.6</v>
      </c>
      <c r="T537" s="8">
        <v>2</v>
      </c>
      <c r="U537" s="8">
        <v>2</v>
      </c>
      <c r="V537" s="8" t="str">
        <f>IF(Table13[[#This Row],[BMI]]&lt;=18.5,"Underweight",IF(Table13[[#This Row],[BMI]]&lt;=24.9,"Normal",IF(Table13[[#This Row],[BMI]]&lt;=29.9,"Overweight",IF(Table13[[#This Row],[BMI]]&lt;=39,"Obese","Severly Obese"))))</f>
        <v>Underweight</v>
      </c>
      <c r="W537" s="18">
        <v>12.36</v>
      </c>
    </row>
    <row r="538" spans="6:23" x14ac:dyDescent="0.3">
      <c r="F538" s="17">
        <v>41</v>
      </c>
      <c r="G538" s="8" t="str">
        <f>IF(Table13[[#This Row],[Age]]&lt;25,"18-24",IF(Table13[[#This Row],[Age]]&lt;35,"25-34",IF(Table13[[#This Row],[Age]]&lt;45,"35-44",IF(Table13[[#This Row],[Age]]&lt;55,"45-54","55-64"))))</f>
        <v>35-44</v>
      </c>
      <c r="H538" s="8" t="s">
        <v>19</v>
      </c>
      <c r="I538" s="8">
        <v>90.3</v>
      </c>
      <c r="J538" s="8">
        <v>1.76</v>
      </c>
      <c r="K538" s="8">
        <v>180</v>
      </c>
      <c r="L538" s="8"/>
      <c r="M538" s="8">
        <v>70</v>
      </c>
      <c r="N538" s="8">
        <v>1.96</v>
      </c>
      <c r="O538" s="8">
        <v>1596</v>
      </c>
      <c r="P538" s="8" t="s">
        <v>20</v>
      </c>
      <c r="Q538" s="8" t="str">
        <f>_xlfn.IFS(AND(Table13[[#This Row],[Gender]]="female",R538&lt;20),"Athletes",AND(Table13[[#This Row],[Gender]]="female",R538&lt;24),"Fitnesss",AND(Table13[[#This Row],[Gender]]="female",R538&lt;31),"Acceptable",AND(Table13[[#This Row],[Gender]]="female",R538&lt;40),"Obese",AND(Table13[[#This Row],[Gender]]="male",R538&lt;13),"Athletes",AND(Table13[[#This Row],[Gender]]="male",R538&lt;17),"Fitnesss",AND(Table13[[#This Row],[Gender]]="male",R538&lt;24.9),"Acceptable",AND(Table13[[#This Row],[Gender]]="male",R538&lt;40),"Obese",AND(Table13[[#This Row],[Gender]]="others",R538&lt;20),"Athletes",AND(Table13[[#This Row],[Gender]]="others",R538&lt;24),"Fitnesss",AND(Table13[[#This Row],[Gender]]="others",R538&lt;31),"Acceptable",AND(Table13[[#This Row],[Gender]]="others",R538&lt;40),"Obese")</f>
        <v>Acceptable</v>
      </c>
      <c r="R538" s="8">
        <v>22.6</v>
      </c>
      <c r="S538" s="8">
        <v>2.2999999999999998</v>
      </c>
      <c r="T538" s="8">
        <v>4</v>
      </c>
      <c r="U538" s="8">
        <v>1</v>
      </c>
      <c r="V538" s="8" t="str">
        <f>IF(Table13[[#This Row],[BMI]]&lt;=18.5,"Underweight",IF(Table13[[#This Row],[BMI]]&lt;=24.9,"Normal",IF(Table13[[#This Row],[BMI]]&lt;=29.9,"Overweight",IF(Table13[[#This Row],[BMI]]&lt;=39,"Obese","Severly Obese"))))</f>
        <v>Underweight</v>
      </c>
      <c r="W538" s="18">
        <v>12.32</v>
      </c>
    </row>
    <row r="539" spans="6:23" x14ac:dyDescent="0.3">
      <c r="F539" s="17">
        <v>48</v>
      </c>
      <c r="G539" s="8" t="str">
        <f>IF(Table13[[#This Row],[Age]]&lt;25,"18-24",IF(Table13[[#This Row],[Age]]&lt;35,"25-34",IF(Table13[[#This Row],[Age]]&lt;45,"35-44",IF(Table13[[#This Row],[Age]]&lt;55,"45-54","55-64"))))</f>
        <v>45-54</v>
      </c>
      <c r="H539" s="8" t="s">
        <v>17</v>
      </c>
      <c r="I539" s="8">
        <v>79.099999999999994</v>
      </c>
      <c r="J539" s="8">
        <v>1.63</v>
      </c>
      <c r="K539" s="8">
        <v>168</v>
      </c>
      <c r="L539" s="8">
        <v>135</v>
      </c>
      <c r="M539" s="8">
        <v>53</v>
      </c>
      <c r="N539" s="8">
        <v>1.1499999999999999</v>
      </c>
      <c r="O539" s="8">
        <v>1302</v>
      </c>
      <c r="P539" s="8" t="s">
        <v>22</v>
      </c>
      <c r="Q539" s="8" t="str">
        <f>_xlfn.IFS(AND(Table13[[#This Row],[Gender]]="female",R539&lt;20),"Athletes",AND(Table13[[#This Row],[Gender]]="female",R539&lt;24),"Fitnesss",AND(Table13[[#This Row],[Gender]]="female",R539&lt;31),"Acceptable",AND(Table13[[#This Row],[Gender]]="female",R539&lt;40),"Obese",AND(Table13[[#This Row],[Gender]]="male",R539&lt;13),"Athletes",AND(Table13[[#This Row],[Gender]]="male",R539&lt;17),"Fitnesss",AND(Table13[[#This Row],[Gender]]="male",R539&lt;24.9),"Acceptable",AND(Table13[[#This Row],[Gender]]="male",R539&lt;40),"Obese",AND(Table13[[#This Row],[Gender]]="others",R539&lt;20),"Athletes",AND(Table13[[#This Row],[Gender]]="others",R539&lt;24),"Fitnesss",AND(Table13[[#This Row],[Gender]]="others",R539&lt;31),"Acceptable",AND(Table13[[#This Row],[Gender]]="others",R539&lt;40),"Obese")</f>
        <v>Obese</v>
      </c>
      <c r="R539" s="8">
        <v>35</v>
      </c>
      <c r="S539" s="8">
        <v>3.3</v>
      </c>
      <c r="T539" s="8">
        <v>4</v>
      </c>
      <c r="U539" s="8">
        <v>1</v>
      </c>
      <c r="V539" s="8" t="str">
        <f>IF(Table13[[#This Row],[BMI]]&lt;=18.5,"Underweight",IF(Table13[[#This Row],[BMI]]&lt;=24.9,"Normal",IF(Table13[[#This Row],[BMI]]&lt;=29.9,"Overweight",IF(Table13[[#This Row],[BMI]]&lt;=39,"Obese","Severly Obese"))))</f>
        <v>Overweight</v>
      </c>
      <c r="W539" s="18">
        <v>27.86</v>
      </c>
    </row>
    <row r="540" spans="6:23" x14ac:dyDescent="0.3">
      <c r="F540" s="17">
        <v>47</v>
      </c>
      <c r="G540" s="8" t="str">
        <f>IF(Table13[[#This Row],[Age]]&lt;25,"18-24",IF(Table13[[#This Row],[Age]]&lt;35,"25-34",IF(Table13[[#This Row],[Age]]&lt;45,"35-44",IF(Table13[[#This Row],[Age]]&lt;55,"45-54","55-64"))))</f>
        <v>45-54</v>
      </c>
      <c r="H540" s="8" t="s">
        <v>17</v>
      </c>
      <c r="I540" s="8">
        <v>82.2</v>
      </c>
      <c r="J540" s="8">
        <v>1.72</v>
      </c>
      <c r="K540" s="8">
        <v>174</v>
      </c>
      <c r="L540" s="8">
        <v>126</v>
      </c>
      <c r="M540" s="8">
        <v>70</v>
      </c>
      <c r="N540" s="8">
        <v>1.1499999999999999</v>
      </c>
      <c r="O540" s="8">
        <v>1211</v>
      </c>
      <c r="P540" s="8" t="s">
        <v>22</v>
      </c>
      <c r="Q540" s="8" t="str">
        <f>_xlfn.IFS(AND(Table13[[#This Row],[Gender]]="female",R540&lt;20),"Athletes",AND(Table13[[#This Row],[Gender]]="female",R540&lt;24),"Fitnesss",AND(Table13[[#This Row],[Gender]]="female",R540&lt;31),"Acceptable",AND(Table13[[#This Row],[Gender]]="female",R540&lt;40),"Obese",AND(Table13[[#This Row],[Gender]]="male",R540&lt;13),"Athletes",AND(Table13[[#This Row],[Gender]]="male",R540&lt;17),"Fitnesss",AND(Table13[[#This Row],[Gender]]="male",R540&lt;24.9),"Acceptable",AND(Table13[[#This Row],[Gender]]="male",R540&lt;40),"Obese",AND(Table13[[#This Row],[Gender]]="others",R540&lt;20),"Athletes",AND(Table13[[#This Row],[Gender]]="others",R540&lt;24),"Fitnesss",AND(Table13[[#This Row],[Gender]]="others",R540&lt;31),"Acceptable",AND(Table13[[#This Row],[Gender]]="others",R540&lt;40),"Obese")</f>
        <v>Acceptable</v>
      </c>
      <c r="R540" s="8">
        <v>25</v>
      </c>
      <c r="S540" s="8">
        <v>3.7</v>
      </c>
      <c r="T540" s="8">
        <v>2</v>
      </c>
      <c r="U540" s="8">
        <v>3</v>
      </c>
      <c r="V540" s="8" t="str">
        <f>IF(Table13[[#This Row],[BMI]]&lt;=18.5,"Underweight",IF(Table13[[#This Row],[BMI]]&lt;=24.9,"Normal",IF(Table13[[#This Row],[BMI]]&lt;=29.9,"Overweight",IF(Table13[[#This Row],[BMI]]&lt;=39,"Obese","Severly Obese"))))</f>
        <v>Underweight</v>
      </c>
      <c r="W540" s="18">
        <v>12.4</v>
      </c>
    </row>
    <row r="541" spans="6:23" x14ac:dyDescent="0.3">
      <c r="F541" s="17">
        <v>54</v>
      </c>
      <c r="G541" s="8" t="str">
        <f>IF(Table13[[#This Row],[Age]]&lt;25,"18-24",IF(Table13[[#This Row],[Age]]&lt;35,"25-34",IF(Table13[[#This Row],[Age]]&lt;45,"35-44",IF(Table13[[#This Row],[Age]]&lt;55,"45-54","55-64"))))</f>
        <v>45-54</v>
      </c>
      <c r="H541" s="8" t="s">
        <v>19</v>
      </c>
      <c r="I541" s="8">
        <v>40</v>
      </c>
      <c r="J541" s="8">
        <v>1.79</v>
      </c>
      <c r="K541" s="8">
        <v>162</v>
      </c>
      <c r="L541" s="8">
        <v>162</v>
      </c>
      <c r="M541" s="8">
        <v>54</v>
      </c>
      <c r="N541" s="8">
        <v>2</v>
      </c>
      <c r="O541" s="8">
        <v>444</v>
      </c>
      <c r="P541" s="8" t="s">
        <v>22</v>
      </c>
      <c r="Q541" s="8" t="str">
        <f>_xlfn.IFS(AND(Table13[[#This Row],[Gender]]="female",R541&lt;20),"Athletes",AND(Table13[[#This Row],[Gender]]="female",R541&lt;24),"Fitnesss",AND(Table13[[#This Row],[Gender]]="female",R541&lt;31),"Acceptable",AND(Table13[[#This Row],[Gender]]="female",R541&lt;40),"Obese",AND(Table13[[#This Row],[Gender]]="male",R541&lt;13),"Athletes",AND(Table13[[#This Row],[Gender]]="male",R541&lt;17),"Fitnesss",AND(Table13[[#This Row],[Gender]]="male",R541&lt;24.9),"Acceptable",AND(Table13[[#This Row],[Gender]]="male",R541&lt;40),"Obese",AND(Table13[[#This Row],[Gender]]="others",R541&lt;20),"Athletes",AND(Table13[[#This Row],[Gender]]="others",R541&lt;24),"Fitnesss",AND(Table13[[#This Row],[Gender]]="others",R541&lt;31),"Acceptable",AND(Table13[[#This Row],[Gender]]="others",R541&lt;40),"Obese")</f>
        <v>Fitnesss</v>
      </c>
      <c r="R541" s="8">
        <v>16.899999999999999</v>
      </c>
      <c r="S541" s="8">
        <v>2.2999999999999998</v>
      </c>
      <c r="T541" s="8">
        <v>5</v>
      </c>
      <c r="U541" s="8">
        <v>3</v>
      </c>
      <c r="V541" s="8" t="str">
        <f>IF(Table13[[#This Row],[BMI]]&lt;=18.5,"Underweight",IF(Table13[[#This Row],[BMI]]&lt;=24.9,"Normal",IF(Table13[[#This Row],[BMI]]&lt;=29.9,"Overweight",IF(Table13[[#This Row],[BMI]]&lt;=39,"Obese","Severly Obese"))))</f>
        <v>Normal</v>
      </c>
      <c r="W541" s="18">
        <v>22.6</v>
      </c>
    </row>
    <row r="542" spans="6:23" x14ac:dyDescent="0.3">
      <c r="F542" s="17">
        <v>33</v>
      </c>
      <c r="G542" s="8" t="str">
        <f>IF(Table13[[#This Row],[Age]]&lt;25,"18-24",IF(Table13[[#This Row],[Age]]&lt;35,"25-34",IF(Table13[[#This Row],[Age]]&lt;45,"35-44",IF(Table13[[#This Row],[Age]]&lt;55,"45-54","55-64"))))</f>
        <v>25-34</v>
      </c>
      <c r="H542" s="8" t="s">
        <v>17</v>
      </c>
      <c r="I542" s="8">
        <v>60.7</v>
      </c>
      <c r="J542" s="8">
        <v>1.57</v>
      </c>
      <c r="K542" s="8">
        <v>179</v>
      </c>
      <c r="L542" s="8">
        <v>135</v>
      </c>
      <c r="M542" s="8">
        <v>69</v>
      </c>
      <c r="N542" s="8">
        <v>1.24</v>
      </c>
      <c r="O542" s="8">
        <v>964</v>
      </c>
      <c r="P542" s="8" t="s">
        <v>21</v>
      </c>
      <c r="Q542" s="8" t="str">
        <f>_xlfn.IFS(AND(Table13[[#This Row],[Gender]]="female",R542&lt;20),"Athletes",AND(Table13[[#This Row],[Gender]]="female",R542&lt;24),"Fitnesss",AND(Table13[[#This Row],[Gender]]="female",R542&lt;31),"Acceptable",AND(Table13[[#This Row],[Gender]]="female",R542&lt;40),"Obese",AND(Table13[[#This Row],[Gender]]="male",R542&lt;13),"Athletes",AND(Table13[[#This Row],[Gender]]="male",R542&lt;17),"Fitnesss",AND(Table13[[#This Row],[Gender]]="male",R542&lt;24.9),"Acceptable",AND(Table13[[#This Row],[Gender]]="male",R542&lt;40),"Obese",AND(Table13[[#This Row],[Gender]]="others",R542&lt;20),"Athletes",AND(Table13[[#This Row],[Gender]]="others",R542&lt;24),"Fitnesss",AND(Table13[[#This Row],[Gender]]="others",R542&lt;31),"Acceptable",AND(Table13[[#This Row],[Gender]]="others",R542&lt;40),"Obese")</f>
        <v>Acceptable</v>
      </c>
      <c r="R542" s="8">
        <v>26</v>
      </c>
      <c r="S542" s="8">
        <v>2.9</v>
      </c>
      <c r="T542" s="8">
        <v>3</v>
      </c>
      <c r="U542" s="8">
        <v>1</v>
      </c>
      <c r="V542" s="8" t="str">
        <f>IF(Table13[[#This Row],[BMI]]&lt;=18.5,"Underweight",IF(Table13[[#This Row],[BMI]]&lt;=24.9,"Normal",IF(Table13[[#This Row],[BMI]]&lt;=29.9,"Overweight",IF(Table13[[#This Row],[BMI]]&lt;=39,"Obese","Severly Obese"))))</f>
        <v>Underweight</v>
      </c>
      <c r="W542" s="18">
        <v>15.19</v>
      </c>
    </row>
    <row r="543" spans="6:23" x14ac:dyDescent="0.3">
      <c r="F543" s="17">
        <v>29</v>
      </c>
      <c r="G543" s="8" t="str">
        <f>IF(Table13[[#This Row],[Age]]&lt;25,"18-24",IF(Table13[[#This Row],[Age]]&lt;35,"25-34",IF(Table13[[#This Row],[Age]]&lt;45,"35-44",IF(Table13[[#This Row],[Age]]&lt;55,"45-54","55-64"))))</f>
        <v>25-34</v>
      </c>
      <c r="H543" s="8" t="s">
        <v>23</v>
      </c>
      <c r="I543" s="8">
        <v>48.9</v>
      </c>
      <c r="J543" s="8">
        <v>1.7</v>
      </c>
      <c r="K543" s="8">
        <v>194</v>
      </c>
      <c r="L543" s="8">
        <v>145</v>
      </c>
      <c r="M543" s="8">
        <v>55</v>
      </c>
      <c r="N543" s="8">
        <v>1.1200000000000001</v>
      </c>
      <c r="O543" s="8">
        <v>487</v>
      </c>
      <c r="P543" s="8" t="s">
        <v>20</v>
      </c>
      <c r="Q543" s="8" t="str">
        <f>_xlfn.IFS(AND(Table13[[#This Row],[Gender]]="female",R543&lt;20),"Athletes",AND(Table13[[#This Row],[Gender]]="female",R543&lt;24),"Fitnesss",AND(Table13[[#This Row],[Gender]]="female",R543&lt;31),"Acceptable",AND(Table13[[#This Row],[Gender]]="female",R543&lt;40),"Obese",AND(Table13[[#This Row],[Gender]]="male",R543&lt;13),"Athletes",AND(Table13[[#This Row],[Gender]]="male",R543&lt;17),"Fitnesss",AND(Table13[[#This Row],[Gender]]="male",R543&lt;24.9),"Acceptable",AND(Table13[[#This Row],[Gender]]="male",R543&lt;40),"Obese",AND(Table13[[#This Row],[Gender]]="others",R543&lt;20),"Athletes",AND(Table13[[#This Row],[Gender]]="others",R543&lt;24),"Fitnesss",AND(Table13[[#This Row],[Gender]]="others",R543&lt;31),"Acceptable",AND(Table13[[#This Row],[Gender]]="others",R543&lt;40),"Obese")</f>
        <v>Obese</v>
      </c>
      <c r="R543" s="8">
        <v>33.9</v>
      </c>
      <c r="S543" s="8">
        <v>2.2000000000000002</v>
      </c>
      <c r="T543" s="8">
        <v>5</v>
      </c>
      <c r="U543" s="8">
        <v>2</v>
      </c>
      <c r="V543" s="8" t="str">
        <f>IF(Table13[[#This Row],[BMI]]&lt;=18.5,"Underweight",IF(Table13[[#This Row],[BMI]]&lt;=24.9,"Normal",IF(Table13[[#This Row],[BMI]]&lt;=29.9,"Overweight",IF(Table13[[#This Row],[BMI]]&lt;=39,"Obese","Severly Obese"))))</f>
        <v>Overweight</v>
      </c>
      <c r="W543" s="18">
        <v>28.96</v>
      </c>
    </row>
    <row r="544" spans="6:23" x14ac:dyDescent="0.3">
      <c r="F544" s="17">
        <v>50</v>
      </c>
      <c r="G544" s="8" t="str">
        <f>IF(Table13[[#This Row],[Age]]&lt;25,"18-24",IF(Table13[[#This Row],[Age]]&lt;35,"25-34",IF(Table13[[#This Row],[Age]]&lt;45,"35-44",IF(Table13[[#This Row],[Age]]&lt;55,"45-54","55-64"))))</f>
        <v>45-54</v>
      </c>
      <c r="H544" s="8" t="s">
        <v>17</v>
      </c>
      <c r="I544" s="8">
        <v>76.400000000000006</v>
      </c>
      <c r="J544" s="8">
        <v>1.54</v>
      </c>
      <c r="K544" s="8">
        <v>172</v>
      </c>
      <c r="L544" s="8">
        <v>133</v>
      </c>
      <c r="M544" s="8">
        <v>71</v>
      </c>
      <c r="N544" s="8">
        <v>1.3</v>
      </c>
      <c r="O544" s="8">
        <v>1311</v>
      </c>
      <c r="P544" s="8" t="s">
        <v>18</v>
      </c>
      <c r="Q544" s="8" t="str">
        <f>_xlfn.IFS(AND(Table13[[#This Row],[Gender]]="female",R544&lt;20),"Athletes",AND(Table13[[#This Row],[Gender]]="female",R544&lt;24),"Fitnesss",AND(Table13[[#This Row],[Gender]]="female",R544&lt;31),"Acceptable",AND(Table13[[#This Row],[Gender]]="female",R544&lt;40),"Obese",AND(Table13[[#This Row],[Gender]]="male",R544&lt;13),"Athletes",AND(Table13[[#This Row],[Gender]]="male",R544&lt;17),"Fitnesss",AND(Table13[[#This Row],[Gender]]="male",R544&lt;24.9),"Acceptable",AND(Table13[[#This Row],[Gender]]="male",R544&lt;40),"Obese",AND(Table13[[#This Row],[Gender]]="others",R544&lt;20),"Athletes",AND(Table13[[#This Row],[Gender]]="others",R544&lt;24),"Fitnesss",AND(Table13[[#This Row],[Gender]]="others",R544&lt;31),"Acceptable",AND(Table13[[#This Row],[Gender]]="others",R544&lt;40),"Obese")</f>
        <v>Acceptable</v>
      </c>
      <c r="R544" s="8">
        <v>25.2</v>
      </c>
      <c r="S544" s="8">
        <v>2.1</v>
      </c>
      <c r="T544" s="8">
        <v>3</v>
      </c>
      <c r="U544" s="8">
        <v>1</v>
      </c>
      <c r="V544" s="8" t="str">
        <f>IF(Table13[[#This Row],[BMI]]&lt;=18.5,"Underweight",IF(Table13[[#This Row],[BMI]]&lt;=24.9,"Normal",IF(Table13[[#This Row],[BMI]]&lt;=29.9,"Overweight",IF(Table13[[#This Row],[BMI]]&lt;=39,"Obese","Severly Obese"))))</f>
        <v>Obese</v>
      </c>
      <c r="W544" s="18">
        <v>33.64</v>
      </c>
    </row>
    <row r="545" spans="6:23" x14ac:dyDescent="0.3">
      <c r="F545" s="17">
        <v>49</v>
      </c>
      <c r="G545" s="8" t="str">
        <f>IF(Table13[[#This Row],[Age]]&lt;25,"18-24",IF(Table13[[#This Row],[Age]]&lt;35,"25-34",IF(Table13[[#This Row],[Age]]&lt;45,"35-44",IF(Table13[[#This Row],[Age]]&lt;55,"45-54","55-64"))))</f>
        <v>45-54</v>
      </c>
      <c r="H545" s="8" t="s">
        <v>17</v>
      </c>
      <c r="I545" s="8">
        <v>95.6</v>
      </c>
      <c r="J545" s="8">
        <v>1.67</v>
      </c>
      <c r="K545" s="8">
        <v>164</v>
      </c>
      <c r="L545" s="8">
        <v>134</v>
      </c>
      <c r="M545" s="8">
        <v>74</v>
      </c>
      <c r="N545" s="8">
        <v>1.71</v>
      </c>
      <c r="O545" s="8">
        <v>466</v>
      </c>
      <c r="P545" s="8" t="s">
        <v>20</v>
      </c>
      <c r="Q545" s="8" t="str">
        <f>_xlfn.IFS(AND(Table13[[#This Row],[Gender]]="female",R545&lt;20),"Athletes",AND(Table13[[#This Row],[Gender]]="female",R545&lt;24),"Fitnesss",AND(Table13[[#This Row],[Gender]]="female",R545&lt;31),"Acceptable",AND(Table13[[#This Row],[Gender]]="female",R545&lt;40),"Obese",AND(Table13[[#This Row],[Gender]]="male",R545&lt;13),"Athletes",AND(Table13[[#This Row],[Gender]]="male",R545&lt;17),"Fitnesss",AND(Table13[[#This Row],[Gender]]="male",R545&lt;24.9),"Acceptable",AND(Table13[[#This Row],[Gender]]="male",R545&lt;40),"Obese",AND(Table13[[#This Row],[Gender]]="others",R545&lt;20),"Athletes",AND(Table13[[#This Row],[Gender]]="others",R545&lt;24),"Fitnesss",AND(Table13[[#This Row],[Gender]]="others",R545&lt;31),"Acceptable",AND(Table13[[#This Row],[Gender]]="others",R545&lt;40),"Obese")</f>
        <v>Acceptable</v>
      </c>
      <c r="R545" s="8">
        <v>26</v>
      </c>
      <c r="S545" s="8">
        <v>1.8</v>
      </c>
      <c r="T545" s="8">
        <v>3</v>
      </c>
      <c r="U545" s="8">
        <v>2</v>
      </c>
      <c r="V545" s="8" t="str">
        <f>IF(Table13[[#This Row],[BMI]]&lt;=18.5,"Underweight",IF(Table13[[#This Row],[BMI]]&lt;=24.9,"Normal",IF(Table13[[#This Row],[BMI]]&lt;=29.9,"Overweight",IF(Table13[[#This Row],[BMI]]&lt;=39,"Obese","Severly Obese"))))</f>
        <v>Underweight</v>
      </c>
      <c r="W545" s="18">
        <v>14.67</v>
      </c>
    </row>
    <row r="546" spans="6:23" x14ac:dyDescent="0.3">
      <c r="F546" s="17">
        <v>25</v>
      </c>
      <c r="G546" s="8" t="str">
        <f>IF(Table13[[#This Row],[Age]]&lt;25,"18-24",IF(Table13[[#This Row],[Age]]&lt;35,"25-34",IF(Table13[[#This Row],[Age]]&lt;45,"35-44",IF(Table13[[#This Row],[Age]]&lt;55,"45-54","55-64"))))</f>
        <v>25-34</v>
      </c>
      <c r="H546" s="8" t="s">
        <v>17</v>
      </c>
      <c r="I546" s="8">
        <v>85.1</v>
      </c>
      <c r="J546" s="8">
        <v>1.98</v>
      </c>
      <c r="K546" s="8">
        <v>185</v>
      </c>
      <c r="L546" s="8">
        <v>148</v>
      </c>
      <c r="M546" s="8">
        <v>58</v>
      </c>
      <c r="N546" s="8">
        <v>1.29</v>
      </c>
      <c r="O546" s="8">
        <v>785</v>
      </c>
      <c r="P546" s="8" t="s">
        <v>22</v>
      </c>
      <c r="Q546" s="8" t="str">
        <f>_xlfn.IFS(AND(Table13[[#This Row],[Gender]]="female",R546&lt;20),"Athletes",AND(Table13[[#This Row],[Gender]]="female",R546&lt;24),"Fitnesss",AND(Table13[[#This Row],[Gender]]="female",R546&lt;31),"Acceptable",AND(Table13[[#This Row],[Gender]]="female",R546&lt;40),"Obese",AND(Table13[[#This Row],[Gender]]="male",R546&lt;13),"Athletes",AND(Table13[[#This Row],[Gender]]="male",R546&lt;17),"Fitnesss",AND(Table13[[#This Row],[Gender]]="male",R546&lt;24.9),"Acceptable",AND(Table13[[#This Row],[Gender]]="male",R546&lt;40),"Obese",AND(Table13[[#This Row],[Gender]]="others",R546&lt;20),"Athletes",AND(Table13[[#This Row],[Gender]]="others",R546&lt;24),"Fitnesss",AND(Table13[[#This Row],[Gender]]="others",R546&lt;31),"Acceptable",AND(Table13[[#This Row],[Gender]]="others",R546&lt;40),"Obese")</f>
        <v>Fitnesss</v>
      </c>
      <c r="R546" s="8">
        <v>22.5</v>
      </c>
      <c r="S546" s="8">
        <v>3.5</v>
      </c>
      <c r="T546" s="8">
        <v>4</v>
      </c>
      <c r="U546" s="8">
        <v>1</v>
      </c>
      <c r="V546" s="8" t="str">
        <f>IF(Table13[[#This Row],[BMI]]&lt;=18.5,"Underweight",IF(Table13[[#This Row],[BMI]]&lt;=24.9,"Normal",IF(Table13[[#This Row],[BMI]]&lt;=29.9,"Overweight",IF(Table13[[#This Row],[BMI]]&lt;=39,"Obese","Severly Obese"))))</f>
        <v>Underweight</v>
      </c>
      <c r="W546" s="18">
        <v>14.37</v>
      </c>
    </row>
    <row r="547" spans="6:23" x14ac:dyDescent="0.3">
      <c r="F547" s="17">
        <v>34</v>
      </c>
      <c r="G547" s="8" t="str">
        <f>IF(Table13[[#This Row],[Age]]&lt;25,"18-24",IF(Table13[[#This Row],[Age]]&lt;35,"25-34",IF(Table13[[#This Row],[Age]]&lt;45,"35-44",IF(Table13[[#This Row],[Age]]&lt;55,"45-54","55-64"))))</f>
        <v>25-34</v>
      </c>
      <c r="H547" s="8" t="s">
        <v>17</v>
      </c>
      <c r="I547" s="8">
        <v>72.900000000000006</v>
      </c>
      <c r="J547" s="8">
        <v>1.71</v>
      </c>
      <c r="K547" s="8">
        <v>164</v>
      </c>
      <c r="L547" s="8">
        <v>122</v>
      </c>
      <c r="M547" s="8">
        <v>73</v>
      </c>
      <c r="N547" s="8">
        <v>1.78</v>
      </c>
      <c r="O547" s="8">
        <v>432</v>
      </c>
      <c r="P547" s="8" t="s">
        <v>21</v>
      </c>
      <c r="Q547" s="8" t="str">
        <f>_xlfn.IFS(AND(Table13[[#This Row],[Gender]]="female",R547&lt;20),"Athletes",AND(Table13[[#This Row],[Gender]]="female",R547&lt;24),"Fitnesss",AND(Table13[[#This Row],[Gender]]="female",R547&lt;31),"Acceptable",AND(Table13[[#This Row],[Gender]]="female",R547&lt;40),"Obese",AND(Table13[[#This Row],[Gender]]="male",R547&lt;13),"Athletes",AND(Table13[[#This Row],[Gender]]="male",R547&lt;17),"Fitnesss",AND(Table13[[#This Row],[Gender]]="male",R547&lt;24.9),"Acceptable",AND(Table13[[#This Row],[Gender]]="male",R547&lt;40),"Obese",AND(Table13[[#This Row],[Gender]]="others",R547&lt;20),"Athletes",AND(Table13[[#This Row],[Gender]]="others",R547&lt;24),"Fitnesss",AND(Table13[[#This Row],[Gender]]="others",R547&lt;31),"Acceptable",AND(Table13[[#This Row],[Gender]]="others",R547&lt;40),"Obese")</f>
        <v>Acceptable</v>
      </c>
      <c r="R547" s="8">
        <v>27.8</v>
      </c>
      <c r="S547" s="8">
        <v>1.5</v>
      </c>
      <c r="T547" s="8">
        <v>2</v>
      </c>
      <c r="U547" s="8">
        <v>2</v>
      </c>
      <c r="V547" s="8" t="str">
        <f>IF(Table13[[#This Row],[BMI]]&lt;=18.5,"Underweight",IF(Table13[[#This Row],[BMI]]&lt;=24.9,"Normal",IF(Table13[[#This Row],[BMI]]&lt;=29.9,"Overweight",IF(Table13[[#This Row],[BMI]]&lt;=39,"Obese","Severly Obese"))))</f>
        <v>Normal</v>
      </c>
      <c r="W547" s="18">
        <v>20.67</v>
      </c>
    </row>
    <row r="548" spans="6:23" x14ac:dyDescent="0.3">
      <c r="F548" s="17">
        <v>30</v>
      </c>
      <c r="G548" s="8" t="str">
        <f>IF(Table13[[#This Row],[Age]]&lt;25,"18-24",IF(Table13[[#This Row],[Age]]&lt;35,"25-34",IF(Table13[[#This Row],[Age]]&lt;45,"35-44",IF(Table13[[#This Row],[Age]]&lt;55,"45-54","55-64"))))</f>
        <v>25-34</v>
      </c>
      <c r="H548" s="8" t="s">
        <v>17</v>
      </c>
      <c r="I548" s="8">
        <v>42.2</v>
      </c>
      <c r="J548" s="8">
        <v>1.63</v>
      </c>
      <c r="K548" s="8">
        <v>177</v>
      </c>
      <c r="L548" s="8">
        <v>134</v>
      </c>
      <c r="M548" s="8">
        <v>74</v>
      </c>
      <c r="N548" s="8">
        <v>2</v>
      </c>
      <c r="O548" s="8">
        <v>685</v>
      </c>
      <c r="P548" s="8" t="s">
        <v>22</v>
      </c>
      <c r="Q548" s="8" t="str">
        <f>_xlfn.IFS(AND(Table13[[#This Row],[Gender]]="female",R548&lt;20),"Athletes",AND(Table13[[#This Row],[Gender]]="female",R548&lt;24),"Fitnesss",AND(Table13[[#This Row],[Gender]]="female",R548&lt;31),"Acceptable",AND(Table13[[#This Row],[Gender]]="female",R548&lt;40),"Obese",AND(Table13[[#This Row],[Gender]]="male",R548&lt;13),"Athletes",AND(Table13[[#This Row],[Gender]]="male",R548&lt;17),"Fitnesss",AND(Table13[[#This Row],[Gender]]="male",R548&lt;24.9),"Acceptable",AND(Table13[[#This Row],[Gender]]="male",R548&lt;40),"Obese",AND(Table13[[#This Row],[Gender]]="others",R548&lt;20),"Athletes",AND(Table13[[#This Row],[Gender]]="others",R548&lt;24),"Fitnesss",AND(Table13[[#This Row],[Gender]]="others",R548&lt;31),"Acceptable",AND(Table13[[#This Row],[Gender]]="others",R548&lt;40),"Obese")</f>
        <v>Acceptable</v>
      </c>
      <c r="R548" s="8">
        <v>26.4</v>
      </c>
      <c r="S548" s="8">
        <v>3.7</v>
      </c>
      <c r="T548" s="8">
        <v>3</v>
      </c>
      <c r="U548" s="8">
        <v>2</v>
      </c>
      <c r="V548" s="8" t="str">
        <f>IF(Table13[[#This Row],[BMI]]&lt;=18.5,"Underweight",IF(Table13[[#This Row],[BMI]]&lt;=24.9,"Normal",IF(Table13[[#This Row],[BMI]]&lt;=29.9,"Overweight",IF(Table13[[#This Row],[BMI]]&lt;=39,"Obese","Severly Obese"))))</f>
        <v>Overweight</v>
      </c>
      <c r="W548" s="18">
        <v>28.27</v>
      </c>
    </row>
    <row r="549" spans="6:23" x14ac:dyDescent="0.3">
      <c r="F549" s="17">
        <v>49</v>
      </c>
      <c r="G549" s="8" t="str">
        <f>IF(Table13[[#This Row],[Age]]&lt;25,"18-24",IF(Table13[[#This Row],[Age]]&lt;35,"25-34",IF(Table13[[#This Row],[Age]]&lt;45,"35-44",IF(Table13[[#This Row],[Age]]&lt;55,"45-54","55-64"))))</f>
        <v>45-54</v>
      </c>
      <c r="H549" s="8" t="s">
        <v>19</v>
      </c>
      <c r="I549" s="8">
        <v>40</v>
      </c>
      <c r="J549" s="8">
        <v>1.76</v>
      </c>
      <c r="K549" s="8">
        <v>193</v>
      </c>
      <c r="L549" s="8">
        <v>124</v>
      </c>
      <c r="M549" s="8">
        <v>72</v>
      </c>
      <c r="N549" s="8">
        <v>1.3</v>
      </c>
      <c r="O549" s="8">
        <v>1196</v>
      </c>
      <c r="P549" s="8" t="s">
        <v>20</v>
      </c>
      <c r="Q549" s="8" t="str">
        <f>_xlfn.IFS(AND(Table13[[#This Row],[Gender]]="female",R549&lt;20),"Athletes",AND(Table13[[#This Row],[Gender]]="female",R549&lt;24),"Fitnesss",AND(Table13[[#This Row],[Gender]]="female",R549&lt;31),"Acceptable",AND(Table13[[#This Row],[Gender]]="female",R549&lt;40),"Obese",AND(Table13[[#This Row],[Gender]]="male",R549&lt;13),"Athletes",AND(Table13[[#This Row],[Gender]]="male",R549&lt;17),"Fitnesss",AND(Table13[[#This Row],[Gender]]="male",R549&lt;24.9),"Acceptable",AND(Table13[[#This Row],[Gender]]="male",R549&lt;40),"Obese",AND(Table13[[#This Row],[Gender]]="others",R549&lt;20),"Athletes",AND(Table13[[#This Row],[Gender]]="others",R549&lt;24),"Fitnesss",AND(Table13[[#This Row],[Gender]]="others",R549&lt;31),"Acceptable",AND(Table13[[#This Row],[Gender]]="others",R549&lt;40),"Obese")</f>
        <v>Athletes</v>
      </c>
      <c r="R549" s="8">
        <v>11.2</v>
      </c>
      <c r="S549" s="8">
        <v>2.2000000000000002</v>
      </c>
      <c r="T549" s="8">
        <v>4</v>
      </c>
      <c r="U549" s="8">
        <v>2</v>
      </c>
      <c r="V549" s="8" t="str">
        <f>IF(Table13[[#This Row],[BMI]]&lt;=18.5,"Underweight",IF(Table13[[#This Row],[BMI]]&lt;=24.9,"Normal",IF(Table13[[#This Row],[BMI]]&lt;=29.9,"Overweight",IF(Table13[[#This Row],[BMI]]&lt;=39,"Obese","Severly Obese"))))</f>
        <v>Underweight</v>
      </c>
      <c r="W549" s="18">
        <v>16.86</v>
      </c>
    </row>
    <row r="550" spans="6:23" x14ac:dyDescent="0.3">
      <c r="F550" s="17">
        <v>18</v>
      </c>
      <c r="G550" s="8" t="str">
        <f>IF(Table13[[#This Row],[Age]]&lt;25,"18-24",IF(Table13[[#This Row],[Age]]&lt;35,"25-34",IF(Table13[[#This Row],[Age]]&lt;45,"35-44",IF(Table13[[#This Row],[Age]]&lt;55,"45-54","55-64"))))</f>
        <v>18-24</v>
      </c>
      <c r="H550" s="8" t="s">
        <v>19</v>
      </c>
      <c r="I550" s="8">
        <v>51.8</v>
      </c>
      <c r="J550" s="8">
        <v>1.58</v>
      </c>
      <c r="K550" s="8">
        <v>164</v>
      </c>
      <c r="L550" s="8">
        <v>164</v>
      </c>
      <c r="M550" s="8">
        <v>51</v>
      </c>
      <c r="N550" s="8">
        <v>0.84</v>
      </c>
      <c r="O550" s="8">
        <v>1110</v>
      </c>
      <c r="P550" s="8" t="s">
        <v>20</v>
      </c>
      <c r="Q550" s="8" t="str">
        <f>_xlfn.IFS(AND(Table13[[#This Row],[Gender]]="female",R550&lt;20),"Athletes",AND(Table13[[#This Row],[Gender]]="female",R550&lt;24),"Fitnesss",AND(Table13[[#This Row],[Gender]]="female",R550&lt;31),"Acceptable",AND(Table13[[#This Row],[Gender]]="female",R550&lt;40),"Obese",AND(Table13[[#This Row],[Gender]]="male",R550&lt;13),"Athletes",AND(Table13[[#This Row],[Gender]]="male",R550&lt;17),"Fitnesss",AND(Table13[[#This Row],[Gender]]="male",R550&lt;24.9),"Acceptable",AND(Table13[[#This Row],[Gender]]="male",R550&lt;40),"Obese",AND(Table13[[#This Row],[Gender]]="others",R550&lt;20),"Athletes",AND(Table13[[#This Row],[Gender]]="others",R550&lt;24),"Fitnesss",AND(Table13[[#This Row],[Gender]]="others",R550&lt;31),"Acceptable",AND(Table13[[#This Row],[Gender]]="others",R550&lt;40),"Obese")</f>
        <v>Obese</v>
      </c>
      <c r="R550" s="8">
        <v>25.8</v>
      </c>
      <c r="S550" s="8">
        <v>3.5</v>
      </c>
      <c r="T550" s="8">
        <v>3</v>
      </c>
      <c r="U550" s="8">
        <v>3</v>
      </c>
      <c r="V550" s="8" t="str">
        <f>IF(Table13[[#This Row],[BMI]]&lt;=18.5,"Underweight",IF(Table13[[#This Row],[BMI]]&lt;=24.9,"Normal",IF(Table13[[#This Row],[BMI]]&lt;=29.9,"Overweight",IF(Table13[[#This Row],[BMI]]&lt;=39,"Obese","Severly Obese"))))</f>
        <v>Underweight</v>
      </c>
      <c r="W550" s="18">
        <v>16.04</v>
      </c>
    </row>
    <row r="551" spans="6:23" x14ac:dyDescent="0.3">
      <c r="F551" s="17">
        <v>31</v>
      </c>
      <c r="G551" s="8" t="str">
        <f>IF(Table13[[#This Row],[Age]]&lt;25,"18-24",IF(Table13[[#This Row],[Age]]&lt;35,"25-34",IF(Table13[[#This Row],[Age]]&lt;45,"35-44",IF(Table13[[#This Row],[Age]]&lt;55,"45-54","55-64"))))</f>
        <v>25-34</v>
      </c>
      <c r="H551" s="8" t="s">
        <v>19</v>
      </c>
      <c r="I551" s="8">
        <v>91.5</v>
      </c>
      <c r="J551" s="8"/>
      <c r="K551" s="8">
        <v>189</v>
      </c>
      <c r="L551" s="8">
        <v>169</v>
      </c>
      <c r="M551" s="8">
        <v>58</v>
      </c>
      <c r="N551" s="8">
        <v>1.51</v>
      </c>
      <c r="O551" s="8">
        <v>786</v>
      </c>
      <c r="P551" s="8" t="s">
        <v>22</v>
      </c>
      <c r="Q551" s="8" t="str">
        <f>_xlfn.IFS(AND(Table13[[#This Row],[Gender]]="female",R551&lt;20),"Athletes",AND(Table13[[#This Row],[Gender]]="female",R551&lt;24),"Fitnesss",AND(Table13[[#This Row],[Gender]]="female",R551&lt;31),"Acceptable",AND(Table13[[#This Row],[Gender]]="female",R551&lt;40),"Obese",AND(Table13[[#This Row],[Gender]]="male",R551&lt;13),"Athletes",AND(Table13[[#This Row],[Gender]]="male",R551&lt;17),"Fitnesss",AND(Table13[[#This Row],[Gender]]="male",R551&lt;24.9),"Acceptable",AND(Table13[[#This Row],[Gender]]="male",R551&lt;40),"Obese",AND(Table13[[#This Row],[Gender]]="others",R551&lt;20),"Athletes",AND(Table13[[#This Row],[Gender]]="others",R551&lt;24),"Fitnesss",AND(Table13[[#This Row],[Gender]]="others",R551&lt;31),"Acceptable",AND(Table13[[#This Row],[Gender]]="others",R551&lt;40),"Obese")</f>
        <v>Acceptable</v>
      </c>
      <c r="R551" s="8">
        <v>24.6</v>
      </c>
      <c r="S551" s="8">
        <v>3.6</v>
      </c>
      <c r="T551" s="8">
        <v>3</v>
      </c>
      <c r="U551" s="8">
        <v>1</v>
      </c>
      <c r="V551" s="8" t="str">
        <f>IF(Table13[[#This Row],[BMI]]&lt;=18.5,"Underweight",IF(Table13[[#This Row],[BMI]]&lt;=24.9,"Normal",IF(Table13[[#This Row],[BMI]]&lt;=29.9,"Overweight",IF(Table13[[#This Row],[BMI]]&lt;=39,"Obese","Severly Obese"))))</f>
        <v>Normal</v>
      </c>
      <c r="W551" s="18">
        <v>19.09</v>
      </c>
    </row>
    <row r="552" spans="6:23" x14ac:dyDescent="0.3">
      <c r="F552" s="17">
        <v>22</v>
      </c>
      <c r="G552" s="8" t="str">
        <f>IF(Table13[[#This Row],[Age]]&lt;25,"18-24",IF(Table13[[#This Row],[Age]]&lt;35,"25-34",IF(Table13[[#This Row],[Age]]&lt;45,"35-44",IF(Table13[[#This Row],[Age]]&lt;55,"45-54","55-64"))))</f>
        <v>18-24</v>
      </c>
      <c r="H552" s="8" t="s">
        <v>19</v>
      </c>
      <c r="I552" s="8">
        <v>64.599999999999994</v>
      </c>
      <c r="J552" s="8">
        <v>2</v>
      </c>
      <c r="K552" s="8">
        <v>196</v>
      </c>
      <c r="L552" s="8">
        <v>137</v>
      </c>
      <c r="M552" s="8">
        <v>73</v>
      </c>
      <c r="N552" s="8">
        <v>0.85</v>
      </c>
      <c r="O552" s="8">
        <v>704</v>
      </c>
      <c r="P552" s="8" t="s">
        <v>21</v>
      </c>
      <c r="Q552" s="8" t="str">
        <f>_xlfn.IFS(AND(Table13[[#This Row],[Gender]]="female",R552&lt;20),"Athletes",AND(Table13[[#This Row],[Gender]]="female",R552&lt;24),"Fitnesss",AND(Table13[[#This Row],[Gender]]="female",R552&lt;31),"Acceptable",AND(Table13[[#This Row],[Gender]]="female",R552&lt;40),"Obese",AND(Table13[[#This Row],[Gender]]="male",R552&lt;13),"Athletes",AND(Table13[[#This Row],[Gender]]="male",R552&lt;17),"Fitnesss",AND(Table13[[#This Row],[Gender]]="male",R552&lt;24.9),"Acceptable",AND(Table13[[#This Row],[Gender]]="male",R552&lt;40),"Obese",AND(Table13[[#This Row],[Gender]]="others",R552&lt;20),"Athletes",AND(Table13[[#This Row],[Gender]]="others",R552&lt;24),"Fitnesss",AND(Table13[[#This Row],[Gender]]="others",R552&lt;31),"Acceptable",AND(Table13[[#This Row],[Gender]]="others",R552&lt;40),"Obese")</f>
        <v>Acceptable</v>
      </c>
      <c r="R552" s="8">
        <v>21.4</v>
      </c>
      <c r="S552" s="8">
        <v>2.5</v>
      </c>
      <c r="T552" s="8">
        <v>3</v>
      </c>
      <c r="U552" s="8">
        <v>3</v>
      </c>
      <c r="V552" s="8" t="str">
        <f>IF(Table13[[#This Row],[BMI]]&lt;=18.5,"Underweight",IF(Table13[[#This Row],[BMI]]&lt;=24.9,"Normal",IF(Table13[[#This Row],[BMI]]&lt;=29.9,"Overweight",IF(Table13[[#This Row],[BMI]]&lt;=39,"Obese","Severly Obese"))))</f>
        <v>Normal</v>
      </c>
      <c r="W552" s="18">
        <v>22.43</v>
      </c>
    </row>
    <row r="553" spans="6:23" x14ac:dyDescent="0.3">
      <c r="F553" s="17">
        <v>47</v>
      </c>
      <c r="G553" s="8" t="str">
        <f>IF(Table13[[#This Row],[Age]]&lt;25,"18-24",IF(Table13[[#This Row],[Age]]&lt;35,"25-34",IF(Table13[[#This Row],[Age]]&lt;45,"35-44",IF(Table13[[#This Row],[Age]]&lt;55,"45-54","55-64"))))</f>
        <v>45-54</v>
      </c>
      <c r="H553" s="8" t="s">
        <v>19</v>
      </c>
      <c r="I553" s="8">
        <v>66.5</v>
      </c>
      <c r="J553" s="8">
        <v>1.79</v>
      </c>
      <c r="K553" s="8">
        <v>193</v>
      </c>
      <c r="L553" s="8">
        <v>155</v>
      </c>
      <c r="M553" s="8">
        <v>51</v>
      </c>
      <c r="N553" s="8">
        <v>0.69</v>
      </c>
      <c r="O553" s="8">
        <v>1656</v>
      </c>
      <c r="P553" s="8" t="s">
        <v>23</v>
      </c>
      <c r="Q553" s="8" t="str">
        <f>_xlfn.IFS(AND(Table13[[#This Row],[Gender]]="female",R553&lt;20),"Athletes",AND(Table13[[#This Row],[Gender]]="female",R553&lt;24),"Fitnesss",AND(Table13[[#This Row],[Gender]]="female",R553&lt;31),"Acceptable",AND(Table13[[#This Row],[Gender]]="female",R553&lt;40),"Obese",AND(Table13[[#This Row],[Gender]]="male",R553&lt;13),"Athletes",AND(Table13[[#This Row],[Gender]]="male",R553&lt;17),"Fitnesss",AND(Table13[[#This Row],[Gender]]="male",R553&lt;24.9),"Acceptable",AND(Table13[[#This Row],[Gender]]="male",R553&lt;40),"Obese",AND(Table13[[#This Row],[Gender]]="others",R553&lt;20),"Athletes",AND(Table13[[#This Row],[Gender]]="others",R553&lt;24),"Fitnesss",AND(Table13[[#This Row],[Gender]]="others",R553&lt;31),"Acceptable",AND(Table13[[#This Row],[Gender]]="others",R553&lt;40),"Obese")</f>
        <v>Acceptable</v>
      </c>
      <c r="R553" s="8">
        <v>24</v>
      </c>
      <c r="S553" s="8">
        <v>2.8</v>
      </c>
      <c r="T553" s="8">
        <v>5</v>
      </c>
      <c r="U553" s="8">
        <v>1</v>
      </c>
      <c r="V553" s="8" t="str">
        <f>IF(Table13[[#This Row],[BMI]]&lt;=18.5,"Underweight",IF(Table13[[#This Row],[BMI]]&lt;=24.9,"Normal",IF(Table13[[#This Row],[BMI]]&lt;=29.9,"Overweight",IF(Table13[[#This Row],[BMI]]&lt;=39,"Obese","Severly Obese"))))</f>
        <v>Underweight</v>
      </c>
      <c r="W553" s="18">
        <v>16.95</v>
      </c>
    </row>
    <row r="554" spans="6:23" x14ac:dyDescent="0.3">
      <c r="F554" s="17">
        <v>54</v>
      </c>
      <c r="G554" s="8" t="str">
        <f>IF(Table13[[#This Row],[Age]]&lt;25,"18-24",IF(Table13[[#This Row],[Age]]&lt;35,"25-34",IF(Table13[[#This Row],[Age]]&lt;45,"35-44",IF(Table13[[#This Row],[Age]]&lt;55,"45-54","55-64"))))</f>
        <v>45-54</v>
      </c>
      <c r="H554" s="8" t="s">
        <v>19</v>
      </c>
      <c r="I554" s="8">
        <v>55.2</v>
      </c>
      <c r="J554" s="8">
        <v>1.8</v>
      </c>
      <c r="K554" s="8">
        <v>168</v>
      </c>
      <c r="L554" s="8">
        <v>137</v>
      </c>
      <c r="M554" s="8">
        <v>55</v>
      </c>
      <c r="N554" s="8">
        <v>2</v>
      </c>
      <c r="O554" s="8">
        <v>1472</v>
      </c>
      <c r="P554" s="8" t="s">
        <v>21</v>
      </c>
      <c r="Q554" s="8" t="str">
        <f>_xlfn.IFS(AND(Table13[[#This Row],[Gender]]="female",R554&lt;20),"Athletes",AND(Table13[[#This Row],[Gender]]="female",R554&lt;24),"Fitnesss",AND(Table13[[#This Row],[Gender]]="female",R554&lt;31),"Acceptable",AND(Table13[[#This Row],[Gender]]="female",R554&lt;40),"Obese",AND(Table13[[#This Row],[Gender]]="male",R554&lt;13),"Athletes",AND(Table13[[#This Row],[Gender]]="male",R554&lt;17),"Fitnesss",AND(Table13[[#This Row],[Gender]]="male",R554&lt;24.9),"Acceptable",AND(Table13[[#This Row],[Gender]]="male",R554&lt;40),"Obese",AND(Table13[[#This Row],[Gender]]="others",R554&lt;20),"Athletes",AND(Table13[[#This Row],[Gender]]="others",R554&lt;24),"Fitnesss",AND(Table13[[#This Row],[Gender]]="others",R554&lt;31),"Acceptable",AND(Table13[[#This Row],[Gender]]="others",R554&lt;40),"Obese")</f>
        <v>Obese</v>
      </c>
      <c r="R554" s="8">
        <v>27</v>
      </c>
      <c r="S554" s="8">
        <v>3.1</v>
      </c>
      <c r="T554" s="8">
        <v>4</v>
      </c>
      <c r="U554" s="8">
        <v>2</v>
      </c>
      <c r="V554" s="8" t="str">
        <f>IF(Table13[[#This Row],[BMI]]&lt;=18.5,"Underweight",IF(Table13[[#This Row],[BMI]]&lt;=24.9,"Normal",IF(Table13[[#This Row],[BMI]]&lt;=29.9,"Overweight",IF(Table13[[#This Row],[BMI]]&lt;=39,"Obese","Severly Obese"))))</f>
        <v>Normal</v>
      </c>
      <c r="W554" s="18">
        <v>23.47</v>
      </c>
    </row>
    <row r="555" spans="6:23" x14ac:dyDescent="0.3">
      <c r="F555" s="17">
        <v>49</v>
      </c>
      <c r="G555" s="8" t="str">
        <f>IF(Table13[[#This Row],[Age]]&lt;25,"18-24",IF(Table13[[#This Row],[Age]]&lt;35,"25-34",IF(Table13[[#This Row],[Age]]&lt;45,"35-44",IF(Table13[[#This Row],[Age]]&lt;55,"45-54","55-64"))))</f>
        <v>45-54</v>
      </c>
      <c r="H555" s="8" t="s">
        <v>17</v>
      </c>
      <c r="I555" s="8">
        <v>105.3</v>
      </c>
      <c r="J555" s="8">
        <v>1.83</v>
      </c>
      <c r="K555" s="8">
        <v>165</v>
      </c>
      <c r="L555" s="8">
        <v>150</v>
      </c>
      <c r="M555" s="8">
        <v>70</v>
      </c>
      <c r="N555" s="8">
        <v>1.53</v>
      </c>
      <c r="O555" s="8">
        <v>699</v>
      </c>
      <c r="P555" s="8" t="s">
        <v>18</v>
      </c>
      <c r="Q555" s="8" t="str">
        <f>_xlfn.IFS(AND(Table13[[#This Row],[Gender]]="female",R555&lt;20),"Athletes",AND(Table13[[#This Row],[Gender]]="female",R555&lt;24),"Fitnesss",AND(Table13[[#This Row],[Gender]]="female",R555&lt;31),"Acceptable",AND(Table13[[#This Row],[Gender]]="female",R555&lt;40),"Obese",AND(Table13[[#This Row],[Gender]]="male",R555&lt;13),"Athletes",AND(Table13[[#This Row],[Gender]]="male",R555&lt;17),"Fitnesss",AND(Table13[[#This Row],[Gender]]="male",R555&lt;24.9),"Acceptable",AND(Table13[[#This Row],[Gender]]="male",R555&lt;40),"Obese",AND(Table13[[#This Row],[Gender]]="others",R555&lt;20),"Athletes",AND(Table13[[#This Row],[Gender]]="others",R555&lt;24),"Fitnesss",AND(Table13[[#This Row],[Gender]]="others",R555&lt;31),"Acceptable",AND(Table13[[#This Row],[Gender]]="others",R555&lt;40),"Obese")</f>
        <v>Obese</v>
      </c>
      <c r="R555" s="8">
        <v>31.4</v>
      </c>
      <c r="S555" s="8">
        <v>3.7</v>
      </c>
      <c r="T555" s="8">
        <v>3</v>
      </c>
      <c r="U555" s="8">
        <v>1</v>
      </c>
      <c r="V555" s="8" t="str">
        <f>IF(Table13[[#This Row],[BMI]]&lt;=18.5,"Underweight",IF(Table13[[#This Row],[BMI]]&lt;=24.9,"Normal",IF(Table13[[#This Row],[BMI]]&lt;=29.9,"Overweight",IF(Table13[[#This Row],[BMI]]&lt;=39,"Obese","Severly Obese"))))</f>
        <v>Severly Obese</v>
      </c>
      <c r="W555" s="18">
        <v>39.35</v>
      </c>
    </row>
    <row r="556" spans="6:23" x14ac:dyDescent="0.3">
      <c r="F556" s="17">
        <v>18</v>
      </c>
      <c r="G556" s="8" t="str">
        <f>IF(Table13[[#This Row],[Age]]&lt;25,"18-24",IF(Table13[[#This Row],[Age]]&lt;35,"25-34",IF(Table13[[#This Row],[Age]]&lt;45,"35-44",IF(Table13[[#This Row],[Age]]&lt;55,"45-54","55-64"))))</f>
        <v>18-24</v>
      </c>
      <c r="H556" s="8" t="s">
        <v>19</v>
      </c>
      <c r="I556" s="8">
        <v>74.099999999999994</v>
      </c>
      <c r="J556" s="8">
        <v>1.76</v>
      </c>
      <c r="K556" s="8">
        <v>170</v>
      </c>
      <c r="L556" s="8">
        <v>135</v>
      </c>
      <c r="M556" s="8">
        <v>62</v>
      </c>
      <c r="N556" s="8">
        <v>1.24</v>
      </c>
      <c r="O556" s="8">
        <v>1214</v>
      </c>
      <c r="P556" s="8" t="s">
        <v>20</v>
      </c>
      <c r="Q556" s="8" t="str">
        <f>_xlfn.IFS(AND(Table13[[#This Row],[Gender]]="female",R556&lt;20),"Athletes",AND(Table13[[#This Row],[Gender]]="female",R556&lt;24),"Fitnesss",AND(Table13[[#This Row],[Gender]]="female",R556&lt;31),"Acceptable",AND(Table13[[#This Row],[Gender]]="female",R556&lt;40),"Obese",AND(Table13[[#This Row],[Gender]]="male",R556&lt;13),"Athletes",AND(Table13[[#This Row],[Gender]]="male",R556&lt;17),"Fitnesss",AND(Table13[[#This Row],[Gender]]="male",R556&lt;24.9),"Acceptable",AND(Table13[[#This Row],[Gender]]="male",R556&lt;40),"Obese",AND(Table13[[#This Row],[Gender]]="others",R556&lt;20),"Athletes",AND(Table13[[#This Row],[Gender]]="others",R556&lt;24),"Fitnesss",AND(Table13[[#This Row],[Gender]]="others",R556&lt;31),"Acceptable",AND(Table13[[#This Row],[Gender]]="others",R556&lt;40),"Obese")</f>
        <v>Fitnesss</v>
      </c>
      <c r="R556" s="8">
        <v>13.7</v>
      </c>
      <c r="S556" s="8">
        <v>2.5</v>
      </c>
      <c r="T556" s="8">
        <v>3</v>
      </c>
      <c r="U556" s="8">
        <v>2</v>
      </c>
      <c r="V556" s="8" t="str">
        <f>IF(Table13[[#This Row],[BMI]]&lt;=18.5,"Underweight",IF(Table13[[#This Row],[BMI]]&lt;=24.9,"Normal",IF(Table13[[#This Row],[BMI]]&lt;=29.9,"Overweight",IF(Table13[[#This Row],[BMI]]&lt;=39,"Obese","Severly Obese"))))</f>
        <v>Underweight</v>
      </c>
      <c r="W556" s="18">
        <v>13.25</v>
      </c>
    </row>
    <row r="557" spans="6:23" x14ac:dyDescent="0.3">
      <c r="F557" s="17">
        <v>46</v>
      </c>
      <c r="G557" s="8" t="str">
        <f>IF(Table13[[#This Row],[Age]]&lt;25,"18-24",IF(Table13[[#This Row],[Age]]&lt;35,"25-34",IF(Table13[[#This Row],[Age]]&lt;45,"35-44",IF(Table13[[#This Row],[Age]]&lt;55,"45-54","55-64"))))</f>
        <v>45-54</v>
      </c>
      <c r="H557" s="8" t="s">
        <v>17</v>
      </c>
      <c r="I557" s="8">
        <v>40</v>
      </c>
      <c r="J557" s="8">
        <v>1.75</v>
      </c>
      <c r="K557" s="8">
        <v>170</v>
      </c>
      <c r="L557" s="8">
        <v>142</v>
      </c>
      <c r="M557" s="8">
        <v>63</v>
      </c>
      <c r="N557" s="8">
        <v>0.96</v>
      </c>
      <c r="O557" s="8">
        <v>919</v>
      </c>
      <c r="P557" s="8" t="s">
        <v>20</v>
      </c>
      <c r="Q557" s="8" t="str">
        <f>_xlfn.IFS(AND(Table13[[#This Row],[Gender]]="female",R557&lt;20),"Athletes",AND(Table13[[#This Row],[Gender]]="female",R557&lt;24),"Fitnesss",AND(Table13[[#This Row],[Gender]]="female",R557&lt;31),"Acceptable",AND(Table13[[#This Row],[Gender]]="female",R557&lt;40),"Obese",AND(Table13[[#This Row],[Gender]]="male",R557&lt;13),"Athletes",AND(Table13[[#This Row],[Gender]]="male",R557&lt;17),"Fitnesss",AND(Table13[[#This Row],[Gender]]="male",R557&lt;24.9),"Acceptable",AND(Table13[[#This Row],[Gender]]="male",R557&lt;40),"Obese",AND(Table13[[#This Row],[Gender]]="others",R557&lt;20),"Athletes",AND(Table13[[#This Row],[Gender]]="others",R557&lt;24),"Fitnesss",AND(Table13[[#This Row],[Gender]]="others",R557&lt;31),"Acceptable",AND(Table13[[#This Row],[Gender]]="others",R557&lt;40),"Obese")</f>
        <v>Fitnesss</v>
      </c>
      <c r="R557" s="8">
        <v>22.3</v>
      </c>
      <c r="S557" s="8">
        <v>2.4</v>
      </c>
      <c r="T557" s="8">
        <v>4</v>
      </c>
      <c r="U557" s="8">
        <v>2</v>
      </c>
      <c r="V557" s="8" t="str">
        <f>IF(Table13[[#This Row],[BMI]]&lt;=18.5,"Underweight",IF(Table13[[#This Row],[BMI]]&lt;=24.9,"Normal",IF(Table13[[#This Row],[BMI]]&lt;=29.9,"Overweight",IF(Table13[[#This Row],[BMI]]&lt;=39,"Obese","Severly Obese"))))</f>
        <v>Underweight</v>
      </c>
      <c r="W557" s="18">
        <v>12.41</v>
      </c>
    </row>
    <row r="558" spans="6:23" x14ac:dyDescent="0.3">
      <c r="F558" s="17">
        <v>18</v>
      </c>
      <c r="G558" s="8" t="str">
        <f>IF(Table13[[#This Row],[Age]]&lt;25,"18-24",IF(Table13[[#This Row],[Age]]&lt;35,"25-34",IF(Table13[[#This Row],[Age]]&lt;45,"35-44",IF(Table13[[#This Row],[Age]]&lt;55,"45-54","55-64"))))</f>
        <v>18-24</v>
      </c>
      <c r="H558" s="8" t="s">
        <v>19</v>
      </c>
      <c r="I558" s="8">
        <v>91.1</v>
      </c>
      <c r="J558" s="8">
        <v>1.76</v>
      </c>
      <c r="K558" s="8">
        <v>197</v>
      </c>
      <c r="L558" s="8">
        <v>162</v>
      </c>
      <c r="M558" s="8">
        <v>59</v>
      </c>
      <c r="N558" s="8">
        <v>1.52</v>
      </c>
      <c r="O558" s="8">
        <v>1362</v>
      </c>
      <c r="P558" s="8" t="s">
        <v>20</v>
      </c>
      <c r="Q558" s="8" t="str">
        <f>_xlfn.IFS(AND(Table13[[#This Row],[Gender]]="female",R558&lt;20),"Athletes",AND(Table13[[#This Row],[Gender]]="female",R558&lt;24),"Fitnesss",AND(Table13[[#This Row],[Gender]]="female",R558&lt;31),"Acceptable",AND(Table13[[#This Row],[Gender]]="female",R558&lt;40),"Obese",AND(Table13[[#This Row],[Gender]]="male",R558&lt;13),"Athletes",AND(Table13[[#This Row],[Gender]]="male",R558&lt;17),"Fitnesss",AND(Table13[[#This Row],[Gender]]="male",R558&lt;24.9),"Acceptable",AND(Table13[[#This Row],[Gender]]="male",R558&lt;40),"Obese",AND(Table13[[#This Row],[Gender]]="others",R558&lt;20),"Athletes",AND(Table13[[#This Row],[Gender]]="others",R558&lt;24),"Fitnesss",AND(Table13[[#This Row],[Gender]]="others",R558&lt;31),"Acceptable",AND(Table13[[#This Row],[Gender]]="others",R558&lt;40),"Obese")</f>
        <v>Obese</v>
      </c>
      <c r="R558" s="8">
        <v>28.8</v>
      </c>
      <c r="S558" s="8">
        <v>3.4</v>
      </c>
      <c r="T558" s="8">
        <v>3</v>
      </c>
      <c r="U558" s="8">
        <v>1</v>
      </c>
      <c r="V558" s="8" t="str">
        <f>IF(Table13[[#This Row],[BMI]]&lt;=18.5,"Underweight",IF(Table13[[#This Row],[BMI]]&lt;=24.9,"Normal",IF(Table13[[#This Row],[BMI]]&lt;=29.9,"Overweight",IF(Table13[[#This Row],[BMI]]&lt;=39,"Obese","Severly Obese"))))</f>
        <v>Underweight</v>
      </c>
      <c r="W558" s="18">
        <v>14.34</v>
      </c>
    </row>
    <row r="559" spans="6:23" x14ac:dyDescent="0.3">
      <c r="F559" s="17">
        <v>21</v>
      </c>
      <c r="G559" s="8" t="str">
        <f>IF(Table13[[#This Row],[Age]]&lt;25,"18-24",IF(Table13[[#This Row],[Age]]&lt;35,"25-34",IF(Table13[[#This Row],[Age]]&lt;45,"35-44",IF(Table13[[#This Row],[Age]]&lt;55,"45-54","55-64"))))</f>
        <v>18-24</v>
      </c>
      <c r="H559" s="8" t="s">
        <v>17</v>
      </c>
      <c r="I559" s="8">
        <v>49.2</v>
      </c>
      <c r="J559" s="8">
        <v>1.64</v>
      </c>
      <c r="K559" s="8">
        <v>177</v>
      </c>
      <c r="L559" s="8">
        <v>164</v>
      </c>
      <c r="M559" s="8">
        <v>53</v>
      </c>
      <c r="N559" s="8">
        <v>0.57999999999999996</v>
      </c>
      <c r="O559" s="8">
        <v>1114</v>
      </c>
      <c r="P559" s="8" t="s">
        <v>21</v>
      </c>
      <c r="Q559" s="8" t="str">
        <f>_xlfn.IFS(AND(Table13[[#This Row],[Gender]]="female",R559&lt;20),"Athletes",AND(Table13[[#This Row],[Gender]]="female",R559&lt;24),"Fitnesss",AND(Table13[[#This Row],[Gender]]="female",R559&lt;31),"Acceptable",AND(Table13[[#This Row],[Gender]]="female",R559&lt;40),"Obese",AND(Table13[[#This Row],[Gender]]="male",R559&lt;13),"Athletes",AND(Table13[[#This Row],[Gender]]="male",R559&lt;17),"Fitnesss",AND(Table13[[#This Row],[Gender]]="male",R559&lt;24.9),"Acceptable",AND(Table13[[#This Row],[Gender]]="male",R559&lt;40),"Obese",AND(Table13[[#This Row],[Gender]]="others",R559&lt;20),"Athletes",AND(Table13[[#This Row],[Gender]]="others",R559&lt;24),"Fitnesss",AND(Table13[[#This Row],[Gender]]="others",R559&lt;31),"Acceptable",AND(Table13[[#This Row],[Gender]]="others",R559&lt;40),"Obese")</f>
        <v>Fitnesss</v>
      </c>
      <c r="R559" s="8">
        <v>23.3</v>
      </c>
      <c r="S559" s="8">
        <v>2.9</v>
      </c>
      <c r="T559" s="8">
        <v>3</v>
      </c>
      <c r="U559" s="8">
        <v>1</v>
      </c>
      <c r="V559" s="8" t="str">
        <f>IF(Table13[[#This Row],[BMI]]&lt;=18.5,"Underweight",IF(Table13[[#This Row],[BMI]]&lt;=24.9,"Normal",IF(Table13[[#This Row],[BMI]]&lt;=29.9,"Overweight",IF(Table13[[#This Row],[BMI]]&lt;=39,"Obese","Severly Obese"))))</f>
        <v>Normal</v>
      </c>
      <c r="W559" s="18">
        <v>23.08</v>
      </c>
    </row>
    <row r="560" spans="6:23" x14ac:dyDescent="0.3">
      <c r="F560" s="17">
        <v>44</v>
      </c>
      <c r="G560" s="8" t="str">
        <f>IF(Table13[[#This Row],[Age]]&lt;25,"18-24",IF(Table13[[#This Row],[Age]]&lt;35,"25-34",IF(Table13[[#This Row],[Age]]&lt;45,"35-44",IF(Table13[[#This Row],[Age]]&lt;55,"45-54","55-64"))))</f>
        <v>35-44</v>
      </c>
      <c r="H560" s="8" t="s">
        <v>17</v>
      </c>
      <c r="I560" s="8">
        <v>87.8</v>
      </c>
      <c r="J560" s="8">
        <v>1.77</v>
      </c>
      <c r="K560" s="8">
        <v>163</v>
      </c>
      <c r="L560" s="8">
        <v>157</v>
      </c>
      <c r="M560" s="8">
        <v>67</v>
      </c>
      <c r="N560" s="8">
        <v>1.18</v>
      </c>
      <c r="O560" s="8"/>
      <c r="P560" s="8" t="s">
        <v>22</v>
      </c>
      <c r="Q560" s="8" t="str">
        <f>_xlfn.IFS(AND(Table13[[#This Row],[Gender]]="female",R560&lt;20),"Athletes",AND(Table13[[#This Row],[Gender]]="female",R560&lt;24),"Fitnesss",AND(Table13[[#This Row],[Gender]]="female",R560&lt;31),"Acceptable",AND(Table13[[#This Row],[Gender]]="female",R560&lt;40),"Obese",AND(Table13[[#This Row],[Gender]]="male",R560&lt;13),"Athletes",AND(Table13[[#This Row],[Gender]]="male",R560&lt;17),"Fitnesss",AND(Table13[[#This Row],[Gender]]="male",R560&lt;24.9),"Acceptable",AND(Table13[[#This Row],[Gender]]="male",R560&lt;40),"Obese",AND(Table13[[#This Row],[Gender]]="others",R560&lt;20),"Athletes",AND(Table13[[#This Row],[Gender]]="others",R560&lt;24),"Fitnesss",AND(Table13[[#This Row],[Gender]]="others",R560&lt;31),"Acceptable",AND(Table13[[#This Row],[Gender]]="others",R560&lt;40),"Obese")</f>
        <v>Fitnesss</v>
      </c>
      <c r="R560" s="8">
        <v>23.7</v>
      </c>
      <c r="S560" s="8">
        <v>2</v>
      </c>
      <c r="T560" s="8">
        <v>4</v>
      </c>
      <c r="U560" s="8">
        <v>2</v>
      </c>
      <c r="V560" s="8" t="str">
        <f>IF(Table13[[#This Row],[BMI]]&lt;=18.5,"Underweight",IF(Table13[[#This Row],[BMI]]&lt;=24.9,"Normal",IF(Table13[[#This Row],[BMI]]&lt;=29.9,"Overweight",IF(Table13[[#This Row],[BMI]]&lt;=39,"Obese","Severly Obese"))))</f>
        <v>Underweight</v>
      </c>
      <c r="W560" s="18">
        <v>12.32</v>
      </c>
    </row>
    <row r="561" spans="6:23" x14ac:dyDescent="0.3">
      <c r="F561" s="17">
        <v>48</v>
      </c>
      <c r="G561" s="8" t="str">
        <f>IF(Table13[[#This Row],[Age]]&lt;25,"18-24",IF(Table13[[#This Row],[Age]]&lt;35,"25-34",IF(Table13[[#This Row],[Age]]&lt;45,"35-44",IF(Table13[[#This Row],[Age]]&lt;55,"45-54","55-64"))))</f>
        <v>45-54</v>
      </c>
      <c r="H561" s="8" t="s">
        <v>17</v>
      </c>
      <c r="I561" s="8">
        <v>40</v>
      </c>
      <c r="J561" s="8">
        <v>1.77</v>
      </c>
      <c r="K561" s="8">
        <v>180</v>
      </c>
      <c r="L561" s="8">
        <v>127</v>
      </c>
      <c r="M561" s="8">
        <v>54</v>
      </c>
      <c r="N561" s="8">
        <v>1.48</v>
      </c>
      <c r="O561" s="8">
        <v>1460</v>
      </c>
      <c r="P561" s="8" t="s">
        <v>21</v>
      </c>
      <c r="Q561" s="8" t="str">
        <f>_xlfn.IFS(AND(Table13[[#This Row],[Gender]]="female",R561&lt;20),"Athletes",AND(Table13[[#This Row],[Gender]]="female",R561&lt;24),"Fitnesss",AND(Table13[[#This Row],[Gender]]="female",R561&lt;31),"Acceptable",AND(Table13[[#This Row],[Gender]]="female",R561&lt;40),"Obese",AND(Table13[[#This Row],[Gender]]="male",R561&lt;13),"Athletes",AND(Table13[[#This Row],[Gender]]="male",R561&lt;17),"Fitnesss",AND(Table13[[#This Row],[Gender]]="male",R561&lt;24.9),"Acceptable",AND(Table13[[#This Row],[Gender]]="male",R561&lt;40),"Obese",AND(Table13[[#This Row],[Gender]]="others",R561&lt;20),"Athletes",AND(Table13[[#This Row],[Gender]]="others",R561&lt;24),"Fitnesss",AND(Table13[[#This Row],[Gender]]="others",R561&lt;31),"Acceptable",AND(Table13[[#This Row],[Gender]]="others",R561&lt;40),"Obese")</f>
        <v>Acceptable</v>
      </c>
      <c r="R561" s="8">
        <v>27.2</v>
      </c>
      <c r="S561" s="8">
        <v>2.4</v>
      </c>
      <c r="T561" s="8">
        <v>5</v>
      </c>
      <c r="U561" s="8">
        <v>3</v>
      </c>
      <c r="V561" s="8" t="str">
        <f>IF(Table13[[#This Row],[BMI]]&lt;=18.5,"Underweight",IF(Table13[[#This Row],[BMI]]&lt;=24.9,"Normal",IF(Table13[[#This Row],[BMI]]&lt;=29.9,"Overweight",IF(Table13[[#This Row],[BMI]]&lt;=39,"Obese","Severly Obese"))))</f>
        <v>Normal</v>
      </c>
      <c r="W561" s="18">
        <v>18.510000000000002</v>
      </c>
    </row>
    <row r="562" spans="6:23" x14ac:dyDescent="0.3">
      <c r="F562" s="17">
        <v>48</v>
      </c>
      <c r="G562" s="8" t="str">
        <f>IF(Table13[[#This Row],[Age]]&lt;25,"18-24",IF(Table13[[#This Row],[Age]]&lt;35,"25-34",IF(Table13[[#This Row],[Age]]&lt;45,"35-44",IF(Table13[[#This Row],[Age]]&lt;55,"45-54","55-64"))))</f>
        <v>45-54</v>
      </c>
      <c r="H562" s="8" t="s">
        <v>17</v>
      </c>
      <c r="I562" s="8">
        <v>60</v>
      </c>
      <c r="J562" s="8">
        <v>1.92</v>
      </c>
      <c r="K562" s="8">
        <v>165</v>
      </c>
      <c r="L562" s="8">
        <v>140</v>
      </c>
      <c r="M562" s="8">
        <v>72</v>
      </c>
      <c r="N562" s="8">
        <v>2</v>
      </c>
      <c r="O562" s="8">
        <v>1751</v>
      </c>
      <c r="P562" s="8" t="s">
        <v>21</v>
      </c>
      <c r="Q562" s="8" t="str">
        <f>_xlfn.IFS(AND(Table13[[#This Row],[Gender]]="female",R562&lt;20),"Athletes",AND(Table13[[#This Row],[Gender]]="female",R562&lt;24),"Fitnesss",AND(Table13[[#This Row],[Gender]]="female",R562&lt;31),"Acceptable",AND(Table13[[#This Row],[Gender]]="female",R562&lt;40),"Obese",AND(Table13[[#This Row],[Gender]]="male",R562&lt;13),"Athletes",AND(Table13[[#This Row],[Gender]]="male",R562&lt;17),"Fitnesss",AND(Table13[[#This Row],[Gender]]="male",R562&lt;24.9),"Acceptable",AND(Table13[[#This Row],[Gender]]="male",R562&lt;40),"Obese",AND(Table13[[#This Row],[Gender]]="others",R562&lt;20),"Athletes",AND(Table13[[#This Row],[Gender]]="others",R562&lt;24),"Fitnesss",AND(Table13[[#This Row],[Gender]]="others",R562&lt;31),"Acceptable",AND(Table13[[#This Row],[Gender]]="others",R562&lt;40),"Obese")</f>
        <v>Athletes</v>
      </c>
      <c r="R562" s="8">
        <v>11.1</v>
      </c>
      <c r="S562" s="8">
        <v>1.5</v>
      </c>
      <c r="T562" s="8">
        <v>2</v>
      </c>
      <c r="U562" s="8">
        <v>2</v>
      </c>
      <c r="V562" s="8" t="str">
        <f>IF(Table13[[#This Row],[BMI]]&lt;=18.5,"Underweight",IF(Table13[[#This Row],[BMI]]&lt;=24.9,"Normal",IF(Table13[[#This Row],[BMI]]&lt;=29.9,"Overweight",IF(Table13[[#This Row],[BMI]]&lt;=39,"Obese","Severly Obese"))))</f>
        <v>Obese</v>
      </c>
      <c r="W562" s="18">
        <v>32.68</v>
      </c>
    </row>
    <row r="563" spans="6:23" x14ac:dyDescent="0.3">
      <c r="F563" s="17">
        <v>21</v>
      </c>
      <c r="G563" s="8" t="str">
        <f>IF(Table13[[#This Row],[Age]]&lt;25,"18-24",IF(Table13[[#This Row],[Age]]&lt;35,"25-34",IF(Table13[[#This Row],[Age]]&lt;45,"35-44",IF(Table13[[#This Row],[Age]]&lt;55,"45-54","55-64"))))</f>
        <v>18-24</v>
      </c>
      <c r="H563" s="8" t="s">
        <v>19</v>
      </c>
      <c r="I563" s="8">
        <v>56.1</v>
      </c>
      <c r="J563" s="8">
        <v>1.54</v>
      </c>
      <c r="K563" s="8" t="s">
        <v>24</v>
      </c>
      <c r="L563" s="8">
        <v>168</v>
      </c>
      <c r="M563" s="8">
        <v>52</v>
      </c>
      <c r="N563" s="8">
        <v>1.34</v>
      </c>
      <c r="O563" s="8">
        <v>1083</v>
      </c>
      <c r="P563" s="8" t="s">
        <v>18</v>
      </c>
      <c r="Q563" s="8" t="str">
        <f>_xlfn.IFS(AND(Table13[[#This Row],[Gender]]="female",R563&lt;20),"Athletes",AND(Table13[[#This Row],[Gender]]="female",R563&lt;24),"Fitnesss",AND(Table13[[#This Row],[Gender]]="female",R563&lt;31),"Acceptable",AND(Table13[[#This Row],[Gender]]="female",R563&lt;40),"Obese",AND(Table13[[#This Row],[Gender]]="male",R563&lt;13),"Athletes",AND(Table13[[#This Row],[Gender]]="male",R563&lt;17),"Fitnesss",AND(Table13[[#This Row],[Gender]]="male",R563&lt;24.9),"Acceptable",AND(Table13[[#This Row],[Gender]]="male",R563&lt;40),"Obese",AND(Table13[[#This Row],[Gender]]="others",R563&lt;20),"Athletes",AND(Table13[[#This Row],[Gender]]="others",R563&lt;24),"Fitnesss",AND(Table13[[#This Row],[Gender]]="others",R563&lt;31),"Acceptable",AND(Table13[[#This Row],[Gender]]="others",R563&lt;40),"Obese")</f>
        <v>Obese</v>
      </c>
      <c r="R563" s="8">
        <v>33.1</v>
      </c>
      <c r="S563" s="8">
        <v>2.5</v>
      </c>
      <c r="T563" s="8">
        <v>4</v>
      </c>
      <c r="U563" s="8">
        <v>2</v>
      </c>
      <c r="V563" s="8" t="str">
        <f>IF(Table13[[#This Row],[BMI]]&lt;=18.5,"Underweight",IF(Table13[[#This Row],[BMI]]&lt;=24.9,"Normal",IF(Table13[[#This Row],[BMI]]&lt;=29.9,"Overweight",IF(Table13[[#This Row],[BMI]]&lt;=39,"Obese","Severly Obese"))))</f>
        <v>Normal</v>
      </c>
      <c r="W563" s="18">
        <v>18.760000000000002</v>
      </c>
    </row>
    <row r="564" spans="6:23" x14ac:dyDescent="0.3">
      <c r="F564" s="17">
        <v>51</v>
      </c>
      <c r="G564" s="8" t="str">
        <f>IF(Table13[[#This Row],[Age]]&lt;25,"18-24",IF(Table13[[#This Row],[Age]]&lt;35,"25-34",IF(Table13[[#This Row],[Age]]&lt;45,"35-44",IF(Table13[[#This Row],[Age]]&lt;55,"45-54","55-64"))))</f>
        <v>45-54</v>
      </c>
      <c r="H564" s="8" t="s">
        <v>17</v>
      </c>
      <c r="I564" s="8">
        <v>46.2</v>
      </c>
      <c r="J564" s="8">
        <v>1.73</v>
      </c>
      <c r="K564" s="8">
        <v>192</v>
      </c>
      <c r="L564" s="8">
        <v>169</v>
      </c>
      <c r="M564" s="8">
        <v>62</v>
      </c>
      <c r="N564" s="8">
        <v>1.55</v>
      </c>
      <c r="O564" s="8">
        <v>1389</v>
      </c>
      <c r="P564" s="8" t="s">
        <v>20</v>
      </c>
      <c r="Q564" s="8" t="str">
        <f>_xlfn.IFS(AND(Table13[[#This Row],[Gender]]="female",R564&lt;20),"Athletes",AND(Table13[[#This Row],[Gender]]="female",R564&lt;24),"Fitnesss",AND(Table13[[#This Row],[Gender]]="female",R564&lt;31),"Acceptable",AND(Table13[[#This Row],[Gender]]="female",R564&lt;40),"Obese",AND(Table13[[#This Row],[Gender]]="male",R564&lt;13),"Athletes",AND(Table13[[#This Row],[Gender]]="male",R564&lt;17),"Fitnesss",AND(Table13[[#This Row],[Gender]]="male",R564&lt;24.9),"Acceptable",AND(Table13[[#This Row],[Gender]]="male",R564&lt;40),"Obese",AND(Table13[[#This Row],[Gender]]="others",R564&lt;20),"Athletes",AND(Table13[[#This Row],[Gender]]="others",R564&lt;24),"Fitnesss",AND(Table13[[#This Row],[Gender]]="others",R564&lt;31),"Acceptable",AND(Table13[[#This Row],[Gender]]="others",R564&lt;40),"Obese")</f>
        <v>Obese</v>
      </c>
      <c r="R564" s="8">
        <v>32.799999999999997</v>
      </c>
      <c r="S564" s="8">
        <v>1.7</v>
      </c>
      <c r="T564" s="8"/>
      <c r="U564" s="8">
        <v>3</v>
      </c>
      <c r="V564" s="8" t="str">
        <f>IF(Table13[[#This Row],[BMI]]&lt;=18.5,"Underweight",IF(Table13[[#This Row],[BMI]]&lt;=24.9,"Normal",IF(Table13[[#This Row],[BMI]]&lt;=29.9,"Overweight",IF(Table13[[#This Row],[BMI]]&lt;=39,"Obese","Severly Obese"))))</f>
        <v>Underweight</v>
      </c>
      <c r="W564" s="18">
        <v>14.87</v>
      </c>
    </row>
    <row r="565" spans="6:23" x14ac:dyDescent="0.3">
      <c r="F565" s="17">
        <v>36</v>
      </c>
      <c r="G565" s="8" t="str">
        <f>IF(Table13[[#This Row],[Age]]&lt;25,"18-24",IF(Table13[[#This Row],[Age]]&lt;35,"25-34",IF(Table13[[#This Row],[Age]]&lt;45,"35-44",IF(Table13[[#This Row],[Age]]&lt;55,"45-54","55-64"))))</f>
        <v>35-44</v>
      </c>
      <c r="H565" s="8" t="s">
        <v>19</v>
      </c>
      <c r="I565" s="8">
        <v>68.2</v>
      </c>
      <c r="J565" s="8">
        <v>1.91</v>
      </c>
      <c r="K565" s="8">
        <v>188</v>
      </c>
      <c r="L565" s="8">
        <v>131</v>
      </c>
      <c r="M565" s="8">
        <v>69</v>
      </c>
      <c r="N565" s="8">
        <v>2</v>
      </c>
      <c r="O565" s="8">
        <v>1162</v>
      </c>
      <c r="P565" s="8" t="s">
        <v>18</v>
      </c>
      <c r="Q565" s="8" t="str">
        <f>_xlfn.IFS(AND(Table13[[#This Row],[Gender]]="female",R565&lt;20),"Athletes",AND(Table13[[#This Row],[Gender]]="female",R565&lt;24),"Fitnesss",AND(Table13[[#This Row],[Gender]]="female",R565&lt;31),"Acceptable",AND(Table13[[#This Row],[Gender]]="female",R565&lt;40),"Obese",AND(Table13[[#This Row],[Gender]]="male",R565&lt;13),"Athletes",AND(Table13[[#This Row],[Gender]]="male",R565&lt;17),"Fitnesss",AND(Table13[[#This Row],[Gender]]="male",R565&lt;24.9),"Acceptable",AND(Table13[[#This Row],[Gender]]="male",R565&lt;40),"Obese",AND(Table13[[#This Row],[Gender]]="others",R565&lt;20),"Athletes",AND(Table13[[#This Row],[Gender]]="others",R565&lt;24),"Fitnesss",AND(Table13[[#This Row],[Gender]]="others",R565&lt;31),"Acceptable",AND(Table13[[#This Row],[Gender]]="others",R565&lt;40),"Obese")</f>
        <v>Obese</v>
      </c>
      <c r="R565" s="8">
        <v>33.1</v>
      </c>
      <c r="S565" s="8">
        <v>1.5</v>
      </c>
      <c r="T565" s="8">
        <v>3</v>
      </c>
      <c r="U565" s="8">
        <v>3</v>
      </c>
      <c r="V565" s="8" t="str">
        <f>IF(Table13[[#This Row],[BMI]]&lt;=18.5,"Underweight",IF(Table13[[#This Row],[BMI]]&lt;=24.9,"Normal",IF(Table13[[#This Row],[BMI]]&lt;=29.9,"Overweight",IF(Table13[[#This Row],[BMI]]&lt;=39,"Obese","Severly Obese"))))</f>
        <v>Underweight</v>
      </c>
      <c r="W565" s="18"/>
    </row>
    <row r="566" spans="6:23" x14ac:dyDescent="0.3">
      <c r="F566" s="17">
        <v>44</v>
      </c>
      <c r="G566" s="8" t="str">
        <f>IF(Table13[[#This Row],[Age]]&lt;25,"18-24",IF(Table13[[#This Row],[Age]]&lt;35,"25-34",IF(Table13[[#This Row],[Age]]&lt;45,"35-44",IF(Table13[[#This Row],[Age]]&lt;55,"45-54","55-64"))))</f>
        <v>35-44</v>
      </c>
      <c r="H566" s="8" t="s">
        <v>19</v>
      </c>
      <c r="I566" s="8">
        <v>56.1</v>
      </c>
      <c r="J566" s="8">
        <v>1.68</v>
      </c>
      <c r="K566" s="8">
        <v>191</v>
      </c>
      <c r="L566" s="8">
        <v>152</v>
      </c>
      <c r="M566" s="8">
        <v>69</v>
      </c>
      <c r="N566" s="8">
        <v>1.8</v>
      </c>
      <c r="O566" s="8">
        <v>1223</v>
      </c>
      <c r="P566" s="8" t="s">
        <v>18</v>
      </c>
      <c r="Q566" s="8" t="str">
        <f>_xlfn.IFS(AND(Table13[[#This Row],[Gender]]="female",R566&lt;20),"Athletes",AND(Table13[[#This Row],[Gender]]="female",R566&lt;24),"Fitnesss",AND(Table13[[#This Row],[Gender]]="female",R566&lt;31),"Acceptable",AND(Table13[[#This Row],[Gender]]="female",R566&lt;40),"Obese",AND(Table13[[#This Row],[Gender]]="male",R566&lt;13),"Athletes",AND(Table13[[#This Row],[Gender]]="male",R566&lt;17),"Fitnesss",AND(Table13[[#This Row],[Gender]]="male",R566&lt;24.9),"Acceptable",AND(Table13[[#This Row],[Gender]]="male",R566&lt;40),"Obese",AND(Table13[[#This Row],[Gender]]="others",R566&lt;20),"Athletes",AND(Table13[[#This Row],[Gender]]="others",R566&lt;24),"Fitnesss",AND(Table13[[#This Row],[Gender]]="others",R566&lt;31),"Acceptable",AND(Table13[[#This Row],[Gender]]="others",R566&lt;40),"Obese")</f>
        <v>Fitnesss</v>
      </c>
      <c r="R566" s="8">
        <v>15.4</v>
      </c>
      <c r="S566" s="8">
        <v>2.6</v>
      </c>
      <c r="T566" s="8">
        <v>4</v>
      </c>
      <c r="U566" s="8">
        <v>2</v>
      </c>
      <c r="V566" s="8" t="str">
        <f>IF(Table13[[#This Row],[BMI]]&lt;=18.5,"Underweight",IF(Table13[[#This Row],[BMI]]&lt;=24.9,"Normal",IF(Table13[[#This Row],[BMI]]&lt;=29.9,"Overweight",IF(Table13[[#This Row],[BMI]]&lt;=39,"Obese","Severly Obese"))))</f>
        <v>Underweight</v>
      </c>
      <c r="W566" s="18">
        <v>17.28</v>
      </c>
    </row>
    <row r="567" spans="6:23" x14ac:dyDescent="0.3">
      <c r="F567" s="17">
        <v>24</v>
      </c>
      <c r="G567" s="8" t="str">
        <f>IF(Table13[[#This Row],[Age]]&lt;25,"18-24",IF(Table13[[#This Row],[Age]]&lt;35,"25-34",IF(Table13[[#This Row],[Age]]&lt;45,"35-44",IF(Table13[[#This Row],[Age]]&lt;55,"45-54","55-64"))))</f>
        <v>18-24</v>
      </c>
      <c r="H567" s="8" t="s">
        <v>19</v>
      </c>
      <c r="I567" s="8">
        <v>51.7</v>
      </c>
      <c r="J567" s="8">
        <v>1.93</v>
      </c>
      <c r="K567" s="8">
        <v>182</v>
      </c>
      <c r="L567" s="8">
        <v>158</v>
      </c>
      <c r="M567" s="8">
        <v>70</v>
      </c>
      <c r="N567" s="8"/>
      <c r="O567" s="8">
        <v>1783</v>
      </c>
      <c r="P567" s="8" t="s">
        <v>22</v>
      </c>
      <c r="Q567" s="8" t="str">
        <f>_xlfn.IFS(AND(Table13[[#This Row],[Gender]]="female",R567&lt;20),"Athletes",AND(Table13[[#This Row],[Gender]]="female",R567&lt;24),"Fitnesss",AND(Table13[[#This Row],[Gender]]="female",R567&lt;31),"Acceptable",AND(Table13[[#This Row],[Gender]]="female",R567&lt;40),"Obese",AND(Table13[[#This Row],[Gender]]="male",R567&lt;13),"Athletes",AND(Table13[[#This Row],[Gender]]="male",R567&lt;17),"Fitnesss",AND(Table13[[#This Row],[Gender]]="male",R567&lt;24.9),"Acceptable",AND(Table13[[#This Row],[Gender]]="male",R567&lt;40),"Obese",AND(Table13[[#This Row],[Gender]]="others",R567&lt;20),"Athletes",AND(Table13[[#This Row],[Gender]]="others",R567&lt;24),"Fitnesss",AND(Table13[[#This Row],[Gender]]="others",R567&lt;31),"Acceptable",AND(Table13[[#This Row],[Gender]]="others",R567&lt;40),"Obese")</f>
        <v>Acceptable</v>
      </c>
      <c r="R567" s="8">
        <v>24.4</v>
      </c>
      <c r="S567" s="8">
        <v>2.7</v>
      </c>
      <c r="T567" s="8">
        <v>2</v>
      </c>
      <c r="U567" s="8">
        <v>1</v>
      </c>
      <c r="V567" s="8" t="str">
        <f>IF(Table13[[#This Row],[BMI]]&lt;=18.5,"Underweight",IF(Table13[[#This Row],[BMI]]&lt;=24.9,"Normal",IF(Table13[[#This Row],[BMI]]&lt;=29.9,"Overweight",IF(Table13[[#This Row],[BMI]]&lt;=39,"Obese","Severly Obese"))))</f>
        <v>Underweight</v>
      </c>
      <c r="W567" s="18">
        <v>16.29</v>
      </c>
    </row>
    <row r="568" spans="6:23" x14ac:dyDescent="0.3">
      <c r="F568" s="17">
        <v>51</v>
      </c>
      <c r="G568" s="8" t="str">
        <f>IF(Table13[[#This Row],[Age]]&lt;25,"18-24",IF(Table13[[#This Row],[Age]]&lt;35,"25-34",IF(Table13[[#This Row],[Age]]&lt;45,"35-44",IF(Table13[[#This Row],[Age]]&lt;55,"45-54","55-64"))))</f>
        <v>45-54</v>
      </c>
      <c r="H568" s="8" t="s">
        <v>19</v>
      </c>
      <c r="I568" s="8">
        <v>65.8</v>
      </c>
      <c r="J568" s="8">
        <v>1.62</v>
      </c>
      <c r="K568" s="8">
        <v>191</v>
      </c>
      <c r="L568" s="8">
        <v>169</v>
      </c>
      <c r="M568" s="8">
        <v>74</v>
      </c>
      <c r="N568" s="8">
        <v>1.36</v>
      </c>
      <c r="O568" s="8">
        <v>1073</v>
      </c>
      <c r="P568" s="8" t="s">
        <v>21</v>
      </c>
      <c r="Q568" s="8" t="str">
        <f>_xlfn.IFS(AND(Table13[[#This Row],[Gender]]="female",R568&lt;20),"Athletes",AND(Table13[[#This Row],[Gender]]="female",R568&lt;24),"Fitnesss",AND(Table13[[#This Row],[Gender]]="female",R568&lt;31),"Acceptable",AND(Table13[[#This Row],[Gender]]="female",R568&lt;40),"Obese",AND(Table13[[#This Row],[Gender]]="male",R568&lt;13),"Athletes",AND(Table13[[#This Row],[Gender]]="male",R568&lt;17),"Fitnesss",AND(Table13[[#This Row],[Gender]]="male",R568&lt;24.9),"Acceptable",AND(Table13[[#This Row],[Gender]]="male",R568&lt;40),"Obese",AND(Table13[[#This Row],[Gender]]="others",R568&lt;20),"Athletes",AND(Table13[[#This Row],[Gender]]="others",R568&lt;24),"Fitnesss",AND(Table13[[#This Row],[Gender]]="others",R568&lt;31),"Acceptable",AND(Table13[[#This Row],[Gender]]="others",R568&lt;40),"Obese")</f>
        <v>Obese</v>
      </c>
      <c r="R568" s="8">
        <v>28.2</v>
      </c>
      <c r="S568" s="8">
        <v>3.5</v>
      </c>
      <c r="T568" s="8">
        <v>2</v>
      </c>
      <c r="U568" s="8"/>
      <c r="V568" s="8" t="str">
        <f>IF(Table13[[#This Row],[BMI]]&lt;=18.5,"Underweight",IF(Table13[[#This Row],[BMI]]&lt;=24.9,"Normal",IF(Table13[[#This Row],[BMI]]&lt;=29.9,"Overweight",IF(Table13[[#This Row],[BMI]]&lt;=39,"Obese","Severly Obese"))))</f>
        <v>Normal</v>
      </c>
      <c r="W568" s="18">
        <v>21.21</v>
      </c>
    </row>
    <row r="569" spans="6:23" x14ac:dyDescent="0.3">
      <c r="F569" s="17">
        <v>32</v>
      </c>
      <c r="G569" s="8" t="str">
        <f>IF(Table13[[#This Row],[Age]]&lt;25,"18-24",IF(Table13[[#This Row],[Age]]&lt;35,"25-34",IF(Table13[[#This Row],[Age]]&lt;45,"35-44",IF(Table13[[#This Row],[Age]]&lt;55,"45-54","55-64"))))</f>
        <v>25-34</v>
      </c>
      <c r="H569" s="8" t="s">
        <v>17</v>
      </c>
      <c r="I569" s="8">
        <v>40</v>
      </c>
      <c r="J569" s="8">
        <v>1.88</v>
      </c>
      <c r="K569" s="8">
        <v>174</v>
      </c>
      <c r="L569" s="8">
        <v>148</v>
      </c>
      <c r="M569" s="8">
        <v>50</v>
      </c>
      <c r="N569" s="8">
        <v>1.94</v>
      </c>
      <c r="O569" s="8">
        <v>1436</v>
      </c>
      <c r="P569" s="8" t="s">
        <v>18</v>
      </c>
      <c r="Q569" s="8" t="str">
        <f>_xlfn.IFS(AND(Table13[[#This Row],[Gender]]="female",R569&lt;20),"Athletes",AND(Table13[[#This Row],[Gender]]="female",R569&lt;24),"Fitnesss",AND(Table13[[#This Row],[Gender]]="female",R569&lt;31),"Acceptable",AND(Table13[[#This Row],[Gender]]="female",R569&lt;40),"Obese",AND(Table13[[#This Row],[Gender]]="male",R569&lt;13),"Athletes",AND(Table13[[#This Row],[Gender]]="male",R569&lt;17),"Fitnesss",AND(Table13[[#This Row],[Gender]]="male",R569&lt;24.9),"Acceptable",AND(Table13[[#This Row],[Gender]]="male",R569&lt;40),"Obese",AND(Table13[[#This Row],[Gender]]="others",R569&lt;20),"Athletes",AND(Table13[[#This Row],[Gender]]="others",R569&lt;24),"Fitnesss",AND(Table13[[#This Row],[Gender]]="others",R569&lt;31),"Acceptable",AND(Table13[[#This Row],[Gender]]="others",R569&lt;40),"Obese")</f>
        <v>Acceptable</v>
      </c>
      <c r="R569" s="8">
        <v>27.4</v>
      </c>
      <c r="S569" s="8"/>
      <c r="T569" s="8">
        <v>2</v>
      </c>
      <c r="U569" s="8">
        <v>3</v>
      </c>
      <c r="V569" s="8" t="str">
        <f>IF(Table13[[#This Row],[BMI]]&lt;=18.5,"Underweight",IF(Table13[[#This Row],[BMI]]&lt;=24.9,"Normal",IF(Table13[[#This Row],[BMI]]&lt;=29.9,"Overweight",IF(Table13[[#This Row],[BMI]]&lt;=39,"Obese","Severly Obese"))))</f>
        <v>Underweight</v>
      </c>
      <c r="W569" s="18">
        <v>12.32</v>
      </c>
    </row>
    <row r="570" spans="6:23" x14ac:dyDescent="0.3">
      <c r="F570" s="17">
        <v>45</v>
      </c>
      <c r="G570" s="8" t="str">
        <f>IF(Table13[[#This Row],[Age]]&lt;25,"18-24",IF(Table13[[#This Row],[Age]]&lt;35,"25-34",IF(Table13[[#This Row],[Age]]&lt;45,"35-44",IF(Table13[[#This Row],[Age]]&lt;55,"45-54","55-64"))))</f>
        <v>45-54</v>
      </c>
      <c r="H570" s="8" t="s">
        <v>19</v>
      </c>
      <c r="I570" s="8">
        <v>59.5</v>
      </c>
      <c r="J570" s="8">
        <v>1.61</v>
      </c>
      <c r="K570" s="8">
        <v>194</v>
      </c>
      <c r="L570" s="8">
        <v>121</v>
      </c>
      <c r="M570" s="8">
        <v>55</v>
      </c>
      <c r="N570" s="8">
        <v>1.3</v>
      </c>
      <c r="O570" s="8">
        <v>741</v>
      </c>
      <c r="P570" s="8" t="s">
        <v>20</v>
      </c>
      <c r="Q570" s="8" t="str">
        <f>_xlfn.IFS(AND(Table13[[#This Row],[Gender]]="female",R570&lt;20),"Athletes",AND(Table13[[#This Row],[Gender]]="female",R570&lt;24),"Fitnesss",AND(Table13[[#This Row],[Gender]]="female",R570&lt;31),"Acceptable",AND(Table13[[#This Row],[Gender]]="female",R570&lt;40),"Obese",AND(Table13[[#This Row],[Gender]]="male",R570&lt;13),"Athletes",AND(Table13[[#This Row],[Gender]]="male",R570&lt;17),"Fitnesss",AND(Table13[[#This Row],[Gender]]="male",R570&lt;24.9),"Acceptable",AND(Table13[[#This Row],[Gender]]="male",R570&lt;40),"Obese",AND(Table13[[#This Row],[Gender]]="others",R570&lt;20),"Athletes",AND(Table13[[#This Row],[Gender]]="others",R570&lt;24),"Fitnesss",AND(Table13[[#This Row],[Gender]]="others",R570&lt;31),"Acceptable",AND(Table13[[#This Row],[Gender]]="others",R570&lt;40),"Obese")</f>
        <v>Acceptable</v>
      </c>
      <c r="R570" s="8">
        <v>24.5</v>
      </c>
      <c r="S570" s="8">
        <v>2</v>
      </c>
      <c r="T570" s="8">
        <v>4</v>
      </c>
      <c r="U570" s="8">
        <v>3</v>
      </c>
      <c r="V570" s="8" t="str">
        <f>IF(Table13[[#This Row],[BMI]]&lt;=18.5,"Underweight",IF(Table13[[#This Row],[BMI]]&lt;=24.9,"Normal",IF(Table13[[#This Row],[BMI]]&lt;=29.9,"Overweight",IF(Table13[[#This Row],[BMI]]&lt;=39,"Obese","Severly Obese"))))</f>
        <v>Normal</v>
      </c>
      <c r="W570" s="18">
        <v>21.71</v>
      </c>
    </row>
    <row r="571" spans="6:23" x14ac:dyDescent="0.3">
      <c r="F571" s="17">
        <v>58</v>
      </c>
      <c r="G571" s="8" t="str">
        <f>IF(Table13[[#This Row],[Age]]&lt;25,"18-24",IF(Table13[[#This Row],[Age]]&lt;35,"25-34",IF(Table13[[#This Row],[Age]]&lt;45,"35-44",IF(Table13[[#This Row],[Age]]&lt;55,"45-54","55-64"))))</f>
        <v>55-64</v>
      </c>
      <c r="H571" s="8" t="s">
        <v>19</v>
      </c>
      <c r="I571" s="8">
        <v>73.5</v>
      </c>
      <c r="J571" s="8">
        <v>1.93</v>
      </c>
      <c r="K571" s="8">
        <v>175</v>
      </c>
      <c r="L571" s="8">
        <v>169</v>
      </c>
      <c r="M571" s="8">
        <v>61</v>
      </c>
      <c r="N571" s="8">
        <v>1.45</v>
      </c>
      <c r="O571" s="8">
        <v>1019</v>
      </c>
      <c r="P571" s="8" t="s">
        <v>21</v>
      </c>
      <c r="Q571" s="8" t="str">
        <f>_xlfn.IFS(AND(Table13[[#This Row],[Gender]]="female",R571&lt;20),"Athletes",AND(Table13[[#This Row],[Gender]]="female",R571&lt;24),"Fitnesss",AND(Table13[[#This Row],[Gender]]="female",R571&lt;31),"Acceptable",AND(Table13[[#This Row],[Gender]]="female",R571&lt;40),"Obese",AND(Table13[[#This Row],[Gender]]="male",R571&lt;13),"Athletes",AND(Table13[[#This Row],[Gender]]="male",R571&lt;17),"Fitnesss",AND(Table13[[#This Row],[Gender]]="male",R571&lt;24.9),"Acceptable",AND(Table13[[#This Row],[Gender]]="male",R571&lt;40),"Obese",AND(Table13[[#This Row],[Gender]]="others",R571&lt;20),"Athletes",AND(Table13[[#This Row],[Gender]]="others",R571&lt;24),"Fitnesss",AND(Table13[[#This Row],[Gender]]="others",R571&lt;31),"Acceptable",AND(Table13[[#This Row],[Gender]]="others",R571&lt;40),"Obese")</f>
        <v>Fitnesss</v>
      </c>
      <c r="R571" s="8">
        <v>14</v>
      </c>
      <c r="S571" s="8">
        <v>2.7</v>
      </c>
      <c r="T571" s="8">
        <v>2</v>
      </c>
      <c r="U571" s="8">
        <v>2</v>
      </c>
      <c r="V571" s="8" t="str">
        <f>IF(Table13[[#This Row],[BMI]]&lt;=18.5,"Underweight",IF(Table13[[#This Row],[BMI]]&lt;=24.9,"Normal",IF(Table13[[#This Row],[BMI]]&lt;=29.9,"Overweight",IF(Table13[[#This Row],[BMI]]&lt;=39,"Obese","Severly Obese"))))</f>
        <v>Underweight</v>
      </c>
      <c r="W571" s="18">
        <v>14.74</v>
      </c>
    </row>
    <row r="572" spans="6:23" x14ac:dyDescent="0.3">
      <c r="F572" s="17">
        <v>21</v>
      </c>
      <c r="G572" s="8" t="str">
        <f>IF(Table13[[#This Row],[Age]]&lt;25,"18-24",IF(Table13[[#This Row],[Age]]&lt;35,"25-34",IF(Table13[[#This Row],[Age]]&lt;45,"35-44",IF(Table13[[#This Row],[Age]]&lt;55,"45-54","55-64"))))</f>
        <v>18-24</v>
      </c>
      <c r="H572" s="8" t="s">
        <v>19</v>
      </c>
      <c r="I572" s="8">
        <v>54.7</v>
      </c>
      <c r="J572" s="8">
        <v>1.56</v>
      </c>
      <c r="K572" s="8">
        <v>191</v>
      </c>
      <c r="L572" s="8">
        <v>157</v>
      </c>
      <c r="M572" s="8">
        <v>55</v>
      </c>
      <c r="N572" s="8">
        <v>1.1299999999999999</v>
      </c>
      <c r="O572" s="8">
        <v>682</v>
      </c>
      <c r="P572" s="8" t="s">
        <v>20</v>
      </c>
      <c r="Q572" s="8" t="str">
        <f>_xlfn.IFS(AND(Table13[[#This Row],[Gender]]="female",R572&lt;20),"Athletes",AND(Table13[[#This Row],[Gender]]="female",R572&lt;24),"Fitnesss",AND(Table13[[#This Row],[Gender]]="female",R572&lt;31),"Acceptable",AND(Table13[[#This Row],[Gender]]="female",R572&lt;40),"Obese",AND(Table13[[#This Row],[Gender]]="male",R572&lt;13),"Athletes",AND(Table13[[#This Row],[Gender]]="male",R572&lt;17),"Fitnesss",AND(Table13[[#This Row],[Gender]]="male",R572&lt;24.9),"Acceptable",AND(Table13[[#This Row],[Gender]]="male",R572&lt;40),"Obese",AND(Table13[[#This Row],[Gender]]="others",R572&lt;20),"Athletes",AND(Table13[[#This Row],[Gender]]="others",R572&lt;24),"Fitnesss",AND(Table13[[#This Row],[Gender]]="others",R572&lt;31),"Acceptable",AND(Table13[[#This Row],[Gender]]="others",R572&lt;40),"Obese")</f>
        <v>Obese</v>
      </c>
      <c r="R572" s="8">
        <v>25.2</v>
      </c>
      <c r="S572" s="8">
        <v>1.5</v>
      </c>
      <c r="T572" s="8">
        <v>4</v>
      </c>
      <c r="U572" s="8">
        <v>2</v>
      </c>
      <c r="V572" s="8" t="str">
        <f>IF(Table13[[#This Row],[BMI]]&lt;=18.5,"Underweight",IF(Table13[[#This Row],[BMI]]&lt;=24.9,"Normal",IF(Table13[[#This Row],[BMI]]&lt;=29.9,"Overweight",IF(Table13[[#This Row],[BMI]]&lt;=39,"Obese","Severly Obese"))))</f>
        <v>Underweight</v>
      </c>
      <c r="W572" s="18"/>
    </row>
    <row r="573" spans="6:23" x14ac:dyDescent="0.3">
      <c r="F573" s="17">
        <v>18</v>
      </c>
      <c r="G573" s="8" t="str">
        <f>IF(Table13[[#This Row],[Age]]&lt;25,"18-24",IF(Table13[[#This Row],[Age]]&lt;35,"25-34",IF(Table13[[#This Row],[Age]]&lt;45,"35-44",IF(Table13[[#This Row],[Age]]&lt;55,"45-54","55-64"))))</f>
        <v>18-24</v>
      </c>
      <c r="H573" s="8" t="s">
        <v>17</v>
      </c>
      <c r="I573" s="8">
        <v>52.1</v>
      </c>
      <c r="J573" s="8">
        <v>1.73</v>
      </c>
      <c r="K573" s="8">
        <v>183</v>
      </c>
      <c r="L573" s="8">
        <v>135</v>
      </c>
      <c r="M573" s="8">
        <v>74</v>
      </c>
      <c r="N573" s="8">
        <v>1.4</v>
      </c>
      <c r="O573" s="8">
        <v>1141</v>
      </c>
      <c r="P573" s="8" t="s">
        <v>20</v>
      </c>
      <c r="Q573" s="8" t="str">
        <f>_xlfn.IFS(AND(Table13[[#This Row],[Gender]]="female",R573&lt;20),"Athletes",AND(Table13[[#This Row],[Gender]]="female",R573&lt;24),"Fitnesss",AND(Table13[[#This Row],[Gender]]="female",R573&lt;31),"Acceptable",AND(Table13[[#This Row],[Gender]]="female",R573&lt;40),"Obese",AND(Table13[[#This Row],[Gender]]="male",R573&lt;13),"Athletes",AND(Table13[[#This Row],[Gender]]="male",R573&lt;17),"Fitnesss",AND(Table13[[#This Row],[Gender]]="male",R573&lt;24.9),"Acceptable",AND(Table13[[#This Row],[Gender]]="male",R573&lt;40),"Obese",AND(Table13[[#This Row],[Gender]]="others",R573&lt;20),"Athletes",AND(Table13[[#This Row],[Gender]]="others",R573&lt;24),"Fitnesss",AND(Table13[[#This Row],[Gender]]="others",R573&lt;31),"Acceptable",AND(Table13[[#This Row],[Gender]]="others",R573&lt;40),"Obese")</f>
        <v>Fitnesss</v>
      </c>
      <c r="R573" s="8">
        <v>23.9</v>
      </c>
      <c r="S573" s="8">
        <v>3.1</v>
      </c>
      <c r="T573" s="8">
        <v>3</v>
      </c>
      <c r="U573" s="8">
        <v>1</v>
      </c>
      <c r="V573" s="8" t="str">
        <f>IF(Table13[[#This Row],[BMI]]&lt;=18.5,"Underweight",IF(Table13[[#This Row],[BMI]]&lt;=24.9,"Normal",IF(Table13[[#This Row],[BMI]]&lt;=29.9,"Overweight",IF(Table13[[#This Row],[BMI]]&lt;=39,"Obese","Severly Obese"))))</f>
        <v>Underweight</v>
      </c>
      <c r="W573" s="18">
        <v>12.32</v>
      </c>
    </row>
    <row r="574" spans="6:23" x14ac:dyDescent="0.3">
      <c r="F574" s="17">
        <v>59</v>
      </c>
      <c r="G574" s="8" t="str">
        <f>IF(Table13[[#This Row],[Age]]&lt;25,"18-24",IF(Table13[[#This Row],[Age]]&lt;35,"25-34",IF(Table13[[#This Row],[Age]]&lt;45,"35-44",IF(Table13[[#This Row],[Age]]&lt;55,"45-54","55-64"))))</f>
        <v>55-64</v>
      </c>
      <c r="H574" s="8" t="s">
        <v>17</v>
      </c>
      <c r="I574" s="8">
        <v>60.6</v>
      </c>
      <c r="J574" s="8">
        <v>1.92</v>
      </c>
      <c r="K574" s="8">
        <v>180</v>
      </c>
      <c r="L574" s="8">
        <v>168</v>
      </c>
      <c r="M574" s="8">
        <v>55</v>
      </c>
      <c r="N574" s="8">
        <v>1.46</v>
      </c>
      <c r="O574" s="8">
        <v>1046</v>
      </c>
      <c r="P574" s="8" t="s">
        <v>23</v>
      </c>
      <c r="Q574" s="8" t="str">
        <f>_xlfn.IFS(AND(Table13[[#This Row],[Gender]]="female",R574&lt;20),"Athletes",AND(Table13[[#This Row],[Gender]]="female",R574&lt;24),"Fitnesss",AND(Table13[[#This Row],[Gender]]="female",R574&lt;31),"Acceptable",AND(Table13[[#This Row],[Gender]]="female",R574&lt;40),"Obese",AND(Table13[[#This Row],[Gender]]="male",R574&lt;13),"Athletes",AND(Table13[[#This Row],[Gender]]="male",R574&lt;17),"Fitnesss",AND(Table13[[#This Row],[Gender]]="male",R574&lt;24.9),"Acceptable",AND(Table13[[#This Row],[Gender]]="male",R574&lt;40),"Obese",AND(Table13[[#This Row],[Gender]]="others",R574&lt;20),"Athletes",AND(Table13[[#This Row],[Gender]]="others",R574&lt;24),"Fitnesss",AND(Table13[[#This Row],[Gender]]="others",R574&lt;31),"Acceptable",AND(Table13[[#This Row],[Gender]]="others",R574&lt;40),"Obese")</f>
        <v>Acceptable</v>
      </c>
      <c r="R574" s="8">
        <v>24.6</v>
      </c>
      <c r="S574" s="8">
        <v>2</v>
      </c>
      <c r="T574" s="8">
        <v>3</v>
      </c>
      <c r="U574" s="8">
        <v>3</v>
      </c>
      <c r="V574" s="8" t="str">
        <f>IF(Table13[[#This Row],[BMI]]&lt;=18.5,"Underweight",IF(Table13[[#This Row],[BMI]]&lt;=24.9,"Normal",IF(Table13[[#This Row],[BMI]]&lt;=29.9,"Overweight",IF(Table13[[#This Row],[BMI]]&lt;=39,"Obese","Severly Obese"))))</f>
        <v>Obese</v>
      </c>
      <c r="W574" s="18">
        <v>30.51</v>
      </c>
    </row>
    <row r="575" spans="6:23" x14ac:dyDescent="0.3">
      <c r="F575" s="17">
        <v>20</v>
      </c>
      <c r="G575" s="8" t="str">
        <f>IF(Table13[[#This Row],[Age]]&lt;25,"18-24",IF(Table13[[#This Row],[Age]]&lt;35,"25-34",IF(Table13[[#This Row],[Age]]&lt;45,"35-44",IF(Table13[[#This Row],[Age]]&lt;55,"45-54","55-64"))))</f>
        <v>18-24</v>
      </c>
      <c r="H575" s="8" t="s">
        <v>17</v>
      </c>
      <c r="I575" s="8">
        <v>104.3</v>
      </c>
      <c r="J575" s="8">
        <v>1.79</v>
      </c>
      <c r="K575" s="8">
        <v>197</v>
      </c>
      <c r="L575" s="8">
        <v>158</v>
      </c>
      <c r="M575" s="8">
        <v>72</v>
      </c>
      <c r="N575" s="8">
        <v>1.3</v>
      </c>
      <c r="O575" s="8">
        <v>933</v>
      </c>
      <c r="P575" s="8" t="s">
        <v>18</v>
      </c>
      <c r="Q575" s="8" t="str">
        <f>_xlfn.IFS(AND(Table13[[#This Row],[Gender]]="female",R575&lt;20),"Athletes",AND(Table13[[#This Row],[Gender]]="female",R575&lt;24),"Fitnesss",AND(Table13[[#This Row],[Gender]]="female",R575&lt;31),"Acceptable",AND(Table13[[#This Row],[Gender]]="female",R575&lt;40),"Obese",AND(Table13[[#This Row],[Gender]]="male",R575&lt;13),"Athletes",AND(Table13[[#This Row],[Gender]]="male",R575&lt;17),"Fitnesss",AND(Table13[[#This Row],[Gender]]="male",R575&lt;24.9),"Acceptable",AND(Table13[[#This Row],[Gender]]="male",R575&lt;40),"Obese",AND(Table13[[#This Row],[Gender]]="others",R575&lt;20),"Athletes",AND(Table13[[#This Row],[Gender]]="others",R575&lt;24),"Fitnesss",AND(Table13[[#This Row],[Gender]]="others",R575&lt;31),"Acceptable",AND(Table13[[#This Row],[Gender]]="others",R575&lt;40),"Obese")</f>
        <v>Fitnesss</v>
      </c>
      <c r="R575" s="8">
        <v>23.4</v>
      </c>
      <c r="S575" s="8">
        <v>3.2</v>
      </c>
      <c r="T575" s="8">
        <v>2</v>
      </c>
      <c r="U575" s="8">
        <v>3</v>
      </c>
      <c r="V575" s="8" t="str">
        <f>IF(Table13[[#This Row],[BMI]]&lt;=18.5,"Underweight",IF(Table13[[#This Row],[BMI]]&lt;=24.9,"Normal",IF(Table13[[#This Row],[BMI]]&lt;=29.9,"Overweight",IF(Table13[[#This Row],[BMI]]&lt;=39,"Obese","Severly Obese"))))</f>
        <v>Underweight</v>
      </c>
      <c r="W575" s="18">
        <v>16.399999999999999</v>
      </c>
    </row>
    <row r="576" spans="6:23" x14ac:dyDescent="0.3">
      <c r="F576" s="17">
        <v>39</v>
      </c>
      <c r="G576" s="8" t="str">
        <f>IF(Table13[[#This Row],[Age]]&lt;25,"18-24",IF(Table13[[#This Row],[Age]]&lt;35,"25-34",IF(Table13[[#This Row],[Age]]&lt;45,"35-44",IF(Table13[[#This Row],[Age]]&lt;55,"45-54","55-64"))))</f>
        <v>35-44</v>
      </c>
      <c r="H576" s="8" t="s">
        <v>17</v>
      </c>
      <c r="I576" s="8">
        <v>65.3</v>
      </c>
      <c r="J576" s="8">
        <v>1.61</v>
      </c>
      <c r="K576" s="8">
        <v>187</v>
      </c>
      <c r="L576" s="8">
        <v>141</v>
      </c>
      <c r="M576" s="8">
        <v>74</v>
      </c>
      <c r="N576" s="8">
        <v>1.69</v>
      </c>
      <c r="O576" s="8">
        <v>1783</v>
      </c>
      <c r="P576" s="8" t="s">
        <v>21</v>
      </c>
      <c r="Q576" s="8" t="str">
        <f>_xlfn.IFS(AND(Table13[[#This Row],[Gender]]="female",R576&lt;20),"Athletes",AND(Table13[[#This Row],[Gender]]="female",R576&lt;24),"Fitnesss",AND(Table13[[#This Row],[Gender]]="female",R576&lt;31),"Acceptable",AND(Table13[[#This Row],[Gender]]="female",R576&lt;40),"Obese",AND(Table13[[#This Row],[Gender]]="male",R576&lt;13),"Athletes",AND(Table13[[#This Row],[Gender]]="male",R576&lt;17),"Fitnesss",AND(Table13[[#This Row],[Gender]]="male",R576&lt;24.9),"Acceptable",AND(Table13[[#This Row],[Gender]]="male",R576&lt;40),"Obese",AND(Table13[[#This Row],[Gender]]="others",R576&lt;20),"Athletes",AND(Table13[[#This Row],[Gender]]="others",R576&lt;24),"Fitnesss",AND(Table13[[#This Row],[Gender]]="others",R576&lt;31),"Acceptable",AND(Table13[[#This Row],[Gender]]="others",R576&lt;40),"Obese")</f>
        <v>Acceptable</v>
      </c>
      <c r="R576" s="8">
        <v>30.3</v>
      </c>
      <c r="S576" s="8">
        <v>3.4</v>
      </c>
      <c r="T576" s="8">
        <v>3</v>
      </c>
      <c r="U576" s="8">
        <v>3</v>
      </c>
      <c r="V576" s="8" t="str">
        <f>IF(Table13[[#This Row],[BMI]]&lt;=18.5,"Underweight",IF(Table13[[#This Row],[BMI]]&lt;=24.9,"Normal",IF(Table13[[#This Row],[BMI]]&lt;=29.9,"Overweight",IF(Table13[[#This Row],[BMI]]&lt;=39,"Obese","Severly Obese"))))</f>
        <v>Normal</v>
      </c>
      <c r="W576" s="18">
        <v>21.86</v>
      </c>
    </row>
    <row r="577" spans="6:23" x14ac:dyDescent="0.3">
      <c r="F577" s="17">
        <v>52</v>
      </c>
      <c r="G577" s="8" t="str">
        <f>IF(Table13[[#This Row],[Age]]&lt;25,"18-24",IF(Table13[[#This Row],[Age]]&lt;35,"25-34",IF(Table13[[#This Row],[Age]]&lt;45,"35-44",IF(Table13[[#This Row],[Age]]&lt;55,"45-54","55-64"))))</f>
        <v>45-54</v>
      </c>
      <c r="H577" s="8" t="s">
        <v>19</v>
      </c>
      <c r="I577" s="8">
        <v>47.8</v>
      </c>
      <c r="J577" s="8">
        <v>1.79</v>
      </c>
      <c r="K577" s="8">
        <v>168</v>
      </c>
      <c r="L577" s="8">
        <v>144</v>
      </c>
      <c r="M577" s="8">
        <v>68</v>
      </c>
      <c r="N577" s="8">
        <v>0.95</v>
      </c>
      <c r="O577" s="8">
        <v>715</v>
      </c>
      <c r="P577" s="8" t="s">
        <v>20</v>
      </c>
      <c r="Q577" s="8" t="str">
        <f>_xlfn.IFS(AND(Table13[[#This Row],[Gender]]="female",R577&lt;20),"Athletes",AND(Table13[[#This Row],[Gender]]="female",R577&lt;24),"Fitnesss",AND(Table13[[#This Row],[Gender]]="female",R577&lt;31),"Acceptable",AND(Table13[[#This Row],[Gender]]="female",R577&lt;40),"Obese",AND(Table13[[#This Row],[Gender]]="male",R577&lt;13),"Athletes",AND(Table13[[#This Row],[Gender]]="male",R577&lt;17),"Fitnesss",AND(Table13[[#This Row],[Gender]]="male",R577&lt;24.9),"Acceptable",AND(Table13[[#This Row],[Gender]]="male",R577&lt;40),"Obese",AND(Table13[[#This Row],[Gender]]="others",R577&lt;20),"Athletes",AND(Table13[[#This Row],[Gender]]="others",R577&lt;24),"Fitnesss",AND(Table13[[#This Row],[Gender]]="others",R577&lt;31),"Acceptable",AND(Table13[[#This Row],[Gender]]="others",R577&lt;40),"Obese")</f>
        <v>Obese</v>
      </c>
      <c r="R577" s="8">
        <v>27.3</v>
      </c>
      <c r="S577" s="8">
        <v>2.4</v>
      </c>
      <c r="T577" s="8">
        <v>5</v>
      </c>
      <c r="U577" s="8">
        <v>3</v>
      </c>
      <c r="V577" s="8" t="str">
        <f>IF(Table13[[#This Row],[BMI]]&lt;=18.5,"Underweight",IF(Table13[[#This Row],[BMI]]&lt;=24.9,"Normal",IF(Table13[[#This Row],[BMI]]&lt;=29.9,"Overweight",IF(Table13[[#This Row],[BMI]]&lt;=39,"Obese","Severly Obese"))))</f>
        <v>Underweight</v>
      </c>
      <c r="W577" s="18">
        <v>17.21</v>
      </c>
    </row>
    <row r="578" spans="6:23" x14ac:dyDescent="0.3">
      <c r="F578" s="17">
        <v>18</v>
      </c>
      <c r="G578" s="8" t="str">
        <f>IF(Table13[[#This Row],[Age]]&lt;25,"18-24",IF(Table13[[#This Row],[Age]]&lt;35,"25-34",IF(Table13[[#This Row],[Age]]&lt;45,"35-44",IF(Table13[[#This Row],[Age]]&lt;55,"45-54","55-64"))))</f>
        <v>18-24</v>
      </c>
      <c r="H578" s="8" t="s">
        <v>17</v>
      </c>
      <c r="I578" s="8">
        <v>51.1</v>
      </c>
      <c r="J578" s="8">
        <v>1.83</v>
      </c>
      <c r="K578" s="8">
        <v>180</v>
      </c>
      <c r="L578" s="8">
        <v>130</v>
      </c>
      <c r="M578" s="8">
        <v>57</v>
      </c>
      <c r="N578" s="8">
        <v>1.05</v>
      </c>
      <c r="O578" s="8">
        <v>939</v>
      </c>
      <c r="P578" s="8" t="s">
        <v>18</v>
      </c>
      <c r="Q578" s="8" t="str">
        <f>_xlfn.IFS(AND(Table13[[#This Row],[Gender]]="female",R578&lt;20),"Athletes",AND(Table13[[#This Row],[Gender]]="female",R578&lt;24),"Fitnesss",AND(Table13[[#This Row],[Gender]]="female",R578&lt;31),"Acceptable",AND(Table13[[#This Row],[Gender]]="female",R578&lt;40),"Obese",AND(Table13[[#This Row],[Gender]]="male",R578&lt;13),"Athletes",AND(Table13[[#This Row],[Gender]]="male",R578&lt;17),"Fitnesss",AND(Table13[[#This Row],[Gender]]="male",R578&lt;24.9),"Acceptable",AND(Table13[[#This Row],[Gender]]="male",R578&lt;40),"Obese",AND(Table13[[#This Row],[Gender]]="others",R578&lt;20),"Athletes",AND(Table13[[#This Row],[Gender]]="others",R578&lt;24),"Fitnesss",AND(Table13[[#This Row],[Gender]]="others",R578&lt;31),"Acceptable",AND(Table13[[#This Row],[Gender]]="others",R578&lt;40),"Obese")</f>
        <v>Athletes</v>
      </c>
      <c r="R578" s="8">
        <v>17</v>
      </c>
      <c r="S578" s="8">
        <v>3</v>
      </c>
      <c r="T578" s="8">
        <v>3</v>
      </c>
      <c r="U578" s="8">
        <v>2</v>
      </c>
      <c r="V578" s="8" t="str">
        <f>IF(Table13[[#This Row],[BMI]]&lt;=18.5,"Underweight",IF(Table13[[#This Row],[BMI]]&lt;=24.9,"Normal",IF(Table13[[#This Row],[BMI]]&lt;=29.9,"Overweight",IF(Table13[[#This Row],[BMI]]&lt;=39,"Obese","Severly Obese"))))</f>
        <v>Underweight</v>
      </c>
      <c r="W578" s="18">
        <v>16.850000000000001</v>
      </c>
    </row>
    <row r="579" spans="6:23" x14ac:dyDescent="0.3">
      <c r="F579" s="17">
        <v>34</v>
      </c>
      <c r="G579" s="8" t="str">
        <f>IF(Table13[[#This Row],[Age]]&lt;25,"18-24",IF(Table13[[#This Row],[Age]]&lt;35,"25-34",IF(Table13[[#This Row],[Age]]&lt;45,"35-44",IF(Table13[[#This Row],[Age]]&lt;55,"45-54","55-64"))))</f>
        <v>25-34</v>
      </c>
      <c r="H579" s="8" t="s">
        <v>19</v>
      </c>
      <c r="I579" s="8">
        <v>62.5</v>
      </c>
      <c r="J579" s="8">
        <v>1.87</v>
      </c>
      <c r="K579" s="8">
        <v>185</v>
      </c>
      <c r="L579" s="8">
        <v>167</v>
      </c>
      <c r="M579" s="8">
        <v>73</v>
      </c>
      <c r="N579" s="8">
        <v>0.96</v>
      </c>
      <c r="O579" s="8">
        <v>1353</v>
      </c>
      <c r="P579" s="8" t="s">
        <v>20</v>
      </c>
      <c r="Q579" s="8" t="str">
        <f>_xlfn.IFS(AND(Table13[[#This Row],[Gender]]="female",R579&lt;20),"Athletes",AND(Table13[[#This Row],[Gender]]="female",R579&lt;24),"Fitnesss",AND(Table13[[#This Row],[Gender]]="female",R579&lt;31),"Acceptable",AND(Table13[[#This Row],[Gender]]="female",R579&lt;40),"Obese",AND(Table13[[#This Row],[Gender]]="male",R579&lt;13),"Athletes",AND(Table13[[#This Row],[Gender]]="male",R579&lt;17),"Fitnesss",AND(Table13[[#This Row],[Gender]]="male",R579&lt;24.9),"Acceptable",AND(Table13[[#This Row],[Gender]]="male",R579&lt;40),"Obese",AND(Table13[[#This Row],[Gender]]="others",R579&lt;20),"Athletes",AND(Table13[[#This Row],[Gender]]="others",R579&lt;24),"Fitnesss",AND(Table13[[#This Row],[Gender]]="others",R579&lt;31),"Acceptable",AND(Table13[[#This Row],[Gender]]="others",R579&lt;40),"Obese")</f>
        <v>Obese</v>
      </c>
      <c r="R579" s="8">
        <v>29.6</v>
      </c>
      <c r="S579" s="8">
        <v>2.2999999999999998</v>
      </c>
      <c r="T579" s="8">
        <v>4</v>
      </c>
      <c r="U579" s="8">
        <v>1</v>
      </c>
      <c r="V579" s="8" t="str">
        <f>IF(Table13[[#This Row],[BMI]]&lt;=18.5,"Underweight",IF(Table13[[#This Row],[BMI]]&lt;=24.9,"Normal",IF(Table13[[#This Row],[BMI]]&lt;=29.9,"Overweight",IF(Table13[[#This Row],[BMI]]&lt;=39,"Obese","Severly Obese"))))</f>
        <v>Obese</v>
      </c>
      <c r="W579" s="18">
        <v>31.91</v>
      </c>
    </row>
    <row r="580" spans="6:23" x14ac:dyDescent="0.3">
      <c r="F580" s="17">
        <v>59</v>
      </c>
      <c r="G580" s="8" t="str">
        <f>IF(Table13[[#This Row],[Age]]&lt;25,"18-24",IF(Table13[[#This Row],[Age]]&lt;35,"25-34",IF(Table13[[#This Row],[Age]]&lt;45,"35-44",IF(Table13[[#This Row],[Age]]&lt;55,"45-54","55-64"))))</f>
        <v>55-64</v>
      </c>
      <c r="H580" s="8" t="s">
        <v>17</v>
      </c>
      <c r="I580" s="8">
        <v>57.4</v>
      </c>
      <c r="J580" s="8">
        <v>1.56</v>
      </c>
      <c r="K580" s="8">
        <v>190</v>
      </c>
      <c r="L580" s="8">
        <v>156</v>
      </c>
      <c r="M580" s="8">
        <v>72</v>
      </c>
      <c r="N580" s="8">
        <v>1.1499999999999999</v>
      </c>
      <c r="O580" s="8">
        <v>813</v>
      </c>
      <c r="P580" s="8" t="s">
        <v>20</v>
      </c>
      <c r="Q580" s="8" t="str">
        <f>_xlfn.IFS(AND(Table13[[#This Row],[Gender]]="female",R580&lt;20),"Athletes",AND(Table13[[#This Row],[Gender]]="female",R580&lt;24),"Fitnesss",AND(Table13[[#This Row],[Gender]]="female",R580&lt;31),"Acceptable",AND(Table13[[#This Row],[Gender]]="female",R580&lt;40),"Obese",AND(Table13[[#This Row],[Gender]]="male",R580&lt;13),"Athletes",AND(Table13[[#This Row],[Gender]]="male",R580&lt;17),"Fitnesss",AND(Table13[[#This Row],[Gender]]="male",R580&lt;24.9),"Acceptable",AND(Table13[[#This Row],[Gender]]="male",R580&lt;40),"Obese",AND(Table13[[#This Row],[Gender]]="others",R580&lt;20),"Athletes",AND(Table13[[#This Row],[Gender]]="others",R580&lt;24),"Fitnesss",AND(Table13[[#This Row],[Gender]]="others",R580&lt;31),"Acceptable",AND(Table13[[#This Row],[Gender]]="others",R580&lt;40),"Obese")</f>
        <v>Athletes</v>
      </c>
      <c r="R580" s="8">
        <v>18.5</v>
      </c>
      <c r="S580" s="8">
        <v>2.7</v>
      </c>
      <c r="T580" s="8">
        <v>3</v>
      </c>
      <c r="U580" s="8">
        <v>2</v>
      </c>
      <c r="V580" s="8" t="str">
        <f>IF(Table13[[#This Row],[BMI]]&lt;=18.5,"Underweight",IF(Table13[[#This Row],[BMI]]&lt;=24.9,"Normal",IF(Table13[[#This Row],[BMI]]&lt;=29.9,"Overweight",IF(Table13[[#This Row],[BMI]]&lt;=39,"Obese","Severly Obese"))))</f>
        <v>Overweight</v>
      </c>
      <c r="W580" s="18">
        <v>25.59</v>
      </c>
    </row>
    <row r="581" spans="6:23" x14ac:dyDescent="0.3">
      <c r="F581" s="17">
        <v>37</v>
      </c>
      <c r="G581" s="8" t="str">
        <f>IF(Table13[[#This Row],[Age]]&lt;25,"18-24",IF(Table13[[#This Row],[Age]]&lt;35,"25-34",IF(Table13[[#This Row],[Age]]&lt;45,"35-44",IF(Table13[[#This Row],[Age]]&lt;55,"45-54","55-64"))))</f>
        <v>35-44</v>
      </c>
      <c r="H581" s="8" t="s">
        <v>19</v>
      </c>
      <c r="I581" s="8">
        <v>108.7</v>
      </c>
      <c r="J581" s="8">
        <v>1.55</v>
      </c>
      <c r="K581" s="8">
        <v>163</v>
      </c>
      <c r="L581" s="8">
        <v>122</v>
      </c>
      <c r="M581" s="8">
        <v>68</v>
      </c>
      <c r="N581" s="8">
        <v>1.19</v>
      </c>
      <c r="O581" s="8">
        <v>1104</v>
      </c>
      <c r="P581" s="8" t="s">
        <v>18</v>
      </c>
      <c r="Q581" s="8" t="str">
        <f>_xlfn.IFS(AND(Table13[[#This Row],[Gender]]="female",R581&lt;20),"Athletes",AND(Table13[[#This Row],[Gender]]="female",R581&lt;24),"Fitnesss",AND(Table13[[#This Row],[Gender]]="female",R581&lt;31),"Acceptable",AND(Table13[[#This Row],[Gender]]="female",R581&lt;40),"Obese",AND(Table13[[#This Row],[Gender]]="male",R581&lt;13),"Athletes",AND(Table13[[#This Row],[Gender]]="male",R581&lt;17),"Fitnesss",AND(Table13[[#This Row],[Gender]]="male",R581&lt;24.9),"Acceptable",AND(Table13[[#This Row],[Gender]]="male",R581&lt;40),"Obese",AND(Table13[[#This Row],[Gender]]="others",R581&lt;20),"Athletes",AND(Table13[[#This Row],[Gender]]="others",R581&lt;24),"Fitnesss",AND(Table13[[#This Row],[Gender]]="others",R581&lt;31),"Acceptable",AND(Table13[[#This Row],[Gender]]="others",R581&lt;40),"Obese")</f>
        <v>Obese</v>
      </c>
      <c r="R581" s="8">
        <v>26.9</v>
      </c>
      <c r="S581" s="8">
        <v>1.6</v>
      </c>
      <c r="T581" s="8">
        <v>4</v>
      </c>
      <c r="U581" s="8">
        <v>2</v>
      </c>
      <c r="V581" s="8" t="str">
        <f>IF(Table13[[#This Row],[BMI]]&lt;=18.5,"Underweight",IF(Table13[[#This Row],[BMI]]&lt;=24.9,"Normal",IF(Table13[[#This Row],[BMI]]&lt;=29.9,"Overweight",IF(Table13[[#This Row],[BMI]]&lt;=39,"Obese","Severly Obese"))))</f>
        <v>Overweight</v>
      </c>
      <c r="W581" s="18">
        <v>26.23</v>
      </c>
    </row>
    <row r="582" spans="6:23" x14ac:dyDescent="0.3">
      <c r="F582" s="17">
        <v>41</v>
      </c>
      <c r="G582" s="8" t="str">
        <f>IF(Table13[[#This Row],[Age]]&lt;25,"18-24",IF(Table13[[#This Row],[Age]]&lt;35,"25-34",IF(Table13[[#This Row],[Age]]&lt;45,"35-44",IF(Table13[[#This Row],[Age]]&lt;55,"45-54","55-64"))))</f>
        <v>35-44</v>
      </c>
      <c r="H582" s="8" t="s">
        <v>17</v>
      </c>
      <c r="I582" s="8">
        <v>40</v>
      </c>
      <c r="J582" s="8">
        <v>1.6</v>
      </c>
      <c r="K582" s="8">
        <v>164</v>
      </c>
      <c r="L582" s="8">
        <v>143</v>
      </c>
      <c r="M582" s="8">
        <v>73</v>
      </c>
      <c r="N582" s="8">
        <v>1.52</v>
      </c>
      <c r="O582" s="8">
        <v>727</v>
      </c>
      <c r="P582" s="8" t="s">
        <v>22</v>
      </c>
      <c r="Q582" s="8" t="str">
        <f>_xlfn.IFS(AND(Table13[[#This Row],[Gender]]="female",R582&lt;20),"Athletes",AND(Table13[[#This Row],[Gender]]="female",R582&lt;24),"Fitnesss",AND(Table13[[#This Row],[Gender]]="female",R582&lt;31),"Acceptable",AND(Table13[[#This Row],[Gender]]="female",R582&lt;40),"Obese",AND(Table13[[#This Row],[Gender]]="male",R582&lt;13),"Athletes",AND(Table13[[#This Row],[Gender]]="male",R582&lt;17),"Fitnesss",AND(Table13[[#This Row],[Gender]]="male",R582&lt;24.9),"Acceptable",AND(Table13[[#This Row],[Gender]]="male",R582&lt;40),"Obese",AND(Table13[[#This Row],[Gender]]="others",R582&lt;20),"Athletes",AND(Table13[[#This Row],[Gender]]="others",R582&lt;24),"Fitnesss",AND(Table13[[#This Row],[Gender]]="others",R582&lt;31),"Acceptable",AND(Table13[[#This Row],[Gender]]="others",R582&lt;40),"Obese")</f>
        <v>Fitnesss</v>
      </c>
      <c r="R582" s="8">
        <v>23.5</v>
      </c>
      <c r="S582" s="8">
        <v>3.4</v>
      </c>
      <c r="T582" s="8">
        <v>5</v>
      </c>
      <c r="U582" s="8">
        <v>2</v>
      </c>
      <c r="V582" s="8" t="str">
        <f>IF(Table13[[#This Row],[BMI]]&lt;=18.5,"Underweight",IF(Table13[[#This Row],[BMI]]&lt;=24.9,"Normal",IF(Table13[[#This Row],[BMI]]&lt;=29.9,"Overweight",IF(Table13[[#This Row],[BMI]]&lt;=39,"Obese","Severly Obese"))))</f>
        <v>Underweight</v>
      </c>
      <c r="W582" s="18">
        <v>15.53</v>
      </c>
    </row>
    <row r="583" spans="6:23" x14ac:dyDescent="0.3">
      <c r="F583" s="17">
        <v>53</v>
      </c>
      <c r="G583" s="8" t="str">
        <f>IF(Table13[[#This Row],[Age]]&lt;25,"18-24",IF(Table13[[#This Row],[Age]]&lt;35,"25-34",IF(Table13[[#This Row],[Age]]&lt;45,"35-44",IF(Table13[[#This Row],[Age]]&lt;55,"45-54","55-64"))))</f>
        <v>45-54</v>
      </c>
      <c r="H583" s="8" t="s">
        <v>17</v>
      </c>
      <c r="I583" s="8">
        <v>65.2</v>
      </c>
      <c r="J583" s="8">
        <v>1.72</v>
      </c>
      <c r="K583" s="8">
        <v>196</v>
      </c>
      <c r="L583" s="8">
        <v>152</v>
      </c>
      <c r="M583" s="8">
        <v>50</v>
      </c>
      <c r="N583" s="8">
        <v>1.87</v>
      </c>
      <c r="O583" s="8">
        <v>1073</v>
      </c>
      <c r="P583" s="8" t="s">
        <v>20</v>
      </c>
      <c r="Q583" s="8" t="str">
        <f>_xlfn.IFS(AND(Table13[[#This Row],[Gender]]="female",R583&lt;20),"Athletes",AND(Table13[[#This Row],[Gender]]="female",R583&lt;24),"Fitnesss",AND(Table13[[#This Row],[Gender]]="female",R583&lt;31),"Acceptable",AND(Table13[[#This Row],[Gender]]="female",R583&lt;40),"Obese",AND(Table13[[#This Row],[Gender]]="male",R583&lt;13),"Athletes",AND(Table13[[#This Row],[Gender]]="male",R583&lt;17),"Fitnesss",AND(Table13[[#This Row],[Gender]]="male",R583&lt;24.9),"Acceptable",AND(Table13[[#This Row],[Gender]]="male",R583&lt;40),"Obese",AND(Table13[[#This Row],[Gender]]="others",R583&lt;20),"Athletes",AND(Table13[[#This Row],[Gender]]="others",R583&lt;24),"Fitnesss",AND(Table13[[#This Row],[Gender]]="others",R583&lt;31),"Acceptable",AND(Table13[[#This Row],[Gender]]="others",R583&lt;40),"Obese")</f>
        <v>Acceptable</v>
      </c>
      <c r="R583" s="8">
        <v>24.8</v>
      </c>
      <c r="S583" s="8">
        <v>3.7</v>
      </c>
      <c r="T583" s="8"/>
      <c r="U583" s="8">
        <v>1</v>
      </c>
      <c r="V583" s="8" t="str">
        <f>IF(Table13[[#This Row],[BMI]]&lt;=18.5,"Underweight",IF(Table13[[#This Row],[BMI]]&lt;=24.9,"Normal",IF(Table13[[#This Row],[BMI]]&lt;=29.9,"Overweight",IF(Table13[[#This Row],[BMI]]&lt;=39,"Obese","Severly Obese"))))</f>
        <v>Normal</v>
      </c>
      <c r="W583" s="18">
        <v>22.39</v>
      </c>
    </row>
    <row r="584" spans="6:23" x14ac:dyDescent="0.3">
      <c r="F584" s="17">
        <v>23</v>
      </c>
      <c r="G584" s="8" t="str">
        <f>IF(Table13[[#This Row],[Age]]&lt;25,"18-24",IF(Table13[[#This Row],[Age]]&lt;35,"25-34",IF(Table13[[#This Row],[Age]]&lt;45,"35-44",IF(Table13[[#This Row],[Age]]&lt;55,"45-54","55-64"))))</f>
        <v>18-24</v>
      </c>
      <c r="H584" s="8" t="s">
        <v>19</v>
      </c>
      <c r="I584" s="8">
        <v>90</v>
      </c>
      <c r="J584" s="8">
        <v>1.58</v>
      </c>
      <c r="K584" s="8">
        <v>172</v>
      </c>
      <c r="L584" s="8">
        <v>164</v>
      </c>
      <c r="M584" s="8">
        <v>60</v>
      </c>
      <c r="N584" s="8">
        <v>0.78</v>
      </c>
      <c r="O584" s="8">
        <v>682</v>
      </c>
      <c r="P584" s="8" t="s">
        <v>18</v>
      </c>
      <c r="Q584" s="8" t="str">
        <f>_xlfn.IFS(AND(Table13[[#This Row],[Gender]]="female",R584&lt;20),"Athletes",AND(Table13[[#This Row],[Gender]]="female",R584&lt;24),"Fitnesss",AND(Table13[[#This Row],[Gender]]="female",R584&lt;31),"Acceptable",AND(Table13[[#This Row],[Gender]]="female",R584&lt;40),"Obese",AND(Table13[[#This Row],[Gender]]="male",R584&lt;13),"Athletes",AND(Table13[[#This Row],[Gender]]="male",R584&lt;17),"Fitnesss",AND(Table13[[#This Row],[Gender]]="male",R584&lt;24.9),"Acceptable",AND(Table13[[#This Row],[Gender]]="male",R584&lt;40),"Obese",AND(Table13[[#This Row],[Gender]]="others",R584&lt;20),"Athletes",AND(Table13[[#This Row],[Gender]]="others",R584&lt;24),"Fitnesss",AND(Table13[[#This Row],[Gender]]="others",R584&lt;31),"Acceptable",AND(Table13[[#This Row],[Gender]]="others",R584&lt;40),"Obese")</f>
        <v>Obese</v>
      </c>
      <c r="R584" s="8">
        <v>25</v>
      </c>
      <c r="S584" s="8">
        <v>3.2</v>
      </c>
      <c r="T584" s="8">
        <v>4</v>
      </c>
      <c r="U584" s="8">
        <v>1</v>
      </c>
      <c r="V584" s="8" t="str">
        <f>IF(Table13[[#This Row],[BMI]]&lt;=18.5,"Underweight",IF(Table13[[#This Row],[BMI]]&lt;=24.9,"Normal",IF(Table13[[#This Row],[BMI]]&lt;=29.9,"Overweight",IF(Table13[[#This Row],[BMI]]&lt;=39,"Obese","Severly Obese"))))</f>
        <v>Underweight</v>
      </c>
      <c r="W584" s="18">
        <v>12.32</v>
      </c>
    </row>
    <row r="585" spans="6:23" x14ac:dyDescent="0.3">
      <c r="F585" s="17">
        <v>28</v>
      </c>
      <c r="G585" s="8" t="str">
        <f>IF(Table13[[#This Row],[Age]]&lt;25,"18-24",IF(Table13[[#This Row],[Age]]&lt;35,"25-34",IF(Table13[[#This Row],[Age]]&lt;45,"35-44",IF(Table13[[#This Row],[Age]]&lt;55,"45-54","55-64"))))</f>
        <v>25-34</v>
      </c>
      <c r="H585" s="8" t="s">
        <v>17</v>
      </c>
      <c r="I585" s="8">
        <v>91.6</v>
      </c>
      <c r="J585" s="8">
        <v>1.68</v>
      </c>
      <c r="K585" s="8">
        <v>191</v>
      </c>
      <c r="L585" s="8">
        <v>128</v>
      </c>
      <c r="M585" s="8">
        <v>59</v>
      </c>
      <c r="N585" s="8">
        <v>0.68</v>
      </c>
      <c r="O585" s="8">
        <v>1783</v>
      </c>
      <c r="P585" s="8" t="s">
        <v>22</v>
      </c>
      <c r="Q585" s="8" t="str">
        <f>_xlfn.IFS(AND(Table13[[#This Row],[Gender]]="female",R585&lt;20),"Athletes",AND(Table13[[#This Row],[Gender]]="female",R585&lt;24),"Fitnesss",AND(Table13[[#This Row],[Gender]]="female",R585&lt;31),"Acceptable",AND(Table13[[#This Row],[Gender]]="female",R585&lt;40),"Obese",AND(Table13[[#This Row],[Gender]]="male",R585&lt;13),"Athletes",AND(Table13[[#This Row],[Gender]]="male",R585&lt;17),"Fitnesss",AND(Table13[[#This Row],[Gender]]="male",R585&lt;24.9),"Acceptable",AND(Table13[[#This Row],[Gender]]="male",R585&lt;40),"Obese",AND(Table13[[#This Row],[Gender]]="others",R585&lt;20),"Athletes",AND(Table13[[#This Row],[Gender]]="others",R585&lt;24),"Fitnesss",AND(Table13[[#This Row],[Gender]]="others",R585&lt;31),"Acceptable",AND(Table13[[#This Row],[Gender]]="others",R585&lt;40),"Obese")</f>
        <v>Athletes</v>
      </c>
      <c r="R585" s="8">
        <v>19.100000000000001</v>
      </c>
      <c r="S585" s="8">
        <v>2.6</v>
      </c>
      <c r="T585" s="8">
        <v>2</v>
      </c>
      <c r="U585" s="8">
        <v>2</v>
      </c>
      <c r="V585" s="8" t="str">
        <f>IF(Table13[[#This Row],[BMI]]&lt;=18.5,"Underweight",IF(Table13[[#This Row],[BMI]]&lt;=24.9,"Normal",IF(Table13[[#This Row],[BMI]]&lt;=29.9,"Overweight",IF(Table13[[#This Row],[BMI]]&lt;=39,"Obese","Severly Obese"))))</f>
        <v>Underweight</v>
      </c>
      <c r="W585" s="18">
        <v>12.48</v>
      </c>
    </row>
    <row r="586" spans="6:23" x14ac:dyDescent="0.3">
      <c r="F586" s="17">
        <v>48</v>
      </c>
      <c r="G586" s="8" t="str">
        <f>IF(Table13[[#This Row],[Age]]&lt;25,"18-24",IF(Table13[[#This Row],[Age]]&lt;35,"25-34",IF(Table13[[#This Row],[Age]]&lt;45,"35-44",IF(Table13[[#This Row],[Age]]&lt;55,"45-54","55-64"))))</f>
        <v>45-54</v>
      </c>
      <c r="H586" s="8" t="s">
        <v>17</v>
      </c>
      <c r="I586" s="8">
        <v>84.1</v>
      </c>
      <c r="J586" s="8">
        <v>1.69</v>
      </c>
      <c r="K586" s="8">
        <v>187</v>
      </c>
      <c r="L586" s="8">
        <v>136</v>
      </c>
      <c r="M586" s="8">
        <v>56</v>
      </c>
      <c r="N586" s="8">
        <v>1.68</v>
      </c>
      <c r="O586" s="8">
        <v>758</v>
      </c>
      <c r="P586" s="8" t="s">
        <v>18</v>
      </c>
      <c r="Q586" s="8" t="str">
        <f>_xlfn.IFS(AND(Table13[[#This Row],[Gender]]="female",R586&lt;20),"Athletes",AND(Table13[[#This Row],[Gender]]="female",R586&lt;24),"Fitnesss",AND(Table13[[#This Row],[Gender]]="female",R586&lt;31),"Acceptable",AND(Table13[[#This Row],[Gender]]="female",R586&lt;40),"Obese",AND(Table13[[#This Row],[Gender]]="male",R586&lt;13),"Athletes",AND(Table13[[#This Row],[Gender]]="male",R586&lt;17),"Fitnesss",AND(Table13[[#This Row],[Gender]]="male",R586&lt;24.9),"Acceptable",AND(Table13[[#This Row],[Gender]]="male",R586&lt;40),"Obese",AND(Table13[[#This Row],[Gender]]="others",R586&lt;20),"Athletes",AND(Table13[[#This Row],[Gender]]="others",R586&lt;24),"Fitnesss",AND(Table13[[#This Row],[Gender]]="others",R586&lt;31),"Acceptable",AND(Table13[[#This Row],[Gender]]="others",R586&lt;40),"Obese")</f>
        <v>Fitnesss</v>
      </c>
      <c r="R586" s="8">
        <v>22.2</v>
      </c>
      <c r="S586" s="8">
        <v>2.2999999999999998</v>
      </c>
      <c r="T586" s="8">
        <v>3</v>
      </c>
      <c r="U586" s="8">
        <v>3</v>
      </c>
      <c r="V586" s="8" t="str">
        <f>IF(Table13[[#This Row],[BMI]]&lt;=18.5,"Underweight",IF(Table13[[#This Row],[BMI]]&lt;=24.9,"Normal",IF(Table13[[#This Row],[BMI]]&lt;=29.9,"Overweight",IF(Table13[[#This Row],[BMI]]&lt;=39,"Obese","Severly Obese"))))</f>
        <v>Underweight</v>
      </c>
      <c r="W586" s="18">
        <v>16.11</v>
      </c>
    </row>
    <row r="587" spans="6:23" x14ac:dyDescent="0.3">
      <c r="F587" s="17">
        <v>43</v>
      </c>
      <c r="G587" s="8" t="str">
        <f>IF(Table13[[#This Row],[Age]]&lt;25,"18-24",IF(Table13[[#This Row],[Age]]&lt;35,"25-34",IF(Table13[[#This Row],[Age]]&lt;45,"35-44",IF(Table13[[#This Row],[Age]]&lt;55,"45-54","55-64"))))</f>
        <v>35-44</v>
      </c>
      <c r="H587" s="8" t="s">
        <v>17</v>
      </c>
      <c r="I587" s="8">
        <v>57.8</v>
      </c>
      <c r="J587" s="8">
        <v>1.57</v>
      </c>
      <c r="K587" s="8">
        <v>190</v>
      </c>
      <c r="L587" s="8">
        <v>142</v>
      </c>
      <c r="M587" s="8">
        <v>56</v>
      </c>
      <c r="N587" s="8">
        <v>1.39</v>
      </c>
      <c r="O587" s="8">
        <v>698</v>
      </c>
      <c r="P587" s="8" t="s">
        <v>18</v>
      </c>
      <c r="Q587" s="8" t="str">
        <f>_xlfn.IFS(AND(Table13[[#This Row],[Gender]]="female",R587&lt;20),"Athletes",AND(Table13[[#This Row],[Gender]]="female",R587&lt;24),"Fitnesss",AND(Table13[[#This Row],[Gender]]="female",R587&lt;31),"Acceptable",AND(Table13[[#This Row],[Gender]]="female",R587&lt;40),"Obese",AND(Table13[[#This Row],[Gender]]="male",R587&lt;13),"Athletes",AND(Table13[[#This Row],[Gender]]="male",R587&lt;17),"Fitnesss",AND(Table13[[#This Row],[Gender]]="male",R587&lt;24.9),"Acceptable",AND(Table13[[#This Row],[Gender]]="male",R587&lt;40),"Obese",AND(Table13[[#This Row],[Gender]]="others",R587&lt;20),"Athletes",AND(Table13[[#This Row],[Gender]]="others",R587&lt;24),"Fitnesss",AND(Table13[[#This Row],[Gender]]="others",R587&lt;31),"Acceptable",AND(Table13[[#This Row],[Gender]]="others",R587&lt;40),"Obese")</f>
        <v>Fitnesss</v>
      </c>
      <c r="R587" s="8">
        <v>21.3</v>
      </c>
      <c r="S587" s="8">
        <v>1.6</v>
      </c>
      <c r="T587" s="8">
        <v>4</v>
      </c>
      <c r="U587" s="8">
        <v>1</v>
      </c>
      <c r="V587" s="8" t="str">
        <f>IF(Table13[[#This Row],[BMI]]&lt;=18.5,"Underweight",IF(Table13[[#This Row],[BMI]]&lt;=24.9,"Normal",IF(Table13[[#This Row],[BMI]]&lt;=29.9,"Overweight",IF(Table13[[#This Row],[BMI]]&lt;=39,"Obese","Severly Obese"))))</f>
        <v>Normal</v>
      </c>
      <c r="W587" s="18">
        <v>20.73</v>
      </c>
    </row>
    <row r="588" spans="6:23" x14ac:dyDescent="0.3">
      <c r="F588" s="17">
        <v>55</v>
      </c>
      <c r="G588" s="8" t="str">
        <f>IF(Table13[[#This Row],[Age]]&lt;25,"18-24",IF(Table13[[#This Row],[Age]]&lt;35,"25-34",IF(Table13[[#This Row],[Age]]&lt;45,"35-44",IF(Table13[[#This Row],[Age]]&lt;55,"45-54","55-64"))))</f>
        <v>55-64</v>
      </c>
      <c r="H588" s="8" t="s">
        <v>17</v>
      </c>
      <c r="I588" s="8">
        <v>100</v>
      </c>
      <c r="J588" s="8">
        <v>1.63</v>
      </c>
      <c r="K588" s="8">
        <v>183</v>
      </c>
      <c r="L588" s="8">
        <v>155</v>
      </c>
      <c r="M588" s="8">
        <v>74</v>
      </c>
      <c r="N588" s="8">
        <v>2</v>
      </c>
      <c r="O588" s="8">
        <v>1256</v>
      </c>
      <c r="P588" s="8" t="s">
        <v>20</v>
      </c>
      <c r="Q588" s="8" t="str">
        <f>_xlfn.IFS(AND(Table13[[#This Row],[Gender]]="female",R588&lt;20),"Athletes",AND(Table13[[#This Row],[Gender]]="female",R588&lt;24),"Fitnesss",AND(Table13[[#This Row],[Gender]]="female",R588&lt;31),"Acceptable",AND(Table13[[#This Row],[Gender]]="female",R588&lt;40),"Obese",AND(Table13[[#This Row],[Gender]]="male",R588&lt;13),"Athletes",AND(Table13[[#This Row],[Gender]]="male",R588&lt;17),"Fitnesss",AND(Table13[[#This Row],[Gender]]="male",R588&lt;24.9),"Acceptable",AND(Table13[[#This Row],[Gender]]="male",R588&lt;40),"Obese",AND(Table13[[#This Row],[Gender]]="others",R588&lt;20),"Athletes",AND(Table13[[#This Row],[Gender]]="others",R588&lt;24),"Fitnesss",AND(Table13[[#This Row],[Gender]]="others",R588&lt;31),"Acceptable",AND(Table13[[#This Row],[Gender]]="others",R588&lt;40),"Obese")</f>
        <v>Athletes</v>
      </c>
      <c r="R588" s="8">
        <v>10.5</v>
      </c>
      <c r="S588" s="8">
        <v>2.4</v>
      </c>
      <c r="T588" s="8">
        <v>3</v>
      </c>
      <c r="U588" s="8">
        <v>2</v>
      </c>
      <c r="V588" s="8" t="str">
        <f>IF(Table13[[#This Row],[BMI]]&lt;=18.5,"Underweight",IF(Table13[[#This Row],[BMI]]&lt;=24.9,"Normal",IF(Table13[[#This Row],[BMI]]&lt;=29.9,"Overweight",IF(Table13[[#This Row],[BMI]]&lt;=39,"Obese","Severly Obese"))))</f>
        <v>Underweight</v>
      </c>
      <c r="W588" s="18">
        <v>12.32</v>
      </c>
    </row>
    <row r="589" spans="6:23" x14ac:dyDescent="0.3">
      <c r="F589" s="17">
        <v>30</v>
      </c>
      <c r="G589" s="8" t="str">
        <f>IF(Table13[[#This Row],[Age]]&lt;25,"18-24",IF(Table13[[#This Row],[Age]]&lt;35,"25-34",IF(Table13[[#This Row],[Age]]&lt;45,"35-44",IF(Table13[[#This Row],[Age]]&lt;55,"45-54","55-64"))))</f>
        <v>25-34</v>
      </c>
      <c r="H589" s="8" t="s">
        <v>17</v>
      </c>
      <c r="I589" s="8">
        <v>61.9</v>
      </c>
      <c r="J589" s="8">
        <v>1.55</v>
      </c>
      <c r="K589" s="8">
        <v>181</v>
      </c>
      <c r="L589" s="8">
        <v>150</v>
      </c>
      <c r="M589" s="8">
        <v>72</v>
      </c>
      <c r="N589" s="8">
        <v>1.93</v>
      </c>
      <c r="O589" s="8">
        <v>1117</v>
      </c>
      <c r="P589" s="8" t="s">
        <v>21</v>
      </c>
      <c r="Q589" s="8" t="str">
        <f>_xlfn.IFS(AND(Table13[[#This Row],[Gender]]="female",R589&lt;20),"Athletes",AND(Table13[[#This Row],[Gender]]="female",R589&lt;24),"Fitnesss",AND(Table13[[#This Row],[Gender]]="female",R589&lt;31),"Acceptable",AND(Table13[[#This Row],[Gender]]="female",R589&lt;40),"Obese",AND(Table13[[#This Row],[Gender]]="male",R589&lt;13),"Athletes",AND(Table13[[#This Row],[Gender]]="male",R589&lt;17),"Fitnesss",AND(Table13[[#This Row],[Gender]]="male",R589&lt;24.9),"Acceptable",AND(Table13[[#This Row],[Gender]]="male",R589&lt;40),"Obese",AND(Table13[[#This Row],[Gender]]="others",R589&lt;20),"Athletes",AND(Table13[[#This Row],[Gender]]="others",R589&lt;24),"Fitnesss",AND(Table13[[#This Row],[Gender]]="others",R589&lt;31),"Acceptable",AND(Table13[[#This Row],[Gender]]="others",R589&lt;40),"Obese")</f>
        <v>Acceptable</v>
      </c>
      <c r="R589" s="8">
        <v>27.1</v>
      </c>
      <c r="S589" s="8">
        <v>3.6</v>
      </c>
      <c r="T589" s="8">
        <v>3</v>
      </c>
      <c r="U589" s="8">
        <v>2</v>
      </c>
      <c r="V589" s="8" t="str">
        <f>IF(Table13[[#This Row],[BMI]]&lt;=18.5,"Underweight",IF(Table13[[#This Row],[BMI]]&lt;=24.9,"Normal",IF(Table13[[#This Row],[BMI]]&lt;=29.9,"Overweight",IF(Table13[[#This Row],[BMI]]&lt;=39,"Obese","Severly Obese"))))</f>
        <v>Underweight</v>
      </c>
      <c r="W589" s="18">
        <v>12.32</v>
      </c>
    </row>
    <row r="590" spans="6:23" x14ac:dyDescent="0.3">
      <c r="F590" s="17">
        <v>19</v>
      </c>
      <c r="G590" s="8" t="str">
        <f>IF(Table13[[#This Row],[Age]]&lt;25,"18-24",IF(Table13[[#This Row],[Age]]&lt;35,"25-34",IF(Table13[[#This Row],[Age]]&lt;45,"35-44",IF(Table13[[#This Row],[Age]]&lt;55,"45-54","55-64"))))</f>
        <v>18-24</v>
      </c>
      <c r="H590" s="8" t="s">
        <v>19</v>
      </c>
      <c r="I590" s="8">
        <v>58.6</v>
      </c>
      <c r="J590" s="8">
        <v>1.64</v>
      </c>
      <c r="K590" s="8">
        <v>187</v>
      </c>
      <c r="L590" s="8">
        <v>135</v>
      </c>
      <c r="M590" s="8">
        <v>66</v>
      </c>
      <c r="N590" s="8">
        <v>1.18</v>
      </c>
      <c r="O590" s="8">
        <v>1564</v>
      </c>
      <c r="P590" s="8" t="s">
        <v>22</v>
      </c>
      <c r="Q590" s="8" t="str">
        <f>_xlfn.IFS(AND(Table13[[#This Row],[Gender]]="female",R590&lt;20),"Athletes",AND(Table13[[#This Row],[Gender]]="female",R590&lt;24),"Fitnesss",AND(Table13[[#This Row],[Gender]]="female",R590&lt;31),"Acceptable",AND(Table13[[#This Row],[Gender]]="female",R590&lt;40),"Obese",AND(Table13[[#This Row],[Gender]]="male",R590&lt;13),"Athletes",AND(Table13[[#This Row],[Gender]]="male",R590&lt;17),"Fitnesss",AND(Table13[[#This Row],[Gender]]="male",R590&lt;24.9),"Acceptable",AND(Table13[[#This Row],[Gender]]="male",R590&lt;40),"Obese",AND(Table13[[#This Row],[Gender]]="others",R590&lt;20),"Athletes",AND(Table13[[#This Row],[Gender]]="others",R590&lt;24),"Fitnesss",AND(Table13[[#This Row],[Gender]]="others",R590&lt;31),"Acceptable",AND(Table13[[#This Row],[Gender]]="others",R590&lt;40),"Obese")</f>
        <v>Athletes</v>
      </c>
      <c r="R590" s="8">
        <v>10</v>
      </c>
      <c r="S590" s="8">
        <v>3.4</v>
      </c>
      <c r="T590" s="8">
        <v>3</v>
      </c>
      <c r="U590" s="8">
        <v>2</v>
      </c>
      <c r="V590" s="8" t="str">
        <f>IF(Table13[[#This Row],[BMI]]&lt;=18.5,"Underweight",IF(Table13[[#This Row],[BMI]]&lt;=24.9,"Normal",IF(Table13[[#This Row],[BMI]]&lt;=29.9,"Overweight",IF(Table13[[#This Row],[BMI]]&lt;=39,"Obese","Severly Obese"))))</f>
        <v>Normal</v>
      </c>
      <c r="W590" s="18">
        <v>21.91</v>
      </c>
    </row>
    <row r="591" spans="6:23" x14ac:dyDescent="0.3">
      <c r="F591" s="17">
        <v>21</v>
      </c>
      <c r="G591" s="8" t="str">
        <f>IF(Table13[[#This Row],[Age]]&lt;25,"18-24",IF(Table13[[#This Row],[Age]]&lt;35,"25-34",IF(Table13[[#This Row],[Age]]&lt;45,"35-44",IF(Table13[[#This Row],[Age]]&lt;55,"45-54","55-64"))))</f>
        <v>18-24</v>
      </c>
      <c r="H591" s="8" t="s">
        <v>19</v>
      </c>
      <c r="I591" s="8">
        <v>80.8</v>
      </c>
      <c r="J591" s="8">
        <v>1.8</v>
      </c>
      <c r="K591" s="8">
        <v>195</v>
      </c>
      <c r="L591" s="8">
        <v>137</v>
      </c>
      <c r="M591" s="8">
        <v>64</v>
      </c>
      <c r="N591" s="8">
        <v>1.1000000000000001</v>
      </c>
      <c r="O591" s="8">
        <v>1285</v>
      </c>
      <c r="P591" s="8" t="s">
        <v>20</v>
      </c>
      <c r="Q591" s="8" t="str">
        <f>_xlfn.IFS(AND(Table13[[#This Row],[Gender]]="female",R591&lt;20),"Athletes",AND(Table13[[#This Row],[Gender]]="female",R591&lt;24),"Fitnesss",AND(Table13[[#This Row],[Gender]]="female",R591&lt;31),"Acceptable",AND(Table13[[#This Row],[Gender]]="female",R591&lt;40),"Obese",AND(Table13[[#This Row],[Gender]]="male",R591&lt;13),"Athletes",AND(Table13[[#This Row],[Gender]]="male",R591&lt;17),"Fitnesss",AND(Table13[[#This Row],[Gender]]="male",R591&lt;24.9),"Acceptable",AND(Table13[[#This Row],[Gender]]="male",R591&lt;40),"Obese",AND(Table13[[#This Row],[Gender]]="others",R591&lt;20),"Athletes",AND(Table13[[#This Row],[Gender]]="others",R591&lt;24),"Fitnesss",AND(Table13[[#This Row],[Gender]]="others",R591&lt;31),"Acceptable",AND(Table13[[#This Row],[Gender]]="others",R591&lt;40),"Obese")</f>
        <v>Obese</v>
      </c>
      <c r="R591" s="8">
        <v>29.8</v>
      </c>
      <c r="S591" s="8">
        <v>2.7</v>
      </c>
      <c r="T591" s="8">
        <v>3</v>
      </c>
      <c r="U591" s="8">
        <v>3</v>
      </c>
      <c r="V591" s="8" t="str">
        <f>IF(Table13[[#This Row],[BMI]]&lt;=18.5,"Underweight",IF(Table13[[#This Row],[BMI]]&lt;=24.9,"Normal",IF(Table13[[#This Row],[BMI]]&lt;=29.9,"Overweight",IF(Table13[[#This Row],[BMI]]&lt;=39,"Obese","Severly Obese"))))</f>
        <v>Normal</v>
      </c>
      <c r="W591" s="18">
        <v>21.28</v>
      </c>
    </row>
    <row r="592" spans="6:23" x14ac:dyDescent="0.3">
      <c r="F592" s="17">
        <v>21</v>
      </c>
      <c r="G592" s="8" t="str">
        <f>IF(Table13[[#This Row],[Age]]&lt;25,"18-24",IF(Table13[[#This Row],[Age]]&lt;35,"25-34",IF(Table13[[#This Row],[Age]]&lt;45,"35-44",IF(Table13[[#This Row],[Age]]&lt;55,"45-54","55-64"))))</f>
        <v>18-24</v>
      </c>
      <c r="H592" s="8" t="s">
        <v>17</v>
      </c>
      <c r="I592" s="8">
        <v>42.7</v>
      </c>
      <c r="J592" s="8">
        <v>1.81</v>
      </c>
      <c r="K592" s="8">
        <v>166</v>
      </c>
      <c r="L592" s="8">
        <v>139</v>
      </c>
      <c r="M592" s="8">
        <v>71</v>
      </c>
      <c r="N592" s="8">
        <v>1.42</v>
      </c>
      <c r="O592" s="8">
        <v>1044</v>
      </c>
      <c r="P592" s="8" t="s">
        <v>20</v>
      </c>
      <c r="Q592" s="8" t="str">
        <f>_xlfn.IFS(AND(Table13[[#This Row],[Gender]]="female",R592&lt;20),"Athletes",AND(Table13[[#This Row],[Gender]]="female",R592&lt;24),"Fitnesss",AND(Table13[[#This Row],[Gender]]="female",R592&lt;31),"Acceptable",AND(Table13[[#This Row],[Gender]]="female",R592&lt;40),"Obese",AND(Table13[[#This Row],[Gender]]="male",R592&lt;13),"Athletes",AND(Table13[[#This Row],[Gender]]="male",R592&lt;17),"Fitnesss",AND(Table13[[#This Row],[Gender]]="male",R592&lt;24.9),"Acceptable",AND(Table13[[#This Row],[Gender]]="male",R592&lt;40),"Obese",AND(Table13[[#This Row],[Gender]]="others",R592&lt;20),"Athletes",AND(Table13[[#This Row],[Gender]]="others",R592&lt;24),"Fitnesss",AND(Table13[[#This Row],[Gender]]="others",R592&lt;31),"Acceptable",AND(Table13[[#This Row],[Gender]]="others",R592&lt;40),"Obese")</f>
        <v>Acceptable</v>
      </c>
      <c r="R592" s="8">
        <v>26</v>
      </c>
      <c r="S592" s="8">
        <v>3.2</v>
      </c>
      <c r="T592" s="8">
        <v>3</v>
      </c>
      <c r="U592" s="8">
        <v>3</v>
      </c>
      <c r="V592" s="8" t="str">
        <f>IF(Table13[[#This Row],[BMI]]&lt;=18.5,"Underweight",IF(Table13[[#This Row],[BMI]]&lt;=24.9,"Normal",IF(Table13[[#This Row],[BMI]]&lt;=29.9,"Overweight",IF(Table13[[#This Row],[BMI]]&lt;=39,"Obese","Severly Obese"))))</f>
        <v>Underweight</v>
      </c>
      <c r="W592" s="18">
        <v>12.32</v>
      </c>
    </row>
    <row r="593" spans="6:23" x14ac:dyDescent="0.3">
      <c r="F593" s="17">
        <v>29</v>
      </c>
      <c r="G593" s="8" t="str">
        <f>IF(Table13[[#This Row],[Age]]&lt;25,"18-24",IF(Table13[[#This Row],[Age]]&lt;35,"25-34",IF(Table13[[#This Row],[Age]]&lt;45,"35-44",IF(Table13[[#This Row],[Age]]&lt;55,"45-54","55-64"))))</f>
        <v>25-34</v>
      </c>
      <c r="H593" s="8" t="s">
        <v>19</v>
      </c>
      <c r="I593" s="8">
        <v>60.9</v>
      </c>
      <c r="J593" s="8">
        <v>1.86</v>
      </c>
      <c r="K593" s="8">
        <v>191</v>
      </c>
      <c r="L593" s="8">
        <v>152</v>
      </c>
      <c r="M593" s="8">
        <v>60</v>
      </c>
      <c r="N593" s="8">
        <v>1.79</v>
      </c>
      <c r="O593" s="8">
        <v>1108</v>
      </c>
      <c r="P593" s="8" t="s">
        <v>18</v>
      </c>
      <c r="Q593" s="8" t="str">
        <f>_xlfn.IFS(AND(Table13[[#This Row],[Gender]]="female",R593&lt;20),"Athletes",AND(Table13[[#This Row],[Gender]]="female",R593&lt;24),"Fitnesss",AND(Table13[[#This Row],[Gender]]="female",R593&lt;31),"Acceptable",AND(Table13[[#This Row],[Gender]]="female",R593&lt;40),"Obese",AND(Table13[[#This Row],[Gender]]="male",R593&lt;13),"Athletes",AND(Table13[[#This Row],[Gender]]="male",R593&lt;17),"Fitnesss",AND(Table13[[#This Row],[Gender]]="male",R593&lt;24.9),"Acceptable",AND(Table13[[#This Row],[Gender]]="male",R593&lt;40),"Obese",AND(Table13[[#This Row],[Gender]]="others",R593&lt;20),"Athletes",AND(Table13[[#This Row],[Gender]]="others",R593&lt;24),"Fitnesss",AND(Table13[[#This Row],[Gender]]="others",R593&lt;31),"Acceptable",AND(Table13[[#This Row],[Gender]]="others",R593&lt;40),"Obese")</f>
        <v>Obese</v>
      </c>
      <c r="R593" s="8">
        <v>31.5</v>
      </c>
      <c r="S593" s="8">
        <v>1.5</v>
      </c>
      <c r="T593" s="8">
        <v>4</v>
      </c>
      <c r="U593" s="8">
        <v>3</v>
      </c>
      <c r="V593" s="8" t="str">
        <f>IF(Table13[[#This Row],[BMI]]&lt;=18.5,"Underweight",IF(Table13[[#This Row],[BMI]]&lt;=24.9,"Normal",IF(Table13[[#This Row],[BMI]]&lt;=29.9,"Overweight",IF(Table13[[#This Row],[BMI]]&lt;=39,"Obese","Severly Obese"))))</f>
        <v>Severly Obese</v>
      </c>
      <c r="W593" s="18">
        <v>42.08</v>
      </c>
    </row>
    <row r="594" spans="6:23" x14ac:dyDescent="0.3">
      <c r="F594" s="17">
        <v>40</v>
      </c>
      <c r="G594" s="8" t="str">
        <f>IF(Table13[[#This Row],[Age]]&lt;25,"18-24",IF(Table13[[#This Row],[Age]]&lt;35,"25-34",IF(Table13[[#This Row],[Age]]&lt;45,"35-44",IF(Table13[[#This Row],[Age]]&lt;55,"45-54","55-64"))))</f>
        <v>35-44</v>
      </c>
      <c r="H594" s="8" t="s">
        <v>19</v>
      </c>
      <c r="I594" s="8">
        <v>78.8</v>
      </c>
      <c r="J594" s="8">
        <v>1.7</v>
      </c>
      <c r="K594" s="8">
        <v>176</v>
      </c>
      <c r="L594" s="8">
        <v>169</v>
      </c>
      <c r="M594" s="8">
        <v>63</v>
      </c>
      <c r="N594" s="8">
        <v>1.78</v>
      </c>
      <c r="O594" s="8">
        <v>1179</v>
      </c>
      <c r="P594" s="8" t="s">
        <v>18</v>
      </c>
      <c r="Q594" s="8" t="str">
        <f>_xlfn.IFS(AND(Table13[[#This Row],[Gender]]="female",R594&lt;20),"Athletes",AND(Table13[[#This Row],[Gender]]="female",R594&lt;24),"Fitnesss",AND(Table13[[#This Row],[Gender]]="female",R594&lt;31),"Acceptable",AND(Table13[[#This Row],[Gender]]="female",R594&lt;40),"Obese",AND(Table13[[#This Row],[Gender]]="male",R594&lt;13),"Athletes",AND(Table13[[#This Row],[Gender]]="male",R594&lt;17),"Fitnesss",AND(Table13[[#This Row],[Gender]]="male",R594&lt;24.9),"Acceptable",AND(Table13[[#This Row],[Gender]]="male",R594&lt;40),"Obese",AND(Table13[[#This Row],[Gender]]="others",R594&lt;20),"Athletes",AND(Table13[[#This Row],[Gender]]="others",R594&lt;24),"Fitnesss",AND(Table13[[#This Row],[Gender]]="others",R594&lt;31),"Acceptable",AND(Table13[[#This Row],[Gender]]="others",R594&lt;40),"Obese")</f>
        <v>Acceptable</v>
      </c>
      <c r="R594" s="8">
        <v>21.1</v>
      </c>
      <c r="S594" s="8">
        <v>1.9</v>
      </c>
      <c r="T594" s="8">
        <v>2</v>
      </c>
      <c r="U594" s="8">
        <v>1</v>
      </c>
      <c r="V594" s="8" t="str">
        <f>IF(Table13[[#This Row],[BMI]]&lt;=18.5,"Underweight",IF(Table13[[#This Row],[BMI]]&lt;=24.9,"Normal",IF(Table13[[#This Row],[BMI]]&lt;=29.9,"Overweight",IF(Table13[[#This Row],[BMI]]&lt;=39,"Obese","Severly Obese"))))</f>
        <v>Underweight</v>
      </c>
      <c r="W594" s="18">
        <v>17.55</v>
      </c>
    </row>
    <row r="595" spans="6:23" x14ac:dyDescent="0.3">
      <c r="F595" s="17">
        <v>37</v>
      </c>
      <c r="G595" s="8" t="str">
        <f>IF(Table13[[#This Row],[Age]]&lt;25,"18-24",IF(Table13[[#This Row],[Age]]&lt;35,"25-34",IF(Table13[[#This Row],[Age]]&lt;45,"35-44",IF(Table13[[#This Row],[Age]]&lt;55,"45-54","55-64"))))</f>
        <v>35-44</v>
      </c>
      <c r="H595" s="8" t="s">
        <v>17</v>
      </c>
      <c r="I595" s="8">
        <v>85.3</v>
      </c>
      <c r="J595" s="8">
        <v>1.69</v>
      </c>
      <c r="K595" s="8">
        <v>162</v>
      </c>
      <c r="L595" s="8">
        <v>136</v>
      </c>
      <c r="M595" s="8">
        <v>71</v>
      </c>
      <c r="N595" s="8">
        <v>1.49</v>
      </c>
      <c r="O595" s="8">
        <v>859</v>
      </c>
      <c r="P595" s="8" t="s">
        <v>21</v>
      </c>
      <c r="Q595" s="8" t="str">
        <f>_xlfn.IFS(AND(Table13[[#This Row],[Gender]]="female",R595&lt;20),"Athletes",AND(Table13[[#This Row],[Gender]]="female",R595&lt;24),"Fitnesss",AND(Table13[[#This Row],[Gender]]="female",R595&lt;31),"Acceptable",AND(Table13[[#This Row],[Gender]]="female",R595&lt;40),"Obese",AND(Table13[[#This Row],[Gender]]="male",R595&lt;13),"Athletes",AND(Table13[[#This Row],[Gender]]="male",R595&lt;17),"Fitnesss",AND(Table13[[#This Row],[Gender]]="male",R595&lt;24.9),"Acceptable",AND(Table13[[#This Row],[Gender]]="male",R595&lt;40),"Obese",AND(Table13[[#This Row],[Gender]]="others",R595&lt;20),"Athletes",AND(Table13[[#This Row],[Gender]]="others",R595&lt;24),"Fitnesss",AND(Table13[[#This Row],[Gender]]="others",R595&lt;31),"Acceptable",AND(Table13[[#This Row],[Gender]]="others",R595&lt;40),"Obese")</f>
        <v>Fitnesss</v>
      </c>
      <c r="R595" s="8">
        <v>22.8</v>
      </c>
      <c r="S595" s="8">
        <v>3.4</v>
      </c>
      <c r="T595" s="8">
        <v>4</v>
      </c>
      <c r="U595" s="8">
        <v>2</v>
      </c>
      <c r="V595" s="8" t="str">
        <f>IF(Table13[[#This Row],[BMI]]&lt;=18.5,"Underweight",IF(Table13[[#This Row],[BMI]]&lt;=24.9,"Normal",IF(Table13[[#This Row],[BMI]]&lt;=29.9,"Overweight",IF(Table13[[#This Row],[BMI]]&lt;=39,"Obese","Severly Obese"))))</f>
        <v>Normal</v>
      </c>
      <c r="W595" s="18">
        <v>19.95</v>
      </c>
    </row>
    <row r="596" spans="6:23" x14ac:dyDescent="0.3">
      <c r="F596" s="17">
        <v>47</v>
      </c>
      <c r="G596" s="8" t="str">
        <f>IF(Table13[[#This Row],[Age]]&lt;25,"18-24",IF(Table13[[#This Row],[Age]]&lt;35,"25-34",IF(Table13[[#This Row],[Age]]&lt;45,"35-44",IF(Table13[[#This Row],[Age]]&lt;55,"45-54","55-64"))))</f>
        <v>45-54</v>
      </c>
      <c r="H596" s="8" t="s">
        <v>17</v>
      </c>
      <c r="I596" s="8">
        <v>84.8</v>
      </c>
      <c r="J596" s="8">
        <v>1.58</v>
      </c>
      <c r="K596" s="8">
        <v>180</v>
      </c>
      <c r="L596" s="8">
        <v>157</v>
      </c>
      <c r="M596" s="8">
        <v>54</v>
      </c>
      <c r="N596" s="8">
        <v>0.83</v>
      </c>
      <c r="O596" s="8">
        <v>940</v>
      </c>
      <c r="P596" s="8" t="s">
        <v>20</v>
      </c>
      <c r="Q596" s="8" t="str">
        <f>_xlfn.IFS(AND(Table13[[#This Row],[Gender]]="female",R596&lt;20),"Athletes",AND(Table13[[#This Row],[Gender]]="female",R596&lt;24),"Fitnesss",AND(Table13[[#This Row],[Gender]]="female",R596&lt;31),"Acceptable",AND(Table13[[#This Row],[Gender]]="female",R596&lt;40),"Obese",AND(Table13[[#This Row],[Gender]]="male",R596&lt;13),"Athletes",AND(Table13[[#This Row],[Gender]]="male",R596&lt;17),"Fitnesss",AND(Table13[[#This Row],[Gender]]="male",R596&lt;24.9),"Acceptable",AND(Table13[[#This Row],[Gender]]="male",R596&lt;40),"Obese",AND(Table13[[#This Row],[Gender]]="others",R596&lt;20),"Athletes",AND(Table13[[#This Row],[Gender]]="others",R596&lt;24),"Fitnesss",AND(Table13[[#This Row],[Gender]]="others",R596&lt;31),"Acceptable",AND(Table13[[#This Row],[Gender]]="others",R596&lt;40),"Obese")</f>
        <v>Acceptable</v>
      </c>
      <c r="R596" s="8">
        <v>26.3</v>
      </c>
      <c r="S596" s="8">
        <v>1.9</v>
      </c>
      <c r="T596" s="8">
        <v>5</v>
      </c>
      <c r="U596" s="8">
        <v>2</v>
      </c>
      <c r="V596" s="8" t="str">
        <f>IF(Table13[[#This Row],[BMI]]&lt;=18.5,"Underweight",IF(Table13[[#This Row],[BMI]]&lt;=24.9,"Normal",IF(Table13[[#This Row],[BMI]]&lt;=29.9,"Overweight",IF(Table13[[#This Row],[BMI]]&lt;=39,"Obese","Severly Obese"))))</f>
        <v>Underweight</v>
      </c>
      <c r="W596" s="18">
        <v>17.989999999999998</v>
      </c>
    </row>
    <row r="597" spans="6:23" x14ac:dyDescent="0.3">
      <c r="F597" s="17">
        <v>50</v>
      </c>
      <c r="G597" s="8" t="str">
        <f>IF(Table13[[#This Row],[Age]]&lt;25,"18-24",IF(Table13[[#This Row],[Age]]&lt;35,"25-34",IF(Table13[[#This Row],[Age]]&lt;45,"35-44",IF(Table13[[#This Row],[Age]]&lt;55,"45-54","55-64"))))</f>
        <v>45-54</v>
      </c>
      <c r="H597" s="8" t="s">
        <v>17</v>
      </c>
      <c r="I597" s="8">
        <v>72.7</v>
      </c>
      <c r="J597" s="8">
        <v>1.74</v>
      </c>
      <c r="K597" s="8">
        <v>191</v>
      </c>
      <c r="L597" s="8"/>
      <c r="M597" s="8">
        <v>67</v>
      </c>
      <c r="N597" s="8">
        <v>0.77</v>
      </c>
      <c r="O597" s="8">
        <v>1047</v>
      </c>
      <c r="P597" s="8" t="s">
        <v>20</v>
      </c>
      <c r="Q597" s="8" t="str">
        <f>_xlfn.IFS(AND(Table13[[#This Row],[Gender]]="female",R597&lt;20),"Athletes",AND(Table13[[#This Row],[Gender]]="female",R597&lt;24),"Fitnesss",AND(Table13[[#This Row],[Gender]]="female",R597&lt;31),"Acceptable",AND(Table13[[#This Row],[Gender]]="female",R597&lt;40),"Obese",AND(Table13[[#This Row],[Gender]]="male",R597&lt;13),"Athletes",AND(Table13[[#This Row],[Gender]]="male",R597&lt;17),"Fitnesss",AND(Table13[[#This Row],[Gender]]="male",R597&lt;24.9),"Acceptable",AND(Table13[[#This Row],[Gender]]="male",R597&lt;40),"Obese",AND(Table13[[#This Row],[Gender]]="others",R597&lt;20),"Athletes",AND(Table13[[#This Row],[Gender]]="others",R597&lt;24),"Fitnesss",AND(Table13[[#This Row],[Gender]]="others",R597&lt;31),"Acceptable",AND(Table13[[#This Row],[Gender]]="others",R597&lt;40),"Obese")</f>
        <v>Athletes</v>
      </c>
      <c r="R597" s="8">
        <v>15.5</v>
      </c>
      <c r="S597" s="8">
        <v>3.5</v>
      </c>
      <c r="T597" s="8">
        <v>3</v>
      </c>
      <c r="U597" s="8">
        <v>3</v>
      </c>
      <c r="V597" s="8" t="str">
        <f>IF(Table13[[#This Row],[BMI]]&lt;=18.5,"Underweight",IF(Table13[[#This Row],[BMI]]&lt;=24.9,"Normal",IF(Table13[[#This Row],[BMI]]&lt;=29.9,"Overweight",IF(Table13[[#This Row],[BMI]]&lt;=39,"Obese","Severly Obese"))))</f>
        <v>Underweight</v>
      </c>
      <c r="W597" s="18">
        <v>12.32</v>
      </c>
    </row>
    <row r="598" spans="6:23" x14ac:dyDescent="0.3">
      <c r="F598" s="17">
        <v>43</v>
      </c>
      <c r="G598" s="8" t="str">
        <f>IF(Table13[[#This Row],[Age]]&lt;25,"18-24",IF(Table13[[#This Row],[Age]]&lt;35,"25-34",IF(Table13[[#This Row],[Age]]&lt;45,"35-44",IF(Table13[[#This Row],[Age]]&lt;55,"45-54","55-64"))))</f>
        <v>35-44</v>
      </c>
      <c r="H598" s="8" t="s">
        <v>19</v>
      </c>
      <c r="I598" s="8">
        <v>57.4</v>
      </c>
      <c r="J598" s="8">
        <v>1.69</v>
      </c>
      <c r="K598" s="8">
        <v>166</v>
      </c>
      <c r="L598" s="8">
        <v>143</v>
      </c>
      <c r="M598" s="8">
        <v>66</v>
      </c>
      <c r="N598" s="8">
        <v>1.1399999999999999</v>
      </c>
      <c r="O598" s="8">
        <v>775</v>
      </c>
      <c r="P598" s="8" t="s">
        <v>18</v>
      </c>
      <c r="Q598" s="8" t="str">
        <f>_xlfn.IFS(AND(Table13[[#This Row],[Gender]]="female",R598&lt;20),"Athletes",AND(Table13[[#This Row],[Gender]]="female",R598&lt;24),"Fitnesss",AND(Table13[[#This Row],[Gender]]="female",R598&lt;31),"Acceptable",AND(Table13[[#This Row],[Gender]]="female",R598&lt;40),"Obese",AND(Table13[[#This Row],[Gender]]="male",R598&lt;13),"Athletes",AND(Table13[[#This Row],[Gender]]="male",R598&lt;17),"Fitnesss",AND(Table13[[#This Row],[Gender]]="male",R598&lt;24.9),"Acceptable",AND(Table13[[#This Row],[Gender]]="male",R598&lt;40),"Obese",AND(Table13[[#This Row],[Gender]]="others",R598&lt;20),"Athletes",AND(Table13[[#This Row],[Gender]]="others",R598&lt;24),"Fitnesss",AND(Table13[[#This Row],[Gender]]="others",R598&lt;31),"Acceptable",AND(Table13[[#This Row],[Gender]]="others",R598&lt;40),"Obese")</f>
        <v>Acceptable</v>
      </c>
      <c r="R598" s="8">
        <v>23.7</v>
      </c>
      <c r="S598" s="8">
        <v>3.3</v>
      </c>
      <c r="T598" s="8">
        <v>3</v>
      </c>
      <c r="U598" s="8">
        <v>1</v>
      </c>
      <c r="V598" s="8" t="str">
        <f>IF(Table13[[#This Row],[BMI]]&lt;=18.5,"Underweight",IF(Table13[[#This Row],[BMI]]&lt;=24.9,"Normal",IF(Table13[[#This Row],[BMI]]&lt;=29.9,"Overweight",IF(Table13[[#This Row],[BMI]]&lt;=39,"Obese","Severly Obese"))))</f>
        <v>Underweight</v>
      </c>
      <c r="W598" s="18">
        <v>13.31</v>
      </c>
    </row>
    <row r="599" spans="6:23" x14ac:dyDescent="0.3">
      <c r="F599" s="17">
        <v>33</v>
      </c>
      <c r="G599" s="8" t="str">
        <f>IF(Table13[[#This Row],[Age]]&lt;25,"18-24",IF(Table13[[#This Row],[Age]]&lt;35,"25-34",IF(Table13[[#This Row],[Age]]&lt;45,"35-44",IF(Table13[[#This Row],[Age]]&lt;55,"45-54","55-64"))))</f>
        <v>25-34</v>
      </c>
      <c r="H599" s="8" t="s">
        <v>19</v>
      </c>
      <c r="I599" s="8">
        <v>40</v>
      </c>
      <c r="J599" s="8">
        <v>1.81</v>
      </c>
      <c r="K599" s="8">
        <v>189</v>
      </c>
      <c r="L599" s="8">
        <v>157</v>
      </c>
      <c r="M599" s="8">
        <v>71</v>
      </c>
      <c r="N599" s="8">
        <v>1.32</v>
      </c>
      <c r="O599" s="8">
        <v>1298</v>
      </c>
      <c r="P599" s="8" t="s">
        <v>21</v>
      </c>
      <c r="Q599" s="8" t="str">
        <f>_xlfn.IFS(AND(Table13[[#This Row],[Gender]]="female",R599&lt;20),"Athletes",AND(Table13[[#This Row],[Gender]]="female",R599&lt;24),"Fitnesss",AND(Table13[[#This Row],[Gender]]="female",R599&lt;31),"Acceptable",AND(Table13[[#This Row],[Gender]]="female",R599&lt;40),"Obese",AND(Table13[[#This Row],[Gender]]="male",R599&lt;13),"Athletes",AND(Table13[[#This Row],[Gender]]="male",R599&lt;17),"Fitnesss",AND(Table13[[#This Row],[Gender]]="male",R599&lt;24.9),"Acceptable",AND(Table13[[#This Row],[Gender]]="male",R599&lt;40),"Obese",AND(Table13[[#This Row],[Gender]]="others",R599&lt;20),"Athletes",AND(Table13[[#This Row],[Gender]]="others",R599&lt;24),"Fitnesss",AND(Table13[[#This Row],[Gender]]="others",R599&lt;31),"Acceptable",AND(Table13[[#This Row],[Gender]]="others",R599&lt;40),"Obese")</f>
        <v>Acceptable</v>
      </c>
      <c r="R599" s="8">
        <v>20.100000000000001</v>
      </c>
      <c r="S599" s="8">
        <v>3.4</v>
      </c>
      <c r="T599" s="8">
        <v>2</v>
      </c>
      <c r="U599" s="8">
        <v>3</v>
      </c>
      <c r="V599" s="8" t="str">
        <f>IF(Table13[[#This Row],[BMI]]&lt;=18.5,"Underweight",IF(Table13[[#This Row],[BMI]]&lt;=24.9,"Normal",IF(Table13[[#This Row],[BMI]]&lt;=29.9,"Overweight",IF(Table13[[#This Row],[BMI]]&lt;=39,"Obese","Severly Obese"))))</f>
        <v>Underweight</v>
      </c>
      <c r="W599" s="18">
        <v>16.68</v>
      </c>
    </row>
    <row r="600" spans="6:23" x14ac:dyDescent="0.3">
      <c r="F600" s="17">
        <v>33</v>
      </c>
      <c r="G600" s="8" t="str">
        <f>IF(Table13[[#This Row],[Age]]&lt;25,"18-24",IF(Table13[[#This Row],[Age]]&lt;35,"25-34",IF(Table13[[#This Row],[Age]]&lt;45,"35-44",IF(Table13[[#This Row],[Age]]&lt;55,"45-54","55-64"))))</f>
        <v>25-34</v>
      </c>
      <c r="H600" s="8" t="s">
        <v>17</v>
      </c>
      <c r="I600" s="8">
        <v>129.9</v>
      </c>
      <c r="J600" s="8">
        <v>1.56</v>
      </c>
      <c r="K600" s="8">
        <v>189</v>
      </c>
      <c r="L600" s="8">
        <v>138</v>
      </c>
      <c r="M600" s="8">
        <v>73</v>
      </c>
      <c r="N600" s="8">
        <v>2</v>
      </c>
      <c r="O600" s="8">
        <v>993</v>
      </c>
      <c r="P600" s="8" t="s">
        <v>18</v>
      </c>
      <c r="Q600" s="8" t="str">
        <f>_xlfn.IFS(AND(Table13[[#This Row],[Gender]]="female",R600&lt;20),"Athletes",AND(Table13[[#This Row],[Gender]]="female",R600&lt;24),"Fitnesss",AND(Table13[[#This Row],[Gender]]="female",R600&lt;31),"Acceptable",AND(Table13[[#This Row],[Gender]]="female",R600&lt;40),"Obese",AND(Table13[[#This Row],[Gender]]="male",R600&lt;13),"Athletes",AND(Table13[[#This Row],[Gender]]="male",R600&lt;17),"Fitnesss",AND(Table13[[#This Row],[Gender]]="male",R600&lt;24.9),"Acceptable",AND(Table13[[#This Row],[Gender]]="male",R600&lt;40),"Obese",AND(Table13[[#This Row],[Gender]]="others",R600&lt;20),"Athletes",AND(Table13[[#This Row],[Gender]]="others",R600&lt;24),"Fitnesss",AND(Table13[[#This Row],[Gender]]="others",R600&lt;31),"Acceptable",AND(Table13[[#This Row],[Gender]]="others",R600&lt;40),"Obese")</f>
        <v>Obese</v>
      </c>
      <c r="R600" s="8">
        <v>34</v>
      </c>
      <c r="S600" s="8">
        <v>2.2999999999999998</v>
      </c>
      <c r="T600" s="8">
        <v>3</v>
      </c>
      <c r="U600" s="8">
        <v>2</v>
      </c>
      <c r="V600" s="8" t="str">
        <f>IF(Table13[[#This Row],[BMI]]&lt;=18.5,"Underweight",IF(Table13[[#This Row],[BMI]]&lt;=24.9,"Normal",IF(Table13[[#This Row],[BMI]]&lt;=29.9,"Overweight",IF(Table13[[#This Row],[BMI]]&lt;=39,"Obese","Severly Obese"))))</f>
        <v>Normal</v>
      </c>
      <c r="W600" s="18">
        <v>24.54</v>
      </c>
    </row>
    <row r="601" spans="6:23" x14ac:dyDescent="0.3">
      <c r="F601" s="17">
        <v>50</v>
      </c>
      <c r="G601" s="8" t="str">
        <f>IF(Table13[[#This Row],[Age]]&lt;25,"18-24",IF(Table13[[#This Row],[Age]]&lt;35,"25-34",IF(Table13[[#This Row],[Age]]&lt;45,"35-44",IF(Table13[[#This Row],[Age]]&lt;55,"45-54","55-64"))))</f>
        <v>45-54</v>
      </c>
      <c r="H601" s="8" t="s">
        <v>19</v>
      </c>
      <c r="I601" s="8">
        <v>55</v>
      </c>
      <c r="J601" s="8">
        <v>1.5</v>
      </c>
      <c r="K601" s="8">
        <v>177</v>
      </c>
      <c r="L601" s="8">
        <v>120</v>
      </c>
      <c r="M601" s="8">
        <v>69</v>
      </c>
      <c r="N601" s="8">
        <v>1.07</v>
      </c>
      <c r="O601" s="8">
        <v>715</v>
      </c>
      <c r="P601" s="8" t="s">
        <v>22</v>
      </c>
      <c r="Q601" s="8" t="str">
        <f>_xlfn.IFS(AND(Table13[[#This Row],[Gender]]="female",R601&lt;20),"Athletes",AND(Table13[[#This Row],[Gender]]="female",R601&lt;24),"Fitnesss",AND(Table13[[#This Row],[Gender]]="female",R601&lt;31),"Acceptable",AND(Table13[[#This Row],[Gender]]="female",R601&lt;40),"Obese",AND(Table13[[#This Row],[Gender]]="male",R601&lt;13),"Athletes",AND(Table13[[#This Row],[Gender]]="male",R601&lt;17),"Fitnesss",AND(Table13[[#This Row],[Gender]]="male",R601&lt;24.9),"Acceptable",AND(Table13[[#This Row],[Gender]]="male",R601&lt;40),"Obese",AND(Table13[[#This Row],[Gender]]="others",R601&lt;20),"Athletes",AND(Table13[[#This Row],[Gender]]="others",R601&lt;24),"Fitnesss",AND(Table13[[#This Row],[Gender]]="others",R601&lt;31),"Acceptable",AND(Table13[[#This Row],[Gender]]="others",R601&lt;40),"Obese")</f>
        <v>Obese</v>
      </c>
      <c r="R601" s="8">
        <v>27.2</v>
      </c>
      <c r="S601" s="8">
        <v>1.7</v>
      </c>
      <c r="T601" s="8">
        <v>4</v>
      </c>
      <c r="U601" s="8">
        <v>2</v>
      </c>
      <c r="V601" s="8" t="str">
        <f>IF(Table13[[#This Row],[BMI]]&lt;=18.5,"Underweight",IF(Table13[[#This Row],[BMI]]&lt;=24.9,"Normal",IF(Table13[[#This Row],[BMI]]&lt;=29.9,"Overweight",IF(Table13[[#This Row],[BMI]]&lt;=39,"Obese","Severly Obese"))))</f>
        <v>Overweight</v>
      </c>
      <c r="W601" s="18">
        <v>26.53</v>
      </c>
    </row>
    <row r="602" spans="6:23" x14ac:dyDescent="0.3">
      <c r="F602" s="17">
        <v>45</v>
      </c>
      <c r="G602" s="8" t="str">
        <f>IF(Table13[[#This Row],[Age]]&lt;25,"18-24",IF(Table13[[#This Row],[Age]]&lt;35,"25-34",IF(Table13[[#This Row],[Age]]&lt;45,"35-44",IF(Table13[[#This Row],[Age]]&lt;55,"45-54","55-64"))))</f>
        <v>45-54</v>
      </c>
      <c r="H602" s="8" t="s">
        <v>19</v>
      </c>
      <c r="I602" s="8"/>
      <c r="J602" s="8">
        <v>1.7</v>
      </c>
      <c r="K602" s="8">
        <v>162</v>
      </c>
      <c r="L602" s="8">
        <v>120</v>
      </c>
      <c r="M602" s="8">
        <v>63</v>
      </c>
      <c r="N602" s="8">
        <v>1.79</v>
      </c>
      <c r="O602" s="8">
        <v>731</v>
      </c>
      <c r="P602" s="8" t="s">
        <v>22</v>
      </c>
      <c r="Q602" s="8" t="str">
        <f>_xlfn.IFS(AND(Table13[[#This Row],[Gender]]="female",R602&lt;20),"Athletes",AND(Table13[[#This Row],[Gender]]="female",R602&lt;24),"Fitnesss",AND(Table13[[#This Row],[Gender]]="female",R602&lt;31),"Acceptable",AND(Table13[[#This Row],[Gender]]="female",R602&lt;40),"Obese",AND(Table13[[#This Row],[Gender]]="male",R602&lt;13),"Athletes",AND(Table13[[#This Row],[Gender]]="male",R602&lt;17),"Fitnesss",AND(Table13[[#This Row],[Gender]]="male",R602&lt;24.9),"Acceptable",AND(Table13[[#This Row],[Gender]]="male",R602&lt;40),"Obese",AND(Table13[[#This Row],[Gender]]="others",R602&lt;20),"Athletes",AND(Table13[[#This Row],[Gender]]="others",R602&lt;24),"Fitnesss",AND(Table13[[#This Row],[Gender]]="others",R602&lt;31),"Acceptable",AND(Table13[[#This Row],[Gender]]="others",R602&lt;40),"Obese")</f>
        <v>Obese</v>
      </c>
      <c r="R602" s="8">
        <v>31.7</v>
      </c>
      <c r="S602" s="8"/>
      <c r="T602" s="8">
        <v>4</v>
      </c>
      <c r="U602" s="8">
        <v>3</v>
      </c>
      <c r="V602" s="8" t="str">
        <f>IF(Table13[[#This Row],[BMI]]&lt;=18.5,"Underweight",IF(Table13[[#This Row],[BMI]]&lt;=24.9,"Normal",IF(Table13[[#This Row],[BMI]]&lt;=29.9,"Overweight",IF(Table13[[#This Row],[BMI]]&lt;=39,"Obese","Severly Obese"))))</f>
        <v>Underweight</v>
      </c>
      <c r="W602" s="18">
        <v>13.71</v>
      </c>
    </row>
    <row r="603" spans="6:23" x14ac:dyDescent="0.3">
      <c r="F603" s="17">
        <v>18</v>
      </c>
      <c r="G603" s="8" t="str">
        <f>IF(Table13[[#This Row],[Age]]&lt;25,"18-24",IF(Table13[[#This Row],[Age]]&lt;35,"25-34",IF(Table13[[#This Row],[Age]]&lt;45,"35-44",IF(Table13[[#This Row],[Age]]&lt;55,"45-54","55-64"))))</f>
        <v>18-24</v>
      </c>
      <c r="H603" s="8" t="s">
        <v>19</v>
      </c>
      <c r="I603" s="8">
        <v>41.6</v>
      </c>
      <c r="J603" s="8">
        <v>1.94</v>
      </c>
      <c r="K603" s="8">
        <v>168</v>
      </c>
      <c r="L603" s="8">
        <v>153</v>
      </c>
      <c r="M603" s="8">
        <v>57</v>
      </c>
      <c r="N603" s="8">
        <v>0.86</v>
      </c>
      <c r="O603" s="8">
        <v>1068</v>
      </c>
      <c r="P603" s="8" t="s">
        <v>18</v>
      </c>
      <c r="Q603" s="8" t="str">
        <f>_xlfn.IFS(AND(Table13[[#This Row],[Gender]]="female",R603&lt;20),"Athletes",AND(Table13[[#This Row],[Gender]]="female",R603&lt;24),"Fitnesss",AND(Table13[[#This Row],[Gender]]="female",R603&lt;31),"Acceptable",AND(Table13[[#This Row],[Gender]]="female",R603&lt;40),"Obese",AND(Table13[[#This Row],[Gender]]="male",R603&lt;13),"Athletes",AND(Table13[[#This Row],[Gender]]="male",R603&lt;17),"Fitnesss",AND(Table13[[#This Row],[Gender]]="male",R603&lt;24.9),"Acceptable",AND(Table13[[#This Row],[Gender]]="male",R603&lt;40),"Obese",AND(Table13[[#This Row],[Gender]]="others",R603&lt;20),"Athletes",AND(Table13[[#This Row],[Gender]]="others",R603&lt;24),"Fitnesss",AND(Table13[[#This Row],[Gender]]="others",R603&lt;31),"Acceptable",AND(Table13[[#This Row],[Gender]]="others",R603&lt;40),"Obese")</f>
        <v>Obese</v>
      </c>
      <c r="R603" s="8">
        <v>25</v>
      </c>
      <c r="S603" s="8">
        <v>3.1</v>
      </c>
      <c r="T603" s="8">
        <v>4</v>
      </c>
      <c r="U603" s="8">
        <v>1</v>
      </c>
      <c r="V603" s="8" t="str">
        <f>IF(Table13[[#This Row],[BMI]]&lt;=18.5,"Underweight",IF(Table13[[#This Row],[BMI]]&lt;=24.9,"Normal",IF(Table13[[#This Row],[BMI]]&lt;=29.9,"Overweight",IF(Table13[[#This Row],[BMI]]&lt;=39,"Obese","Severly Obese"))))</f>
        <v>Normal</v>
      </c>
      <c r="W603" s="18">
        <v>19.739999999999998</v>
      </c>
    </row>
    <row r="604" spans="6:23" x14ac:dyDescent="0.3">
      <c r="F604" s="17">
        <v>43</v>
      </c>
      <c r="G604" s="8" t="str">
        <f>IF(Table13[[#This Row],[Age]]&lt;25,"18-24",IF(Table13[[#This Row],[Age]]&lt;35,"25-34",IF(Table13[[#This Row],[Age]]&lt;45,"35-44",IF(Table13[[#This Row],[Age]]&lt;55,"45-54","55-64"))))</f>
        <v>35-44</v>
      </c>
      <c r="H604" s="8" t="s">
        <v>19</v>
      </c>
      <c r="I604" s="8">
        <v>56.9</v>
      </c>
      <c r="J604" s="8">
        <v>1.68</v>
      </c>
      <c r="K604" s="8">
        <v>161</v>
      </c>
      <c r="L604" s="8">
        <v>154</v>
      </c>
      <c r="M604" s="8">
        <v>61</v>
      </c>
      <c r="N604" s="8">
        <v>2</v>
      </c>
      <c r="O604" s="8">
        <v>742</v>
      </c>
      <c r="P604" s="8" t="s">
        <v>18</v>
      </c>
      <c r="Q604" s="8" t="str">
        <f>_xlfn.IFS(AND(Table13[[#This Row],[Gender]]="female",R604&lt;20),"Athletes",AND(Table13[[#This Row],[Gender]]="female",R604&lt;24),"Fitnesss",AND(Table13[[#This Row],[Gender]]="female",R604&lt;31),"Acceptable",AND(Table13[[#This Row],[Gender]]="female",R604&lt;40),"Obese",AND(Table13[[#This Row],[Gender]]="male",R604&lt;13),"Athletes",AND(Table13[[#This Row],[Gender]]="male",R604&lt;17),"Fitnesss",AND(Table13[[#This Row],[Gender]]="male",R604&lt;24.9),"Acceptable",AND(Table13[[#This Row],[Gender]]="male",R604&lt;40),"Obese",AND(Table13[[#This Row],[Gender]]="others",R604&lt;20),"Athletes",AND(Table13[[#This Row],[Gender]]="others",R604&lt;24),"Fitnesss",AND(Table13[[#This Row],[Gender]]="others",R604&lt;31),"Acceptable",AND(Table13[[#This Row],[Gender]]="others",R604&lt;40),"Obese")</f>
        <v>Obese</v>
      </c>
      <c r="R604" s="8">
        <v>26.5</v>
      </c>
      <c r="S604" s="8">
        <v>2</v>
      </c>
      <c r="T604" s="8">
        <v>3</v>
      </c>
      <c r="U604" s="8">
        <v>1</v>
      </c>
      <c r="V604" s="8" t="str">
        <f>IF(Table13[[#This Row],[BMI]]&lt;=18.5,"Underweight",IF(Table13[[#This Row],[BMI]]&lt;=24.9,"Normal",IF(Table13[[#This Row],[BMI]]&lt;=29.9,"Overweight",IF(Table13[[#This Row],[BMI]]&lt;=39,"Obese","Severly Obese"))))</f>
        <v>Normal</v>
      </c>
      <c r="W604" s="18">
        <v>21.48</v>
      </c>
    </row>
    <row r="605" spans="6:23" x14ac:dyDescent="0.3">
      <c r="F605" s="17">
        <v>20</v>
      </c>
      <c r="G605" s="8" t="str">
        <f>IF(Table13[[#This Row],[Age]]&lt;25,"18-24",IF(Table13[[#This Row],[Age]]&lt;35,"25-34",IF(Table13[[#This Row],[Age]]&lt;45,"35-44",IF(Table13[[#This Row],[Age]]&lt;55,"45-54","55-64"))))</f>
        <v>18-24</v>
      </c>
      <c r="H605" s="8" t="s">
        <v>17</v>
      </c>
      <c r="I605" s="8">
        <v>84.8</v>
      </c>
      <c r="J605" s="8">
        <v>1.74</v>
      </c>
      <c r="K605" s="8">
        <v>165</v>
      </c>
      <c r="L605" s="8">
        <v>151</v>
      </c>
      <c r="M605" s="8">
        <v>59</v>
      </c>
      <c r="N605" s="8">
        <v>1.49</v>
      </c>
      <c r="O605" s="8">
        <v>717</v>
      </c>
      <c r="P605" s="8" t="s">
        <v>21</v>
      </c>
      <c r="Q605" s="8" t="str">
        <f>_xlfn.IFS(AND(Table13[[#This Row],[Gender]]="female",R605&lt;20),"Athletes",AND(Table13[[#This Row],[Gender]]="female",R605&lt;24),"Fitnesss",AND(Table13[[#This Row],[Gender]]="female",R605&lt;31),"Acceptable",AND(Table13[[#This Row],[Gender]]="female",R605&lt;40),"Obese",AND(Table13[[#This Row],[Gender]]="male",R605&lt;13),"Athletes",AND(Table13[[#This Row],[Gender]]="male",R605&lt;17),"Fitnesss",AND(Table13[[#This Row],[Gender]]="male",R605&lt;24.9),"Acceptable",AND(Table13[[#This Row],[Gender]]="male",R605&lt;40),"Obese",AND(Table13[[#This Row],[Gender]]="others",R605&lt;20),"Athletes",AND(Table13[[#This Row],[Gender]]="others",R605&lt;24),"Fitnesss",AND(Table13[[#This Row],[Gender]]="others",R605&lt;31),"Acceptable",AND(Table13[[#This Row],[Gender]]="others",R605&lt;40),"Obese")</f>
        <v>Acceptable</v>
      </c>
      <c r="R605" s="8">
        <v>24.9</v>
      </c>
      <c r="S605" s="8">
        <v>3.4</v>
      </c>
      <c r="T605" s="8">
        <v>4</v>
      </c>
      <c r="U605" s="8">
        <v>3</v>
      </c>
      <c r="V605" s="8" t="str">
        <f>IF(Table13[[#This Row],[BMI]]&lt;=18.5,"Underweight",IF(Table13[[#This Row],[BMI]]&lt;=24.9,"Normal",IF(Table13[[#This Row],[BMI]]&lt;=29.9,"Overweight",IF(Table13[[#This Row],[BMI]]&lt;=39,"Obese","Severly Obese"))))</f>
        <v>Underweight</v>
      </c>
      <c r="W605" s="18">
        <v>14.13</v>
      </c>
    </row>
    <row r="606" spans="6:23" x14ac:dyDescent="0.3">
      <c r="F606" s="17">
        <v>24</v>
      </c>
      <c r="G606" s="8" t="str">
        <f>IF(Table13[[#This Row],[Age]]&lt;25,"18-24",IF(Table13[[#This Row],[Age]]&lt;35,"25-34",IF(Table13[[#This Row],[Age]]&lt;45,"35-44",IF(Table13[[#This Row],[Age]]&lt;55,"45-54","55-64"))))</f>
        <v>18-24</v>
      </c>
      <c r="H606" s="8" t="s">
        <v>17</v>
      </c>
      <c r="I606" s="8">
        <v>96.9</v>
      </c>
      <c r="J606" s="8">
        <v>1.88</v>
      </c>
      <c r="K606" s="8">
        <v>181</v>
      </c>
      <c r="L606" s="8">
        <v>166</v>
      </c>
      <c r="M606" s="8">
        <v>72</v>
      </c>
      <c r="N606" s="8">
        <v>1.36</v>
      </c>
      <c r="O606" s="8">
        <v>1220</v>
      </c>
      <c r="P606" s="8" t="s">
        <v>20</v>
      </c>
      <c r="Q606" s="8" t="str">
        <f>_xlfn.IFS(AND(Table13[[#This Row],[Gender]]="female",R606&lt;20),"Athletes",AND(Table13[[#This Row],[Gender]]="female",R606&lt;24),"Fitnesss",AND(Table13[[#This Row],[Gender]]="female",R606&lt;31),"Acceptable",AND(Table13[[#This Row],[Gender]]="female",R606&lt;40),"Obese",AND(Table13[[#This Row],[Gender]]="male",R606&lt;13),"Athletes",AND(Table13[[#This Row],[Gender]]="male",R606&lt;17),"Fitnesss",AND(Table13[[#This Row],[Gender]]="male",R606&lt;24.9),"Acceptable",AND(Table13[[#This Row],[Gender]]="male",R606&lt;40),"Obese",AND(Table13[[#This Row],[Gender]]="others",R606&lt;20),"Athletes",AND(Table13[[#This Row],[Gender]]="others",R606&lt;24),"Fitnesss",AND(Table13[[#This Row],[Gender]]="others",R606&lt;31),"Acceptable",AND(Table13[[#This Row],[Gender]]="others",R606&lt;40),"Obese")</f>
        <v>Athletes</v>
      </c>
      <c r="R606" s="8">
        <v>15.8</v>
      </c>
      <c r="S606" s="8">
        <v>3.7</v>
      </c>
      <c r="T606" s="8">
        <v>3</v>
      </c>
      <c r="U606" s="8">
        <v>2</v>
      </c>
      <c r="V606" s="8" t="str">
        <f>IF(Table13[[#This Row],[BMI]]&lt;=18.5,"Underweight",IF(Table13[[#This Row],[BMI]]&lt;=24.9,"Normal",IF(Table13[[#This Row],[BMI]]&lt;=29.9,"Overweight",IF(Table13[[#This Row],[BMI]]&lt;=39,"Obese","Severly Obese"))))</f>
        <v>Obese</v>
      </c>
      <c r="W606" s="18">
        <v>30.18</v>
      </c>
    </row>
    <row r="607" spans="6:23" x14ac:dyDescent="0.3">
      <c r="F607" s="17">
        <v>24</v>
      </c>
      <c r="G607" s="8" t="str">
        <f>IF(Table13[[#This Row],[Age]]&lt;25,"18-24",IF(Table13[[#This Row],[Age]]&lt;35,"25-34",IF(Table13[[#This Row],[Age]]&lt;45,"35-44",IF(Table13[[#This Row],[Age]]&lt;55,"45-54","55-64"))))</f>
        <v>18-24</v>
      </c>
      <c r="H607" s="8" t="s">
        <v>19</v>
      </c>
      <c r="I607" s="8">
        <v>81.2</v>
      </c>
      <c r="J607" s="8">
        <v>1.56</v>
      </c>
      <c r="K607" s="8">
        <v>182</v>
      </c>
      <c r="L607" s="8">
        <v>166</v>
      </c>
      <c r="M607" s="8">
        <v>66</v>
      </c>
      <c r="N607" s="8">
        <v>1.62</v>
      </c>
      <c r="O607" s="8">
        <v>1148</v>
      </c>
      <c r="P607" s="8" t="s">
        <v>22</v>
      </c>
      <c r="Q607" s="8" t="str">
        <f>_xlfn.IFS(AND(Table13[[#This Row],[Gender]]="female",R607&lt;20),"Athletes",AND(Table13[[#This Row],[Gender]]="female",R607&lt;24),"Fitnesss",AND(Table13[[#This Row],[Gender]]="female",R607&lt;31),"Acceptable",AND(Table13[[#This Row],[Gender]]="female",R607&lt;40),"Obese",AND(Table13[[#This Row],[Gender]]="male",R607&lt;13),"Athletes",AND(Table13[[#This Row],[Gender]]="male",R607&lt;17),"Fitnesss",AND(Table13[[#This Row],[Gender]]="male",R607&lt;24.9),"Acceptable",AND(Table13[[#This Row],[Gender]]="male",R607&lt;40),"Obese",AND(Table13[[#This Row],[Gender]]="others",R607&lt;20),"Athletes",AND(Table13[[#This Row],[Gender]]="others",R607&lt;24),"Fitnesss",AND(Table13[[#This Row],[Gender]]="others",R607&lt;31),"Acceptable",AND(Table13[[#This Row],[Gender]]="others",R607&lt;40),"Obese")</f>
        <v>Obese</v>
      </c>
      <c r="R607" s="8">
        <v>25.5</v>
      </c>
      <c r="S607" s="8">
        <v>2.7</v>
      </c>
      <c r="T607" s="8">
        <v>4</v>
      </c>
      <c r="U607" s="8">
        <v>3</v>
      </c>
      <c r="V607" s="8" t="str">
        <f>IF(Table13[[#This Row],[BMI]]&lt;=18.5,"Underweight",IF(Table13[[#This Row],[BMI]]&lt;=24.9,"Normal",IF(Table13[[#This Row],[BMI]]&lt;=29.9,"Overweight",IF(Table13[[#This Row],[BMI]]&lt;=39,"Obese","Severly Obese"))))</f>
        <v>Obese</v>
      </c>
      <c r="W607" s="18">
        <v>31.34</v>
      </c>
    </row>
    <row r="608" spans="6:23" x14ac:dyDescent="0.3">
      <c r="F608" s="17">
        <v>53</v>
      </c>
      <c r="G608" s="8" t="str">
        <f>IF(Table13[[#This Row],[Age]]&lt;25,"18-24",IF(Table13[[#This Row],[Age]]&lt;35,"25-34",IF(Table13[[#This Row],[Age]]&lt;45,"35-44",IF(Table13[[#This Row],[Age]]&lt;55,"45-54","55-64"))))</f>
        <v>45-54</v>
      </c>
      <c r="H608" s="8" t="s">
        <v>17</v>
      </c>
      <c r="I608" s="8">
        <v>70.5</v>
      </c>
      <c r="J608" s="8">
        <v>1.9</v>
      </c>
      <c r="K608" s="8">
        <v>198</v>
      </c>
      <c r="L608" s="8">
        <v>146</v>
      </c>
      <c r="M608" s="8">
        <v>69</v>
      </c>
      <c r="N608" s="8">
        <v>0.84</v>
      </c>
      <c r="O608" s="8">
        <v>766</v>
      </c>
      <c r="P608" s="8" t="s">
        <v>20</v>
      </c>
      <c r="Q608" s="8" t="str">
        <f>_xlfn.IFS(AND(Table13[[#This Row],[Gender]]="female",R608&lt;20),"Athletes",AND(Table13[[#This Row],[Gender]]="female",R608&lt;24),"Fitnesss",AND(Table13[[#This Row],[Gender]]="female",R608&lt;31),"Acceptable",AND(Table13[[#This Row],[Gender]]="female",R608&lt;40),"Obese",AND(Table13[[#This Row],[Gender]]="male",R608&lt;13),"Athletes",AND(Table13[[#This Row],[Gender]]="male",R608&lt;17),"Fitnesss",AND(Table13[[#This Row],[Gender]]="male",R608&lt;24.9),"Acceptable",AND(Table13[[#This Row],[Gender]]="male",R608&lt;40),"Obese",AND(Table13[[#This Row],[Gender]]="others",R608&lt;20),"Athletes",AND(Table13[[#This Row],[Gender]]="others",R608&lt;24),"Fitnesss",AND(Table13[[#This Row],[Gender]]="others",R608&lt;31),"Acceptable",AND(Table13[[#This Row],[Gender]]="others",R608&lt;40),"Obese")</f>
        <v>Obese</v>
      </c>
      <c r="R608" s="8">
        <v>31.9</v>
      </c>
      <c r="S608" s="8">
        <v>2.9</v>
      </c>
      <c r="T608" s="8">
        <v>5</v>
      </c>
      <c r="U608" s="8">
        <v>1</v>
      </c>
      <c r="V608" s="8" t="str">
        <f>IF(Table13[[#This Row],[BMI]]&lt;=18.5,"Underweight",IF(Table13[[#This Row],[BMI]]&lt;=24.9,"Normal",IF(Table13[[#This Row],[BMI]]&lt;=29.9,"Overweight",IF(Table13[[#This Row],[BMI]]&lt;=39,"Obese","Severly Obese"))))</f>
        <v>Underweight</v>
      </c>
      <c r="W608" s="18">
        <v>16.399999999999999</v>
      </c>
    </row>
    <row r="609" spans="6:23" x14ac:dyDescent="0.3">
      <c r="F609" s="17">
        <v>38</v>
      </c>
      <c r="G609" s="8" t="str">
        <f>IF(Table13[[#This Row],[Age]]&lt;25,"18-24",IF(Table13[[#This Row],[Age]]&lt;35,"25-34",IF(Table13[[#This Row],[Age]]&lt;45,"35-44",IF(Table13[[#This Row],[Age]]&lt;55,"45-54","55-64"))))</f>
        <v>35-44</v>
      </c>
      <c r="H609" s="8" t="s">
        <v>19</v>
      </c>
      <c r="I609" s="8">
        <v>58.7</v>
      </c>
      <c r="J609" s="8">
        <v>1.72</v>
      </c>
      <c r="K609" s="8">
        <v>189</v>
      </c>
      <c r="L609" s="8">
        <v>152</v>
      </c>
      <c r="M609" s="8">
        <v>58</v>
      </c>
      <c r="N609" s="8">
        <v>1.21</v>
      </c>
      <c r="O609" s="8">
        <v>1063</v>
      </c>
      <c r="P609" s="8" t="s">
        <v>21</v>
      </c>
      <c r="Q609" s="8" t="str">
        <f>_xlfn.IFS(AND(Table13[[#This Row],[Gender]]="female",R609&lt;20),"Athletes",AND(Table13[[#This Row],[Gender]]="female",R609&lt;24),"Fitnesss",AND(Table13[[#This Row],[Gender]]="female",R609&lt;31),"Acceptable",AND(Table13[[#This Row],[Gender]]="female",R609&lt;40),"Obese",AND(Table13[[#This Row],[Gender]]="male",R609&lt;13),"Athletes",AND(Table13[[#This Row],[Gender]]="male",R609&lt;17),"Fitnesss",AND(Table13[[#This Row],[Gender]]="male",R609&lt;24.9),"Acceptable",AND(Table13[[#This Row],[Gender]]="male",R609&lt;40),"Obese",AND(Table13[[#This Row],[Gender]]="others",R609&lt;20),"Athletes",AND(Table13[[#This Row],[Gender]]="others",R609&lt;24),"Fitnesss",AND(Table13[[#This Row],[Gender]]="others",R609&lt;31),"Acceptable",AND(Table13[[#This Row],[Gender]]="others",R609&lt;40),"Obese")</f>
        <v>Acceptable</v>
      </c>
      <c r="R609" s="8">
        <v>21.2</v>
      </c>
      <c r="S609" s="8">
        <v>1.6</v>
      </c>
      <c r="T609" s="8">
        <v>3</v>
      </c>
      <c r="U609" s="8">
        <v>1</v>
      </c>
      <c r="V609" s="8" t="str">
        <f>IF(Table13[[#This Row],[BMI]]&lt;=18.5,"Underweight",IF(Table13[[#This Row],[BMI]]&lt;=24.9,"Normal",IF(Table13[[#This Row],[BMI]]&lt;=29.9,"Overweight",IF(Table13[[#This Row],[BMI]]&lt;=39,"Obese","Severly Obese"))))</f>
        <v>Normal</v>
      </c>
      <c r="W609" s="18">
        <v>23.03</v>
      </c>
    </row>
    <row r="610" spans="6:23" x14ac:dyDescent="0.3">
      <c r="F610" s="17">
        <v>26</v>
      </c>
      <c r="G610" s="8" t="str">
        <f>IF(Table13[[#This Row],[Age]]&lt;25,"18-24",IF(Table13[[#This Row],[Age]]&lt;35,"25-34",IF(Table13[[#This Row],[Age]]&lt;45,"35-44",IF(Table13[[#This Row],[Age]]&lt;55,"45-54","55-64"))))</f>
        <v>25-34</v>
      </c>
      <c r="H610" s="8" t="s">
        <v>19</v>
      </c>
      <c r="I610" s="8">
        <v>62</v>
      </c>
      <c r="J610" s="8">
        <v>1.65</v>
      </c>
      <c r="K610" s="8">
        <v>199</v>
      </c>
      <c r="L610" s="8">
        <v>142</v>
      </c>
      <c r="M610" s="8">
        <v>56</v>
      </c>
      <c r="N610" s="8">
        <v>1.61</v>
      </c>
      <c r="O610" s="8">
        <v>1361</v>
      </c>
      <c r="P610" s="8" t="s">
        <v>21</v>
      </c>
      <c r="Q610" s="8" t="str">
        <f>_xlfn.IFS(AND(Table13[[#This Row],[Gender]]="female",R610&lt;20),"Athletes",AND(Table13[[#This Row],[Gender]]="female",R610&lt;24),"Fitnesss",AND(Table13[[#This Row],[Gender]]="female",R610&lt;31),"Acceptable",AND(Table13[[#This Row],[Gender]]="female",R610&lt;40),"Obese",AND(Table13[[#This Row],[Gender]]="male",R610&lt;13),"Athletes",AND(Table13[[#This Row],[Gender]]="male",R610&lt;17),"Fitnesss",AND(Table13[[#This Row],[Gender]]="male",R610&lt;24.9),"Acceptable",AND(Table13[[#This Row],[Gender]]="male",R610&lt;40),"Obese",AND(Table13[[#This Row],[Gender]]="others",R610&lt;20),"Athletes",AND(Table13[[#This Row],[Gender]]="others",R610&lt;24),"Fitnesss",AND(Table13[[#This Row],[Gender]]="others",R610&lt;31),"Acceptable",AND(Table13[[#This Row],[Gender]]="others",R610&lt;40),"Obese")</f>
        <v>Obese</v>
      </c>
      <c r="R610" s="8">
        <v>35</v>
      </c>
      <c r="S610" s="8">
        <v>3.5</v>
      </c>
      <c r="T610" s="8">
        <v>2</v>
      </c>
      <c r="U610" s="8">
        <v>3</v>
      </c>
      <c r="V610" s="8" t="str">
        <f>IF(Table13[[#This Row],[BMI]]&lt;=18.5,"Underweight",IF(Table13[[#This Row],[BMI]]&lt;=24.9,"Normal",IF(Table13[[#This Row],[BMI]]&lt;=29.9,"Overweight",IF(Table13[[#This Row],[BMI]]&lt;=39,"Obese","Severly Obese"))))</f>
        <v>Underweight</v>
      </c>
      <c r="W610" s="18">
        <v>13.96</v>
      </c>
    </row>
    <row r="611" spans="6:23" x14ac:dyDescent="0.3">
      <c r="F611" s="17">
        <v>18</v>
      </c>
      <c r="G611" s="8" t="str">
        <f>IF(Table13[[#This Row],[Age]]&lt;25,"18-24",IF(Table13[[#This Row],[Age]]&lt;35,"25-34",IF(Table13[[#This Row],[Age]]&lt;45,"35-44",IF(Table13[[#This Row],[Age]]&lt;55,"45-54","55-64"))))</f>
        <v>18-24</v>
      </c>
      <c r="H611" s="8" t="s">
        <v>19</v>
      </c>
      <c r="I611" s="8">
        <v>100.6</v>
      </c>
      <c r="J611" s="8">
        <v>1.74</v>
      </c>
      <c r="K611" s="8">
        <v>179</v>
      </c>
      <c r="L611" s="8">
        <v>138</v>
      </c>
      <c r="M611" s="8">
        <v>68</v>
      </c>
      <c r="N611" s="8">
        <v>1.2</v>
      </c>
      <c r="O611" s="8">
        <v>1261</v>
      </c>
      <c r="P611" s="8" t="s">
        <v>20</v>
      </c>
      <c r="Q611" s="8" t="str">
        <f>_xlfn.IFS(AND(Table13[[#This Row],[Gender]]="female",R611&lt;20),"Athletes",AND(Table13[[#This Row],[Gender]]="female",R611&lt;24),"Fitnesss",AND(Table13[[#This Row],[Gender]]="female",R611&lt;31),"Acceptable",AND(Table13[[#This Row],[Gender]]="female",R611&lt;40),"Obese",AND(Table13[[#This Row],[Gender]]="male",R611&lt;13),"Athletes",AND(Table13[[#This Row],[Gender]]="male",R611&lt;17),"Fitnesss",AND(Table13[[#This Row],[Gender]]="male",R611&lt;24.9),"Acceptable",AND(Table13[[#This Row],[Gender]]="male",R611&lt;40),"Obese",AND(Table13[[#This Row],[Gender]]="others",R611&lt;20),"Athletes",AND(Table13[[#This Row],[Gender]]="others",R611&lt;24),"Fitnesss",AND(Table13[[#This Row],[Gender]]="others",R611&lt;31),"Acceptable",AND(Table13[[#This Row],[Gender]]="others",R611&lt;40),"Obese")</f>
        <v>Acceptable</v>
      </c>
      <c r="R611" s="8">
        <v>23.2</v>
      </c>
      <c r="S611" s="8">
        <v>3.5</v>
      </c>
      <c r="T611" s="8">
        <v>2</v>
      </c>
      <c r="U611" s="8">
        <v>2</v>
      </c>
      <c r="V611" s="8" t="str">
        <f>IF(Table13[[#This Row],[BMI]]&lt;=18.5,"Underweight",IF(Table13[[#This Row],[BMI]]&lt;=24.9,"Normal",IF(Table13[[#This Row],[BMI]]&lt;=29.9,"Overweight",IF(Table13[[#This Row],[BMI]]&lt;=39,"Obese","Severly Obese"))))</f>
        <v>Normal</v>
      </c>
      <c r="W611" s="18">
        <v>20.9</v>
      </c>
    </row>
    <row r="612" spans="6:23" x14ac:dyDescent="0.3">
      <c r="F612" s="17">
        <v>33</v>
      </c>
      <c r="G612" s="8" t="str">
        <f>IF(Table13[[#This Row],[Age]]&lt;25,"18-24",IF(Table13[[#This Row],[Age]]&lt;35,"25-34",IF(Table13[[#This Row],[Age]]&lt;45,"35-44",IF(Table13[[#This Row],[Age]]&lt;55,"45-54","55-64"))))</f>
        <v>25-34</v>
      </c>
      <c r="H612" s="8" t="s">
        <v>17</v>
      </c>
      <c r="I612" s="8">
        <v>63</v>
      </c>
      <c r="J612" s="8">
        <v>1.71</v>
      </c>
      <c r="K612" s="8">
        <v>189</v>
      </c>
      <c r="L612" s="8">
        <v>126</v>
      </c>
      <c r="M612" s="8">
        <v>57</v>
      </c>
      <c r="N612" s="8">
        <v>1.24</v>
      </c>
      <c r="O612" s="8">
        <v>1175</v>
      </c>
      <c r="P612" s="8" t="s">
        <v>18</v>
      </c>
      <c r="Q612" s="8" t="str">
        <f>_xlfn.IFS(AND(Table13[[#This Row],[Gender]]="female",R612&lt;20),"Athletes",AND(Table13[[#This Row],[Gender]]="female",R612&lt;24),"Fitnesss",AND(Table13[[#This Row],[Gender]]="female",R612&lt;31),"Acceptable",AND(Table13[[#This Row],[Gender]]="female",R612&lt;40),"Obese",AND(Table13[[#This Row],[Gender]]="male",R612&lt;13),"Athletes",AND(Table13[[#This Row],[Gender]]="male",R612&lt;17),"Fitnesss",AND(Table13[[#This Row],[Gender]]="male",R612&lt;24.9),"Acceptable",AND(Table13[[#This Row],[Gender]]="male",R612&lt;40),"Obese",AND(Table13[[#This Row],[Gender]]="others",R612&lt;20),"Athletes",AND(Table13[[#This Row],[Gender]]="others",R612&lt;24),"Fitnesss",AND(Table13[[#This Row],[Gender]]="others",R612&lt;31),"Acceptable",AND(Table13[[#This Row],[Gender]]="others",R612&lt;40),"Obese")</f>
        <v>Acceptable</v>
      </c>
      <c r="R612" s="8">
        <v>25.6</v>
      </c>
      <c r="S612" s="8">
        <v>3.2</v>
      </c>
      <c r="T612" s="8">
        <v>3</v>
      </c>
      <c r="U612" s="8">
        <v>1</v>
      </c>
      <c r="V612" s="8" t="str">
        <f>IF(Table13[[#This Row],[BMI]]&lt;=18.5,"Underweight",IF(Table13[[#This Row],[BMI]]&lt;=24.9,"Normal",IF(Table13[[#This Row],[BMI]]&lt;=29.9,"Overweight",IF(Table13[[#This Row],[BMI]]&lt;=39,"Obese","Severly Obese"))))</f>
        <v>Underweight</v>
      </c>
      <c r="W612" s="18">
        <v>15.02</v>
      </c>
    </row>
    <row r="613" spans="6:23" x14ac:dyDescent="0.3">
      <c r="F613" s="17">
        <v>45</v>
      </c>
      <c r="G613" s="8" t="str">
        <f>IF(Table13[[#This Row],[Age]]&lt;25,"18-24",IF(Table13[[#This Row],[Age]]&lt;35,"25-34",IF(Table13[[#This Row],[Age]]&lt;45,"35-44",IF(Table13[[#This Row],[Age]]&lt;55,"45-54","55-64"))))</f>
        <v>45-54</v>
      </c>
      <c r="H613" s="8" t="s">
        <v>19</v>
      </c>
      <c r="I613" s="8">
        <v>52.7</v>
      </c>
      <c r="J613" s="8">
        <v>1.82</v>
      </c>
      <c r="K613" s="8">
        <v>172</v>
      </c>
      <c r="L613" s="8">
        <v>129</v>
      </c>
      <c r="M613" s="8">
        <v>69</v>
      </c>
      <c r="N613" s="8">
        <v>0.62</v>
      </c>
      <c r="O613" s="8">
        <v>1783</v>
      </c>
      <c r="P613" s="8" t="s">
        <v>22</v>
      </c>
      <c r="Q613" s="8" t="str">
        <f>_xlfn.IFS(AND(Table13[[#This Row],[Gender]]="female",R613&lt;20),"Athletes",AND(Table13[[#This Row],[Gender]]="female",R613&lt;24),"Fitnesss",AND(Table13[[#This Row],[Gender]]="female",R613&lt;31),"Acceptable",AND(Table13[[#This Row],[Gender]]="female",R613&lt;40),"Obese",AND(Table13[[#This Row],[Gender]]="male",R613&lt;13),"Athletes",AND(Table13[[#This Row],[Gender]]="male",R613&lt;17),"Fitnesss",AND(Table13[[#This Row],[Gender]]="male",R613&lt;24.9),"Acceptable",AND(Table13[[#This Row],[Gender]]="male",R613&lt;40),"Obese",AND(Table13[[#This Row],[Gender]]="others",R613&lt;20),"Athletes",AND(Table13[[#This Row],[Gender]]="others",R613&lt;24),"Fitnesss",AND(Table13[[#This Row],[Gender]]="others",R613&lt;31),"Acceptable",AND(Table13[[#This Row],[Gender]]="others",R613&lt;40),"Obese")</f>
        <v>Acceptable</v>
      </c>
      <c r="R613" s="8">
        <v>22.9</v>
      </c>
      <c r="S613" s="8">
        <v>3.2</v>
      </c>
      <c r="T613" s="8">
        <v>3</v>
      </c>
      <c r="U613" s="8">
        <v>1</v>
      </c>
      <c r="V613" s="8" t="str">
        <f>IF(Table13[[#This Row],[BMI]]&lt;=18.5,"Underweight",IF(Table13[[#This Row],[BMI]]&lt;=24.9,"Normal",IF(Table13[[#This Row],[BMI]]&lt;=29.9,"Overweight",IF(Table13[[#This Row],[BMI]]&lt;=39,"Obese","Severly Obese"))))</f>
        <v>Overweight</v>
      </c>
      <c r="W613" s="18">
        <v>24.95</v>
      </c>
    </row>
    <row r="614" spans="6:23" x14ac:dyDescent="0.3">
      <c r="F614" s="17">
        <v>29</v>
      </c>
      <c r="G614" s="8" t="str">
        <f>IF(Table13[[#This Row],[Age]]&lt;25,"18-24",IF(Table13[[#This Row],[Age]]&lt;35,"25-34",IF(Table13[[#This Row],[Age]]&lt;45,"35-44",IF(Table13[[#This Row],[Age]]&lt;55,"45-54","55-64"))))</f>
        <v>25-34</v>
      </c>
      <c r="H614" s="8" t="s">
        <v>19</v>
      </c>
      <c r="I614" s="8">
        <v>79.400000000000006</v>
      </c>
      <c r="J614" s="8">
        <v>1.71</v>
      </c>
      <c r="K614" s="8">
        <v>186</v>
      </c>
      <c r="L614" s="8">
        <v>124</v>
      </c>
      <c r="M614" s="8">
        <v>74</v>
      </c>
      <c r="N614" s="8">
        <v>2</v>
      </c>
      <c r="O614" s="8">
        <v>877</v>
      </c>
      <c r="P614" s="8" t="s">
        <v>22</v>
      </c>
      <c r="Q614" s="8" t="str">
        <f>_xlfn.IFS(AND(Table13[[#This Row],[Gender]]="female",R614&lt;20),"Athletes",AND(Table13[[#This Row],[Gender]]="female",R614&lt;24),"Fitnesss",AND(Table13[[#This Row],[Gender]]="female",R614&lt;31),"Acceptable",AND(Table13[[#This Row],[Gender]]="female",R614&lt;40),"Obese",AND(Table13[[#This Row],[Gender]]="male",R614&lt;13),"Athletes",AND(Table13[[#This Row],[Gender]]="male",R614&lt;17),"Fitnesss",AND(Table13[[#This Row],[Gender]]="male",R614&lt;24.9),"Acceptable",AND(Table13[[#This Row],[Gender]]="male",R614&lt;40),"Obese",AND(Table13[[#This Row],[Gender]]="others",R614&lt;20),"Athletes",AND(Table13[[#This Row],[Gender]]="others",R614&lt;24),"Fitnesss",AND(Table13[[#This Row],[Gender]]="others",R614&lt;31),"Acceptable",AND(Table13[[#This Row],[Gender]]="others",R614&lt;40),"Obese")</f>
        <v>Obese</v>
      </c>
      <c r="R614" s="8">
        <v>29.6</v>
      </c>
      <c r="S614" s="8">
        <v>1.5</v>
      </c>
      <c r="T614" s="8">
        <v>3</v>
      </c>
      <c r="U614" s="8">
        <v>2</v>
      </c>
      <c r="V614" s="8" t="str">
        <f>IF(Table13[[#This Row],[BMI]]&lt;=18.5,"Underweight",IF(Table13[[#This Row],[BMI]]&lt;=24.9,"Normal",IF(Table13[[#This Row],[BMI]]&lt;=29.9,"Overweight",IF(Table13[[#This Row],[BMI]]&lt;=39,"Obese","Severly Obese"))))</f>
        <v>Overweight</v>
      </c>
      <c r="W614" s="18">
        <v>27.97</v>
      </c>
    </row>
    <row r="615" spans="6:23" x14ac:dyDescent="0.3">
      <c r="F615" s="17">
        <v>18</v>
      </c>
      <c r="G615" s="8" t="str">
        <f>IF(Table13[[#This Row],[Age]]&lt;25,"18-24",IF(Table13[[#This Row],[Age]]&lt;35,"25-34",IF(Table13[[#This Row],[Age]]&lt;45,"35-44",IF(Table13[[#This Row],[Age]]&lt;55,"45-54","55-64"))))</f>
        <v>18-24</v>
      </c>
      <c r="H615" s="8" t="s">
        <v>23</v>
      </c>
      <c r="I615" s="8">
        <v>87.4</v>
      </c>
      <c r="J615" s="8">
        <v>1.87</v>
      </c>
      <c r="K615" s="8">
        <v>182</v>
      </c>
      <c r="L615" s="8">
        <v>162</v>
      </c>
      <c r="M615" s="8">
        <v>65</v>
      </c>
      <c r="N615" s="8"/>
      <c r="O615" s="8">
        <v>1303</v>
      </c>
      <c r="P615" s="8" t="s">
        <v>18</v>
      </c>
      <c r="Q615" s="8" t="str">
        <f>_xlfn.IFS(AND(Table13[[#This Row],[Gender]]="female",R615&lt;20),"Athletes",AND(Table13[[#This Row],[Gender]]="female",R615&lt;24),"Fitnesss",AND(Table13[[#This Row],[Gender]]="female",R615&lt;31),"Acceptable",AND(Table13[[#This Row],[Gender]]="female",R615&lt;40),"Obese",AND(Table13[[#This Row],[Gender]]="male",R615&lt;13),"Athletes",AND(Table13[[#This Row],[Gender]]="male",R615&lt;17),"Fitnesss",AND(Table13[[#This Row],[Gender]]="male",R615&lt;24.9),"Acceptable",AND(Table13[[#This Row],[Gender]]="male",R615&lt;40),"Obese",AND(Table13[[#This Row],[Gender]]="others",R615&lt;20),"Athletes",AND(Table13[[#This Row],[Gender]]="others",R615&lt;24),"Fitnesss",AND(Table13[[#This Row],[Gender]]="others",R615&lt;31),"Acceptable",AND(Table13[[#This Row],[Gender]]="others",R615&lt;40),"Obese")</f>
        <v>Acceptable</v>
      </c>
      <c r="R615" s="8">
        <v>27.6</v>
      </c>
      <c r="S615" s="8">
        <v>3.6</v>
      </c>
      <c r="T615" s="8">
        <v>2</v>
      </c>
      <c r="U615" s="8">
        <v>3</v>
      </c>
      <c r="V615" s="8" t="str">
        <f>IF(Table13[[#This Row],[BMI]]&lt;=18.5,"Underweight",IF(Table13[[#This Row],[BMI]]&lt;=24.9,"Normal",IF(Table13[[#This Row],[BMI]]&lt;=29.9,"Overweight",IF(Table13[[#This Row],[BMI]]&lt;=39,"Obese","Severly Obese"))))</f>
        <v>Underweight</v>
      </c>
      <c r="W615" s="18">
        <v>12.32</v>
      </c>
    </row>
    <row r="616" spans="6:23" x14ac:dyDescent="0.3">
      <c r="F616" s="17">
        <v>57</v>
      </c>
      <c r="G616" s="8" t="str">
        <f>IF(Table13[[#This Row],[Age]]&lt;25,"18-24",IF(Table13[[#This Row],[Age]]&lt;35,"25-34",IF(Table13[[#This Row],[Age]]&lt;45,"35-44",IF(Table13[[#This Row],[Age]]&lt;55,"45-54","55-64"))))</f>
        <v>55-64</v>
      </c>
      <c r="H616" s="8" t="s">
        <v>17</v>
      </c>
      <c r="I616" s="8">
        <v>57.6</v>
      </c>
      <c r="J616" s="8">
        <v>1.86</v>
      </c>
      <c r="K616" s="8">
        <v>169</v>
      </c>
      <c r="L616" s="8">
        <v>120</v>
      </c>
      <c r="M616" s="8">
        <v>73</v>
      </c>
      <c r="N616" s="8">
        <v>1.99</v>
      </c>
      <c r="O616" s="8">
        <v>929</v>
      </c>
      <c r="P616" s="8" t="s">
        <v>21</v>
      </c>
      <c r="Q616" s="8" t="str">
        <f>_xlfn.IFS(AND(Table13[[#This Row],[Gender]]="female",R616&lt;20),"Athletes",AND(Table13[[#This Row],[Gender]]="female",R616&lt;24),"Fitnesss",AND(Table13[[#This Row],[Gender]]="female",R616&lt;31),"Acceptable",AND(Table13[[#This Row],[Gender]]="female",R616&lt;40),"Obese",AND(Table13[[#This Row],[Gender]]="male",R616&lt;13),"Athletes",AND(Table13[[#This Row],[Gender]]="male",R616&lt;17),"Fitnesss",AND(Table13[[#This Row],[Gender]]="male",R616&lt;24.9),"Acceptable",AND(Table13[[#This Row],[Gender]]="male",R616&lt;40),"Obese",AND(Table13[[#This Row],[Gender]]="others",R616&lt;20),"Athletes",AND(Table13[[#This Row],[Gender]]="others",R616&lt;24),"Fitnesss",AND(Table13[[#This Row],[Gender]]="others",R616&lt;31),"Acceptable",AND(Table13[[#This Row],[Gender]]="others",R616&lt;40),"Obese")</f>
        <v>Fitnesss</v>
      </c>
      <c r="R616" s="8">
        <v>22.9</v>
      </c>
      <c r="S616" s="8">
        <v>2.4</v>
      </c>
      <c r="T616" s="8"/>
      <c r="U616" s="8">
        <v>2</v>
      </c>
      <c r="V616" s="8" t="str">
        <f>IF(Table13[[#This Row],[BMI]]&lt;=18.5,"Underweight",IF(Table13[[#This Row],[BMI]]&lt;=24.9,"Normal",IF(Table13[[#This Row],[BMI]]&lt;=29.9,"Overweight",IF(Table13[[#This Row],[BMI]]&lt;=39,"Obese","Severly Obese"))))</f>
        <v>Underweight</v>
      </c>
      <c r="W616" s="18">
        <v>14.02</v>
      </c>
    </row>
    <row r="617" spans="6:23" x14ac:dyDescent="0.3">
      <c r="F617" s="17">
        <v>37</v>
      </c>
      <c r="G617" s="8" t="str">
        <f>IF(Table13[[#This Row],[Age]]&lt;25,"18-24",IF(Table13[[#This Row],[Age]]&lt;35,"25-34",IF(Table13[[#This Row],[Age]]&lt;45,"35-44",IF(Table13[[#This Row],[Age]]&lt;55,"45-54","55-64"))))</f>
        <v>35-44</v>
      </c>
      <c r="H617" s="8" t="s">
        <v>19</v>
      </c>
      <c r="I617" s="8">
        <v>108.5</v>
      </c>
      <c r="J617" s="8">
        <v>1.97</v>
      </c>
      <c r="K617" s="8">
        <v>192</v>
      </c>
      <c r="L617" s="8">
        <v>120</v>
      </c>
      <c r="M617" s="8">
        <v>74</v>
      </c>
      <c r="N617" s="8">
        <v>2</v>
      </c>
      <c r="O617" s="8">
        <v>1091</v>
      </c>
      <c r="P617" s="8" t="s">
        <v>20</v>
      </c>
      <c r="Q617" s="8" t="str">
        <f>_xlfn.IFS(AND(Table13[[#This Row],[Gender]]="female",R617&lt;20),"Athletes",AND(Table13[[#This Row],[Gender]]="female",R617&lt;24),"Fitnesss",AND(Table13[[#This Row],[Gender]]="female",R617&lt;31),"Acceptable",AND(Table13[[#This Row],[Gender]]="female",R617&lt;40),"Obese",AND(Table13[[#This Row],[Gender]]="male",R617&lt;13),"Athletes",AND(Table13[[#This Row],[Gender]]="male",R617&lt;17),"Fitnesss",AND(Table13[[#This Row],[Gender]]="male",R617&lt;24.9),"Acceptable",AND(Table13[[#This Row],[Gender]]="male",R617&lt;40),"Obese",AND(Table13[[#This Row],[Gender]]="others",R617&lt;20),"Athletes",AND(Table13[[#This Row],[Gender]]="others",R617&lt;24),"Fitnesss",AND(Table13[[#This Row],[Gender]]="others",R617&lt;31),"Acceptable",AND(Table13[[#This Row],[Gender]]="others",R617&lt;40),"Obese")</f>
        <v>Obese</v>
      </c>
      <c r="R617" s="8">
        <v>27.2</v>
      </c>
      <c r="S617" s="8">
        <v>1.5</v>
      </c>
      <c r="T617" s="8">
        <v>2</v>
      </c>
      <c r="U617" s="8">
        <v>1</v>
      </c>
      <c r="V617" s="8" t="str">
        <f>IF(Table13[[#This Row],[BMI]]&lt;=18.5,"Underweight",IF(Table13[[#This Row],[BMI]]&lt;=24.9,"Normal",IF(Table13[[#This Row],[BMI]]&lt;=29.9,"Overweight",IF(Table13[[#This Row],[BMI]]&lt;=39,"Obese","Severly Obese"))))</f>
        <v>Normal</v>
      </c>
      <c r="W617" s="18">
        <v>23.59</v>
      </c>
    </row>
    <row r="618" spans="6:23" x14ac:dyDescent="0.3">
      <c r="F618" s="17">
        <v>52</v>
      </c>
      <c r="G618" s="8" t="str">
        <f>IF(Table13[[#This Row],[Age]]&lt;25,"18-24",IF(Table13[[#This Row],[Age]]&lt;35,"25-34",IF(Table13[[#This Row],[Age]]&lt;45,"35-44",IF(Table13[[#This Row],[Age]]&lt;55,"45-54","55-64"))))</f>
        <v>45-54</v>
      </c>
      <c r="H618" s="8" t="s">
        <v>17</v>
      </c>
      <c r="I618" s="8">
        <v>75.7</v>
      </c>
      <c r="J618" s="8">
        <v>1.61</v>
      </c>
      <c r="K618" s="8"/>
      <c r="L618" s="8">
        <v>139</v>
      </c>
      <c r="M618" s="8">
        <v>64</v>
      </c>
      <c r="N618" s="8">
        <v>2</v>
      </c>
      <c r="O618" s="8">
        <v>1783</v>
      </c>
      <c r="P618" s="8" t="s">
        <v>22</v>
      </c>
      <c r="Q618" s="8" t="str">
        <f>_xlfn.IFS(AND(Table13[[#This Row],[Gender]]="female",R618&lt;20),"Athletes",AND(Table13[[#This Row],[Gender]]="female",R618&lt;24),"Fitnesss",AND(Table13[[#This Row],[Gender]]="female",R618&lt;31),"Acceptable",AND(Table13[[#This Row],[Gender]]="female",R618&lt;40),"Obese",AND(Table13[[#This Row],[Gender]]="male",R618&lt;13),"Athletes",AND(Table13[[#This Row],[Gender]]="male",R618&lt;17),"Fitnesss",AND(Table13[[#This Row],[Gender]]="male",R618&lt;24.9),"Acceptable",AND(Table13[[#This Row],[Gender]]="male",R618&lt;40),"Obese",AND(Table13[[#This Row],[Gender]]="others",R618&lt;20),"Athletes",AND(Table13[[#This Row],[Gender]]="others",R618&lt;24),"Fitnesss",AND(Table13[[#This Row],[Gender]]="others",R618&lt;31),"Acceptable",AND(Table13[[#This Row],[Gender]]="others",R618&lt;40),"Obese")</f>
        <v>Acceptable</v>
      </c>
      <c r="R618" s="8">
        <v>24.6</v>
      </c>
      <c r="S618" s="8">
        <v>2.8</v>
      </c>
      <c r="T618" s="8">
        <v>2</v>
      </c>
      <c r="U618" s="8">
        <v>2</v>
      </c>
      <c r="V618" s="8" t="str">
        <f>IF(Table13[[#This Row],[BMI]]&lt;=18.5,"Underweight",IF(Table13[[#This Row],[BMI]]&lt;=24.9,"Normal",IF(Table13[[#This Row],[BMI]]&lt;=29.9,"Overweight",IF(Table13[[#This Row],[BMI]]&lt;=39,"Obese","Severly Obese"))))</f>
        <v>Underweight</v>
      </c>
      <c r="W618" s="18">
        <v>17.489999999999998</v>
      </c>
    </row>
    <row r="619" spans="6:23" x14ac:dyDescent="0.3">
      <c r="F619" s="17">
        <v>34</v>
      </c>
      <c r="G619" s="8" t="str">
        <f>IF(Table13[[#This Row],[Age]]&lt;25,"18-24",IF(Table13[[#This Row],[Age]]&lt;35,"25-34",IF(Table13[[#This Row],[Age]]&lt;45,"35-44",IF(Table13[[#This Row],[Age]]&lt;55,"45-54","55-64"))))</f>
        <v>25-34</v>
      </c>
      <c r="H619" s="8" t="s">
        <v>17</v>
      </c>
      <c r="I619" s="8">
        <v>73.900000000000006</v>
      </c>
      <c r="J619" s="8">
        <v>1.75</v>
      </c>
      <c r="K619" s="8">
        <v>192</v>
      </c>
      <c r="L619" s="8">
        <v>165</v>
      </c>
      <c r="M619" s="8">
        <v>74</v>
      </c>
      <c r="N619" s="8">
        <v>1.64</v>
      </c>
      <c r="O619" s="8">
        <v>816</v>
      </c>
      <c r="P619" s="8" t="s">
        <v>20</v>
      </c>
      <c r="Q619" s="8" t="str">
        <f>_xlfn.IFS(AND(Table13[[#This Row],[Gender]]="female",R619&lt;20),"Athletes",AND(Table13[[#This Row],[Gender]]="female",R619&lt;24),"Fitnesss",AND(Table13[[#This Row],[Gender]]="female",R619&lt;31),"Acceptable",AND(Table13[[#This Row],[Gender]]="female",R619&lt;40),"Obese",AND(Table13[[#This Row],[Gender]]="male",R619&lt;13),"Athletes",AND(Table13[[#This Row],[Gender]]="male",R619&lt;17),"Fitnesss",AND(Table13[[#This Row],[Gender]]="male",R619&lt;24.9),"Acceptable",AND(Table13[[#This Row],[Gender]]="male",R619&lt;40),"Obese",AND(Table13[[#This Row],[Gender]]="others",R619&lt;20),"Athletes",AND(Table13[[#This Row],[Gender]]="others",R619&lt;24),"Fitnesss",AND(Table13[[#This Row],[Gender]]="others",R619&lt;31),"Acceptable",AND(Table13[[#This Row],[Gender]]="others",R619&lt;40),"Obese")</f>
        <v>Obese</v>
      </c>
      <c r="R619" s="8">
        <v>35</v>
      </c>
      <c r="S619" s="8">
        <v>1.5</v>
      </c>
      <c r="T619" s="8">
        <v>3</v>
      </c>
      <c r="U619" s="8">
        <v>2</v>
      </c>
      <c r="V619" s="8" t="str">
        <f>IF(Table13[[#This Row],[BMI]]&lt;=18.5,"Underweight",IF(Table13[[#This Row],[BMI]]&lt;=24.9,"Normal",IF(Table13[[#This Row],[BMI]]&lt;=29.9,"Overweight",IF(Table13[[#This Row],[BMI]]&lt;=39,"Obese","Severly Obese"))))</f>
        <v>Normal</v>
      </c>
      <c r="W619" s="18">
        <v>22.1</v>
      </c>
    </row>
    <row r="620" spans="6:23" x14ac:dyDescent="0.3">
      <c r="F620" s="17">
        <v>57</v>
      </c>
      <c r="G620" s="8" t="str">
        <f>IF(Table13[[#This Row],[Age]]&lt;25,"18-24",IF(Table13[[#This Row],[Age]]&lt;35,"25-34",IF(Table13[[#This Row],[Age]]&lt;45,"35-44",IF(Table13[[#This Row],[Age]]&lt;55,"45-54","55-64"))))</f>
        <v>55-64</v>
      </c>
      <c r="H620" s="8" t="s">
        <v>19</v>
      </c>
      <c r="I620" s="8">
        <v>67.900000000000006</v>
      </c>
      <c r="J620" s="8">
        <v>1.78</v>
      </c>
      <c r="K620" s="8">
        <v>187</v>
      </c>
      <c r="L620" s="8">
        <v>163</v>
      </c>
      <c r="M620" s="8">
        <v>59</v>
      </c>
      <c r="N620" s="8">
        <v>2</v>
      </c>
      <c r="O620" s="8">
        <v>1168</v>
      </c>
      <c r="P620" s="8" t="s">
        <v>22</v>
      </c>
      <c r="Q620" s="8" t="str">
        <f>_xlfn.IFS(AND(Table13[[#This Row],[Gender]]="female",R620&lt;20),"Athletes",AND(Table13[[#This Row],[Gender]]="female",R620&lt;24),"Fitnesss",AND(Table13[[#This Row],[Gender]]="female",R620&lt;31),"Acceptable",AND(Table13[[#This Row],[Gender]]="female",R620&lt;40),"Obese",AND(Table13[[#This Row],[Gender]]="male",R620&lt;13),"Athletes",AND(Table13[[#This Row],[Gender]]="male",R620&lt;17),"Fitnesss",AND(Table13[[#This Row],[Gender]]="male",R620&lt;24.9),"Acceptable",AND(Table13[[#This Row],[Gender]]="male",R620&lt;40),"Obese",AND(Table13[[#This Row],[Gender]]="others",R620&lt;20),"Athletes",AND(Table13[[#This Row],[Gender]]="others",R620&lt;24),"Fitnesss",AND(Table13[[#This Row],[Gender]]="others",R620&lt;31),"Acceptable",AND(Table13[[#This Row],[Gender]]="others",R620&lt;40),"Obese")</f>
        <v>Acceptable</v>
      </c>
      <c r="R620" s="8">
        <v>23.9</v>
      </c>
      <c r="S620" s="8">
        <v>3.7</v>
      </c>
      <c r="T620" s="8">
        <v>3</v>
      </c>
      <c r="U620" s="8">
        <v>2</v>
      </c>
      <c r="V620" s="8" t="str">
        <f>IF(Table13[[#This Row],[BMI]]&lt;=18.5,"Underweight",IF(Table13[[#This Row],[BMI]]&lt;=24.9,"Normal",IF(Table13[[#This Row],[BMI]]&lt;=29.9,"Overweight",IF(Table13[[#This Row],[BMI]]&lt;=39,"Obese","Severly Obese"))))</f>
        <v>Underweight</v>
      </c>
      <c r="W620" s="18"/>
    </row>
    <row r="621" spans="6:23" x14ac:dyDescent="0.3">
      <c r="F621" s="17">
        <v>36</v>
      </c>
      <c r="G621" s="8" t="str">
        <f>IF(Table13[[#This Row],[Age]]&lt;25,"18-24",IF(Table13[[#This Row],[Age]]&lt;35,"25-34",IF(Table13[[#This Row],[Age]]&lt;45,"35-44",IF(Table13[[#This Row],[Age]]&lt;55,"45-54","55-64"))))</f>
        <v>35-44</v>
      </c>
      <c r="H621" s="8" t="s">
        <v>19</v>
      </c>
      <c r="I621" s="8">
        <v>72.8</v>
      </c>
      <c r="J621" s="8">
        <v>1.63</v>
      </c>
      <c r="K621" s="8">
        <v>184</v>
      </c>
      <c r="L621" s="8">
        <v>130</v>
      </c>
      <c r="M621" s="8">
        <v>68</v>
      </c>
      <c r="N621" s="8">
        <v>1.44</v>
      </c>
      <c r="O621" s="8">
        <v>669</v>
      </c>
      <c r="P621" s="8" t="s">
        <v>21</v>
      </c>
      <c r="Q621" s="8" t="str">
        <f>_xlfn.IFS(AND(Table13[[#This Row],[Gender]]="female",R621&lt;20),"Athletes",AND(Table13[[#This Row],[Gender]]="female",R621&lt;24),"Fitnesss",AND(Table13[[#This Row],[Gender]]="female",R621&lt;31),"Acceptable",AND(Table13[[#This Row],[Gender]]="female",R621&lt;40),"Obese",AND(Table13[[#This Row],[Gender]]="male",R621&lt;13),"Athletes",AND(Table13[[#This Row],[Gender]]="male",R621&lt;17),"Fitnesss",AND(Table13[[#This Row],[Gender]]="male",R621&lt;24.9),"Acceptable",AND(Table13[[#This Row],[Gender]]="male",R621&lt;40),"Obese",AND(Table13[[#This Row],[Gender]]="others",R621&lt;20),"Athletes",AND(Table13[[#This Row],[Gender]]="others",R621&lt;24),"Fitnesss",AND(Table13[[#This Row],[Gender]]="others",R621&lt;31),"Acceptable",AND(Table13[[#This Row],[Gender]]="others",R621&lt;40),"Obese")</f>
        <v>Obese</v>
      </c>
      <c r="R621" s="8">
        <v>25.1</v>
      </c>
      <c r="S621" s="8">
        <v>1.7</v>
      </c>
      <c r="T621" s="8">
        <v>3</v>
      </c>
      <c r="U621" s="8">
        <v>3</v>
      </c>
      <c r="V621" s="8" t="str">
        <f>IF(Table13[[#This Row],[BMI]]&lt;=18.5,"Underweight",IF(Table13[[#This Row],[BMI]]&lt;=24.9,"Normal",IF(Table13[[#This Row],[BMI]]&lt;=29.9,"Overweight",IF(Table13[[#This Row],[BMI]]&lt;=39,"Obese","Severly Obese"))))</f>
        <v>Underweight</v>
      </c>
      <c r="W621" s="18">
        <v>12.32</v>
      </c>
    </row>
    <row r="622" spans="6:23" x14ac:dyDescent="0.3">
      <c r="F622" s="17">
        <v>34</v>
      </c>
      <c r="G622" s="8" t="str">
        <f>IF(Table13[[#This Row],[Age]]&lt;25,"18-24",IF(Table13[[#This Row],[Age]]&lt;35,"25-34",IF(Table13[[#This Row],[Age]]&lt;45,"35-44",IF(Table13[[#This Row],[Age]]&lt;55,"45-54","55-64"))))</f>
        <v>25-34</v>
      </c>
      <c r="H622" s="8" t="s">
        <v>17</v>
      </c>
      <c r="I622" s="8">
        <v>57.6</v>
      </c>
      <c r="J622" s="8">
        <v>1.7</v>
      </c>
      <c r="K622" s="8">
        <v>167</v>
      </c>
      <c r="L622" s="8">
        <v>141</v>
      </c>
      <c r="M622" s="8">
        <v>68</v>
      </c>
      <c r="N622" s="8">
        <v>0.88</v>
      </c>
      <c r="O622" s="8">
        <v>710</v>
      </c>
      <c r="P622" s="8" t="s">
        <v>20</v>
      </c>
      <c r="Q622" s="8" t="str">
        <f>_xlfn.IFS(AND(Table13[[#This Row],[Gender]]="female",R622&lt;20),"Athletes",AND(Table13[[#This Row],[Gender]]="female",R622&lt;24),"Fitnesss",AND(Table13[[#This Row],[Gender]]="female",R622&lt;31),"Acceptable",AND(Table13[[#This Row],[Gender]]="female",R622&lt;40),"Obese",AND(Table13[[#This Row],[Gender]]="male",R622&lt;13),"Athletes",AND(Table13[[#This Row],[Gender]]="male",R622&lt;17),"Fitnesss",AND(Table13[[#This Row],[Gender]]="male",R622&lt;24.9),"Acceptable",AND(Table13[[#This Row],[Gender]]="male",R622&lt;40),"Obese",AND(Table13[[#This Row],[Gender]]="others",R622&lt;20),"Athletes",AND(Table13[[#This Row],[Gender]]="others",R622&lt;24),"Fitnesss",AND(Table13[[#This Row],[Gender]]="others",R622&lt;31),"Acceptable",AND(Table13[[#This Row],[Gender]]="others",R622&lt;40),"Obese")</f>
        <v>Athletes</v>
      </c>
      <c r="R622" s="8">
        <v>14.7</v>
      </c>
      <c r="S622" s="8">
        <v>1.5</v>
      </c>
      <c r="T622" s="8">
        <v>3</v>
      </c>
      <c r="U622" s="8">
        <v>2</v>
      </c>
      <c r="V622" s="8" t="str">
        <f>IF(Table13[[#This Row],[BMI]]&lt;=18.5,"Underweight",IF(Table13[[#This Row],[BMI]]&lt;=24.9,"Normal",IF(Table13[[#This Row],[BMI]]&lt;=29.9,"Overweight",IF(Table13[[#This Row],[BMI]]&lt;=39,"Obese","Severly Obese"))))</f>
        <v>Underweight</v>
      </c>
      <c r="W622" s="18">
        <v>15.66</v>
      </c>
    </row>
    <row r="623" spans="6:23" x14ac:dyDescent="0.3">
      <c r="F623" s="17">
        <v>48</v>
      </c>
      <c r="G623" s="8" t="str">
        <f>IF(Table13[[#This Row],[Age]]&lt;25,"18-24",IF(Table13[[#This Row],[Age]]&lt;35,"25-34",IF(Table13[[#This Row],[Age]]&lt;45,"35-44",IF(Table13[[#This Row],[Age]]&lt;55,"45-54","55-64"))))</f>
        <v>45-54</v>
      </c>
      <c r="H623" s="8" t="s">
        <v>17</v>
      </c>
      <c r="I623" s="8">
        <v>49.3</v>
      </c>
      <c r="J623" s="8">
        <v>1.74</v>
      </c>
      <c r="K623" s="8">
        <v>179</v>
      </c>
      <c r="L623" s="8">
        <v>142</v>
      </c>
      <c r="M623" s="8">
        <v>74</v>
      </c>
      <c r="N623" s="8">
        <v>1.31</v>
      </c>
      <c r="O623" s="8">
        <v>723</v>
      </c>
      <c r="P623" s="8" t="s">
        <v>21</v>
      </c>
      <c r="Q623" s="8" t="str">
        <f>_xlfn.IFS(AND(Table13[[#This Row],[Gender]]="female",R623&lt;20),"Athletes",AND(Table13[[#This Row],[Gender]]="female",R623&lt;24),"Fitnesss",AND(Table13[[#This Row],[Gender]]="female",R623&lt;31),"Acceptable",AND(Table13[[#This Row],[Gender]]="female",R623&lt;40),"Obese",AND(Table13[[#This Row],[Gender]]="male",R623&lt;13),"Athletes",AND(Table13[[#This Row],[Gender]]="male",R623&lt;17),"Fitnesss",AND(Table13[[#This Row],[Gender]]="male",R623&lt;24.9),"Acceptable",AND(Table13[[#This Row],[Gender]]="male",R623&lt;40),"Obese",AND(Table13[[#This Row],[Gender]]="others",R623&lt;20),"Athletes",AND(Table13[[#This Row],[Gender]]="others",R623&lt;24),"Fitnesss",AND(Table13[[#This Row],[Gender]]="others",R623&lt;31),"Acceptable",AND(Table13[[#This Row],[Gender]]="others",R623&lt;40),"Obese")</f>
        <v>Athletes</v>
      </c>
      <c r="R623" s="8">
        <v>19.2</v>
      </c>
      <c r="S623" s="8">
        <v>3.5</v>
      </c>
      <c r="T623" s="8">
        <v>4</v>
      </c>
      <c r="U623" s="8">
        <v>3</v>
      </c>
      <c r="V623" s="8" t="str">
        <f>IF(Table13[[#This Row],[BMI]]&lt;=18.5,"Underweight",IF(Table13[[#This Row],[BMI]]&lt;=24.9,"Normal",IF(Table13[[#This Row],[BMI]]&lt;=29.9,"Overweight",IF(Table13[[#This Row],[BMI]]&lt;=39,"Obese","Severly Obese"))))</f>
        <v>Normal</v>
      </c>
      <c r="W623" s="18">
        <v>19.2</v>
      </c>
    </row>
    <row r="624" spans="6:23" x14ac:dyDescent="0.3">
      <c r="F624" s="17">
        <v>18</v>
      </c>
      <c r="G624" s="8" t="str">
        <f>IF(Table13[[#This Row],[Age]]&lt;25,"18-24",IF(Table13[[#This Row],[Age]]&lt;35,"25-34",IF(Table13[[#This Row],[Age]]&lt;45,"35-44",IF(Table13[[#This Row],[Age]]&lt;55,"45-54","55-64"))))</f>
        <v>18-24</v>
      </c>
      <c r="H624" s="8" t="s">
        <v>19</v>
      </c>
      <c r="I624" s="8">
        <v>41.6</v>
      </c>
      <c r="J624" s="8">
        <v>1.85</v>
      </c>
      <c r="K624" s="8">
        <v>181</v>
      </c>
      <c r="L624" s="8">
        <v>169</v>
      </c>
      <c r="M624" s="8">
        <v>52</v>
      </c>
      <c r="N624" s="8">
        <v>2</v>
      </c>
      <c r="O624" s="8">
        <v>1130</v>
      </c>
      <c r="P624" s="8" t="s">
        <v>22</v>
      </c>
      <c r="Q624" s="8" t="str">
        <f>_xlfn.IFS(AND(Table13[[#This Row],[Gender]]="female",R624&lt;20),"Athletes",AND(Table13[[#This Row],[Gender]]="female",R624&lt;24),"Fitnesss",AND(Table13[[#This Row],[Gender]]="female",R624&lt;31),"Acceptable",AND(Table13[[#This Row],[Gender]]="female",R624&lt;40),"Obese",AND(Table13[[#This Row],[Gender]]="male",R624&lt;13),"Athletes",AND(Table13[[#This Row],[Gender]]="male",R624&lt;17),"Fitnesss",AND(Table13[[#This Row],[Gender]]="male",R624&lt;24.9),"Acceptable",AND(Table13[[#This Row],[Gender]]="male",R624&lt;40),"Obese",AND(Table13[[#This Row],[Gender]]="others",R624&lt;20),"Athletes",AND(Table13[[#This Row],[Gender]]="others",R624&lt;24),"Fitnesss",AND(Table13[[#This Row],[Gender]]="others",R624&lt;31),"Acceptable",AND(Table13[[#This Row],[Gender]]="others",R624&lt;40),"Obese")</f>
        <v>Fitnesss</v>
      </c>
      <c r="R624" s="8">
        <v>14.5</v>
      </c>
      <c r="S624" s="8">
        <v>3.4</v>
      </c>
      <c r="T624" s="8">
        <v>5</v>
      </c>
      <c r="U624" s="8">
        <v>3</v>
      </c>
      <c r="V624" s="8" t="str">
        <f>IF(Table13[[#This Row],[BMI]]&lt;=18.5,"Underweight",IF(Table13[[#This Row],[BMI]]&lt;=24.9,"Normal",IF(Table13[[#This Row],[BMI]]&lt;=29.9,"Overweight",IF(Table13[[#This Row],[BMI]]&lt;=39,"Obese","Severly Obese"))))</f>
        <v>Underweight</v>
      </c>
      <c r="W624" s="18">
        <v>12.32</v>
      </c>
    </row>
    <row r="625" spans="6:23" x14ac:dyDescent="0.3">
      <c r="F625" s="17">
        <v>33</v>
      </c>
      <c r="G625" s="8" t="str">
        <f>IF(Table13[[#This Row],[Age]]&lt;25,"18-24",IF(Table13[[#This Row],[Age]]&lt;35,"25-34",IF(Table13[[#This Row],[Age]]&lt;45,"35-44",IF(Table13[[#This Row],[Age]]&lt;55,"45-54","55-64"))))</f>
        <v>25-34</v>
      </c>
      <c r="H625" s="8" t="s">
        <v>19</v>
      </c>
      <c r="I625" s="8">
        <v>65.599999999999994</v>
      </c>
      <c r="J625" s="8">
        <v>1.87</v>
      </c>
      <c r="K625" s="8">
        <v>189</v>
      </c>
      <c r="L625" s="8">
        <v>168</v>
      </c>
      <c r="M625" s="8">
        <v>56</v>
      </c>
      <c r="N625" s="8">
        <v>1.1599999999999999</v>
      </c>
      <c r="O625" s="8">
        <v>1437</v>
      </c>
      <c r="P625" s="8" t="s">
        <v>22</v>
      </c>
      <c r="Q625" s="8" t="str">
        <f>_xlfn.IFS(AND(Table13[[#This Row],[Gender]]="female",R625&lt;20),"Athletes",AND(Table13[[#This Row],[Gender]]="female",R625&lt;24),"Fitnesss",AND(Table13[[#This Row],[Gender]]="female",R625&lt;31),"Acceptable",AND(Table13[[#This Row],[Gender]]="female",R625&lt;40),"Obese",AND(Table13[[#This Row],[Gender]]="male",R625&lt;13),"Athletes",AND(Table13[[#This Row],[Gender]]="male",R625&lt;17),"Fitnesss",AND(Table13[[#This Row],[Gender]]="male",R625&lt;24.9),"Acceptable",AND(Table13[[#This Row],[Gender]]="male",R625&lt;40),"Obese",AND(Table13[[#This Row],[Gender]]="others",R625&lt;20),"Athletes",AND(Table13[[#This Row],[Gender]]="others",R625&lt;24),"Fitnesss",AND(Table13[[#This Row],[Gender]]="others",R625&lt;31),"Acceptable",AND(Table13[[#This Row],[Gender]]="others",R625&lt;40),"Obese")</f>
        <v>Fitnesss</v>
      </c>
      <c r="R625" s="8">
        <v>16.3</v>
      </c>
      <c r="S625" s="8">
        <v>3.5</v>
      </c>
      <c r="T625" s="8">
        <v>2</v>
      </c>
      <c r="U625" s="8">
        <v>1</v>
      </c>
      <c r="V625" s="8" t="str">
        <f>IF(Table13[[#This Row],[BMI]]&lt;=18.5,"Underweight",IF(Table13[[#This Row],[BMI]]&lt;=24.9,"Normal",IF(Table13[[#This Row],[BMI]]&lt;=29.9,"Overweight",IF(Table13[[#This Row],[BMI]]&lt;=39,"Obese","Severly Obese"))))</f>
        <v>Underweight</v>
      </c>
      <c r="W625" s="18">
        <v>17.53</v>
      </c>
    </row>
    <row r="626" spans="6:23" x14ac:dyDescent="0.3">
      <c r="F626" s="17">
        <v>35</v>
      </c>
      <c r="G626" s="8" t="str">
        <f>IF(Table13[[#This Row],[Age]]&lt;25,"18-24",IF(Table13[[#This Row],[Age]]&lt;35,"25-34",IF(Table13[[#This Row],[Age]]&lt;45,"35-44",IF(Table13[[#This Row],[Age]]&lt;55,"45-54","55-64"))))</f>
        <v>35-44</v>
      </c>
      <c r="H626" s="8" t="s">
        <v>17</v>
      </c>
      <c r="I626" s="8">
        <v>47.5</v>
      </c>
      <c r="J626" s="8">
        <v>1.81</v>
      </c>
      <c r="K626" s="8"/>
      <c r="L626" s="8">
        <v>124</v>
      </c>
      <c r="M626" s="8">
        <v>69</v>
      </c>
      <c r="N626" s="8">
        <v>1.78</v>
      </c>
      <c r="O626" s="8">
        <v>533</v>
      </c>
      <c r="P626" s="8" t="s">
        <v>22</v>
      </c>
      <c r="Q626" s="8" t="str">
        <f>_xlfn.IFS(AND(Table13[[#This Row],[Gender]]="female",R626&lt;20),"Athletes",AND(Table13[[#This Row],[Gender]]="female",R626&lt;24),"Fitnesss",AND(Table13[[#This Row],[Gender]]="female",R626&lt;31),"Acceptable",AND(Table13[[#This Row],[Gender]]="female",R626&lt;40),"Obese",AND(Table13[[#This Row],[Gender]]="male",R626&lt;13),"Athletes",AND(Table13[[#This Row],[Gender]]="male",R626&lt;17),"Fitnesss",AND(Table13[[#This Row],[Gender]]="male",R626&lt;24.9),"Acceptable",AND(Table13[[#This Row],[Gender]]="male",R626&lt;40),"Obese",AND(Table13[[#This Row],[Gender]]="others",R626&lt;20),"Athletes",AND(Table13[[#This Row],[Gender]]="others",R626&lt;24),"Fitnesss",AND(Table13[[#This Row],[Gender]]="others",R626&lt;31),"Acceptable",AND(Table13[[#This Row],[Gender]]="others",R626&lt;40),"Obese")</f>
        <v>Acceptable</v>
      </c>
      <c r="R626" s="8">
        <v>26.4</v>
      </c>
      <c r="S626" s="8">
        <v>3.2</v>
      </c>
      <c r="T626" s="8">
        <v>3</v>
      </c>
      <c r="U626" s="8">
        <v>2</v>
      </c>
      <c r="V626" s="8" t="str">
        <f>IF(Table13[[#This Row],[BMI]]&lt;=18.5,"Underweight",IF(Table13[[#This Row],[BMI]]&lt;=24.9,"Normal",IF(Table13[[#This Row],[BMI]]&lt;=29.9,"Overweight",IF(Table13[[#This Row],[BMI]]&lt;=39,"Obese","Severly Obese"))))</f>
        <v>Overweight</v>
      </c>
      <c r="W626" s="18">
        <v>26.59</v>
      </c>
    </row>
    <row r="627" spans="6:23" x14ac:dyDescent="0.3">
      <c r="F627" s="17">
        <v>19</v>
      </c>
      <c r="G627" s="8" t="str">
        <f>IF(Table13[[#This Row],[Age]]&lt;25,"18-24",IF(Table13[[#This Row],[Age]]&lt;35,"25-34",IF(Table13[[#This Row],[Age]]&lt;45,"35-44",IF(Table13[[#This Row],[Age]]&lt;55,"45-54","55-64"))))</f>
        <v>18-24</v>
      </c>
      <c r="H627" s="8" t="s">
        <v>23</v>
      </c>
      <c r="I627" s="8">
        <v>86.3</v>
      </c>
      <c r="J627" s="8">
        <v>1.89</v>
      </c>
      <c r="K627" s="8">
        <v>164</v>
      </c>
      <c r="L627" s="8">
        <v>131</v>
      </c>
      <c r="M627" s="8">
        <v>74</v>
      </c>
      <c r="N627" s="8">
        <v>0.97</v>
      </c>
      <c r="O627" s="8">
        <v>1175</v>
      </c>
      <c r="P627" s="8" t="s">
        <v>21</v>
      </c>
      <c r="Q627" s="8" t="str">
        <f>_xlfn.IFS(AND(Table13[[#This Row],[Gender]]="female",R627&lt;20),"Athletes",AND(Table13[[#This Row],[Gender]]="female",R627&lt;24),"Fitnesss",AND(Table13[[#This Row],[Gender]]="female",R627&lt;31),"Acceptable",AND(Table13[[#This Row],[Gender]]="female",R627&lt;40),"Obese",AND(Table13[[#This Row],[Gender]]="male",R627&lt;13),"Athletes",AND(Table13[[#This Row],[Gender]]="male",R627&lt;17),"Fitnesss",AND(Table13[[#This Row],[Gender]]="male",R627&lt;24.9),"Acceptable",AND(Table13[[#This Row],[Gender]]="male",R627&lt;40),"Obese",AND(Table13[[#This Row],[Gender]]="others",R627&lt;20),"Athletes",AND(Table13[[#This Row],[Gender]]="others",R627&lt;24),"Fitnesss",AND(Table13[[#This Row],[Gender]]="others",R627&lt;31),"Acceptable",AND(Table13[[#This Row],[Gender]]="others",R627&lt;40),"Obese")</f>
        <v>Athletes</v>
      </c>
      <c r="R627" s="8">
        <v>19.5</v>
      </c>
      <c r="S627" s="8">
        <v>2.4</v>
      </c>
      <c r="T627" s="8"/>
      <c r="U627" s="8">
        <v>2</v>
      </c>
      <c r="V627" s="8" t="str">
        <f>IF(Table13[[#This Row],[BMI]]&lt;=18.5,"Underweight",IF(Table13[[#This Row],[BMI]]&lt;=24.9,"Normal",IF(Table13[[#This Row],[BMI]]&lt;=29.9,"Overweight",IF(Table13[[#This Row],[BMI]]&lt;=39,"Obese","Severly Obese"))))</f>
        <v>Overweight</v>
      </c>
      <c r="W627" s="18">
        <v>28.62</v>
      </c>
    </row>
    <row r="628" spans="6:23" x14ac:dyDescent="0.3">
      <c r="F628" s="17">
        <v>43</v>
      </c>
      <c r="G628" s="8" t="str">
        <f>IF(Table13[[#This Row],[Age]]&lt;25,"18-24",IF(Table13[[#This Row],[Age]]&lt;35,"25-34",IF(Table13[[#This Row],[Age]]&lt;45,"35-44",IF(Table13[[#This Row],[Age]]&lt;55,"45-54","55-64"))))</f>
        <v>35-44</v>
      </c>
      <c r="H628" s="8" t="s">
        <v>17</v>
      </c>
      <c r="I628" s="8">
        <v>73.599999999999994</v>
      </c>
      <c r="J628" s="8">
        <v>1.79</v>
      </c>
      <c r="K628" s="8">
        <v>170</v>
      </c>
      <c r="L628" s="8">
        <v>169</v>
      </c>
      <c r="M628" s="8">
        <v>72</v>
      </c>
      <c r="N628" s="8">
        <v>1.1599999999999999</v>
      </c>
      <c r="O628" s="8">
        <v>1408</v>
      </c>
      <c r="P628" s="8" t="s">
        <v>18</v>
      </c>
      <c r="Q628" s="8" t="str">
        <f>_xlfn.IFS(AND(Table13[[#This Row],[Gender]]="female",R628&lt;20),"Athletes",AND(Table13[[#This Row],[Gender]]="female",R628&lt;24),"Fitnesss",AND(Table13[[#This Row],[Gender]]="female",R628&lt;31),"Acceptable",AND(Table13[[#This Row],[Gender]]="female",R628&lt;40),"Obese",AND(Table13[[#This Row],[Gender]]="male",R628&lt;13),"Athletes",AND(Table13[[#This Row],[Gender]]="male",R628&lt;17),"Fitnesss",AND(Table13[[#This Row],[Gender]]="male",R628&lt;24.9),"Acceptable",AND(Table13[[#This Row],[Gender]]="male",R628&lt;40),"Obese",AND(Table13[[#This Row],[Gender]]="others",R628&lt;20),"Athletes",AND(Table13[[#This Row],[Gender]]="others",R628&lt;24),"Fitnesss",AND(Table13[[#This Row],[Gender]]="others",R628&lt;31),"Acceptable",AND(Table13[[#This Row],[Gender]]="others",R628&lt;40),"Obese")</f>
        <v>Athletes</v>
      </c>
      <c r="R628" s="8">
        <v>17.399999999999999</v>
      </c>
      <c r="S628" s="8">
        <v>1.5</v>
      </c>
      <c r="T628" s="8">
        <v>4</v>
      </c>
      <c r="U628" s="8">
        <v>1</v>
      </c>
      <c r="V628" s="8" t="str">
        <f>IF(Table13[[#This Row],[BMI]]&lt;=18.5,"Underweight",IF(Table13[[#This Row],[BMI]]&lt;=24.9,"Normal",IF(Table13[[#This Row],[BMI]]&lt;=29.9,"Overweight",IF(Table13[[#This Row],[BMI]]&lt;=39,"Obese","Severly Obese"))))</f>
        <v>Underweight</v>
      </c>
      <c r="W628" s="18">
        <v>14.69</v>
      </c>
    </row>
    <row r="629" spans="6:23" x14ac:dyDescent="0.3">
      <c r="F629" s="17">
        <v>48</v>
      </c>
      <c r="G629" s="8" t="str">
        <f>IF(Table13[[#This Row],[Age]]&lt;25,"18-24",IF(Table13[[#This Row],[Age]]&lt;35,"25-34",IF(Table13[[#This Row],[Age]]&lt;45,"35-44",IF(Table13[[#This Row],[Age]]&lt;55,"45-54","55-64"))))</f>
        <v>45-54</v>
      </c>
      <c r="H629" s="8" t="s">
        <v>23</v>
      </c>
      <c r="I629" s="8">
        <v>40</v>
      </c>
      <c r="J629" s="8">
        <v>2</v>
      </c>
      <c r="K629" s="8">
        <v>194</v>
      </c>
      <c r="L629" s="8">
        <v>159</v>
      </c>
      <c r="M629" s="8">
        <v>70</v>
      </c>
      <c r="N629" s="8">
        <v>1.48</v>
      </c>
      <c r="O629" s="8">
        <v>419</v>
      </c>
      <c r="P629" s="8" t="s">
        <v>20</v>
      </c>
      <c r="Q629" s="8" t="str">
        <f>_xlfn.IFS(AND(Table13[[#This Row],[Gender]]="female",R629&lt;20),"Athletes",AND(Table13[[#This Row],[Gender]]="female",R629&lt;24),"Fitnesss",AND(Table13[[#This Row],[Gender]]="female",R629&lt;31),"Acceptable",AND(Table13[[#This Row],[Gender]]="female",R629&lt;40),"Obese",AND(Table13[[#This Row],[Gender]]="male",R629&lt;13),"Athletes",AND(Table13[[#This Row],[Gender]]="male",R629&lt;17),"Fitnesss",AND(Table13[[#This Row],[Gender]]="male",R629&lt;24.9),"Acceptable",AND(Table13[[#This Row],[Gender]]="male",R629&lt;40),"Obese",AND(Table13[[#This Row],[Gender]]="others",R629&lt;20),"Athletes",AND(Table13[[#This Row],[Gender]]="others",R629&lt;24),"Fitnesss",AND(Table13[[#This Row],[Gender]]="others",R629&lt;31),"Acceptable",AND(Table13[[#This Row],[Gender]]="others",R629&lt;40),"Obese")</f>
        <v>Athletes</v>
      </c>
      <c r="R629" s="8">
        <v>13.5</v>
      </c>
      <c r="S629" s="8">
        <v>2.5</v>
      </c>
      <c r="T629" s="8">
        <v>4</v>
      </c>
      <c r="U629" s="8">
        <v>2</v>
      </c>
      <c r="V629" s="8" t="str">
        <f>IF(Table13[[#This Row],[BMI]]&lt;=18.5,"Underweight",IF(Table13[[#This Row],[BMI]]&lt;=24.9,"Normal",IF(Table13[[#This Row],[BMI]]&lt;=29.9,"Overweight",IF(Table13[[#This Row],[BMI]]&lt;=39,"Obese","Severly Obese"))))</f>
        <v>Normal</v>
      </c>
      <c r="W629" s="18">
        <v>21.29</v>
      </c>
    </row>
    <row r="630" spans="6:23" x14ac:dyDescent="0.3">
      <c r="F630" s="17">
        <v>49</v>
      </c>
      <c r="G630" s="8" t="str">
        <f>IF(Table13[[#This Row],[Age]]&lt;25,"18-24",IF(Table13[[#This Row],[Age]]&lt;35,"25-34",IF(Table13[[#This Row],[Age]]&lt;45,"35-44",IF(Table13[[#This Row],[Age]]&lt;55,"45-54","55-64"))))</f>
        <v>45-54</v>
      </c>
      <c r="H630" s="8" t="s">
        <v>17</v>
      </c>
      <c r="I630" s="8">
        <v>56</v>
      </c>
      <c r="J630" s="8">
        <v>1.6</v>
      </c>
      <c r="K630" s="8">
        <v>183</v>
      </c>
      <c r="L630" s="8">
        <v>169</v>
      </c>
      <c r="M630" s="8">
        <v>66</v>
      </c>
      <c r="N630" s="8">
        <v>0.98</v>
      </c>
      <c r="O630" s="8">
        <v>1263</v>
      </c>
      <c r="P630" s="8" t="s">
        <v>18</v>
      </c>
      <c r="Q630" s="8" t="str">
        <f>_xlfn.IFS(AND(Table13[[#This Row],[Gender]]="female",R630&lt;20),"Athletes",AND(Table13[[#This Row],[Gender]]="female",R630&lt;24),"Fitnesss",AND(Table13[[#This Row],[Gender]]="female",R630&lt;31),"Acceptable",AND(Table13[[#This Row],[Gender]]="female",R630&lt;40),"Obese",AND(Table13[[#This Row],[Gender]]="male",R630&lt;13),"Athletes",AND(Table13[[#This Row],[Gender]]="male",R630&lt;17),"Fitnesss",AND(Table13[[#This Row],[Gender]]="male",R630&lt;24.9),"Acceptable",AND(Table13[[#This Row],[Gender]]="male",R630&lt;40),"Obese",AND(Table13[[#This Row],[Gender]]="others",R630&lt;20),"Athletes",AND(Table13[[#This Row],[Gender]]="others",R630&lt;24),"Fitnesss",AND(Table13[[#This Row],[Gender]]="others",R630&lt;31),"Acceptable",AND(Table13[[#This Row],[Gender]]="others",R630&lt;40),"Obese")</f>
        <v>Acceptable</v>
      </c>
      <c r="R630" s="8">
        <v>27.9</v>
      </c>
      <c r="S630" s="8">
        <v>1.7</v>
      </c>
      <c r="T630" s="8">
        <v>5</v>
      </c>
      <c r="U630" s="8">
        <v>1</v>
      </c>
      <c r="V630" s="8" t="str">
        <f>IF(Table13[[#This Row],[BMI]]&lt;=18.5,"Underweight",IF(Table13[[#This Row],[BMI]]&lt;=24.9,"Normal",IF(Table13[[#This Row],[BMI]]&lt;=29.9,"Overweight",IF(Table13[[#This Row],[BMI]]&lt;=39,"Obese","Severly Obese"))))</f>
        <v>Normal</v>
      </c>
      <c r="W630" s="18">
        <v>20.47</v>
      </c>
    </row>
    <row r="631" spans="6:23" x14ac:dyDescent="0.3">
      <c r="F631" s="17">
        <v>48</v>
      </c>
      <c r="G631" s="8" t="str">
        <f>IF(Table13[[#This Row],[Age]]&lt;25,"18-24",IF(Table13[[#This Row],[Age]]&lt;35,"25-34",IF(Table13[[#This Row],[Age]]&lt;45,"35-44",IF(Table13[[#This Row],[Age]]&lt;55,"45-54","55-64"))))</f>
        <v>45-54</v>
      </c>
      <c r="H631" s="8" t="s">
        <v>17</v>
      </c>
      <c r="I631" s="8">
        <v>40</v>
      </c>
      <c r="J631" s="8">
        <v>1.66</v>
      </c>
      <c r="K631" s="8">
        <v>189</v>
      </c>
      <c r="L631" s="8">
        <v>120</v>
      </c>
      <c r="M631" s="8">
        <v>74</v>
      </c>
      <c r="N631" s="8">
        <v>1.36</v>
      </c>
      <c r="O631" s="8">
        <v>614</v>
      </c>
      <c r="P631" s="8" t="s">
        <v>20</v>
      </c>
      <c r="Q631" s="8" t="str">
        <f>_xlfn.IFS(AND(Table13[[#This Row],[Gender]]="female",R631&lt;20),"Athletes",AND(Table13[[#This Row],[Gender]]="female",R631&lt;24),"Fitnesss",AND(Table13[[#This Row],[Gender]]="female",R631&lt;31),"Acceptable",AND(Table13[[#This Row],[Gender]]="female",R631&lt;40),"Obese",AND(Table13[[#This Row],[Gender]]="male",R631&lt;13),"Athletes",AND(Table13[[#This Row],[Gender]]="male",R631&lt;17),"Fitnesss",AND(Table13[[#This Row],[Gender]]="male",R631&lt;24.9),"Acceptable",AND(Table13[[#This Row],[Gender]]="male",R631&lt;40),"Obese",AND(Table13[[#This Row],[Gender]]="others",R631&lt;20),"Athletes",AND(Table13[[#This Row],[Gender]]="others",R631&lt;24),"Fitnesss",AND(Table13[[#This Row],[Gender]]="others",R631&lt;31),"Acceptable",AND(Table13[[#This Row],[Gender]]="others",R631&lt;40),"Obese")</f>
        <v>Athletes</v>
      </c>
      <c r="R631" s="8">
        <v>14.8</v>
      </c>
      <c r="S631" s="8">
        <v>2.1</v>
      </c>
      <c r="T631" s="8">
        <v>3</v>
      </c>
      <c r="U631" s="8">
        <v>1</v>
      </c>
      <c r="V631" s="8" t="str">
        <f>IF(Table13[[#This Row],[BMI]]&lt;=18.5,"Underweight",IF(Table13[[#This Row],[BMI]]&lt;=24.9,"Normal",IF(Table13[[#This Row],[BMI]]&lt;=29.9,"Overweight",IF(Table13[[#This Row],[BMI]]&lt;=39,"Obese","Severly Obese"))))</f>
        <v>Underweight</v>
      </c>
      <c r="W631" s="18">
        <v>12.32</v>
      </c>
    </row>
    <row r="632" spans="6:23" x14ac:dyDescent="0.3">
      <c r="F632" s="17">
        <v>44</v>
      </c>
      <c r="G632" s="8" t="str">
        <f>IF(Table13[[#This Row],[Age]]&lt;25,"18-24",IF(Table13[[#This Row],[Age]]&lt;35,"25-34",IF(Table13[[#This Row],[Age]]&lt;45,"35-44",IF(Table13[[#This Row],[Age]]&lt;55,"45-54","55-64"))))</f>
        <v>35-44</v>
      </c>
      <c r="H632" s="8" t="s">
        <v>17</v>
      </c>
      <c r="I632" s="8">
        <v>88.2</v>
      </c>
      <c r="J632" s="8">
        <v>1.88</v>
      </c>
      <c r="K632" s="8">
        <v>192</v>
      </c>
      <c r="L632" s="8">
        <v>169</v>
      </c>
      <c r="M632" s="8">
        <v>51</v>
      </c>
      <c r="N632" s="8">
        <v>2</v>
      </c>
      <c r="O632" s="8">
        <v>1783</v>
      </c>
      <c r="P632" s="8" t="s">
        <v>21</v>
      </c>
      <c r="Q632" s="8" t="str">
        <f>_xlfn.IFS(AND(Table13[[#This Row],[Gender]]="female",R632&lt;20),"Athletes",AND(Table13[[#This Row],[Gender]]="female",R632&lt;24),"Fitnesss",AND(Table13[[#This Row],[Gender]]="female",R632&lt;31),"Acceptable",AND(Table13[[#This Row],[Gender]]="female",R632&lt;40),"Obese",AND(Table13[[#This Row],[Gender]]="male",R632&lt;13),"Athletes",AND(Table13[[#This Row],[Gender]]="male",R632&lt;17),"Fitnesss",AND(Table13[[#This Row],[Gender]]="male",R632&lt;24.9),"Acceptable",AND(Table13[[#This Row],[Gender]]="male",R632&lt;40),"Obese",AND(Table13[[#This Row],[Gender]]="others",R632&lt;20),"Athletes",AND(Table13[[#This Row],[Gender]]="others",R632&lt;24),"Fitnesss",AND(Table13[[#This Row],[Gender]]="others",R632&lt;31),"Acceptable",AND(Table13[[#This Row],[Gender]]="others",R632&lt;40),"Obese")</f>
        <v>Acceptable</v>
      </c>
      <c r="R632" s="8">
        <v>28.5</v>
      </c>
      <c r="S632" s="8">
        <v>1.9</v>
      </c>
      <c r="T632" s="8">
        <v>4</v>
      </c>
      <c r="U632" s="8">
        <v>2</v>
      </c>
      <c r="V632" s="8" t="str">
        <f>IF(Table13[[#This Row],[BMI]]&lt;=18.5,"Underweight",IF(Table13[[#This Row],[BMI]]&lt;=24.9,"Normal",IF(Table13[[#This Row],[BMI]]&lt;=29.9,"Overweight",IF(Table13[[#This Row],[BMI]]&lt;=39,"Obese","Severly Obese"))))</f>
        <v>Underweight</v>
      </c>
      <c r="W632" s="18">
        <v>12.32</v>
      </c>
    </row>
    <row r="633" spans="6:23" x14ac:dyDescent="0.3">
      <c r="F633" s="17">
        <v>27</v>
      </c>
      <c r="G633" s="8" t="str">
        <f>IF(Table13[[#This Row],[Age]]&lt;25,"18-24",IF(Table13[[#This Row],[Age]]&lt;35,"25-34",IF(Table13[[#This Row],[Age]]&lt;45,"35-44",IF(Table13[[#This Row],[Age]]&lt;55,"45-54","55-64"))))</f>
        <v>25-34</v>
      </c>
      <c r="H633" s="8" t="s">
        <v>17</v>
      </c>
      <c r="I633" s="8">
        <v>55.8</v>
      </c>
      <c r="J633" s="8">
        <v>1.67</v>
      </c>
      <c r="K633" s="8">
        <v>192</v>
      </c>
      <c r="L633" s="8">
        <v>167</v>
      </c>
      <c r="M633" s="8">
        <v>74</v>
      </c>
      <c r="N633" s="8">
        <v>2</v>
      </c>
      <c r="O633" s="8">
        <v>642</v>
      </c>
      <c r="P633" s="8" t="s">
        <v>22</v>
      </c>
      <c r="Q633" s="8" t="str">
        <f>_xlfn.IFS(AND(Table13[[#This Row],[Gender]]="female",R633&lt;20),"Athletes",AND(Table13[[#This Row],[Gender]]="female",R633&lt;24),"Fitnesss",AND(Table13[[#This Row],[Gender]]="female",R633&lt;31),"Acceptable",AND(Table13[[#This Row],[Gender]]="female",R633&lt;40),"Obese",AND(Table13[[#This Row],[Gender]]="male",R633&lt;13),"Athletes",AND(Table13[[#This Row],[Gender]]="male",R633&lt;17),"Fitnesss",AND(Table13[[#This Row],[Gender]]="male",R633&lt;24.9),"Acceptable",AND(Table13[[#This Row],[Gender]]="male",R633&lt;40),"Obese",AND(Table13[[#This Row],[Gender]]="others",R633&lt;20),"Athletes",AND(Table13[[#This Row],[Gender]]="others",R633&lt;24),"Fitnesss",AND(Table13[[#This Row],[Gender]]="others",R633&lt;31),"Acceptable",AND(Table13[[#This Row],[Gender]]="others",R633&lt;40),"Obese")</f>
        <v>Acceptable</v>
      </c>
      <c r="R633" s="8">
        <v>28.8</v>
      </c>
      <c r="S633" s="8">
        <v>3.4</v>
      </c>
      <c r="T633" s="8">
        <v>3</v>
      </c>
      <c r="U633" s="8">
        <v>2</v>
      </c>
      <c r="V633" s="8" t="str">
        <f>IF(Table13[[#This Row],[BMI]]&lt;=18.5,"Underweight",IF(Table13[[#This Row],[BMI]]&lt;=24.9,"Normal",IF(Table13[[#This Row],[BMI]]&lt;=29.9,"Overweight",IF(Table13[[#This Row],[BMI]]&lt;=39,"Obese","Severly Obese"))))</f>
        <v>Overweight</v>
      </c>
      <c r="W633" s="18">
        <v>28.68</v>
      </c>
    </row>
    <row r="634" spans="6:23" x14ac:dyDescent="0.3">
      <c r="F634" s="17">
        <v>41</v>
      </c>
      <c r="G634" s="8" t="str">
        <f>IF(Table13[[#This Row],[Age]]&lt;25,"18-24",IF(Table13[[#This Row],[Age]]&lt;35,"25-34",IF(Table13[[#This Row],[Age]]&lt;45,"35-44",IF(Table13[[#This Row],[Age]]&lt;55,"45-54","55-64"))))</f>
        <v>35-44</v>
      </c>
      <c r="H634" s="8" t="s">
        <v>19</v>
      </c>
      <c r="I634" s="8">
        <v>73.2</v>
      </c>
      <c r="J634" s="8">
        <v>1.75</v>
      </c>
      <c r="K634" s="8">
        <v>190</v>
      </c>
      <c r="L634" s="8">
        <v>137</v>
      </c>
      <c r="M634" s="8">
        <v>58</v>
      </c>
      <c r="N634" s="8">
        <v>1.24</v>
      </c>
      <c r="O634" s="8">
        <v>1048</v>
      </c>
      <c r="P634" s="8" t="s">
        <v>18</v>
      </c>
      <c r="Q634" s="8" t="str">
        <f>_xlfn.IFS(AND(Table13[[#This Row],[Gender]]="female",R634&lt;20),"Athletes",AND(Table13[[#This Row],[Gender]]="female",R634&lt;24),"Fitnesss",AND(Table13[[#This Row],[Gender]]="female",R634&lt;31),"Acceptable",AND(Table13[[#This Row],[Gender]]="female",R634&lt;40),"Obese",AND(Table13[[#This Row],[Gender]]="male",R634&lt;13),"Athletes",AND(Table13[[#This Row],[Gender]]="male",R634&lt;17),"Fitnesss",AND(Table13[[#This Row],[Gender]]="male",R634&lt;24.9),"Acceptable",AND(Table13[[#This Row],[Gender]]="male",R634&lt;40),"Obese",AND(Table13[[#This Row],[Gender]]="others",R634&lt;20),"Athletes",AND(Table13[[#This Row],[Gender]]="others",R634&lt;24),"Fitnesss",AND(Table13[[#This Row],[Gender]]="others",R634&lt;31),"Acceptable",AND(Table13[[#This Row],[Gender]]="others",R634&lt;40),"Obese")</f>
        <v>Obese</v>
      </c>
      <c r="R634" s="8">
        <v>30.4</v>
      </c>
      <c r="S634" s="8">
        <v>3.4</v>
      </c>
      <c r="T634" s="8">
        <v>2</v>
      </c>
      <c r="U634" s="8">
        <v>3</v>
      </c>
      <c r="V634" s="8" t="str">
        <f>IF(Table13[[#This Row],[BMI]]&lt;=18.5,"Underweight",IF(Table13[[#This Row],[BMI]]&lt;=24.9,"Normal",IF(Table13[[#This Row],[BMI]]&lt;=29.9,"Overweight",IF(Table13[[#This Row],[BMI]]&lt;=39,"Obese","Severly Obese"))))</f>
        <v>Normal</v>
      </c>
      <c r="W634" s="18">
        <v>23.65</v>
      </c>
    </row>
    <row r="635" spans="6:23" x14ac:dyDescent="0.3">
      <c r="F635" s="17">
        <v>44</v>
      </c>
      <c r="G635" s="8" t="str">
        <f>IF(Table13[[#This Row],[Age]]&lt;25,"18-24",IF(Table13[[#This Row],[Age]]&lt;35,"25-34",IF(Table13[[#This Row],[Age]]&lt;45,"35-44",IF(Table13[[#This Row],[Age]]&lt;55,"45-54","55-64"))))</f>
        <v>35-44</v>
      </c>
      <c r="H635" s="8" t="s">
        <v>19</v>
      </c>
      <c r="I635" s="8">
        <v>40</v>
      </c>
      <c r="J635" s="8">
        <v>1.72</v>
      </c>
      <c r="K635" s="8">
        <v>179</v>
      </c>
      <c r="L635" s="8">
        <v>124</v>
      </c>
      <c r="M635" s="8">
        <v>74</v>
      </c>
      <c r="N635" s="8">
        <v>0.85</v>
      </c>
      <c r="O635" s="8">
        <v>1043</v>
      </c>
      <c r="P635" s="8" t="s">
        <v>20</v>
      </c>
      <c r="Q635" s="8" t="str">
        <f>_xlfn.IFS(AND(Table13[[#This Row],[Gender]]="female",R635&lt;20),"Athletes",AND(Table13[[#This Row],[Gender]]="female",R635&lt;24),"Fitnesss",AND(Table13[[#This Row],[Gender]]="female",R635&lt;31),"Acceptable",AND(Table13[[#This Row],[Gender]]="female",R635&lt;40),"Obese",AND(Table13[[#This Row],[Gender]]="male",R635&lt;13),"Athletes",AND(Table13[[#This Row],[Gender]]="male",R635&lt;17),"Fitnesss",AND(Table13[[#This Row],[Gender]]="male",R635&lt;24.9),"Acceptable",AND(Table13[[#This Row],[Gender]]="male",R635&lt;40),"Obese",AND(Table13[[#This Row],[Gender]]="others",R635&lt;20),"Athletes",AND(Table13[[#This Row],[Gender]]="others",R635&lt;24),"Fitnesss",AND(Table13[[#This Row],[Gender]]="others",R635&lt;31),"Acceptable",AND(Table13[[#This Row],[Gender]]="others",R635&lt;40),"Obese")</f>
        <v>Acceptable</v>
      </c>
      <c r="R635" s="8">
        <v>22.8</v>
      </c>
      <c r="S635" s="8">
        <v>2.1</v>
      </c>
      <c r="T635" s="8">
        <v>5</v>
      </c>
      <c r="U635" s="8">
        <v>3</v>
      </c>
      <c r="V635" s="8" t="str">
        <f>IF(Table13[[#This Row],[BMI]]&lt;=18.5,"Underweight",IF(Table13[[#This Row],[BMI]]&lt;=24.9,"Normal",IF(Table13[[#This Row],[BMI]]&lt;=29.9,"Overweight",IF(Table13[[#This Row],[BMI]]&lt;=39,"Obese","Severly Obese"))))</f>
        <v>Normal</v>
      </c>
      <c r="W635" s="18">
        <v>20.78</v>
      </c>
    </row>
    <row r="636" spans="6:23" x14ac:dyDescent="0.3">
      <c r="F636" s="17">
        <v>54</v>
      </c>
      <c r="G636" s="8" t="str">
        <f>IF(Table13[[#This Row],[Age]]&lt;25,"18-24",IF(Table13[[#This Row],[Age]]&lt;35,"25-34",IF(Table13[[#This Row],[Age]]&lt;45,"35-44",IF(Table13[[#This Row],[Age]]&lt;55,"45-54","55-64"))))</f>
        <v>45-54</v>
      </c>
      <c r="H636" s="8" t="s">
        <v>19</v>
      </c>
      <c r="I636" s="8">
        <v>58.5</v>
      </c>
      <c r="J636" s="8">
        <v>1.96</v>
      </c>
      <c r="K636" s="8">
        <v>185</v>
      </c>
      <c r="L636" s="8">
        <v>133</v>
      </c>
      <c r="M636" s="8">
        <v>60</v>
      </c>
      <c r="N636" s="8">
        <v>2</v>
      </c>
      <c r="O636" s="8">
        <v>1131</v>
      </c>
      <c r="P636" s="8" t="s">
        <v>22</v>
      </c>
      <c r="Q636" s="8" t="str">
        <f>_xlfn.IFS(AND(Table13[[#This Row],[Gender]]="female",R636&lt;20),"Athletes",AND(Table13[[#This Row],[Gender]]="female",R636&lt;24),"Fitnesss",AND(Table13[[#This Row],[Gender]]="female",R636&lt;31),"Acceptable",AND(Table13[[#This Row],[Gender]]="female",R636&lt;40),"Obese",AND(Table13[[#This Row],[Gender]]="male",R636&lt;13),"Athletes",AND(Table13[[#This Row],[Gender]]="male",R636&lt;17),"Fitnesss",AND(Table13[[#This Row],[Gender]]="male",R636&lt;24.9),"Acceptable",AND(Table13[[#This Row],[Gender]]="male",R636&lt;40),"Obese",AND(Table13[[#This Row],[Gender]]="others",R636&lt;20),"Athletes",AND(Table13[[#This Row],[Gender]]="others",R636&lt;24),"Fitnesss",AND(Table13[[#This Row],[Gender]]="others",R636&lt;31),"Acceptable",AND(Table13[[#This Row],[Gender]]="others",R636&lt;40),"Obese")</f>
        <v>Fitnesss</v>
      </c>
      <c r="R636" s="8">
        <v>13.1</v>
      </c>
      <c r="S636" s="8">
        <v>2.5</v>
      </c>
      <c r="T636" s="8">
        <v>3</v>
      </c>
      <c r="U636" s="8">
        <v>1</v>
      </c>
      <c r="V636" s="8" t="str">
        <f>IF(Table13[[#This Row],[BMI]]&lt;=18.5,"Underweight",IF(Table13[[#This Row],[BMI]]&lt;=24.9,"Normal",IF(Table13[[#This Row],[BMI]]&lt;=29.9,"Overweight",IF(Table13[[#This Row],[BMI]]&lt;=39,"Obese","Severly Obese"))))</f>
        <v>Underweight</v>
      </c>
      <c r="W636" s="18">
        <v>18.11</v>
      </c>
    </row>
    <row r="637" spans="6:23" x14ac:dyDescent="0.3">
      <c r="F637" s="17">
        <v>45</v>
      </c>
      <c r="G637" s="8" t="str">
        <f>IF(Table13[[#This Row],[Age]]&lt;25,"18-24",IF(Table13[[#This Row],[Age]]&lt;35,"25-34",IF(Table13[[#This Row],[Age]]&lt;45,"35-44",IF(Table13[[#This Row],[Age]]&lt;55,"45-54","55-64"))))</f>
        <v>45-54</v>
      </c>
      <c r="H637" s="8" t="s">
        <v>17</v>
      </c>
      <c r="I637" s="8">
        <v>57.5</v>
      </c>
      <c r="J637" s="8">
        <v>1.55</v>
      </c>
      <c r="K637" s="8">
        <v>190</v>
      </c>
      <c r="L637" s="8">
        <v>123</v>
      </c>
      <c r="M637" s="8">
        <v>54</v>
      </c>
      <c r="N637" s="8">
        <v>1.33</v>
      </c>
      <c r="O637" s="8">
        <v>893</v>
      </c>
      <c r="P637" s="8" t="s">
        <v>21</v>
      </c>
      <c r="Q637" s="8" t="str">
        <f>_xlfn.IFS(AND(Table13[[#This Row],[Gender]]="female",R637&lt;20),"Athletes",AND(Table13[[#This Row],[Gender]]="female",R637&lt;24),"Fitnesss",AND(Table13[[#This Row],[Gender]]="female",R637&lt;31),"Acceptable",AND(Table13[[#This Row],[Gender]]="female",R637&lt;40),"Obese",AND(Table13[[#This Row],[Gender]]="male",R637&lt;13),"Athletes",AND(Table13[[#This Row],[Gender]]="male",R637&lt;17),"Fitnesss",AND(Table13[[#This Row],[Gender]]="male",R637&lt;24.9),"Acceptable",AND(Table13[[#This Row],[Gender]]="male",R637&lt;40),"Obese",AND(Table13[[#This Row],[Gender]]="others",R637&lt;20),"Athletes",AND(Table13[[#This Row],[Gender]]="others",R637&lt;24),"Fitnesss",AND(Table13[[#This Row],[Gender]]="others",R637&lt;31),"Acceptable",AND(Table13[[#This Row],[Gender]]="others",R637&lt;40),"Obese")</f>
        <v>Acceptable</v>
      </c>
      <c r="R637" s="8">
        <v>28.8</v>
      </c>
      <c r="S637" s="8">
        <v>3.3</v>
      </c>
      <c r="T637" s="8">
        <v>3</v>
      </c>
      <c r="U637" s="8">
        <v>1</v>
      </c>
      <c r="V637" s="8" t="str">
        <f>IF(Table13[[#This Row],[BMI]]&lt;=18.5,"Underweight",IF(Table13[[#This Row],[BMI]]&lt;=24.9,"Normal",IF(Table13[[#This Row],[BMI]]&lt;=29.9,"Overweight",IF(Table13[[#This Row],[BMI]]&lt;=39,"Obese","Severly Obese"))))</f>
        <v>Underweight</v>
      </c>
      <c r="W637" s="18">
        <v>17.649999999999999</v>
      </c>
    </row>
    <row r="638" spans="6:23" x14ac:dyDescent="0.3">
      <c r="F638" s="17">
        <v>24</v>
      </c>
      <c r="G638" s="8" t="str">
        <f>IF(Table13[[#This Row],[Age]]&lt;25,"18-24",IF(Table13[[#This Row],[Age]]&lt;35,"25-34",IF(Table13[[#This Row],[Age]]&lt;45,"35-44",IF(Table13[[#This Row],[Age]]&lt;55,"45-54","55-64"))))</f>
        <v>18-24</v>
      </c>
      <c r="H638" s="8" t="s">
        <v>17</v>
      </c>
      <c r="I638" s="8">
        <v>55.6</v>
      </c>
      <c r="J638" s="8">
        <v>1.73</v>
      </c>
      <c r="K638" s="8">
        <v>175</v>
      </c>
      <c r="L638" s="8">
        <v>120</v>
      </c>
      <c r="M638" s="8">
        <v>71</v>
      </c>
      <c r="N638" s="8">
        <v>1.0900000000000001</v>
      </c>
      <c r="O638" s="8">
        <v>775</v>
      </c>
      <c r="P638" s="8" t="s">
        <v>22</v>
      </c>
      <c r="Q638" s="8" t="str">
        <f>_xlfn.IFS(AND(Table13[[#This Row],[Gender]]="female",R638&lt;20),"Athletes",AND(Table13[[#This Row],[Gender]]="female",R638&lt;24),"Fitnesss",AND(Table13[[#This Row],[Gender]]="female",R638&lt;31),"Acceptable",AND(Table13[[#This Row],[Gender]]="female",R638&lt;40),"Obese",AND(Table13[[#This Row],[Gender]]="male",R638&lt;13),"Athletes",AND(Table13[[#This Row],[Gender]]="male",R638&lt;17),"Fitnesss",AND(Table13[[#This Row],[Gender]]="male",R638&lt;24.9),"Acceptable",AND(Table13[[#This Row],[Gender]]="male",R638&lt;40),"Obese",AND(Table13[[#This Row],[Gender]]="others",R638&lt;20),"Athletes",AND(Table13[[#This Row],[Gender]]="others",R638&lt;24),"Fitnesss",AND(Table13[[#This Row],[Gender]]="others",R638&lt;31),"Acceptable",AND(Table13[[#This Row],[Gender]]="others",R638&lt;40),"Obese")</f>
        <v>Athletes</v>
      </c>
      <c r="R638" s="8">
        <v>17.2</v>
      </c>
      <c r="S638" s="8">
        <v>3</v>
      </c>
      <c r="T638" s="8">
        <v>4</v>
      </c>
      <c r="U638" s="8">
        <v>2</v>
      </c>
      <c r="V638" s="8" t="str">
        <f>IF(Table13[[#This Row],[BMI]]&lt;=18.5,"Underweight",IF(Table13[[#This Row],[BMI]]&lt;=24.9,"Normal",IF(Table13[[#This Row],[BMI]]&lt;=29.9,"Overweight",IF(Table13[[#This Row],[BMI]]&lt;=39,"Obese","Severly Obese"))))</f>
        <v>Normal</v>
      </c>
      <c r="W638" s="18">
        <v>22.74</v>
      </c>
    </row>
    <row r="639" spans="6:23" x14ac:dyDescent="0.3">
      <c r="F639" s="17">
        <v>55</v>
      </c>
      <c r="G639" s="8" t="str">
        <f>IF(Table13[[#This Row],[Age]]&lt;25,"18-24",IF(Table13[[#This Row],[Age]]&lt;35,"25-34",IF(Table13[[#This Row],[Age]]&lt;45,"35-44",IF(Table13[[#This Row],[Age]]&lt;55,"45-54","55-64"))))</f>
        <v>55-64</v>
      </c>
      <c r="H639" s="8" t="s">
        <v>17</v>
      </c>
      <c r="I639" s="8"/>
      <c r="J639" s="8">
        <v>1.83</v>
      </c>
      <c r="K639" s="8">
        <v>194</v>
      </c>
      <c r="L639" s="8">
        <v>162</v>
      </c>
      <c r="M639" s="8">
        <v>72</v>
      </c>
      <c r="N639" s="8">
        <v>1.99</v>
      </c>
      <c r="O639" s="8">
        <v>1374</v>
      </c>
      <c r="P639" s="8" t="s">
        <v>21</v>
      </c>
      <c r="Q639" s="8" t="str">
        <f>_xlfn.IFS(AND(Table13[[#This Row],[Gender]]="female",R639&lt;20),"Athletes",AND(Table13[[#This Row],[Gender]]="female",R639&lt;24),"Fitnesss",AND(Table13[[#This Row],[Gender]]="female",R639&lt;31),"Acceptable",AND(Table13[[#This Row],[Gender]]="female",R639&lt;40),"Obese",AND(Table13[[#This Row],[Gender]]="male",R639&lt;13),"Athletes",AND(Table13[[#This Row],[Gender]]="male",R639&lt;17),"Fitnesss",AND(Table13[[#This Row],[Gender]]="male",R639&lt;24.9),"Acceptable",AND(Table13[[#This Row],[Gender]]="male",R639&lt;40),"Obese",AND(Table13[[#This Row],[Gender]]="others",R639&lt;20),"Athletes",AND(Table13[[#This Row],[Gender]]="others",R639&lt;24),"Fitnesss",AND(Table13[[#This Row],[Gender]]="others",R639&lt;31),"Acceptable",AND(Table13[[#This Row],[Gender]]="others",R639&lt;40),"Obese")</f>
        <v>Acceptable</v>
      </c>
      <c r="R639" s="8">
        <v>27.6</v>
      </c>
      <c r="S639" s="8">
        <v>2</v>
      </c>
      <c r="T639" s="8">
        <v>3</v>
      </c>
      <c r="U639" s="8">
        <v>1</v>
      </c>
      <c r="V639" s="8" t="str">
        <f>IF(Table13[[#This Row],[BMI]]&lt;=18.5,"Underweight",IF(Table13[[#This Row],[BMI]]&lt;=24.9,"Normal",IF(Table13[[#This Row],[BMI]]&lt;=29.9,"Overweight",IF(Table13[[#This Row],[BMI]]&lt;=39,"Obese","Severly Obese"))))</f>
        <v>Underweight</v>
      </c>
      <c r="W639" s="18">
        <v>17.739999999999998</v>
      </c>
    </row>
    <row r="640" spans="6:23" x14ac:dyDescent="0.3">
      <c r="F640" s="17">
        <v>32</v>
      </c>
      <c r="G640" s="8" t="str">
        <f>IF(Table13[[#This Row],[Age]]&lt;25,"18-24",IF(Table13[[#This Row],[Age]]&lt;35,"25-34",IF(Table13[[#This Row],[Age]]&lt;45,"35-44",IF(Table13[[#This Row],[Age]]&lt;55,"45-54","55-64"))))</f>
        <v>25-34</v>
      </c>
      <c r="H640" s="8" t="s">
        <v>17</v>
      </c>
      <c r="I640" s="8">
        <v>42.4</v>
      </c>
      <c r="J640" s="8">
        <v>1.79</v>
      </c>
      <c r="K640" s="8">
        <v>176</v>
      </c>
      <c r="L640" s="8">
        <v>135</v>
      </c>
      <c r="M640" s="8">
        <v>56</v>
      </c>
      <c r="N640" s="8">
        <v>1.63</v>
      </c>
      <c r="O640" s="8">
        <v>843</v>
      </c>
      <c r="P640" s="8" t="s">
        <v>22</v>
      </c>
      <c r="Q640" s="8" t="str">
        <f>_xlfn.IFS(AND(Table13[[#This Row],[Gender]]="female",R640&lt;20),"Athletes",AND(Table13[[#This Row],[Gender]]="female",R640&lt;24),"Fitnesss",AND(Table13[[#This Row],[Gender]]="female",R640&lt;31),"Acceptable",AND(Table13[[#This Row],[Gender]]="female",R640&lt;40),"Obese",AND(Table13[[#This Row],[Gender]]="male",R640&lt;13),"Athletes",AND(Table13[[#This Row],[Gender]]="male",R640&lt;17),"Fitnesss",AND(Table13[[#This Row],[Gender]]="male",R640&lt;24.9),"Acceptable",AND(Table13[[#This Row],[Gender]]="male",R640&lt;40),"Obese",AND(Table13[[#This Row],[Gender]]="others",R640&lt;20),"Athletes",AND(Table13[[#This Row],[Gender]]="others",R640&lt;24),"Fitnesss",AND(Table13[[#This Row],[Gender]]="others",R640&lt;31),"Acceptable",AND(Table13[[#This Row],[Gender]]="others",R640&lt;40),"Obese")</f>
        <v>Acceptable</v>
      </c>
      <c r="R640" s="8">
        <v>27.1</v>
      </c>
      <c r="S640" s="8">
        <v>1.5</v>
      </c>
      <c r="T640" s="8">
        <v>2</v>
      </c>
      <c r="U640" s="8">
        <v>2</v>
      </c>
      <c r="V640" s="8" t="str">
        <f>IF(Table13[[#This Row],[BMI]]&lt;=18.5,"Underweight",IF(Table13[[#This Row],[BMI]]&lt;=24.9,"Normal",IF(Table13[[#This Row],[BMI]]&lt;=29.9,"Overweight",IF(Table13[[#This Row],[BMI]]&lt;=39,"Obese","Severly Obese"))))</f>
        <v>Underweight</v>
      </c>
      <c r="W640" s="18">
        <v>18.170000000000002</v>
      </c>
    </row>
    <row r="641" spans="6:23" x14ac:dyDescent="0.3">
      <c r="F641" s="17">
        <v>18</v>
      </c>
      <c r="G641" s="8" t="str">
        <f>IF(Table13[[#This Row],[Age]]&lt;25,"18-24",IF(Table13[[#This Row],[Age]]&lt;35,"25-34",IF(Table13[[#This Row],[Age]]&lt;45,"35-44",IF(Table13[[#This Row],[Age]]&lt;55,"45-54","55-64"))))</f>
        <v>18-24</v>
      </c>
      <c r="H641" s="8" t="s">
        <v>23</v>
      </c>
      <c r="I641" s="8">
        <v>40</v>
      </c>
      <c r="J641" s="8">
        <v>1.68</v>
      </c>
      <c r="K641" s="8">
        <v>163</v>
      </c>
      <c r="L641" s="8">
        <v>137</v>
      </c>
      <c r="M641" s="8">
        <v>61</v>
      </c>
      <c r="N641" s="8">
        <v>1.1000000000000001</v>
      </c>
      <c r="O641" s="8">
        <v>1470</v>
      </c>
      <c r="P641" s="8" t="s">
        <v>20</v>
      </c>
      <c r="Q641" s="8" t="str">
        <f>_xlfn.IFS(AND(Table13[[#This Row],[Gender]]="female",R641&lt;20),"Athletes",AND(Table13[[#This Row],[Gender]]="female",R641&lt;24),"Fitnesss",AND(Table13[[#This Row],[Gender]]="female",R641&lt;31),"Acceptable",AND(Table13[[#This Row],[Gender]]="female",R641&lt;40),"Obese",AND(Table13[[#This Row],[Gender]]="male",R641&lt;13),"Athletes",AND(Table13[[#This Row],[Gender]]="male",R641&lt;17),"Fitnesss",AND(Table13[[#This Row],[Gender]]="male",R641&lt;24.9),"Acceptable",AND(Table13[[#This Row],[Gender]]="male",R641&lt;40),"Obese",AND(Table13[[#This Row],[Gender]]="others",R641&lt;20),"Athletes",AND(Table13[[#This Row],[Gender]]="others",R641&lt;24),"Fitnesss",AND(Table13[[#This Row],[Gender]]="others",R641&lt;31),"Acceptable",AND(Table13[[#This Row],[Gender]]="others",R641&lt;40),"Obese")</f>
        <v>Obese</v>
      </c>
      <c r="R641" s="8">
        <v>31.7</v>
      </c>
      <c r="S641" s="8">
        <v>1.7</v>
      </c>
      <c r="T641" s="8">
        <v>4</v>
      </c>
      <c r="U641" s="8">
        <v>3</v>
      </c>
      <c r="V641" s="8" t="str">
        <f>IF(Table13[[#This Row],[BMI]]&lt;=18.5,"Underweight",IF(Table13[[#This Row],[BMI]]&lt;=24.9,"Normal",IF(Table13[[#This Row],[BMI]]&lt;=29.9,"Overweight",IF(Table13[[#This Row],[BMI]]&lt;=39,"Obese","Severly Obese"))))</f>
        <v>Normal</v>
      </c>
      <c r="W641" s="18">
        <v>19.34</v>
      </c>
    </row>
    <row r="642" spans="6:23" x14ac:dyDescent="0.3">
      <c r="F642" s="17">
        <v>33</v>
      </c>
      <c r="G642" s="8" t="str">
        <f>IF(Table13[[#This Row],[Age]]&lt;25,"18-24",IF(Table13[[#This Row],[Age]]&lt;35,"25-34",IF(Table13[[#This Row],[Age]]&lt;45,"35-44",IF(Table13[[#This Row],[Age]]&lt;55,"45-54","55-64"))))</f>
        <v>25-34</v>
      </c>
      <c r="H642" s="8" t="s">
        <v>17</v>
      </c>
      <c r="I642" s="8">
        <v>77</v>
      </c>
      <c r="J642" s="8">
        <v>1.69</v>
      </c>
      <c r="K642" s="8">
        <v>191</v>
      </c>
      <c r="L642" s="8">
        <v>154</v>
      </c>
      <c r="M642" s="8">
        <v>58</v>
      </c>
      <c r="N642" s="8">
        <v>1.1599999999999999</v>
      </c>
      <c r="O642" s="8">
        <v>1187</v>
      </c>
      <c r="P642" s="8" t="s">
        <v>20</v>
      </c>
      <c r="Q642" s="8" t="str">
        <f>_xlfn.IFS(AND(Table13[[#This Row],[Gender]]="female",R642&lt;20),"Athletes",AND(Table13[[#This Row],[Gender]]="female",R642&lt;24),"Fitnesss",AND(Table13[[#This Row],[Gender]]="female",R642&lt;31),"Acceptable",AND(Table13[[#This Row],[Gender]]="female",R642&lt;40),"Obese",AND(Table13[[#This Row],[Gender]]="male",R642&lt;13),"Athletes",AND(Table13[[#This Row],[Gender]]="male",R642&lt;17),"Fitnesss",AND(Table13[[#This Row],[Gender]]="male",R642&lt;24.9),"Acceptable",AND(Table13[[#This Row],[Gender]]="male",R642&lt;40),"Obese",AND(Table13[[#This Row],[Gender]]="others",R642&lt;20),"Athletes",AND(Table13[[#This Row],[Gender]]="others",R642&lt;24),"Fitnesss",AND(Table13[[#This Row],[Gender]]="others",R642&lt;31),"Acceptable",AND(Table13[[#This Row],[Gender]]="others",R642&lt;40),"Obese")</f>
        <v>Acceptable</v>
      </c>
      <c r="R642" s="8">
        <v>29.1</v>
      </c>
      <c r="S642" s="8">
        <v>3.2</v>
      </c>
      <c r="T642" s="8">
        <v>4</v>
      </c>
      <c r="U642" s="8">
        <v>2</v>
      </c>
      <c r="V642" s="8" t="str">
        <f>IF(Table13[[#This Row],[BMI]]&lt;=18.5,"Underweight",IF(Table13[[#This Row],[BMI]]&lt;=24.9,"Normal",IF(Table13[[#This Row],[BMI]]&lt;=29.9,"Overweight",IF(Table13[[#This Row],[BMI]]&lt;=39,"Obese","Severly Obese"))))</f>
        <v>Underweight</v>
      </c>
      <c r="W642" s="18">
        <v>12.32</v>
      </c>
    </row>
    <row r="643" spans="6:23" x14ac:dyDescent="0.3">
      <c r="F643" s="17">
        <v>28</v>
      </c>
      <c r="G643" s="8" t="str">
        <f>IF(Table13[[#This Row],[Age]]&lt;25,"18-24",IF(Table13[[#This Row],[Age]]&lt;35,"25-34",IF(Table13[[#This Row],[Age]]&lt;45,"35-44",IF(Table13[[#This Row],[Age]]&lt;55,"45-54","55-64"))))</f>
        <v>25-34</v>
      </c>
      <c r="H643" s="8" t="s">
        <v>17</v>
      </c>
      <c r="I643" s="8">
        <v>74.7</v>
      </c>
      <c r="J643" s="8">
        <v>1.69</v>
      </c>
      <c r="K643" s="8">
        <v>163</v>
      </c>
      <c r="L643" s="8">
        <v>158</v>
      </c>
      <c r="M643" s="8">
        <v>58</v>
      </c>
      <c r="N643" s="8">
        <v>1.37</v>
      </c>
      <c r="O643" s="8">
        <v>854</v>
      </c>
      <c r="P643" s="8" t="s">
        <v>21</v>
      </c>
      <c r="Q643" s="8" t="str">
        <f>_xlfn.IFS(AND(Table13[[#This Row],[Gender]]="female",R643&lt;20),"Athletes",AND(Table13[[#This Row],[Gender]]="female",R643&lt;24),"Fitnesss",AND(Table13[[#This Row],[Gender]]="female",R643&lt;31),"Acceptable",AND(Table13[[#This Row],[Gender]]="female",R643&lt;40),"Obese",AND(Table13[[#This Row],[Gender]]="male",R643&lt;13),"Athletes",AND(Table13[[#This Row],[Gender]]="male",R643&lt;17),"Fitnesss",AND(Table13[[#This Row],[Gender]]="male",R643&lt;24.9),"Acceptable",AND(Table13[[#This Row],[Gender]]="male",R643&lt;40),"Obese",AND(Table13[[#This Row],[Gender]]="others",R643&lt;20),"Athletes",AND(Table13[[#This Row],[Gender]]="others",R643&lt;24),"Fitnesss",AND(Table13[[#This Row],[Gender]]="others",R643&lt;31),"Acceptable",AND(Table13[[#This Row],[Gender]]="others",R643&lt;40),"Obese")</f>
        <v>Athletes</v>
      </c>
      <c r="R643" s="8">
        <v>14</v>
      </c>
      <c r="S643" s="8">
        <v>3.4</v>
      </c>
      <c r="T643" s="8">
        <v>4</v>
      </c>
      <c r="U643" s="8">
        <v>2</v>
      </c>
      <c r="V643" s="8" t="str">
        <f>IF(Table13[[#This Row],[BMI]]&lt;=18.5,"Underweight",IF(Table13[[#This Row],[BMI]]&lt;=24.9,"Normal",IF(Table13[[#This Row],[BMI]]&lt;=29.9,"Overweight",IF(Table13[[#This Row],[BMI]]&lt;=39,"Obese","Severly Obese"))))</f>
        <v>Underweight</v>
      </c>
      <c r="W643" s="18">
        <v>13.79</v>
      </c>
    </row>
    <row r="644" spans="6:23" x14ac:dyDescent="0.3">
      <c r="F644" s="17">
        <v>59</v>
      </c>
      <c r="G644" s="8" t="str">
        <f>IF(Table13[[#This Row],[Age]]&lt;25,"18-24",IF(Table13[[#This Row],[Age]]&lt;35,"25-34",IF(Table13[[#This Row],[Age]]&lt;45,"35-44",IF(Table13[[#This Row],[Age]]&lt;55,"45-54","55-64"))))</f>
        <v>55-64</v>
      </c>
      <c r="H644" s="8" t="s">
        <v>19</v>
      </c>
      <c r="I644" s="8">
        <v>65.099999999999994</v>
      </c>
      <c r="J644" s="8">
        <v>1.68</v>
      </c>
      <c r="K644" s="8">
        <v>161</v>
      </c>
      <c r="L644" s="8">
        <v>144</v>
      </c>
      <c r="M644" s="8">
        <v>62</v>
      </c>
      <c r="N644" s="8">
        <v>2</v>
      </c>
      <c r="O644" s="8">
        <v>1050</v>
      </c>
      <c r="P644" s="8" t="s">
        <v>18</v>
      </c>
      <c r="Q644" s="8" t="str">
        <f>_xlfn.IFS(AND(Table13[[#This Row],[Gender]]="female",R644&lt;20),"Athletes",AND(Table13[[#This Row],[Gender]]="female",R644&lt;24),"Fitnesss",AND(Table13[[#This Row],[Gender]]="female",R644&lt;31),"Acceptable",AND(Table13[[#This Row],[Gender]]="female",R644&lt;40),"Obese",AND(Table13[[#This Row],[Gender]]="male",R644&lt;13),"Athletes",AND(Table13[[#This Row],[Gender]]="male",R644&lt;17),"Fitnesss",AND(Table13[[#This Row],[Gender]]="male",R644&lt;24.9),"Acceptable",AND(Table13[[#This Row],[Gender]]="male",R644&lt;40),"Obese",AND(Table13[[#This Row],[Gender]]="others",R644&lt;20),"Athletes",AND(Table13[[#This Row],[Gender]]="others",R644&lt;24),"Fitnesss",AND(Table13[[#This Row],[Gender]]="others",R644&lt;31),"Acceptable",AND(Table13[[#This Row],[Gender]]="others",R644&lt;40),"Obese")</f>
        <v>Obese</v>
      </c>
      <c r="R644" s="8">
        <v>26.1</v>
      </c>
      <c r="S644" s="8">
        <v>2</v>
      </c>
      <c r="T644" s="8">
        <v>5</v>
      </c>
      <c r="U644" s="8">
        <v>3</v>
      </c>
      <c r="V644" s="8" t="str">
        <f>IF(Table13[[#This Row],[BMI]]&lt;=18.5,"Underweight",IF(Table13[[#This Row],[BMI]]&lt;=24.9,"Normal",IF(Table13[[#This Row],[BMI]]&lt;=29.9,"Overweight",IF(Table13[[#This Row],[BMI]]&lt;=39,"Obese","Severly Obese"))))</f>
        <v>Normal</v>
      </c>
      <c r="W644" s="18">
        <v>23.59</v>
      </c>
    </row>
    <row r="645" spans="6:23" x14ac:dyDescent="0.3">
      <c r="F645" s="17">
        <v>21</v>
      </c>
      <c r="G645" s="8" t="str">
        <f>IF(Table13[[#This Row],[Age]]&lt;25,"18-24",IF(Table13[[#This Row],[Age]]&lt;35,"25-34",IF(Table13[[#This Row],[Age]]&lt;45,"35-44",IF(Table13[[#This Row],[Age]]&lt;55,"45-54","55-64"))))</f>
        <v>18-24</v>
      </c>
      <c r="H645" s="8" t="s">
        <v>17</v>
      </c>
      <c r="I645" s="8">
        <v>40</v>
      </c>
      <c r="J645" s="8">
        <v>1.8</v>
      </c>
      <c r="K645" s="8">
        <v>176</v>
      </c>
      <c r="L645" s="8">
        <v>122</v>
      </c>
      <c r="M645" s="8">
        <v>73</v>
      </c>
      <c r="N645" s="8">
        <v>1.37</v>
      </c>
      <c r="O645" s="8">
        <v>1171</v>
      </c>
      <c r="P645" s="8" t="s">
        <v>21</v>
      </c>
      <c r="Q645" s="8" t="str">
        <f>_xlfn.IFS(AND(Table13[[#This Row],[Gender]]="female",R645&lt;20),"Athletes",AND(Table13[[#This Row],[Gender]]="female",R645&lt;24),"Fitnesss",AND(Table13[[#This Row],[Gender]]="female",R645&lt;31),"Acceptable",AND(Table13[[#This Row],[Gender]]="female",R645&lt;40),"Obese",AND(Table13[[#This Row],[Gender]]="male",R645&lt;13),"Athletes",AND(Table13[[#This Row],[Gender]]="male",R645&lt;17),"Fitnesss",AND(Table13[[#This Row],[Gender]]="male",R645&lt;24.9),"Acceptable",AND(Table13[[#This Row],[Gender]]="male",R645&lt;40),"Obese",AND(Table13[[#This Row],[Gender]]="others",R645&lt;20),"Athletes",AND(Table13[[#This Row],[Gender]]="others",R645&lt;24),"Fitnesss",AND(Table13[[#This Row],[Gender]]="others",R645&lt;31),"Acceptable",AND(Table13[[#This Row],[Gender]]="others",R645&lt;40),"Obese")</f>
        <v>Athletes</v>
      </c>
      <c r="R645" s="8">
        <v>10</v>
      </c>
      <c r="S645" s="8">
        <v>3.7</v>
      </c>
      <c r="T645" s="8">
        <v>3</v>
      </c>
      <c r="U645" s="8">
        <v>1</v>
      </c>
      <c r="V645" s="8" t="str">
        <f>IF(Table13[[#This Row],[BMI]]&lt;=18.5,"Underweight",IF(Table13[[#This Row],[BMI]]&lt;=24.9,"Normal",IF(Table13[[#This Row],[BMI]]&lt;=29.9,"Overweight",IF(Table13[[#This Row],[BMI]]&lt;=39,"Obese","Severly Obese"))))</f>
        <v>Normal</v>
      </c>
      <c r="W645" s="18">
        <v>19.84</v>
      </c>
    </row>
    <row r="646" spans="6:23" x14ac:dyDescent="0.3">
      <c r="F646" s="17">
        <v>23</v>
      </c>
      <c r="G646" s="8" t="str">
        <f>IF(Table13[[#This Row],[Age]]&lt;25,"18-24",IF(Table13[[#This Row],[Age]]&lt;35,"25-34",IF(Table13[[#This Row],[Age]]&lt;45,"35-44",IF(Table13[[#This Row],[Age]]&lt;55,"45-54","55-64"))))</f>
        <v>18-24</v>
      </c>
      <c r="H646" s="8" t="s">
        <v>19</v>
      </c>
      <c r="I646" s="8">
        <v>64.3</v>
      </c>
      <c r="J646" s="8">
        <v>1.58</v>
      </c>
      <c r="K646" s="8">
        <v>160</v>
      </c>
      <c r="L646" s="8">
        <v>123</v>
      </c>
      <c r="M646" s="8">
        <v>62</v>
      </c>
      <c r="N646" s="8">
        <v>1.02</v>
      </c>
      <c r="O646" s="8">
        <v>1360</v>
      </c>
      <c r="P646" s="8" t="s">
        <v>18</v>
      </c>
      <c r="Q646" s="8" t="str">
        <f>_xlfn.IFS(AND(Table13[[#This Row],[Gender]]="female",R646&lt;20),"Athletes",AND(Table13[[#This Row],[Gender]]="female",R646&lt;24),"Fitnesss",AND(Table13[[#This Row],[Gender]]="female",R646&lt;31),"Acceptable",AND(Table13[[#This Row],[Gender]]="female",R646&lt;40),"Obese",AND(Table13[[#This Row],[Gender]]="male",R646&lt;13),"Athletes",AND(Table13[[#This Row],[Gender]]="male",R646&lt;17),"Fitnesss",AND(Table13[[#This Row],[Gender]]="male",R646&lt;24.9),"Acceptable",AND(Table13[[#This Row],[Gender]]="male",R646&lt;40),"Obese",AND(Table13[[#This Row],[Gender]]="others",R646&lt;20),"Athletes",AND(Table13[[#This Row],[Gender]]="others",R646&lt;24),"Fitnesss",AND(Table13[[#This Row],[Gender]]="others",R646&lt;31),"Acceptable",AND(Table13[[#This Row],[Gender]]="others",R646&lt;40),"Obese")</f>
        <v>Acceptable</v>
      </c>
      <c r="R646" s="8">
        <v>22</v>
      </c>
      <c r="S646" s="8">
        <v>3.4</v>
      </c>
      <c r="T646" s="8">
        <v>4</v>
      </c>
      <c r="U646" s="8">
        <v>1</v>
      </c>
      <c r="V646" s="8" t="str">
        <f>IF(Table13[[#This Row],[BMI]]&lt;=18.5,"Underweight",IF(Table13[[#This Row],[BMI]]&lt;=24.9,"Normal",IF(Table13[[#This Row],[BMI]]&lt;=29.9,"Overweight",IF(Table13[[#This Row],[BMI]]&lt;=39,"Obese","Severly Obese"))))</f>
        <v>Normal</v>
      </c>
      <c r="W646" s="18">
        <v>19.45</v>
      </c>
    </row>
    <row r="647" spans="6:23" x14ac:dyDescent="0.3">
      <c r="F647" s="17">
        <v>20</v>
      </c>
      <c r="G647" s="8" t="str">
        <f>IF(Table13[[#This Row],[Age]]&lt;25,"18-24",IF(Table13[[#This Row],[Age]]&lt;35,"25-34",IF(Table13[[#This Row],[Age]]&lt;45,"35-44",IF(Table13[[#This Row],[Age]]&lt;55,"45-54","55-64"))))</f>
        <v>18-24</v>
      </c>
      <c r="H647" s="8" t="s">
        <v>17</v>
      </c>
      <c r="I647" s="8">
        <v>43.6</v>
      </c>
      <c r="J647" s="8">
        <v>1.6</v>
      </c>
      <c r="K647" s="8">
        <v>165</v>
      </c>
      <c r="L647" s="8">
        <v>141</v>
      </c>
      <c r="M647" s="8">
        <v>60</v>
      </c>
      <c r="N647" s="8">
        <v>1.37</v>
      </c>
      <c r="O647" s="8">
        <v>1783</v>
      </c>
      <c r="P647" s="8" t="s">
        <v>18</v>
      </c>
      <c r="Q647" s="8" t="str">
        <f>_xlfn.IFS(AND(Table13[[#This Row],[Gender]]="female",R647&lt;20),"Athletes",AND(Table13[[#This Row],[Gender]]="female",R647&lt;24),"Fitnesss",AND(Table13[[#This Row],[Gender]]="female",R647&lt;31),"Acceptable",AND(Table13[[#This Row],[Gender]]="female",R647&lt;40),"Obese",AND(Table13[[#This Row],[Gender]]="male",R647&lt;13),"Athletes",AND(Table13[[#This Row],[Gender]]="male",R647&lt;17),"Fitnesss",AND(Table13[[#This Row],[Gender]]="male",R647&lt;24.9),"Acceptable",AND(Table13[[#This Row],[Gender]]="male",R647&lt;40),"Obese",AND(Table13[[#This Row],[Gender]]="others",R647&lt;20),"Athletes",AND(Table13[[#This Row],[Gender]]="others",R647&lt;24),"Fitnesss",AND(Table13[[#This Row],[Gender]]="others",R647&lt;31),"Acceptable",AND(Table13[[#This Row],[Gender]]="others",R647&lt;40),"Obese")</f>
        <v>Athletes</v>
      </c>
      <c r="R647" s="8">
        <v>16.899999999999999</v>
      </c>
      <c r="S647" s="8">
        <v>1.5</v>
      </c>
      <c r="T647" s="8">
        <v>4</v>
      </c>
      <c r="U647" s="8">
        <v>1</v>
      </c>
      <c r="V647" s="8" t="str">
        <f>IF(Table13[[#This Row],[BMI]]&lt;=18.5,"Underweight",IF(Table13[[#This Row],[BMI]]&lt;=24.9,"Normal",IF(Table13[[#This Row],[BMI]]&lt;=29.9,"Overweight",IF(Table13[[#This Row],[BMI]]&lt;=39,"Obese","Severly Obese"))))</f>
        <v>Underweight</v>
      </c>
      <c r="W647" s="18">
        <v>15.52</v>
      </c>
    </row>
    <row r="648" spans="6:23" x14ac:dyDescent="0.3">
      <c r="F648" s="17">
        <v>21</v>
      </c>
      <c r="G648" s="8" t="str">
        <f>IF(Table13[[#This Row],[Age]]&lt;25,"18-24",IF(Table13[[#This Row],[Age]]&lt;35,"25-34",IF(Table13[[#This Row],[Age]]&lt;45,"35-44",IF(Table13[[#This Row],[Age]]&lt;55,"45-54","55-64"))))</f>
        <v>18-24</v>
      </c>
      <c r="H648" s="8" t="s">
        <v>19</v>
      </c>
      <c r="I648" s="8">
        <v>100.4</v>
      </c>
      <c r="J648" s="8">
        <v>1.62</v>
      </c>
      <c r="K648" s="8">
        <v>188</v>
      </c>
      <c r="L648" s="8">
        <v>128</v>
      </c>
      <c r="M648" s="8">
        <v>73</v>
      </c>
      <c r="N648" s="8">
        <v>1.4</v>
      </c>
      <c r="O648" s="8">
        <v>614</v>
      </c>
      <c r="P648" s="8" t="s">
        <v>18</v>
      </c>
      <c r="Q648" s="8" t="str">
        <f>_xlfn.IFS(AND(Table13[[#This Row],[Gender]]="female",R648&lt;20),"Athletes",AND(Table13[[#This Row],[Gender]]="female",R648&lt;24),"Fitnesss",AND(Table13[[#This Row],[Gender]]="female",R648&lt;31),"Acceptable",AND(Table13[[#This Row],[Gender]]="female",R648&lt;40),"Obese",AND(Table13[[#This Row],[Gender]]="male",R648&lt;13),"Athletes",AND(Table13[[#This Row],[Gender]]="male",R648&lt;17),"Fitnesss",AND(Table13[[#This Row],[Gender]]="male",R648&lt;24.9),"Acceptable",AND(Table13[[#This Row],[Gender]]="male",R648&lt;40),"Obese",AND(Table13[[#This Row],[Gender]]="others",R648&lt;20),"Athletes",AND(Table13[[#This Row],[Gender]]="others",R648&lt;24),"Fitnesss",AND(Table13[[#This Row],[Gender]]="others",R648&lt;31),"Acceptable",AND(Table13[[#This Row],[Gender]]="others",R648&lt;40),"Obese")</f>
        <v>Obese</v>
      </c>
      <c r="R648" s="8">
        <v>29.3</v>
      </c>
      <c r="S648" s="8">
        <v>3.3</v>
      </c>
      <c r="T648" s="8">
        <v>2</v>
      </c>
      <c r="U648" s="8">
        <v>1</v>
      </c>
      <c r="V648" s="8" t="str">
        <f>IF(Table13[[#This Row],[BMI]]&lt;=18.5,"Underweight",IF(Table13[[#This Row],[BMI]]&lt;=24.9,"Normal",IF(Table13[[#This Row],[BMI]]&lt;=29.9,"Overweight",IF(Table13[[#This Row],[BMI]]&lt;=39,"Obese","Severly Obese"))))</f>
        <v>Obese</v>
      </c>
      <c r="W648" s="18">
        <v>33.21</v>
      </c>
    </row>
    <row r="649" spans="6:23" x14ac:dyDescent="0.3">
      <c r="F649" s="17">
        <v>48</v>
      </c>
      <c r="G649" s="8" t="str">
        <f>IF(Table13[[#This Row],[Age]]&lt;25,"18-24",IF(Table13[[#This Row],[Age]]&lt;35,"25-34",IF(Table13[[#This Row],[Age]]&lt;45,"35-44",IF(Table13[[#This Row],[Age]]&lt;55,"45-54","55-64"))))</f>
        <v>45-54</v>
      </c>
      <c r="H649" s="8" t="s">
        <v>17</v>
      </c>
      <c r="I649" s="8">
        <v>73.8</v>
      </c>
      <c r="J649" s="8">
        <v>1.88</v>
      </c>
      <c r="K649" s="8">
        <v>191</v>
      </c>
      <c r="L649" s="8">
        <v>151</v>
      </c>
      <c r="M649" s="8">
        <v>59</v>
      </c>
      <c r="N649" s="8">
        <v>1.88</v>
      </c>
      <c r="O649" s="8">
        <v>1783</v>
      </c>
      <c r="P649" s="8" t="s">
        <v>20</v>
      </c>
      <c r="Q649" s="8" t="str">
        <f>_xlfn.IFS(AND(Table13[[#This Row],[Gender]]="female",R649&lt;20),"Athletes",AND(Table13[[#This Row],[Gender]]="female",R649&lt;24),"Fitnesss",AND(Table13[[#This Row],[Gender]]="female",R649&lt;31),"Acceptable",AND(Table13[[#This Row],[Gender]]="female",R649&lt;40),"Obese",AND(Table13[[#This Row],[Gender]]="male",R649&lt;13),"Athletes",AND(Table13[[#This Row],[Gender]]="male",R649&lt;17),"Fitnesss",AND(Table13[[#This Row],[Gender]]="male",R649&lt;24.9),"Acceptable",AND(Table13[[#This Row],[Gender]]="male",R649&lt;40),"Obese",AND(Table13[[#This Row],[Gender]]="others",R649&lt;20),"Athletes",AND(Table13[[#This Row],[Gender]]="others",R649&lt;24),"Fitnesss",AND(Table13[[#This Row],[Gender]]="others",R649&lt;31),"Acceptable",AND(Table13[[#This Row],[Gender]]="others",R649&lt;40),"Obese")</f>
        <v>Athletes</v>
      </c>
      <c r="R649" s="8">
        <v>19.2</v>
      </c>
      <c r="S649" s="8">
        <v>2</v>
      </c>
      <c r="T649" s="8">
        <v>4</v>
      </c>
      <c r="U649" s="8">
        <v>1</v>
      </c>
      <c r="V649" s="8" t="str">
        <f>IF(Table13[[#This Row],[BMI]]&lt;=18.5,"Underweight",IF(Table13[[#This Row],[BMI]]&lt;=24.9,"Normal",IF(Table13[[#This Row],[BMI]]&lt;=29.9,"Overweight",IF(Table13[[#This Row],[BMI]]&lt;=39,"Obese","Severly Obese"))))</f>
        <v>Underweight</v>
      </c>
      <c r="W649" s="18">
        <v>12.32</v>
      </c>
    </row>
    <row r="650" spans="6:23" x14ac:dyDescent="0.3">
      <c r="F650" s="17">
        <v>23</v>
      </c>
      <c r="G650" s="8" t="str">
        <f>IF(Table13[[#This Row],[Age]]&lt;25,"18-24",IF(Table13[[#This Row],[Age]]&lt;35,"25-34",IF(Table13[[#This Row],[Age]]&lt;45,"35-44",IF(Table13[[#This Row],[Age]]&lt;55,"45-54","55-64"))))</f>
        <v>18-24</v>
      </c>
      <c r="H650" s="8" t="s">
        <v>19</v>
      </c>
      <c r="I650" s="8">
        <v>52.3</v>
      </c>
      <c r="J650" s="8">
        <v>1.74</v>
      </c>
      <c r="K650" s="8">
        <v>184</v>
      </c>
      <c r="L650" s="8">
        <v>122</v>
      </c>
      <c r="M650" s="8">
        <v>65</v>
      </c>
      <c r="N650" s="8">
        <v>1.38</v>
      </c>
      <c r="O650" s="8">
        <v>915</v>
      </c>
      <c r="P650" s="8" t="s">
        <v>22</v>
      </c>
      <c r="Q650" s="8" t="str">
        <f>_xlfn.IFS(AND(Table13[[#This Row],[Gender]]="female",R650&lt;20),"Athletes",AND(Table13[[#This Row],[Gender]]="female",R650&lt;24),"Fitnesss",AND(Table13[[#This Row],[Gender]]="female",R650&lt;31),"Acceptable",AND(Table13[[#This Row],[Gender]]="female",R650&lt;40),"Obese",AND(Table13[[#This Row],[Gender]]="male",R650&lt;13),"Athletes",AND(Table13[[#This Row],[Gender]]="male",R650&lt;17),"Fitnesss",AND(Table13[[#This Row],[Gender]]="male",R650&lt;24.9),"Acceptable",AND(Table13[[#This Row],[Gender]]="male",R650&lt;40),"Obese",AND(Table13[[#This Row],[Gender]]="others",R650&lt;20),"Athletes",AND(Table13[[#This Row],[Gender]]="others",R650&lt;24),"Fitnesss",AND(Table13[[#This Row],[Gender]]="others",R650&lt;31),"Acceptable",AND(Table13[[#This Row],[Gender]]="others",R650&lt;40),"Obese")</f>
        <v>Athletes</v>
      </c>
      <c r="R650" s="8">
        <v>10</v>
      </c>
      <c r="S650" s="8">
        <v>3.5</v>
      </c>
      <c r="T650" s="8">
        <v>4</v>
      </c>
      <c r="U650" s="8">
        <v>1</v>
      </c>
      <c r="V650" s="8" t="str">
        <f>IF(Table13[[#This Row],[BMI]]&lt;=18.5,"Underweight",IF(Table13[[#This Row],[BMI]]&lt;=24.9,"Normal",IF(Table13[[#This Row],[BMI]]&lt;=29.9,"Overweight",IF(Table13[[#This Row],[BMI]]&lt;=39,"Obese","Severly Obese"))))</f>
        <v>Underweight</v>
      </c>
      <c r="W650" s="18">
        <v>18.170000000000002</v>
      </c>
    </row>
    <row r="651" spans="6:23" x14ac:dyDescent="0.3">
      <c r="F651" s="17">
        <v>51</v>
      </c>
      <c r="G651" s="8" t="str">
        <f>IF(Table13[[#This Row],[Age]]&lt;25,"18-24",IF(Table13[[#This Row],[Age]]&lt;35,"25-34",IF(Table13[[#This Row],[Age]]&lt;45,"35-44",IF(Table13[[#This Row],[Age]]&lt;55,"45-54","55-64"))))</f>
        <v>45-54</v>
      </c>
      <c r="H651" s="8" t="s">
        <v>19</v>
      </c>
      <c r="I651" s="8">
        <v>57.3</v>
      </c>
      <c r="J651" s="8">
        <v>1.71</v>
      </c>
      <c r="K651" s="8">
        <v>188</v>
      </c>
      <c r="L651" s="8">
        <v>169</v>
      </c>
      <c r="M651" s="8">
        <v>50</v>
      </c>
      <c r="N651" s="8">
        <v>1.0900000000000001</v>
      </c>
      <c r="O651" s="8">
        <v>1375</v>
      </c>
      <c r="P651" s="8" t="s">
        <v>18</v>
      </c>
      <c r="Q651" s="8" t="str">
        <f>_xlfn.IFS(AND(Table13[[#This Row],[Gender]]="female",R651&lt;20),"Athletes",AND(Table13[[#This Row],[Gender]]="female",R651&lt;24),"Fitnesss",AND(Table13[[#This Row],[Gender]]="female",R651&lt;31),"Acceptable",AND(Table13[[#This Row],[Gender]]="female",R651&lt;40),"Obese",AND(Table13[[#This Row],[Gender]]="male",R651&lt;13),"Athletes",AND(Table13[[#This Row],[Gender]]="male",R651&lt;17),"Fitnesss",AND(Table13[[#This Row],[Gender]]="male",R651&lt;24.9),"Acceptable",AND(Table13[[#This Row],[Gender]]="male",R651&lt;40),"Obese",AND(Table13[[#This Row],[Gender]]="others",R651&lt;20),"Athletes",AND(Table13[[#This Row],[Gender]]="others",R651&lt;24),"Fitnesss",AND(Table13[[#This Row],[Gender]]="others",R651&lt;31),"Acceptable",AND(Table13[[#This Row],[Gender]]="others",R651&lt;40),"Obese")</f>
        <v>Obese</v>
      </c>
      <c r="R651" s="8">
        <v>28.1</v>
      </c>
      <c r="S651" s="8">
        <v>3.6</v>
      </c>
      <c r="T651" s="8">
        <v>2</v>
      </c>
      <c r="U651" s="8">
        <v>3</v>
      </c>
      <c r="V651" s="8" t="str">
        <f>IF(Table13[[#This Row],[BMI]]&lt;=18.5,"Underweight",IF(Table13[[#This Row],[BMI]]&lt;=24.9,"Normal",IF(Table13[[#This Row],[BMI]]&lt;=29.9,"Overweight",IF(Table13[[#This Row],[BMI]]&lt;=39,"Obese","Severly Obese"))))</f>
        <v>Normal</v>
      </c>
      <c r="W651" s="18">
        <v>19.690000000000001</v>
      </c>
    </row>
    <row r="652" spans="6:23" x14ac:dyDescent="0.3">
      <c r="F652" s="17">
        <v>30</v>
      </c>
      <c r="G652" s="8" t="str">
        <f>IF(Table13[[#This Row],[Age]]&lt;25,"18-24",IF(Table13[[#This Row],[Age]]&lt;35,"25-34",IF(Table13[[#This Row],[Age]]&lt;45,"35-44",IF(Table13[[#This Row],[Age]]&lt;55,"45-54","55-64"))))</f>
        <v>25-34</v>
      </c>
      <c r="H652" s="8" t="s">
        <v>19</v>
      </c>
      <c r="I652" s="8">
        <v>70.7</v>
      </c>
      <c r="J652" s="8">
        <v>1.64</v>
      </c>
      <c r="K652" s="8">
        <v>196</v>
      </c>
      <c r="L652" s="8">
        <v>136</v>
      </c>
      <c r="M652" s="8">
        <v>18</v>
      </c>
      <c r="N652" s="8">
        <v>1.38</v>
      </c>
      <c r="O652" s="8">
        <v>1608</v>
      </c>
      <c r="P652" s="8" t="s">
        <v>20</v>
      </c>
      <c r="Q652" s="8" t="str">
        <f>_xlfn.IFS(AND(Table13[[#This Row],[Gender]]="female",R652&lt;20),"Athletes",AND(Table13[[#This Row],[Gender]]="female",R652&lt;24),"Fitnesss",AND(Table13[[#This Row],[Gender]]="female",R652&lt;31),"Acceptable",AND(Table13[[#This Row],[Gender]]="female",R652&lt;40),"Obese",AND(Table13[[#This Row],[Gender]]="male",R652&lt;13),"Athletes",AND(Table13[[#This Row],[Gender]]="male",R652&lt;17),"Fitnesss",AND(Table13[[#This Row],[Gender]]="male",R652&lt;24.9),"Acceptable",AND(Table13[[#This Row],[Gender]]="male",R652&lt;40),"Obese",AND(Table13[[#This Row],[Gender]]="others",R652&lt;20),"Athletes",AND(Table13[[#This Row],[Gender]]="others",R652&lt;24),"Fitnesss",AND(Table13[[#This Row],[Gender]]="others",R652&lt;31),"Acceptable",AND(Table13[[#This Row],[Gender]]="others",R652&lt;40),"Obese")</f>
        <v>Fitnesss</v>
      </c>
      <c r="R652" s="8">
        <v>13</v>
      </c>
      <c r="S652" s="8">
        <v>1.6</v>
      </c>
      <c r="T652" s="8">
        <v>5</v>
      </c>
      <c r="U652" s="8">
        <v>2</v>
      </c>
      <c r="V652" s="8" t="str">
        <f>IF(Table13[[#This Row],[BMI]]&lt;=18.5,"Underweight",IF(Table13[[#This Row],[BMI]]&lt;=24.9,"Normal",IF(Table13[[#This Row],[BMI]]&lt;=29.9,"Overweight",IF(Table13[[#This Row],[BMI]]&lt;=39,"Obese","Severly Obese"))))</f>
        <v>Normal</v>
      </c>
      <c r="W652" s="18">
        <v>20.83</v>
      </c>
    </row>
    <row r="653" spans="6:23" x14ac:dyDescent="0.3">
      <c r="F653" s="17">
        <v>20</v>
      </c>
      <c r="G653" s="8" t="str">
        <f>IF(Table13[[#This Row],[Age]]&lt;25,"18-24",IF(Table13[[#This Row],[Age]]&lt;35,"25-34",IF(Table13[[#This Row],[Age]]&lt;45,"35-44",IF(Table13[[#This Row],[Age]]&lt;55,"45-54","55-64"))))</f>
        <v>18-24</v>
      </c>
      <c r="H653" s="8" t="s">
        <v>19</v>
      </c>
      <c r="I653" s="8">
        <v>92.8</v>
      </c>
      <c r="J653" s="8">
        <v>2</v>
      </c>
      <c r="K653" s="8">
        <v>195</v>
      </c>
      <c r="L653" s="8">
        <v>154</v>
      </c>
      <c r="M653" s="8">
        <v>58</v>
      </c>
      <c r="N653" s="8">
        <v>1.44</v>
      </c>
      <c r="O653" s="8">
        <v>676</v>
      </c>
      <c r="P653" s="8" t="s">
        <v>22</v>
      </c>
      <c r="Q653" s="8" t="str">
        <f>_xlfn.IFS(AND(Table13[[#This Row],[Gender]]="female",R653&lt;20),"Athletes",AND(Table13[[#This Row],[Gender]]="female",R653&lt;24),"Fitnesss",AND(Table13[[#This Row],[Gender]]="female",R653&lt;31),"Acceptable",AND(Table13[[#This Row],[Gender]]="female",R653&lt;40),"Obese",AND(Table13[[#This Row],[Gender]]="male",R653&lt;13),"Athletes",AND(Table13[[#This Row],[Gender]]="male",R653&lt;17),"Fitnesss",AND(Table13[[#This Row],[Gender]]="male",R653&lt;24.9),"Acceptable",AND(Table13[[#This Row],[Gender]]="male",R653&lt;40),"Obese",AND(Table13[[#This Row],[Gender]]="others",R653&lt;20),"Athletes",AND(Table13[[#This Row],[Gender]]="others",R653&lt;24),"Fitnesss",AND(Table13[[#This Row],[Gender]]="others",R653&lt;31),"Acceptable",AND(Table13[[#This Row],[Gender]]="others",R653&lt;40),"Obese")</f>
        <v>Acceptable</v>
      </c>
      <c r="R653" s="8">
        <v>24.3</v>
      </c>
      <c r="S653" s="8">
        <v>1.5</v>
      </c>
      <c r="T653" s="8">
        <v>4</v>
      </c>
      <c r="U653" s="8">
        <v>2</v>
      </c>
      <c r="V653" s="8" t="str">
        <f>IF(Table13[[#This Row],[BMI]]&lt;=18.5,"Underweight",IF(Table13[[#This Row],[BMI]]&lt;=24.9,"Normal",IF(Table13[[#This Row],[BMI]]&lt;=29.9,"Overweight",IF(Table13[[#This Row],[BMI]]&lt;=39,"Obese","Severly Obese"))))</f>
        <v>Underweight</v>
      </c>
      <c r="W653" s="18">
        <v>16.600000000000001</v>
      </c>
    </row>
    <row r="654" spans="6:23" x14ac:dyDescent="0.3">
      <c r="F654" s="17">
        <v>18</v>
      </c>
      <c r="G654" s="8" t="str">
        <f>IF(Table13[[#This Row],[Age]]&lt;25,"18-24",IF(Table13[[#This Row],[Age]]&lt;35,"25-34",IF(Table13[[#This Row],[Age]]&lt;45,"35-44",IF(Table13[[#This Row],[Age]]&lt;55,"45-54","55-64"))))</f>
        <v>18-24</v>
      </c>
      <c r="H654" s="8" t="s">
        <v>19</v>
      </c>
      <c r="I654" s="8">
        <v>56.2</v>
      </c>
      <c r="J654" s="8">
        <v>1.75</v>
      </c>
      <c r="K654" s="8">
        <v>164</v>
      </c>
      <c r="L654" s="8">
        <v>127</v>
      </c>
      <c r="M654" s="8">
        <v>57</v>
      </c>
      <c r="N654" s="8">
        <v>1.45</v>
      </c>
      <c r="O654" s="8">
        <v>952</v>
      </c>
      <c r="P654" s="8" t="s">
        <v>18</v>
      </c>
      <c r="Q654" s="8" t="str">
        <f>_xlfn.IFS(AND(Table13[[#This Row],[Gender]]="female",R654&lt;20),"Athletes",AND(Table13[[#This Row],[Gender]]="female",R654&lt;24),"Fitnesss",AND(Table13[[#This Row],[Gender]]="female",R654&lt;31),"Acceptable",AND(Table13[[#This Row],[Gender]]="female",R654&lt;40),"Obese",AND(Table13[[#This Row],[Gender]]="male",R654&lt;13),"Athletes",AND(Table13[[#This Row],[Gender]]="male",R654&lt;17),"Fitnesss",AND(Table13[[#This Row],[Gender]]="male",R654&lt;24.9),"Acceptable",AND(Table13[[#This Row],[Gender]]="male",R654&lt;40),"Obese",AND(Table13[[#This Row],[Gender]]="others",R654&lt;20),"Athletes",AND(Table13[[#This Row],[Gender]]="others",R654&lt;24),"Fitnesss",AND(Table13[[#This Row],[Gender]]="others",R654&lt;31),"Acceptable",AND(Table13[[#This Row],[Gender]]="others",R654&lt;40),"Obese")</f>
        <v>Obese</v>
      </c>
      <c r="R654" s="8">
        <v>29.6</v>
      </c>
      <c r="S654" s="8">
        <v>3.5</v>
      </c>
      <c r="T654" s="8">
        <v>4</v>
      </c>
      <c r="U654" s="8">
        <v>3</v>
      </c>
      <c r="V654" s="8" t="str">
        <f>IF(Table13[[#This Row],[BMI]]&lt;=18.5,"Underweight",IF(Table13[[#This Row],[BMI]]&lt;=24.9,"Normal",IF(Table13[[#This Row],[BMI]]&lt;=29.9,"Overweight",IF(Table13[[#This Row],[BMI]]&lt;=39,"Obese","Severly Obese"))))</f>
        <v>Underweight</v>
      </c>
      <c r="W654" s="18">
        <v>17.29</v>
      </c>
    </row>
    <row r="655" spans="6:23" x14ac:dyDescent="0.3">
      <c r="F655" s="17">
        <v>24</v>
      </c>
      <c r="G655" s="8" t="str">
        <f>IF(Table13[[#This Row],[Age]]&lt;25,"18-24",IF(Table13[[#This Row],[Age]]&lt;35,"25-34",IF(Table13[[#This Row],[Age]]&lt;45,"35-44",IF(Table13[[#This Row],[Age]]&lt;55,"45-54","55-64"))))</f>
        <v>18-24</v>
      </c>
      <c r="H655" s="8" t="s">
        <v>17</v>
      </c>
      <c r="I655" s="8">
        <v>65.3</v>
      </c>
      <c r="J655" s="8">
        <v>1.74</v>
      </c>
      <c r="K655" s="8">
        <v>178</v>
      </c>
      <c r="L655" s="8">
        <v>168</v>
      </c>
      <c r="M655" s="8">
        <v>63</v>
      </c>
      <c r="N655" s="8">
        <v>1.1200000000000001</v>
      </c>
      <c r="O655" s="8">
        <v>984</v>
      </c>
      <c r="P655" s="8" t="s">
        <v>21</v>
      </c>
      <c r="Q655" s="8" t="str">
        <f>_xlfn.IFS(AND(Table13[[#This Row],[Gender]]="female",R655&lt;20),"Athletes",AND(Table13[[#This Row],[Gender]]="female",R655&lt;24),"Fitnesss",AND(Table13[[#This Row],[Gender]]="female",R655&lt;31),"Acceptable",AND(Table13[[#This Row],[Gender]]="female",R655&lt;40),"Obese",AND(Table13[[#This Row],[Gender]]="male",R655&lt;13),"Athletes",AND(Table13[[#This Row],[Gender]]="male",R655&lt;17),"Fitnesss",AND(Table13[[#This Row],[Gender]]="male",R655&lt;24.9),"Acceptable",AND(Table13[[#This Row],[Gender]]="male",R655&lt;40),"Obese",AND(Table13[[#This Row],[Gender]]="others",R655&lt;20),"Athletes",AND(Table13[[#This Row],[Gender]]="others",R655&lt;24),"Fitnesss",AND(Table13[[#This Row],[Gender]]="others",R655&lt;31),"Acceptable",AND(Table13[[#This Row],[Gender]]="others",R655&lt;40),"Obese")</f>
        <v>Acceptable</v>
      </c>
      <c r="R655" s="8">
        <v>25.6</v>
      </c>
      <c r="S655" s="8">
        <v>3.3</v>
      </c>
      <c r="T655" s="8">
        <v>4</v>
      </c>
      <c r="U655" s="8">
        <v>2</v>
      </c>
      <c r="V655" s="8" t="str">
        <f>IF(Table13[[#This Row],[BMI]]&lt;=18.5,"Underweight",IF(Table13[[#This Row],[BMI]]&lt;=24.9,"Normal",IF(Table13[[#This Row],[BMI]]&lt;=29.9,"Overweight",IF(Table13[[#This Row],[BMI]]&lt;=39,"Obese","Severly Obese"))))</f>
        <v>Normal</v>
      </c>
      <c r="W655" s="18">
        <v>19.87</v>
      </c>
    </row>
    <row r="656" spans="6:23" x14ac:dyDescent="0.3">
      <c r="F656" s="17">
        <v>37</v>
      </c>
      <c r="G656" s="8" t="str">
        <f>IF(Table13[[#This Row],[Age]]&lt;25,"18-24",IF(Table13[[#This Row],[Age]]&lt;35,"25-34",IF(Table13[[#This Row],[Age]]&lt;45,"35-44",IF(Table13[[#This Row],[Age]]&lt;55,"45-54","55-64"))))</f>
        <v>35-44</v>
      </c>
      <c r="H656" s="8" t="s">
        <v>19</v>
      </c>
      <c r="I656" s="8">
        <v>60.2</v>
      </c>
      <c r="J656" s="8">
        <v>1.76</v>
      </c>
      <c r="K656" s="8">
        <v>194</v>
      </c>
      <c r="L656" s="8">
        <v>169</v>
      </c>
      <c r="M656" s="8">
        <v>72</v>
      </c>
      <c r="N656" s="8">
        <v>1.7</v>
      </c>
      <c r="O656" s="8">
        <v>1114</v>
      </c>
      <c r="P656" s="8" t="s">
        <v>22</v>
      </c>
      <c r="Q656" s="8" t="str">
        <f>_xlfn.IFS(AND(Table13[[#This Row],[Gender]]="female",R656&lt;20),"Athletes",AND(Table13[[#This Row],[Gender]]="female",R656&lt;24),"Fitnesss",AND(Table13[[#This Row],[Gender]]="female",R656&lt;31),"Acceptable",AND(Table13[[#This Row],[Gender]]="female",R656&lt;40),"Obese",AND(Table13[[#This Row],[Gender]]="male",R656&lt;13),"Athletes",AND(Table13[[#This Row],[Gender]]="male",R656&lt;17),"Fitnesss",AND(Table13[[#This Row],[Gender]]="male",R656&lt;24.9),"Acceptable",AND(Table13[[#This Row],[Gender]]="male",R656&lt;40),"Obese",AND(Table13[[#This Row],[Gender]]="others",R656&lt;20),"Athletes",AND(Table13[[#This Row],[Gender]]="others",R656&lt;24),"Fitnesss",AND(Table13[[#This Row],[Gender]]="others",R656&lt;31),"Acceptable",AND(Table13[[#This Row],[Gender]]="others",R656&lt;40),"Obese")</f>
        <v>Obese</v>
      </c>
      <c r="R656" s="8">
        <v>31.4</v>
      </c>
      <c r="S656" s="8">
        <v>1.8</v>
      </c>
      <c r="T656" s="8">
        <v>4</v>
      </c>
      <c r="U656" s="8">
        <v>2</v>
      </c>
      <c r="V656" s="8" t="str">
        <f>IF(Table13[[#This Row],[BMI]]&lt;=18.5,"Underweight",IF(Table13[[#This Row],[BMI]]&lt;=24.9,"Normal",IF(Table13[[#This Row],[BMI]]&lt;=29.9,"Overweight",IF(Table13[[#This Row],[BMI]]&lt;=39,"Obese","Severly Obese"))))</f>
        <v>Obese</v>
      </c>
      <c r="W656" s="18">
        <v>32.81</v>
      </c>
    </row>
    <row r="657" spans="6:23" x14ac:dyDescent="0.3">
      <c r="F657" s="17">
        <v>54</v>
      </c>
      <c r="G657" s="8" t="str">
        <f>IF(Table13[[#This Row],[Age]]&lt;25,"18-24",IF(Table13[[#This Row],[Age]]&lt;35,"25-34",IF(Table13[[#This Row],[Age]]&lt;45,"35-44",IF(Table13[[#This Row],[Age]]&lt;55,"45-54","55-64"))))</f>
        <v>45-54</v>
      </c>
      <c r="H657" s="8" t="s">
        <v>17</v>
      </c>
      <c r="I657" s="8">
        <v>56.6</v>
      </c>
      <c r="J657" s="8">
        <v>1.67</v>
      </c>
      <c r="K657" s="8">
        <v>199</v>
      </c>
      <c r="L657" s="8">
        <v>123</v>
      </c>
      <c r="M657" s="8">
        <v>60</v>
      </c>
      <c r="N657" s="8">
        <v>1.0900000000000001</v>
      </c>
      <c r="O657" s="8">
        <v>962</v>
      </c>
      <c r="P657" s="8" t="s">
        <v>18</v>
      </c>
      <c r="Q657" s="8" t="str">
        <f>_xlfn.IFS(AND(Table13[[#This Row],[Gender]]="female",R657&lt;20),"Athletes",AND(Table13[[#This Row],[Gender]]="female",R657&lt;24),"Fitnesss",AND(Table13[[#This Row],[Gender]]="female",R657&lt;31),"Acceptable",AND(Table13[[#This Row],[Gender]]="female",R657&lt;40),"Obese",AND(Table13[[#This Row],[Gender]]="male",R657&lt;13),"Athletes",AND(Table13[[#This Row],[Gender]]="male",R657&lt;17),"Fitnesss",AND(Table13[[#This Row],[Gender]]="male",R657&lt;24.9),"Acceptable",AND(Table13[[#This Row],[Gender]]="male",R657&lt;40),"Obese",AND(Table13[[#This Row],[Gender]]="others",R657&lt;20),"Athletes",AND(Table13[[#This Row],[Gender]]="others",R657&lt;24),"Fitnesss",AND(Table13[[#This Row],[Gender]]="others",R657&lt;31),"Acceptable",AND(Table13[[#This Row],[Gender]]="others",R657&lt;40),"Obese")</f>
        <v>Acceptable</v>
      </c>
      <c r="R657" s="8">
        <v>25</v>
      </c>
      <c r="S657" s="8">
        <v>3.1</v>
      </c>
      <c r="T657" s="8">
        <v>5</v>
      </c>
      <c r="U657" s="8">
        <v>2</v>
      </c>
      <c r="V657" s="8" t="str">
        <f>IF(Table13[[#This Row],[BMI]]&lt;=18.5,"Underweight",IF(Table13[[#This Row],[BMI]]&lt;=24.9,"Normal",IF(Table13[[#This Row],[BMI]]&lt;=29.9,"Overweight",IF(Table13[[#This Row],[BMI]]&lt;=39,"Obese","Severly Obese"))))</f>
        <v>Underweight</v>
      </c>
      <c r="W657" s="18">
        <v>12.32</v>
      </c>
    </row>
    <row r="658" spans="6:23" x14ac:dyDescent="0.3">
      <c r="F658" s="17">
        <v>30</v>
      </c>
      <c r="G658" s="8" t="str">
        <f>IF(Table13[[#This Row],[Age]]&lt;25,"18-24",IF(Table13[[#This Row],[Age]]&lt;35,"25-34",IF(Table13[[#This Row],[Age]]&lt;45,"35-44",IF(Table13[[#This Row],[Age]]&lt;55,"45-54","55-64"))))</f>
        <v>25-34</v>
      </c>
      <c r="H658" s="8" t="s">
        <v>17</v>
      </c>
      <c r="I658" s="8">
        <v>40</v>
      </c>
      <c r="J658" s="8">
        <v>1.83</v>
      </c>
      <c r="K658" s="8">
        <v>188</v>
      </c>
      <c r="L658" s="8">
        <v>137</v>
      </c>
      <c r="M658" s="8">
        <v>71</v>
      </c>
      <c r="N658" s="8">
        <v>1.47</v>
      </c>
      <c r="O658" s="8">
        <v>1783</v>
      </c>
      <c r="P658" s="8" t="s">
        <v>23</v>
      </c>
      <c r="Q658" s="8" t="str">
        <f>_xlfn.IFS(AND(Table13[[#This Row],[Gender]]="female",R658&lt;20),"Athletes",AND(Table13[[#This Row],[Gender]]="female",R658&lt;24),"Fitnesss",AND(Table13[[#This Row],[Gender]]="female",R658&lt;31),"Acceptable",AND(Table13[[#This Row],[Gender]]="female",R658&lt;40),"Obese",AND(Table13[[#This Row],[Gender]]="male",R658&lt;13),"Athletes",AND(Table13[[#This Row],[Gender]]="male",R658&lt;17),"Fitnesss",AND(Table13[[#This Row],[Gender]]="male",R658&lt;24.9),"Acceptable",AND(Table13[[#This Row],[Gender]]="male",R658&lt;40),"Obese",AND(Table13[[#This Row],[Gender]]="others",R658&lt;20),"Athletes",AND(Table13[[#This Row],[Gender]]="others",R658&lt;24),"Fitnesss",AND(Table13[[#This Row],[Gender]]="others",R658&lt;31),"Acceptable",AND(Table13[[#This Row],[Gender]]="others",R658&lt;40),"Obese")</f>
        <v>Acceptable</v>
      </c>
      <c r="R658" s="8">
        <v>26.9</v>
      </c>
      <c r="S658" s="8">
        <v>3.6</v>
      </c>
      <c r="T658" s="8">
        <v>5</v>
      </c>
      <c r="U658" s="8">
        <v>3</v>
      </c>
      <c r="V658" s="8" t="str">
        <f>IF(Table13[[#This Row],[BMI]]&lt;=18.5,"Underweight",IF(Table13[[#This Row],[BMI]]&lt;=24.9,"Normal",IF(Table13[[#This Row],[BMI]]&lt;=29.9,"Overweight",IF(Table13[[#This Row],[BMI]]&lt;=39,"Obese","Severly Obese"))))</f>
        <v>Normal</v>
      </c>
      <c r="W658" s="18">
        <v>20.309999999999999</v>
      </c>
    </row>
    <row r="659" spans="6:23" x14ac:dyDescent="0.3">
      <c r="F659" s="17">
        <v>21</v>
      </c>
      <c r="G659" s="8" t="str">
        <f>IF(Table13[[#This Row],[Age]]&lt;25,"18-24",IF(Table13[[#This Row],[Age]]&lt;35,"25-34",IF(Table13[[#This Row],[Age]]&lt;45,"35-44",IF(Table13[[#This Row],[Age]]&lt;55,"45-54","55-64"))))</f>
        <v>18-24</v>
      </c>
      <c r="H659" s="8" t="s">
        <v>23</v>
      </c>
      <c r="I659" s="8">
        <v>105.4</v>
      </c>
      <c r="J659" s="8">
        <v>1.77</v>
      </c>
      <c r="K659" s="8">
        <v>188</v>
      </c>
      <c r="L659" s="8">
        <v>169</v>
      </c>
      <c r="M659" s="8">
        <v>72</v>
      </c>
      <c r="N659" s="8">
        <v>1.45</v>
      </c>
      <c r="O659" s="8">
        <v>999</v>
      </c>
      <c r="P659" s="8" t="s">
        <v>18</v>
      </c>
      <c r="Q659" s="8" t="str">
        <f>_xlfn.IFS(AND(Table13[[#This Row],[Gender]]="female",R659&lt;20),"Athletes",AND(Table13[[#This Row],[Gender]]="female",R659&lt;24),"Fitnesss",AND(Table13[[#This Row],[Gender]]="female",R659&lt;31),"Acceptable",AND(Table13[[#This Row],[Gender]]="female",R659&lt;40),"Obese",AND(Table13[[#This Row],[Gender]]="male",R659&lt;13),"Athletes",AND(Table13[[#This Row],[Gender]]="male",R659&lt;17),"Fitnesss",AND(Table13[[#This Row],[Gender]]="male",R659&lt;24.9),"Acceptable",AND(Table13[[#This Row],[Gender]]="male",R659&lt;40),"Obese",AND(Table13[[#This Row],[Gender]]="others",R659&lt;20),"Athletes",AND(Table13[[#This Row],[Gender]]="others",R659&lt;24),"Fitnesss",AND(Table13[[#This Row],[Gender]]="others",R659&lt;31),"Acceptable",AND(Table13[[#This Row],[Gender]]="others",R659&lt;40),"Obese")</f>
        <v>Fitnesss</v>
      </c>
      <c r="R659" s="8">
        <v>22.5</v>
      </c>
      <c r="S659" s="8">
        <v>3.7</v>
      </c>
      <c r="T659" s="8">
        <v>3</v>
      </c>
      <c r="U659" s="8">
        <v>3</v>
      </c>
      <c r="V659" s="8" t="str">
        <f>IF(Table13[[#This Row],[BMI]]&lt;=18.5,"Underweight",IF(Table13[[#This Row],[BMI]]&lt;=24.9,"Normal",IF(Table13[[#This Row],[BMI]]&lt;=29.9,"Overweight",IF(Table13[[#This Row],[BMI]]&lt;=39,"Obese","Severly Obese"))))</f>
        <v>Overweight</v>
      </c>
      <c r="W659" s="18">
        <v>25.09</v>
      </c>
    </row>
    <row r="660" spans="6:23" x14ac:dyDescent="0.3">
      <c r="F660" s="17">
        <v>34</v>
      </c>
      <c r="G660" s="8" t="str">
        <f>IF(Table13[[#This Row],[Age]]&lt;25,"18-24",IF(Table13[[#This Row],[Age]]&lt;35,"25-34",IF(Table13[[#This Row],[Age]]&lt;45,"35-44",IF(Table13[[#This Row],[Age]]&lt;55,"45-54","55-64"))))</f>
        <v>25-34</v>
      </c>
      <c r="H660" s="8" t="s">
        <v>19</v>
      </c>
      <c r="I660" s="8">
        <v>63.8</v>
      </c>
      <c r="J660" s="8">
        <v>1.8</v>
      </c>
      <c r="K660" s="8">
        <v>192</v>
      </c>
      <c r="L660" s="8">
        <v>129</v>
      </c>
      <c r="M660" s="8">
        <v>54</v>
      </c>
      <c r="N660" s="8">
        <v>1.92</v>
      </c>
      <c r="O660" s="8">
        <v>1229</v>
      </c>
      <c r="P660" s="8" t="s">
        <v>20</v>
      </c>
      <c r="Q660" s="8" t="str">
        <f>_xlfn.IFS(AND(Table13[[#This Row],[Gender]]="female",R660&lt;20),"Athletes",AND(Table13[[#This Row],[Gender]]="female",R660&lt;24),"Fitnesss",AND(Table13[[#This Row],[Gender]]="female",R660&lt;31),"Acceptable",AND(Table13[[#This Row],[Gender]]="female",R660&lt;40),"Obese",AND(Table13[[#This Row],[Gender]]="male",R660&lt;13),"Athletes",AND(Table13[[#This Row],[Gender]]="male",R660&lt;17),"Fitnesss",AND(Table13[[#This Row],[Gender]]="male",R660&lt;24.9),"Acceptable",AND(Table13[[#This Row],[Gender]]="male",R660&lt;40),"Obese",AND(Table13[[#This Row],[Gender]]="others",R660&lt;20),"Athletes",AND(Table13[[#This Row],[Gender]]="others",R660&lt;24),"Fitnesss",AND(Table13[[#This Row],[Gender]]="others",R660&lt;31),"Acceptable",AND(Table13[[#This Row],[Gender]]="others",R660&lt;40),"Obese")</f>
        <v>Fitnesss</v>
      </c>
      <c r="R660" s="8">
        <v>13.8</v>
      </c>
      <c r="S660" s="8">
        <v>3.1</v>
      </c>
      <c r="T660" s="8">
        <v>4</v>
      </c>
      <c r="U660" s="8">
        <v>2</v>
      </c>
      <c r="V660" s="8" t="str">
        <f>IF(Table13[[#This Row],[BMI]]&lt;=18.5,"Underweight",IF(Table13[[#This Row],[BMI]]&lt;=24.9,"Normal",IF(Table13[[#This Row],[BMI]]&lt;=29.9,"Overweight",IF(Table13[[#This Row],[BMI]]&lt;=39,"Obese","Severly Obese"))))</f>
        <v>Underweight</v>
      </c>
      <c r="W660" s="18">
        <v>14.24</v>
      </c>
    </row>
    <row r="661" spans="6:23" x14ac:dyDescent="0.3">
      <c r="F661" s="17">
        <v>42</v>
      </c>
      <c r="G661" s="8" t="str">
        <f>IF(Table13[[#This Row],[Age]]&lt;25,"18-24",IF(Table13[[#This Row],[Age]]&lt;35,"25-34",IF(Table13[[#This Row],[Age]]&lt;45,"35-44",IF(Table13[[#This Row],[Age]]&lt;55,"45-54","55-64"))))</f>
        <v>35-44</v>
      </c>
      <c r="H661" s="8" t="s">
        <v>17</v>
      </c>
      <c r="I661" s="8">
        <v>58.4</v>
      </c>
      <c r="J661" s="8">
        <v>1.7</v>
      </c>
      <c r="K661" s="8">
        <v>164</v>
      </c>
      <c r="L661" s="8">
        <v>156</v>
      </c>
      <c r="M661" s="8">
        <v>50</v>
      </c>
      <c r="N661" s="8">
        <v>1.43</v>
      </c>
      <c r="O661" s="8">
        <v>1427</v>
      </c>
      <c r="P661" s="8" t="s">
        <v>18</v>
      </c>
      <c r="Q661" s="8" t="str">
        <f>_xlfn.IFS(AND(Table13[[#This Row],[Gender]]="female",R661&lt;20),"Athletes",AND(Table13[[#This Row],[Gender]]="female",R661&lt;24),"Fitnesss",AND(Table13[[#This Row],[Gender]]="female",R661&lt;31),"Acceptable",AND(Table13[[#This Row],[Gender]]="female",R661&lt;40),"Obese",AND(Table13[[#This Row],[Gender]]="male",R661&lt;13),"Athletes",AND(Table13[[#This Row],[Gender]]="male",R661&lt;17),"Fitnesss",AND(Table13[[#This Row],[Gender]]="male",R661&lt;24.9),"Acceptable",AND(Table13[[#This Row],[Gender]]="male",R661&lt;40),"Obese",AND(Table13[[#This Row],[Gender]]="others",R661&lt;20),"Athletes",AND(Table13[[#This Row],[Gender]]="others",R661&lt;24),"Fitnesss",AND(Table13[[#This Row],[Gender]]="others",R661&lt;31),"Acceptable",AND(Table13[[#This Row],[Gender]]="others",R661&lt;40),"Obese")</f>
        <v>Fitnesss</v>
      </c>
      <c r="R661" s="8">
        <v>23.6</v>
      </c>
      <c r="S661" s="8">
        <v>2.5</v>
      </c>
      <c r="T661" s="8"/>
      <c r="U661" s="8">
        <v>1</v>
      </c>
      <c r="V661" s="8" t="str">
        <f>IF(Table13[[#This Row],[BMI]]&lt;=18.5,"Underweight",IF(Table13[[#This Row],[BMI]]&lt;=24.9,"Normal",IF(Table13[[#This Row],[BMI]]&lt;=29.9,"Overweight",IF(Table13[[#This Row],[BMI]]&lt;=39,"Obese","Severly Obese"))))</f>
        <v>Underweight</v>
      </c>
      <c r="W661" s="18">
        <v>16.68</v>
      </c>
    </row>
    <row r="662" spans="6:23" x14ac:dyDescent="0.3">
      <c r="F662" s="17">
        <v>43</v>
      </c>
      <c r="G662" s="8" t="str">
        <f>IF(Table13[[#This Row],[Age]]&lt;25,"18-24",IF(Table13[[#This Row],[Age]]&lt;35,"25-34",IF(Table13[[#This Row],[Age]]&lt;45,"35-44",IF(Table13[[#This Row],[Age]]&lt;55,"45-54","55-64"))))</f>
        <v>35-44</v>
      </c>
      <c r="H662" s="8" t="s">
        <v>17</v>
      </c>
      <c r="I662" s="8">
        <v>43.9</v>
      </c>
      <c r="J662" s="8">
        <v>1.82</v>
      </c>
      <c r="K662" s="8">
        <v>173</v>
      </c>
      <c r="L662" s="8">
        <v>164</v>
      </c>
      <c r="M662" s="8">
        <v>72</v>
      </c>
      <c r="N662" s="8">
        <v>1.61</v>
      </c>
      <c r="O662" s="8">
        <v>567</v>
      </c>
      <c r="P662" s="8" t="s">
        <v>21</v>
      </c>
      <c r="Q662" s="8" t="str">
        <f>_xlfn.IFS(AND(Table13[[#This Row],[Gender]]="female",R662&lt;20),"Athletes",AND(Table13[[#This Row],[Gender]]="female",R662&lt;24),"Fitnesss",AND(Table13[[#This Row],[Gender]]="female",R662&lt;31),"Acceptable",AND(Table13[[#This Row],[Gender]]="female",R662&lt;40),"Obese",AND(Table13[[#This Row],[Gender]]="male",R662&lt;13),"Athletes",AND(Table13[[#This Row],[Gender]]="male",R662&lt;17),"Fitnesss",AND(Table13[[#This Row],[Gender]]="male",R662&lt;24.9),"Acceptable",AND(Table13[[#This Row],[Gender]]="male",R662&lt;40),"Obese",AND(Table13[[#This Row],[Gender]]="others",R662&lt;20),"Athletes",AND(Table13[[#This Row],[Gender]]="others",R662&lt;24),"Fitnesss",AND(Table13[[#This Row],[Gender]]="others",R662&lt;31),"Acceptable",AND(Table13[[#This Row],[Gender]]="others",R662&lt;40),"Obese")</f>
        <v>Athletes</v>
      </c>
      <c r="R662" s="8">
        <v>16.3</v>
      </c>
      <c r="S662" s="8">
        <v>3.2</v>
      </c>
      <c r="T662" s="8">
        <v>3</v>
      </c>
      <c r="U662" s="8">
        <v>1</v>
      </c>
      <c r="V662" s="8" t="str">
        <f>IF(Table13[[#This Row],[BMI]]&lt;=18.5,"Underweight",IF(Table13[[#This Row],[BMI]]&lt;=24.9,"Normal",IF(Table13[[#This Row],[BMI]]&lt;=29.9,"Overweight",IF(Table13[[#This Row],[BMI]]&lt;=39,"Obese","Severly Obese"))))</f>
        <v>Normal</v>
      </c>
      <c r="W662" s="18">
        <v>19.29</v>
      </c>
    </row>
    <row r="663" spans="6:23" x14ac:dyDescent="0.3">
      <c r="F663" s="17">
        <v>24</v>
      </c>
      <c r="G663" s="8" t="str">
        <f>IF(Table13[[#This Row],[Age]]&lt;25,"18-24",IF(Table13[[#This Row],[Age]]&lt;35,"25-34",IF(Table13[[#This Row],[Age]]&lt;45,"35-44",IF(Table13[[#This Row],[Age]]&lt;55,"45-54","55-64"))))</f>
        <v>18-24</v>
      </c>
      <c r="H663" s="8" t="s">
        <v>19</v>
      </c>
      <c r="I663" s="8">
        <v>46</v>
      </c>
      <c r="J663" s="8">
        <v>1.71</v>
      </c>
      <c r="K663" s="8" t="s">
        <v>25</v>
      </c>
      <c r="L663" s="8">
        <v>126</v>
      </c>
      <c r="M663" s="8">
        <v>59</v>
      </c>
      <c r="N663" s="8">
        <v>1.18</v>
      </c>
      <c r="O663" s="8">
        <v>1725</v>
      </c>
      <c r="P663" s="8" t="s">
        <v>18</v>
      </c>
      <c r="Q663" s="8" t="str">
        <f>_xlfn.IFS(AND(Table13[[#This Row],[Gender]]="female",R663&lt;20),"Athletes",AND(Table13[[#This Row],[Gender]]="female",R663&lt;24),"Fitnesss",AND(Table13[[#This Row],[Gender]]="female",R663&lt;31),"Acceptable",AND(Table13[[#This Row],[Gender]]="female",R663&lt;40),"Obese",AND(Table13[[#This Row],[Gender]]="male",R663&lt;13),"Athletes",AND(Table13[[#This Row],[Gender]]="male",R663&lt;17),"Fitnesss",AND(Table13[[#This Row],[Gender]]="male",R663&lt;24.9),"Acceptable",AND(Table13[[#This Row],[Gender]]="male",R663&lt;40),"Obese",AND(Table13[[#This Row],[Gender]]="others",R663&lt;20),"Athletes",AND(Table13[[#This Row],[Gender]]="others",R663&lt;24),"Fitnesss",AND(Table13[[#This Row],[Gender]]="others",R663&lt;31),"Acceptable",AND(Table13[[#This Row],[Gender]]="others",R663&lt;40),"Obese")</f>
        <v>Obese</v>
      </c>
      <c r="R663" s="8">
        <v>26.1</v>
      </c>
      <c r="S663" s="8">
        <v>1.5</v>
      </c>
      <c r="T663" s="8">
        <v>2</v>
      </c>
      <c r="U663" s="8">
        <v>1</v>
      </c>
      <c r="V663" s="8" t="str">
        <f>IF(Table13[[#This Row],[BMI]]&lt;=18.5,"Underweight",IF(Table13[[#This Row],[BMI]]&lt;=24.9,"Normal",IF(Table13[[#This Row],[BMI]]&lt;=29.9,"Overweight",IF(Table13[[#This Row],[BMI]]&lt;=39,"Obese","Severly Obese"))))</f>
        <v>Underweight</v>
      </c>
      <c r="W663" s="18">
        <v>15.44</v>
      </c>
    </row>
    <row r="664" spans="6:23" x14ac:dyDescent="0.3">
      <c r="F664" s="17">
        <v>37</v>
      </c>
      <c r="G664" s="8" t="str">
        <f>IF(Table13[[#This Row],[Age]]&lt;25,"18-24",IF(Table13[[#This Row],[Age]]&lt;35,"25-34",IF(Table13[[#This Row],[Age]]&lt;45,"35-44",IF(Table13[[#This Row],[Age]]&lt;55,"45-54","55-64"))))</f>
        <v>35-44</v>
      </c>
      <c r="H664" s="8" t="s">
        <v>17</v>
      </c>
      <c r="I664" s="8">
        <v>58</v>
      </c>
      <c r="J664" s="8">
        <v>1.89</v>
      </c>
      <c r="K664" s="8" t="s">
        <v>24</v>
      </c>
      <c r="L664" s="8">
        <v>163</v>
      </c>
      <c r="M664" s="8">
        <v>72</v>
      </c>
      <c r="N664" s="8">
        <v>1.39</v>
      </c>
      <c r="O664" s="8">
        <v>1156</v>
      </c>
      <c r="P664" s="8" t="s">
        <v>22</v>
      </c>
      <c r="Q664" s="8" t="str">
        <f>_xlfn.IFS(AND(Table13[[#This Row],[Gender]]="female",R664&lt;20),"Athletes",AND(Table13[[#This Row],[Gender]]="female",R664&lt;24),"Fitnesss",AND(Table13[[#This Row],[Gender]]="female",R664&lt;31),"Acceptable",AND(Table13[[#This Row],[Gender]]="female",R664&lt;40),"Obese",AND(Table13[[#This Row],[Gender]]="male",R664&lt;13),"Athletes",AND(Table13[[#This Row],[Gender]]="male",R664&lt;17),"Fitnesss",AND(Table13[[#This Row],[Gender]]="male",R664&lt;24.9),"Acceptable",AND(Table13[[#This Row],[Gender]]="male",R664&lt;40),"Obese",AND(Table13[[#This Row],[Gender]]="others",R664&lt;20),"Athletes",AND(Table13[[#This Row],[Gender]]="others",R664&lt;24),"Fitnesss",AND(Table13[[#This Row],[Gender]]="others",R664&lt;31),"Acceptable",AND(Table13[[#This Row],[Gender]]="others",R664&lt;40),"Obese")</f>
        <v>Acceptable</v>
      </c>
      <c r="R664" s="8">
        <v>26</v>
      </c>
      <c r="S664" s="8">
        <v>3.4</v>
      </c>
      <c r="T664" s="8">
        <v>5</v>
      </c>
      <c r="U664" s="8">
        <v>2</v>
      </c>
      <c r="V664" s="8" t="str">
        <f>IF(Table13[[#This Row],[BMI]]&lt;=18.5,"Underweight",IF(Table13[[#This Row],[BMI]]&lt;=24.9,"Normal",IF(Table13[[#This Row],[BMI]]&lt;=29.9,"Overweight",IF(Table13[[#This Row],[BMI]]&lt;=39,"Obese","Severly Obese"))))</f>
        <v>Normal</v>
      </c>
      <c r="W664" s="18">
        <v>23.79</v>
      </c>
    </row>
    <row r="665" spans="6:23" x14ac:dyDescent="0.3">
      <c r="F665" s="17">
        <v>55</v>
      </c>
      <c r="G665" s="8" t="str">
        <f>IF(Table13[[#This Row],[Age]]&lt;25,"18-24",IF(Table13[[#This Row],[Age]]&lt;35,"25-34",IF(Table13[[#This Row],[Age]]&lt;45,"35-44",IF(Table13[[#This Row],[Age]]&lt;55,"45-54","55-64"))))</f>
        <v>55-64</v>
      </c>
      <c r="H665" s="8" t="s">
        <v>17</v>
      </c>
      <c r="I665" s="8">
        <v>91.1</v>
      </c>
      <c r="J665" s="8">
        <v>1.85</v>
      </c>
      <c r="K665" s="8">
        <v>190</v>
      </c>
      <c r="L665" s="8">
        <v>149</v>
      </c>
      <c r="M665" s="8">
        <v>74</v>
      </c>
      <c r="N665" s="8">
        <v>1.49</v>
      </c>
      <c r="O665" s="8">
        <v>649</v>
      </c>
      <c r="P665" s="8" t="s">
        <v>18</v>
      </c>
      <c r="Q665" s="8" t="str">
        <f>_xlfn.IFS(AND(Table13[[#This Row],[Gender]]="female",R665&lt;20),"Athletes",AND(Table13[[#This Row],[Gender]]="female",R665&lt;24),"Fitnesss",AND(Table13[[#This Row],[Gender]]="female",R665&lt;31),"Acceptable",AND(Table13[[#This Row],[Gender]]="female",R665&lt;40),"Obese",AND(Table13[[#This Row],[Gender]]="male",R665&lt;13),"Athletes",AND(Table13[[#This Row],[Gender]]="male",R665&lt;17),"Fitnesss",AND(Table13[[#This Row],[Gender]]="male",R665&lt;24.9),"Acceptable",AND(Table13[[#This Row],[Gender]]="male",R665&lt;40),"Obese",AND(Table13[[#This Row],[Gender]]="others",R665&lt;20),"Athletes",AND(Table13[[#This Row],[Gender]]="others",R665&lt;24),"Fitnesss",AND(Table13[[#This Row],[Gender]]="others",R665&lt;31),"Acceptable",AND(Table13[[#This Row],[Gender]]="others",R665&lt;40),"Obese")</f>
        <v>Obese</v>
      </c>
      <c r="R665" s="8">
        <v>31.8</v>
      </c>
      <c r="S665" s="8">
        <v>3</v>
      </c>
      <c r="T665" s="8">
        <v>3</v>
      </c>
      <c r="U665" s="8">
        <v>1</v>
      </c>
      <c r="V665" s="8" t="str">
        <f>IF(Table13[[#This Row],[BMI]]&lt;=18.5,"Underweight",IF(Table13[[#This Row],[BMI]]&lt;=24.9,"Normal",IF(Table13[[#This Row],[BMI]]&lt;=29.9,"Overweight",IF(Table13[[#This Row],[BMI]]&lt;=39,"Obese","Severly Obese"))))</f>
        <v>Overweight</v>
      </c>
      <c r="W665" s="18">
        <v>29.5</v>
      </c>
    </row>
    <row r="666" spans="6:23" x14ac:dyDescent="0.3">
      <c r="F666" s="17">
        <v>43</v>
      </c>
      <c r="G666" s="8" t="str">
        <f>IF(Table13[[#This Row],[Age]]&lt;25,"18-24",IF(Table13[[#This Row],[Age]]&lt;35,"25-34",IF(Table13[[#This Row],[Age]]&lt;45,"35-44",IF(Table13[[#This Row],[Age]]&lt;55,"45-54","55-64"))))</f>
        <v>35-44</v>
      </c>
      <c r="H666" s="8" t="s">
        <v>17</v>
      </c>
      <c r="I666" s="8">
        <v>40</v>
      </c>
      <c r="J666" s="8">
        <v>1.55</v>
      </c>
      <c r="K666" s="8">
        <v>172</v>
      </c>
      <c r="L666" s="8">
        <v>159</v>
      </c>
      <c r="M666" s="8">
        <v>59</v>
      </c>
      <c r="N666" s="8">
        <v>1.28</v>
      </c>
      <c r="O666" s="8">
        <v>1480</v>
      </c>
      <c r="P666" s="8" t="s">
        <v>22</v>
      </c>
      <c r="Q666" s="8" t="str">
        <f>_xlfn.IFS(AND(Table13[[#This Row],[Gender]]="female",R666&lt;20),"Athletes",AND(Table13[[#This Row],[Gender]]="female",R666&lt;24),"Fitnesss",AND(Table13[[#This Row],[Gender]]="female",R666&lt;31),"Acceptable",AND(Table13[[#This Row],[Gender]]="female",R666&lt;40),"Obese",AND(Table13[[#This Row],[Gender]]="male",R666&lt;13),"Athletes",AND(Table13[[#This Row],[Gender]]="male",R666&lt;17),"Fitnesss",AND(Table13[[#This Row],[Gender]]="male",R666&lt;24.9),"Acceptable",AND(Table13[[#This Row],[Gender]]="male",R666&lt;40),"Obese",AND(Table13[[#This Row],[Gender]]="others",R666&lt;20),"Athletes",AND(Table13[[#This Row],[Gender]]="others",R666&lt;24),"Fitnesss",AND(Table13[[#This Row],[Gender]]="others",R666&lt;31),"Acceptable",AND(Table13[[#This Row],[Gender]]="others",R666&lt;40),"Obese")</f>
        <v>Athletes</v>
      </c>
      <c r="R666" s="8">
        <v>19.899999999999999</v>
      </c>
      <c r="S666" s="8">
        <v>3</v>
      </c>
      <c r="T666" s="8">
        <v>3</v>
      </c>
      <c r="U666" s="8">
        <v>3</v>
      </c>
      <c r="V666" s="8" t="str">
        <f>IF(Table13[[#This Row],[BMI]]&lt;=18.5,"Underweight",IF(Table13[[#This Row],[BMI]]&lt;=24.9,"Normal",IF(Table13[[#This Row],[BMI]]&lt;=29.9,"Overweight",IF(Table13[[#This Row],[BMI]]&lt;=39,"Obese","Severly Obese"))))</f>
        <v>Normal</v>
      </c>
      <c r="W666" s="18">
        <v>21.42</v>
      </c>
    </row>
    <row r="667" spans="6:23" x14ac:dyDescent="0.3">
      <c r="F667" s="17">
        <v>59</v>
      </c>
      <c r="G667" s="8" t="str">
        <f>IF(Table13[[#This Row],[Age]]&lt;25,"18-24",IF(Table13[[#This Row],[Age]]&lt;35,"25-34",IF(Table13[[#This Row],[Age]]&lt;45,"35-44",IF(Table13[[#This Row],[Age]]&lt;55,"45-54","55-64"))))</f>
        <v>55-64</v>
      </c>
      <c r="H667" s="8" t="s">
        <v>19</v>
      </c>
      <c r="I667" s="8">
        <v>40</v>
      </c>
      <c r="J667" s="8"/>
      <c r="K667" s="8">
        <v>185</v>
      </c>
      <c r="L667" s="8">
        <v>132</v>
      </c>
      <c r="M667" s="8">
        <v>50</v>
      </c>
      <c r="N667" s="8">
        <v>1.32</v>
      </c>
      <c r="O667" s="8">
        <v>1266</v>
      </c>
      <c r="P667" s="8" t="s">
        <v>21</v>
      </c>
      <c r="Q667" s="8" t="str">
        <f>_xlfn.IFS(AND(Table13[[#This Row],[Gender]]="female",R667&lt;20),"Athletes",AND(Table13[[#This Row],[Gender]]="female",R667&lt;24),"Fitnesss",AND(Table13[[#This Row],[Gender]]="female",R667&lt;31),"Acceptable",AND(Table13[[#This Row],[Gender]]="female",R667&lt;40),"Obese",AND(Table13[[#This Row],[Gender]]="male",R667&lt;13),"Athletes",AND(Table13[[#This Row],[Gender]]="male",R667&lt;17),"Fitnesss",AND(Table13[[#This Row],[Gender]]="male",R667&lt;24.9),"Acceptable",AND(Table13[[#This Row],[Gender]]="male",R667&lt;40),"Obese",AND(Table13[[#This Row],[Gender]]="others",R667&lt;20),"Athletes",AND(Table13[[#This Row],[Gender]]="others",R667&lt;24),"Fitnesss",AND(Table13[[#This Row],[Gender]]="others",R667&lt;31),"Acceptable",AND(Table13[[#This Row],[Gender]]="others",R667&lt;40),"Obese")</f>
        <v>Acceptable</v>
      </c>
      <c r="R667" s="8">
        <v>22.7</v>
      </c>
      <c r="S667" s="8">
        <v>2.2999999999999998</v>
      </c>
      <c r="T667" s="8">
        <v>4</v>
      </c>
      <c r="U667" s="8">
        <v>3</v>
      </c>
      <c r="V667" s="8" t="str">
        <f>IF(Table13[[#This Row],[BMI]]&lt;=18.5,"Underweight",IF(Table13[[#This Row],[BMI]]&lt;=24.9,"Normal",IF(Table13[[#This Row],[BMI]]&lt;=29.9,"Overweight",IF(Table13[[#This Row],[BMI]]&lt;=39,"Obese","Severly Obese"))))</f>
        <v>Underweight</v>
      </c>
      <c r="W667" s="18">
        <v>12.32</v>
      </c>
    </row>
    <row r="668" spans="6:23" x14ac:dyDescent="0.3">
      <c r="F668" s="17">
        <v>49</v>
      </c>
      <c r="G668" s="8" t="str">
        <f>IF(Table13[[#This Row],[Age]]&lt;25,"18-24",IF(Table13[[#This Row],[Age]]&lt;35,"25-34",IF(Table13[[#This Row],[Age]]&lt;45,"35-44",IF(Table13[[#This Row],[Age]]&lt;55,"45-54","55-64"))))</f>
        <v>45-54</v>
      </c>
      <c r="H668" s="8" t="s">
        <v>17</v>
      </c>
      <c r="I668" s="8">
        <v>40</v>
      </c>
      <c r="J668" s="8">
        <v>1.89</v>
      </c>
      <c r="K668" s="8">
        <v>192</v>
      </c>
      <c r="L668" s="8">
        <v>168</v>
      </c>
      <c r="M668" s="8">
        <v>50</v>
      </c>
      <c r="N668" s="8">
        <v>1.51</v>
      </c>
      <c r="O668" s="8">
        <v>837</v>
      </c>
      <c r="P668" s="8" t="s">
        <v>18</v>
      </c>
      <c r="Q668" s="8" t="str">
        <f>_xlfn.IFS(AND(Table13[[#This Row],[Gender]]="female",R668&lt;20),"Athletes",AND(Table13[[#This Row],[Gender]]="female",R668&lt;24),"Fitnesss",AND(Table13[[#This Row],[Gender]]="female",R668&lt;31),"Acceptable",AND(Table13[[#This Row],[Gender]]="female",R668&lt;40),"Obese",AND(Table13[[#This Row],[Gender]]="male",R668&lt;13),"Athletes",AND(Table13[[#This Row],[Gender]]="male",R668&lt;17),"Fitnesss",AND(Table13[[#This Row],[Gender]]="male",R668&lt;24.9),"Acceptable",AND(Table13[[#This Row],[Gender]]="male",R668&lt;40),"Obese",AND(Table13[[#This Row],[Gender]]="others",R668&lt;20),"Athletes",AND(Table13[[#This Row],[Gender]]="others",R668&lt;24),"Fitnesss",AND(Table13[[#This Row],[Gender]]="others",R668&lt;31),"Acceptable",AND(Table13[[#This Row],[Gender]]="others",R668&lt;40),"Obese")</f>
        <v>Acceptable</v>
      </c>
      <c r="R668" s="8">
        <v>29.4</v>
      </c>
      <c r="S668" s="8">
        <v>3.5</v>
      </c>
      <c r="T668" s="8">
        <v>3</v>
      </c>
      <c r="U668" s="8">
        <v>1</v>
      </c>
      <c r="V668" s="8" t="str">
        <f>IF(Table13[[#This Row],[BMI]]&lt;=18.5,"Underweight",IF(Table13[[#This Row],[BMI]]&lt;=24.9,"Normal",IF(Table13[[#This Row],[BMI]]&lt;=29.9,"Overweight",IF(Table13[[#This Row],[BMI]]&lt;=39,"Obese","Severly Obese"))))</f>
        <v>Underweight</v>
      </c>
      <c r="W668" s="18">
        <v>16.63</v>
      </c>
    </row>
    <row r="669" spans="6:23" x14ac:dyDescent="0.3">
      <c r="F669" s="17">
        <v>27</v>
      </c>
      <c r="G669" s="8" t="str">
        <f>IF(Table13[[#This Row],[Age]]&lt;25,"18-24",IF(Table13[[#This Row],[Age]]&lt;35,"25-34",IF(Table13[[#This Row],[Age]]&lt;45,"35-44",IF(Table13[[#This Row],[Age]]&lt;55,"45-54","55-64"))))</f>
        <v>25-34</v>
      </c>
      <c r="H669" s="8" t="s">
        <v>17</v>
      </c>
      <c r="I669" s="8">
        <v>96.8</v>
      </c>
      <c r="J669" s="8">
        <v>1.73</v>
      </c>
      <c r="K669" s="8">
        <v>174</v>
      </c>
      <c r="L669" s="8">
        <v>136</v>
      </c>
      <c r="M669" s="8">
        <v>71</v>
      </c>
      <c r="N669" s="8">
        <v>1.91</v>
      </c>
      <c r="O669" s="8">
        <v>887</v>
      </c>
      <c r="P669" s="8" t="s">
        <v>18</v>
      </c>
      <c r="Q669" s="8" t="str">
        <f>_xlfn.IFS(AND(Table13[[#This Row],[Gender]]="female",R669&lt;20),"Athletes",AND(Table13[[#This Row],[Gender]]="female",R669&lt;24),"Fitnesss",AND(Table13[[#This Row],[Gender]]="female",R669&lt;31),"Acceptable",AND(Table13[[#This Row],[Gender]]="female",R669&lt;40),"Obese",AND(Table13[[#This Row],[Gender]]="male",R669&lt;13),"Athletes",AND(Table13[[#This Row],[Gender]]="male",R669&lt;17),"Fitnesss",AND(Table13[[#This Row],[Gender]]="male",R669&lt;24.9),"Acceptable",AND(Table13[[#This Row],[Gender]]="male",R669&lt;40),"Obese",AND(Table13[[#This Row],[Gender]]="others",R669&lt;20),"Athletes",AND(Table13[[#This Row],[Gender]]="others",R669&lt;24),"Fitnesss",AND(Table13[[#This Row],[Gender]]="others",R669&lt;31),"Acceptable",AND(Table13[[#This Row],[Gender]]="others",R669&lt;40),"Obese")</f>
        <v>Obese</v>
      </c>
      <c r="R669" s="8">
        <v>31.7</v>
      </c>
      <c r="S669" s="8">
        <v>2.6</v>
      </c>
      <c r="T669" s="8">
        <v>3</v>
      </c>
      <c r="U669" s="8">
        <v>2</v>
      </c>
      <c r="V669" s="8" t="str">
        <f>IF(Table13[[#This Row],[BMI]]&lt;=18.5,"Underweight",IF(Table13[[#This Row],[BMI]]&lt;=24.9,"Normal",IF(Table13[[#This Row],[BMI]]&lt;=29.9,"Overweight",IF(Table13[[#This Row],[BMI]]&lt;=39,"Obese","Severly Obese"))))</f>
        <v>Normal</v>
      </c>
      <c r="W669" s="18">
        <v>19.05</v>
      </c>
    </row>
    <row r="670" spans="6:23" x14ac:dyDescent="0.3">
      <c r="F670" s="17">
        <v>18</v>
      </c>
      <c r="G670" s="8" t="str">
        <f>IF(Table13[[#This Row],[Age]]&lt;25,"18-24",IF(Table13[[#This Row],[Age]]&lt;35,"25-34",IF(Table13[[#This Row],[Age]]&lt;45,"35-44",IF(Table13[[#This Row],[Age]]&lt;55,"45-54","55-64"))))</f>
        <v>18-24</v>
      </c>
      <c r="H670" s="8" t="s">
        <v>19</v>
      </c>
      <c r="I670" s="8">
        <v>80.5</v>
      </c>
      <c r="J670" s="8"/>
      <c r="K670" s="8">
        <v>196</v>
      </c>
      <c r="L670" s="8">
        <v>159</v>
      </c>
      <c r="M670" s="8">
        <v>55</v>
      </c>
      <c r="N670" s="8">
        <v>2</v>
      </c>
      <c r="O670" s="8">
        <v>816</v>
      </c>
      <c r="P670" s="8" t="s">
        <v>22</v>
      </c>
      <c r="Q670" s="8" t="str">
        <f>_xlfn.IFS(AND(Table13[[#This Row],[Gender]]="female",R670&lt;20),"Athletes",AND(Table13[[#This Row],[Gender]]="female",R670&lt;24),"Fitnesss",AND(Table13[[#This Row],[Gender]]="female",R670&lt;31),"Acceptable",AND(Table13[[#This Row],[Gender]]="female",R670&lt;40),"Obese",AND(Table13[[#This Row],[Gender]]="male",R670&lt;13),"Athletes",AND(Table13[[#This Row],[Gender]]="male",R670&lt;17),"Fitnesss",AND(Table13[[#This Row],[Gender]]="male",R670&lt;24.9),"Acceptable",AND(Table13[[#This Row],[Gender]]="male",R670&lt;40),"Obese",AND(Table13[[#This Row],[Gender]]="others",R670&lt;20),"Athletes",AND(Table13[[#This Row],[Gender]]="others",R670&lt;24),"Fitnesss",AND(Table13[[#This Row],[Gender]]="others",R670&lt;31),"Acceptable",AND(Table13[[#This Row],[Gender]]="others",R670&lt;40),"Obese")</f>
        <v>Obese</v>
      </c>
      <c r="R670" s="8">
        <v>25.2</v>
      </c>
      <c r="S670" s="8">
        <v>2.2999999999999998</v>
      </c>
      <c r="T670" s="8">
        <v>2</v>
      </c>
      <c r="U670" s="8">
        <v>1</v>
      </c>
      <c r="V670" s="8" t="str">
        <f>IF(Table13[[#This Row],[BMI]]&lt;=18.5,"Underweight",IF(Table13[[#This Row],[BMI]]&lt;=24.9,"Normal",IF(Table13[[#This Row],[BMI]]&lt;=29.9,"Overweight",IF(Table13[[#This Row],[BMI]]&lt;=39,"Obese","Severly Obese"))))</f>
        <v>Normal</v>
      </c>
      <c r="W670" s="18">
        <v>22.13</v>
      </c>
    </row>
    <row r="671" spans="6:23" x14ac:dyDescent="0.3">
      <c r="F671" s="17">
        <v>36</v>
      </c>
      <c r="G671" s="8" t="str">
        <f>IF(Table13[[#This Row],[Age]]&lt;25,"18-24",IF(Table13[[#This Row],[Age]]&lt;35,"25-34",IF(Table13[[#This Row],[Age]]&lt;45,"35-44",IF(Table13[[#This Row],[Age]]&lt;55,"45-54","55-64"))))</f>
        <v>35-44</v>
      </c>
      <c r="H671" s="8" t="s">
        <v>19</v>
      </c>
      <c r="I671" s="8">
        <v>69</v>
      </c>
      <c r="J671" s="8">
        <v>1.76</v>
      </c>
      <c r="K671" s="8">
        <v>191</v>
      </c>
      <c r="L671" s="8">
        <v>153</v>
      </c>
      <c r="M671" s="8">
        <v>73</v>
      </c>
      <c r="N671" s="8">
        <v>1.01</v>
      </c>
      <c r="O671" s="8">
        <v>1276</v>
      </c>
      <c r="P671" s="8" t="s">
        <v>23</v>
      </c>
      <c r="Q671" s="8" t="str">
        <f>_xlfn.IFS(AND(Table13[[#This Row],[Gender]]="female",R671&lt;20),"Athletes",AND(Table13[[#This Row],[Gender]]="female",R671&lt;24),"Fitnesss",AND(Table13[[#This Row],[Gender]]="female",R671&lt;31),"Acceptable",AND(Table13[[#This Row],[Gender]]="female",R671&lt;40),"Obese",AND(Table13[[#This Row],[Gender]]="male",R671&lt;13),"Athletes",AND(Table13[[#This Row],[Gender]]="male",R671&lt;17),"Fitnesss",AND(Table13[[#This Row],[Gender]]="male",R671&lt;24.9),"Acceptable",AND(Table13[[#This Row],[Gender]]="male",R671&lt;40),"Obese",AND(Table13[[#This Row],[Gender]]="others",R671&lt;20),"Athletes",AND(Table13[[#This Row],[Gender]]="others",R671&lt;24),"Fitnesss",AND(Table13[[#This Row],[Gender]]="others",R671&lt;31),"Acceptable",AND(Table13[[#This Row],[Gender]]="others",R671&lt;40),"Obese")</f>
        <v>Fitnesss</v>
      </c>
      <c r="R671" s="8">
        <v>16.7</v>
      </c>
      <c r="S671" s="8">
        <v>2.9</v>
      </c>
      <c r="T671" s="8">
        <v>4</v>
      </c>
      <c r="U671" s="8">
        <v>1</v>
      </c>
      <c r="V671" s="8" t="str">
        <f>IF(Table13[[#This Row],[BMI]]&lt;=18.5,"Underweight",IF(Table13[[#This Row],[BMI]]&lt;=24.9,"Normal",IF(Table13[[#This Row],[BMI]]&lt;=29.9,"Overweight",IF(Table13[[#This Row],[BMI]]&lt;=39,"Obese","Severly Obese"))))</f>
        <v>Underweight</v>
      </c>
      <c r="W671" s="18">
        <v>13.89</v>
      </c>
    </row>
    <row r="672" spans="6:23" x14ac:dyDescent="0.3">
      <c r="F672" s="17">
        <v>20</v>
      </c>
      <c r="G672" s="8" t="str">
        <f>IF(Table13[[#This Row],[Age]]&lt;25,"18-24",IF(Table13[[#This Row],[Age]]&lt;35,"25-34",IF(Table13[[#This Row],[Age]]&lt;45,"35-44",IF(Table13[[#This Row],[Age]]&lt;55,"45-54","55-64"))))</f>
        <v>18-24</v>
      </c>
      <c r="H672" s="8" t="s">
        <v>19</v>
      </c>
      <c r="I672" s="8">
        <v>43.5</v>
      </c>
      <c r="J672" s="8">
        <v>1.52</v>
      </c>
      <c r="K672" s="8">
        <v>189</v>
      </c>
      <c r="L672" s="8">
        <v>146</v>
      </c>
      <c r="M672" s="8">
        <v>63</v>
      </c>
      <c r="N672" s="8">
        <v>2</v>
      </c>
      <c r="O672" s="8">
        <v>1213</v>
      </c>
      <c r="P672" s="8" t="s">
        <v>18</v>
      </c>
      <c r="Q672" s="8" t="str">
        <f>_xlfn.IFS(AND(Table13[[#This Row],[Gender]]="female",R672&lt;20),"Athletes",AND(Table13[[#This Row],[Gender]]="female",R672&lt;24),"Fitnesss",AND(Table13[[#This Row],[Gender]]="female",R672&lt;31),"Acceptable",AND(Table13[[#This Row],[Gender]]="female",R672&lt;40),"Obese",AND(Table13[[#This Row],[Gender]]="male",R672&lt;13),"Athletes",AND(Table13[[#This Row],[Gender]]="male",R672&lt;17),"Fitnesss",AND(Table13[[#This Row],[Gender]]="male",R672&lt;24.9),"Acceptable",AND(Table13[[#This Row],[Gender]]="male",R672&lt;40),"Obese",AND(Table13[[#This Row],[Gender]]="others",R672&lt;20),"Athletes",AND(Table13[[#This Row],[Gender]]="others",R672&lt;24),"Fitnesss",AND(Table13[[#This Row],[Gender]]="others",R672&lt;31),"Acceptable",AND(Table13[[#This Row],[Gender]]="others",R672&lt;40),"Obese")</f>
        <v>Acceptable</v>
      </c>
      <c r="R672" s="8">
        <v>24.3</v>
      </c>
      <c r="S672" s="8">
        <v>2.5</v>
      </c>
      <c r="T672" s="8">
        <v>4</v>
      </c>
      <c r="U672" s="8">
        <v>2</v>
      </c>
      <c r="V672" s="8" t="str">
        <f>IF(Table13[[#This Row],[BMI]]&lt;=18.5,"Underweight",IF(Table13[[#This Row],[BMI]]&lt;=24.9,"Normal",IF(Table13[[#This Row],[BMI]]&lt;=29.9,"Overweight",IF(Table13[[#This Row],[BMI]]&lt;=39,"Obese","Severly Obese"))))</f>
        <v>Overweight</v>
      </c>
      <c r="W672" s="18">
        <v>25.35</v>
      </c>
    </row>
    <row r="673" spans="6:23" x14ac:dyDescent="0.3">
      <c r="F673" s="17">
        <v>55</v>
      </c>
      <c r="G673" s="8" t="str">
        <f>IF(Table13[[#This Row],[Age]]&lt;25,"18-24",IF(Table13[[#This Row],[Age]]&lt;35,"25-34",IF(Table13[[#This Row],[Age]]&lt;45,"35-44",IF(Table13[[#This Row],[Age]]&lt;55,"45-54","55-64"))))</f>
        <v>55-64</v>
      </c>
      <c r="H673" s="8" t="s">
        <v>19</v>
      </c>
      <c r="I673" s="8">
        <v>54.2</v>
      </c>
      <c r="J673" s="8">
        <v>1.62</v>
      </c>
      <c r="K673" s="8">
        <v>197</v>
      </c>
      <c r="L673" s="8">
        <v>127</v>
      </c>
      <c r="M673" s="8">
        <v>56</v>
      </c>
      <c r="N673" s="8">
        <v>1.18</v>
      </c>
      <c r="O673" s="8">
        <v>335</v>
      </c>
      <c r="P673" s="8" t="s">
        <v>18</v>
      </c>
      <c r="Q673" s="8" t="str">
        <f>_xlfn.IFS(AND(Table13[[#This Row],[Gender]]="female",R673&lt;20),"Athletes",AND(Table13[[#This Row],[Gender]]="female",R673&lt;24),"Fitnesss",AND(Table13[[#This Row],[Gender]]="female",R673&lt;31),"Acceptable",AND(Table13[[#This Row],[Gender]]="female",R673&lt;40),"Obese",AND(Table13[[#This Row],[Gender]]="male",R673&lt;13),"Athletes",AND(Table13[[#This Row],[Gender]]="male",R673&lt;17),"Fitnesss",AND(Table13[[#This Row],[Gender]]="male",R673&lt;24.9),"Acceptable",AND(Table13[[#This Row],[Gender]]="male",R673&lt;40),"Obese",AND(Table13[[#This Row],[Gender]]="others",R673&lt;20),"Athletes",AND(Table13[[#This Row],[Gender]]="others",R673&lt;24),"Fitnesss",AND(Table13[[#This Row],[Gender]]="others",R673&lt;31),"Acceptable",AND(Table13[[#This Row],[Gender]]="others",R673&lt;40),"Obese")</f>
        <v>Obese</v>
      </c>
      <c r="R673" s="8">
        <v>28.3</v>
      </c>
      <c r="S673" s="8">
        <v>2.4</v>
      </c>
      <c r="T673" s="8">
        <v>2</v>
      </c>
      <c r="U673" s="8">
        <v>1</v>
      </c>
      <c r="V673" s="8" t="str">
        <f>IF(Table13[[#This Row],[BMI]]&lt;=18.5,"Underweight",IF(Table13[[#This Row],[BMI]]&lt;=24.9,"Normal",IF(Table13[[#This Row],[BMI]]&lt;=29.9,"Overweight",IF(Table13[[#This Row],[BMI]]&lt;=39,"Obese","Severly Obese"))))</f>
        <v>Normal</v>
      </c>
      <c r="W673" s="18">
        <v>20.94</v>
      </c>
    </row>
    <row r="674" spans="6:23" x14ac:dyDescent="0.3">
      <c r="F674" s="17">
        <v>34</v>
      </c>
      <c r="G674" s="8" t="str">
        <f>IF(Table13[[#This Row],[Age]]&lt;25,"18-24",IF(Table13[[#This Row],[Age]]&lt;35,"25-34",IF(Table13[[#This Row],[Age]]&lt;45,"35-44",IF(Table13[[#This Row],[Age]]&lt;55,"45-54","55-64"))))</f>
        <v>25-34</v>
      </c>
      <c r="H674" s="8" t="s">
        <v>19</v>
      </c>
      <c r="I674" s="8">
        <v>59.8</v>
      </c>
      <c r="J674" s="8">
        <v>1.77</v>
      </c>
      <c r="K674" s="8">
        <v>186</v>
      </c>
      <c r="L674" s="8">
        <v>151</v>
      </c>
      <c r="M674" s="8">
        <v>55</v>
      </c>
      <c r="N674" s="8">
        <v>0.97</v>
      </c>
      <c r="O674" s="8">
        <v>792</v>
      </c>
      <c r="P674" s="8" t="s">
        <v>22</v>
      </c>
      <c r="Q674" s="8" t="str">
        <f>_xlfn.IFS(AND(Table13[[#This Row],[Gender]]="female",R674&lt;20),"Athletes",AND(Table13[[#This Row],[Gender]]="female",R674&lt;24),"Fitnesss",AND(Table13[[#This Row],[Gender]]="female",R674&lt;31),"Acceptable",AND(Table13[[#This Row],[Gender]]="female",R674&lt;40),"Obese",AND(Table13[[#This Row],[Gender]]="male",R674&lt;13),"Athletes",AND(Table13[[#This Row],[Gender]]="male",R674&lt;17),"Fitnesss",AND(Table13[[#This Row],[Gender]]="male",R674&lt;24.9),"Acceptable",AND(Table13[[#This Row],[Gender]]="male",R674&lt;40),"Obese",AND(Table13[[#This Row],[Gender]]="others",R674&lt;20),"Athletes",AND(Table13[[#This Row],[Gender]]="others",R674&lt;24),"Fitnesss",AND(Table13[[#This Row],[Gender]]="others",R674&lt;31),"Acceptable",AND(Table13[[#This Row],[Gender]]="others",R674&lt;40),"Obese")</f>
        <v>Acceptable</v>
      </c>
      <c r="R674" s="8">
        <v>23</v>
      </c>
      <c r="S674" s="8">
        <v>2.1</v>
      </c>
      <c r="T674" s="8">
        <v>3</v>
      </c>
      <c r="U674" s="8">
        <v>2</v>
      </c>
      <c r="V674" s="8" t="str">
        <f>IF(Table13[[#This Row],[BMI]]&lt;=18.5,"Underweight",IF(Table13[[#This Row],[BMI]]&lt;=24.9,"Normal",IF(Table13[[#This Row],[BMI]]&lt;=29.9,"Overweight",IF(Table13[[#This Row],[BMI]]&lt;=39,"Obese","Severly Obese"))))</f>
        <v>Normal</v>
      </c>
      <c r="W674" s="18">
        <v>24.41</v>
      </c>
    </row>
    <row r="675" spans="6:23" x14ac:dyDescent="0.3">
      <c r="F675" s="17">
        <v>18</v>
      </c>
      <c r="G675" s="8" t="str">
        <f>IF(Table13[[#This Row],[Age]]&lt;25,"18-24",IF(Table13[[#This Row],[Age]]&lt;35,"25-34",IF(Table13[[#This Row],[Age]]&lt;45,"35-44",IF(Table13[[#This Row],[Age]]&lt;55,"45-54","55-64"))))</f>
        <v>18-24</v>
      </c>
      <c r="H675" s="8" t="s">
        <v>17</v>
      </c>
      <c r="I675" s="8">
        <v>52.2</v>
      </c>
      <c r="J675" s="8">
        <v>1.75</v>
      </c>
      <c r="K675" s="8">
        <v>171</v>
      </c>
      <c r="L675" s="8">
        <v>165</v>
      </c>
      <c r="M675" s="8">
        <v>72</v>
      </c>
      <c r="N675" s="8">
        <v>1.45</v>
      </c>
      <c r="O675" s="8">
        <v>570</v>
      </c>
      <c r="P675" s="8" t="s">
        <v>18</v>
      </c>
      <c r="Q675" s="8" t="str">
        <f>_xlfn.IFS(AND(Table13[[#This Row],[Gender]]="female",R675&lt;20),"Athletes",AND(Table13[[#This Row],[Gender]]="female",R675&lt;24),"Fitnesss",AND(Table13[[#This Row],[Gender]]="female",R675&lt;31),"Acceptable",AND(Table13[[#This Row],[Gender]]="female",R675&lt;40),"Obese",AND(Table13[[#This Row],[Gender]]="male",R675&lt;13),"Athletes",AND(Table13[[#This Row],[Gender]]="male",R675&lt;17),"Fitnesss",AND(Table13[[#This Row],[Gender]]="male",R675&lt;24.9),"Acceptable",AND(Table13[[#This Row],[Gender]]="male",R675&lt;40),"Obese",AND(Table13[[#This Row],[Gender]]="others",R675&lt;20),"Athletes",AND(Table13[[#This Row],[Gender]]="others",R675&lt;24),"Fitnesss",AND(Table13[[#This Row],[Gender]]="others",R675&lt;31),"Acceptable",AND(Table13[[#This Row],[Gender]]="others",R675&lt;40),"Obese")</f>
        <v>Acceptable</v>
      </c>
      <c r="R675" s="8">
        <v>26.1</v>
      </c>
      <c r="S675" s="8">
        <v>3.4</v>
      </c>
      <c r="T675" s="8">
        <v>4</v>
      </c>
      <c r="U675" s="8">
        <v>1</v>
      </c>
      <c r="V675" s="8" t="str">
        <f>IF(Table13[[#This Row],[BMI]]&lt;=18.5,"Underweight",IF(Table13[[#This Row],[BMI]]&lt;=24.9,"Normal",IF(Table13[[#This Row],[BMI]]&lt;=29.9,"Overweight",IF(Table13[[#This Row],[BMI]]&lt;=39,"Obese","Severly Obese"))))</f>
        <v>Underweight</v>
      </c>
      <c r="W675" s="18">
        <v>12.48</v>
      </c>
    </row>
    <row r="676" spans="6:23" x14ac:dyDescent="0.3">
      <c r="F676" s="17">
        <v>40</v>
      </c>
      <c r="G676" s="8" t="str">
        <f>IF(Table13[[#This Row],[Age]]&lt;25,"18-24",IF(Table13[[#This Row],[Age]]&lt;35,"25-34",IF(Table13[[#This Row],[Age]]&lt;45,"35-44",IF(Table13[[#This Row],[Age]]&lt;55,"45-54","55-64"))))</f>
        <v>35-44</v>
      </c>
      <c r="H676" s="8" t="s">
        <v>19</v>
      </c>
      <c r="I676" s="8">
        <v>45.4</v>
      </c>
      <c r="J676" s="8">
        <v>1.84</v>
      </c>
      <c r="K676" s="8">
        <v>167</v>
      </c>
      <c r="L676" s="8">
        <v>156</v>
      </c>
      <c r="M676" s="8">
        <v>50</v>
      </c>
      <c r="N676" s="8">
        <v>1.1299999999999999</v>
      </c>
      <c r="O676" s="8">
        <v>771</v>
      </c>
      <c r="P676" s="8" t="s">
        <v>20</v>
      </c>
      <c r="Q676" s="8" t="str">
        <f>_xlfn.IFS(AND(Table13[[#This Row],[Gender]]="female",R676&lt;20),"Athletes",AND(Table13[[#This Row],[Gender]]="female",R676&lt;24),"Fitnesss",AND(Table13[[#This Row],[Gender]]="female",R676&lt;31),"Acceptable",AND(Table13[[#This Row],[Gender]]="female",R676&lt;40),"Obese",AND(Table13[[#This Row],[Gender]]="male",R676&lt;13),"Athletes",AND(Table13[[#This Row],[Gender]]="male",R676&lt;17),"Fitnesss",AND(Table13[[#This Row],[Gender]]="male",R676&lt;24.9),"Acceptable",AND(Table13[[#This Row],[Gender]]="male",R676&lt;40),"Obese",AND(Table13[[#This Row],[Gender]]="others",R676&lt;20),"Athletes",AND(Table13[[#This Row],[Gender]]="others",R676&lt;24),"Fitnesss",AND(Table13[[#This Row],[Gender]]="others",R676&lt;31),"Acceptable",AND(Table13[[#This Row],[Gender]]="others",R676&lt;40),"Obese")</f>
        <v>Athletes</v>
      </c>
      <c r="R676" s="8">
        <v>11.5</v>
      </c>
      <c r="S676" s="8">
        <v>3.5</v>
      </c>
      <c r="T676" s="8">
        <v>4</v>
      </c>
      <c r="U676" s="8">
        <v>2</v>
      </c>
      <c r="V676" s="8" t="str">
        <f>IF(Table13[[#This Row],[BMI]]&lt;=18.5,"Underweight",IF(Table13[[#This Row],[BMI]]&lt;=24.9,"Normal",IF(Table13[[#This Row],[BMI]]&lt;=29.9,"Overweight",IF(Table13[[#This Row],[BMI]]&lt;=39,"Obese","Severly Obese"))))</f>
        <v>Underweight</v>
      </c>
      <c r="W676" s="18">
        <v>12.32</v>
      </c>
    </row>
    <row r="677" spans="6:23" x14ac:dyDescent="0.3">
      <c r="F677" s="17">
        <v>28</v>
      </c>
      <c r="G677" s="8" t="str">
        <f>IF(Table13[[#This Row],[Age]]&lt;25,"18-24",IF(Table13[[#This Row],[Age]]&lt;35,"25-34",IF(Table13[[#This Row],[Age]]&lt;45,"35-44",IF(Table13[[#This Row],[Age]]&lt;55,"45-54","55-64"))))</f>
        <v>25-34</v>
      </c>
      <c r="H677" s="8" t="s">
        <v>17</v>
      </c>
      <c r="I677" s="8">
        <v>62.1</v>
      </c>
      <c r="J677" s="8">
        <v>1.68</v>
      </c>
      <c r="K677" s="8">
        <v>191</v>
      </c>
      <c r="L677" s="8">
        <v>130</v>
      </c>
      <c r="M677" s="8">
        <v>74</v>
      </c>
      <c r="N677" s="8">
        <v>0.85</v>
      </c>
      <c r="O677" s="8">
        <v>1098</v>
      </c>
      <c r="P677" s="8" t="s">
        <v>18</v>
      </c>
      <c r="Q677" s="8" t="str">
        <f>_xlfn.IFS(AND(Table13[[#This Row],[Gender]]="female",R677&lt;20),"Athletes",AND(Table13[[#This Row],[Gender]]="female",R677&lt;24),"Fitnesss",AND(Table13[[#This Row],[Gender]]="female",R677&lt;31),"Acceptable",AND(Table13[[#This Row],[Gender]]="female",R677&lt;40),"Obese",AND(Table13[[#This Row],[Gender]]="male",R677&lt;13),"Athletes",AND(Table13[[#This Row],[Gender]]="male",R677&lt;17),"Fitnesss",AND(Table13[[#This Row],[Gender]]="male",R677&lt;24.9),"Acceptable",AND(Table13[[#This Row],[Gender]]="male",R677&lt;40),"Obese",AND(Table13[[#This Row],[Gender]]="others",R677&lt;20),"Athletes",AND(Table13[[#This Row],[Gender]]="others",R677&lt;24),"Fitnesss",AND(Table13[[#This Row],[Gender]]="others",R677&lt;31),"Acceptable",AND(Table13[[#This Row],[Gender]]="others",R677&lt;40),"Obese")</f>
        <v>Athletes</v>
      </c>
      <c r="R677" s="8">
        <v>13.9</v>
      </c>
      <c r="S677" s="8">
        <v>2.8</v>
      </c>
      <c r="T677" s="8">
        <v>4</v>
      </c>
      <c r="U677" s="8">
        <v>2</v>
      </c>
      <c r="V677" s="8" t="str">
        <f>IF(Table13[[#This Row],[BMI]]&lt;=18.5,"Underweight",IF(Table13[[#This Row],[BMI]]&lt;=24.9,"Normal",IF(Table13[[#This Row],[BMI]]&lt;=29.9,"Overweight",IF(Table13[[#This Row],[BMI]]&lt;=39,"Obese","Severly Obese"))))</f>
        <v>Overweight</v>
      </c>
      <c r="W677" s="18">
        <v>28.14</v>
      </c>
    </row>
    <row r="678" spans="6:23" x14ac:dyDescent="0.3">
      <c r="F678" s="17">
        <v>26</v>
      </c>
      <c r="G678" s="8" t="str">
        <f>IF(Table13[[#This Row],[Age]]&lt;25,"18-24",IF(Table13[[#This Row],[Age]]&lt;35,"25-34",IF(Table13[[#This Row],[Age]]&lt;45,"35-44",IF(Table13[[#This Row],[Age]]&lt;55,"45-54","55-64"))))</f>
        <v>25-34</v>
      </c>
      <c r="H678" s="8" t="s">
        <v>19</v>
      </c>
      <c r="I678" s="8">
        <v>72.8</v>
      </c>
      <c r="J678" s="8">
        <v>1.57</v>
      </c>
      <c r="K678" s="8">
        <v>196</v>
      </c>
      <c r="L678" s="8">
        <v>138</v>
      </c>
      <c r="M678" s="8">
        <v>61</v>
      </c>
      <c r="N678" s="8">
        <v>1.04</v>
      </c>
      <c r="O678" s="8">
        <v>1382</v>
      </c>
      <c r="P678" s="8" t="s">
        <v>18</v>
      </c>
      <c r="Q678" s="8" t="str">
        <f>_xlfn.IFS(AND(Table13[[#This Row],[Gender]]="female",R678&lt;20),"Athletes",AND(Table13[[#This Row],[Gender]]="female",R678&lt;24),"Fitnesss",AND(Table13[[#This Row],[Gender]]="female",R678&lt;31),"Acceptable",AND(Table13[[#This Row],[Gender]]="female",R678&lt;40),"Obese",AND(Table13[[#This Row],[Gender]]="male",R678&lt;13),"Athletes",AND(Table13[[#This Row],[Gender]]="male",R678&lt;17),"Fitnesss",AND(Table13[[#This Row],[Gender]]="male",R678&lt;24.9),"Acceptable",AND(Table13[[#This Row],[Gender]]="male",R678&lt;40),"Obese",AND(Table13[[#This Row],[Gender]]="others",R678&lt;20),"Athletes",AND(Table13[[#This Row],[Gender]]="others",R678&lt;24),"Fitnesss",AND(Table13[[#This Row],[Gender]]="others",R678&lt;31),"Acceptable",AND(Table13[[#This Row],[Gender]]="others",R678&lt;40),"Obese")</f>
        <v>Obese</v>
      </c>
      <c r="R678" s="8">
        <v>29.8</v>
      </c>
      <c r="S678" s="8">
        <v>3.4</v>
      </c>
      <c r="T678" s="8">
        <v>2</v>
      </c>
      <c r="U678" s="8">
        <v>3</v>
      </c>
      <c r="V678" s="8" t="str">
        <f>IF(Table13[[#This Row],[BMI]]&lt;=18.5,"Underweight",IF(Table13[[#This Row],[BMI]]&lt;=24.9,"Normal",IF(Table13[[#This Row],[BMI]]&lt;=29.9,"Overweight",IF(Table13[[#This Row],[BMI]]&lt;=39,"Obese","Severly Obese"))))</f>
        <v>Underweight</v>
      </c>
      <c r="W678" s="18">
        <v>16.61</v>
      </c>
    </row>
    <row r="679" spans="6:23" x14ac:dyDescent="0.3">
      <c r="F679" s="17">
        <v>27</v>
      </c>
      <c r="G679" s="8" t="str">
        <f>IF(Table13[[#This Row],[Age]]&lt;25,"18-24",IF(Table13[[#This Row],[Age]]&lt;35,"25-34",IF(Table13[[#This Row],[Age]]&lt;45,"35-44",IF(Table13[[#This Row],[Age]]&lt;55,"45-54","55-64"))))</f>
        <v>25-34</v>
      </c>
      <c r="H679" s="8" t="s">
        <v>17</v>
      </c>
      <c r="I679" s="8">
        <v>73.5</v>
      </c>
      <c r="J679" s="8">
        <v>1.92</v>
      </c>
      <c r="K679" s="8">
        <v>168</v>
      </c>
      <c r="L679" s="8">
        <v>155</v>
      </c>
      <c r="M679" s="8">
        <v>50</v>
      </c>
      <c r="N679" s="8">
        <v>1.18</v>
      </c>
      <c r="O679" s="8">
        <v>1048</v>
      </c>
      <c r="P679" s="8" t="s">
        <v>18</v>
      </c>
      <c r="Q679" s="8" t="str">
        <f>_xlfn.IFS(AND(Table13[[#This Row],[Gender]]="female",R679&lt;20),"Athletes",AND(Table13[[#This Row],[Gender]]="female",R679&lt;24),"Fitnesss",AND(Table13[[#This Row],[Gender]]="female",R679&lt;31),"Acceptable",AND(Table13[[#This Row],[Gender]]="female",R679&lt;40),"Obese",AND(Table13[[#This Row],[Gender]]="male",R679&lt;13),"Athletes",AND(Table13[[#This Row],[Gender]]="male",R679&lt;17),"Fitnesss",AND(Table13[[#This Row],[Gender]]="male",R679&lt;24.9),"Acceptable",AND(Table13[[#This Row],[Gender]]="male",R679&lt;40),"Obese",AND(Table13[[#This Row],[Gender]]="others",R679&lt;20),"Athletes",AND(Table13[[#This Row],[Gender]]="others",R679&lt;24),"Fitnesss",AND(Table13[[#This Row],[Gender]]="others",R679&lt;31),"Acceptable",AND(Table13[[#This Row],[Gender]]="others",R679&lt;40),"Obese")</f>
        <v>Athletes</v>
      </c>
      <c r="R679" s="8">
        <v>14.2</v>
      </c>
      <c r="S679" s="8">
        <v>3.4</v>
      </c>
      <c r="T679" s="8">
        <v>5</v>
      </c>
      <c r="U679" s="8">
        <v>2</v>
      </c>
      <c r="V679" s="8" t="str">
        <f>IF(Table13[[#This Row],[BMI]]&lt;=18.5,"Underweight",IF(Table13[[#This Row],[BMI]]&lt;=24.9,"Normal",IF(Table13[[#This Row],[BMI]]&lt;=29.9,"Overweight",IF(Table13[[#This Row],[BMI]]&lt;=39,"Obese","Severly Obese"))))</f>
        <v>Underweight</v>
      </c>
      <c r="W679" s="18">
        <v>18.37</v>
      </c>
    </row>
    <row r="680" spans="6:23" x14ac:dyDescent="0.3">
      <c r="F680" s="17">
        <v>22</v>
      </c>
      <c r="G680" s="8" t="str">
        <f>IF(Table13[[#This Row],[Age]]&lt;25,"18-24",IF(Table13[[#This Row],[Age]]&lt;35,"25-34",IF(Table13[[#This Row],[Age]]&lt;45,"35-44",IF(Table13[[#This Row],[Age]]&lt;55,"45-54","55-64"))))</f>
        <v>18-24</v>
      </c>
      <c r="H680" s="8" t="s">
        <v>19</v>
      </c>
      <c r="I680" s="8">
        <v>78.400000000000006</v>
      </c>
      <c r="J680" s="8">
        <v>1.66</v>
      </c>
      <c r="K680" s="8">
        <v>182</v>
      </c>
      <c r="L680" s="8">
        <v>168</v>
      </c>
      <c r="M680" s="8">
        <v>70</v>
      </c>
      <c r="N680" s="8">
        <v>1.67</v>
      </c>
      <c r="O680" s="8">
        <v>495</v>
      </c>
      <c r="P680" s="8" t="s">
        <v>18</v>
      </c>
      <c r="Q680" s="8" t="str">
        <f>_xlfn.IFS(AND(Table13[[#This Row],[Gender]]="female",R680&lt;20),"Athletes",AND(Table13[[#This Row],[Gender]]="female",R680&lt;24),"Fitnesss",AND(Table13[[#This Row],[Gender]]="female",R680&lt;31),"Acceptable",AND(Table13[[#This Row],[Gender]]="female",R680&lt;40),"Obese",AND(Table13[[#This Row],[Gender]]="male",R680&lt;13),"Athletes",AND(Table13[[#This Row],[Gender]]="male",R680&lt;17),"Fitnesss",AND(Table13[[#This Row],[Gender]]="male",R680&lt;24.9),"Acceptable",AND(Table13[[#This Row],[Gender]]="male",R680&lt;40),"Obese",AND(Table13[[#This Row],[Gender]]="others",R680&lt;20),"Athletes",AND(Table13[[#This Row],[Gender]]="others",R680&lt;24),"Fitnesss",AND(Table13[[#This Row],[Gender]]="others",R680&lt;31),"Acceptable",AND(Table13[[#This Row],[Gender]]="others",R680&lt;40),"Obese")</f>
        <v>Athletes</v>
      </c>
      <c r="R680" s="8">
        <v>10</v>
      </c>
      <c r="S680" s="8">
        <v>2.5</v>
      </c>
      <c r="T680" s="8">
        <v>3</v>
      </c>
      <c r="U680" s="8"/>
      <c r="V680" s="8" t="str">
        <f>IF(Table13[[#This Row],[BMI]]&lt;=18.5,"Underweight",IF(Table13[[#This Row],[BMI]]&lt;=24.9,"Normal",IF(Table13[[#This Row],[BMI]]&lt;=29.9,"Overweight",IF(Table13[[#This Row],[BMI]]&lt;=39,"Obese","Severly Obese"))))</f>
        <v>Normal</v>
      </c>
      <c r="W680" s="18">
        <v>19.29</v>
      </c>
    </row>
    <row r="681" spans="6:23" x14ac:dyDescent="0.3">
      <c r="F681" s="17">
        <v>51</v>
      </c>
      <c r="G681" s="8" t="str">
        <f>IF(Table13[[#This Row],[Age]]&lt;25,"18-24",IF(Table13[[#This Row],[Age]]&lt;35,"25-34",IF(Table13[[#This Row],[Age]]&lt;45,"35-44",IF(Table13[[#This Row],[Age]]&lt;55,"45-54","55-64"))))</f>
        <v>45-54</v>
      </c>
      <c r="H681" s="8" t="s">
        <v>17</v>
      </c>
      <c r="I681" s="8">
        <v>87.1</v>
      </c>
      <c r="J681" s="8">
        <v>1.77</v>
      </c>
      <c r="K681" s="8">
        <v>185</v>
      </c>
      <c r="L681" s="8">
        <v>126</v>
      </c>
      <c r="M681" s="8">
        <v>60</v>
      </c>
      <c r="N681" s="8">
        <v>1.46</v>
      </c>
      <c r="O681" s="8">
        <v>990</v>
      </c>
      <c r="P681" s="8" t="s">
        <v>20</v>
      </c>
      <c r="Q681" s="8" t="str">
        <f>_xlfn.IFS(AND(Table13[[#This Row],[Gender]]="female",R681&lt;20),"Athletes",AND(Table13[[#This Row],[Gender]]="female",R681&lt;24),"Fitnesss",AND(Table13[[#This Row],[Gender]]="female",R681&lt;31),"Acceptable",AND(Table13[[#This Row],[Gender]]="female",R681&lt;40),"Obese",AND(Table13[[#This Row],[Gender]]="male",R681&lt;13),"Athletes",AND(Table13[[#This Row],[Gender]]="male",R681&lt;17),"Fitnesss",AND(Table13[[#This Row],[Gender]]="male",R681&lt;24.9),"Acceptable",AND(Table13[[#This Row],[Gender]]="male",R681&lt;40),"Obese",AND(Table13[[#This Row],[Gender]]="others",R681&lt;20),"Athletes",AND(Table13[[#This Row],[Gender]]="others",R681&lt;24),"Fitnesss",AND(Table13[[#This Row],[Gender]]="others",R681&lt;31),"Acceptable",AND(Table13[[#This Row],[Gender]]="others",R681&lt;40),"Obese")</f>
        <v>Fitnesss</v>
      </c>
      <c r="R681" s="8">
        <v>21.1</v>
      </c>
      <c r="S681" s="8">
        <v>3.4</v>
      </c>
      <c r="T681" s="8">
        <v>2</v>
      </c>
      <c r="U681" s="8">
        <v>1</v>
      </c>
      <c r="V681" s="8" t="str">
        <f>IF(Table13[[#This Row],[BMI]]&lt;=18.5,"Underweight",IF(Table13[[#This Row],[BMI]]&lt;=24.9,"Normal",IF(Table13[[#This Row],[BMI]]&lt;=29.9,"Overweight",IF(Table13[[#This Row],[BMI]]&lt;=39,"Obese","Severly Obese"))))</f>
        <v>Underweight</v>
      </c>
      <c r="W681" s="18">
        <v>12.9</v>
      </c>
    </row>
    <row r="682" spans="6:23" x14ac:dyDescent="0.3">
      <c r="F682" s="17">
        <v>45</v>
      </c>
      <c r="G682" s="8" t="str">
        <f>IF(Table13[[#This Row],[Age]]&lt;25,"18-24",IF(Table13[[#This Row],[Age]]&lt;35,"25-34",IF(Table13[[#This Row],[Age]]&lt;45,"35-44",IF(Table13[[#This Row],[Age]]&lt;55,"45-54","55-64"))))</f>
        <v>45-54</v>
      </c>
      <c r="H682" s="8" t="s">
        <v>19</v>
      </c>
      <c r="I682" s="8">
        <v>76.3</v>
      </c>
      <c r="J682" s="8">
        <v>1.67</v>
      </c>
      <c r="K682" s="8">
        <v>177</v>
      </c>
      <c r="L682" s="8">
        <v>168</v>
      </c>
      <c r="M682" s="8">
        <v>50</v>
      </c>
      <c r="N682" s="8">
        <v>1.41</v>
      </c>
      <c r="O682" s="8">
        <v>1013</v>
      </c>
      <c r="P682" s="8" t="s">
        <v>20</v>
      </c>
      <c r="Q682" s="8" t="str">
        <f>_xlfn.IFS(AND(Table13[[#This Row],[Gender]]="female",R682&lt;20),"Athletes",AND(Table13[[#This Row],[Gender]]="female",R682&lt;24),"Fitnesss",AND(Table13[[#This Row],[Gender]]="female",R682&lt;31),"Acceptable",AND(Table13[[#This Row],[Gender]]="female",R682&lt;40),"Obese",AND(Table13[[#This Row],[Gender]]="male",R682&lt;13),"Athletes",AND(Table13[[#This Row],[Gender]]="male",R682&lt;17),"Fitnesss",AND(Table13[[#This Row],[Gender]]="male",R682&lt;24.9),"Acceptable",AND(Table13[[#This Row],[Gender]]="male",R682&lt;40),"Obese",AND(Table13[[#This Row],[Gender]]="others",R682&lt;20),"Athletes",AND(Table13[[#This Row],[Gender]]="others",R682&lt;24),"Fitnesss",AND(Table13[[#This Row],[Gender]]="others",R682&lt;31),"Acceptable",AND(Table13[[#This Row],[Gender]]="others",R682&lt;40),"Obese")</f>
        <v>Athletes</v>
      </c>
      <c r="R682" s="8">
        <v>11.6</v>
      </c>
      <c r="S682" s="8">
        <v>3.1</v>
      </c>
      <c r="T682" s="8">
        <v>3</v>
      </c>
      <c r="U682" s="8">
        <v>3</v>
      </c>
      <c r="V682" s="8" t="str">
        <f>IF(Table13[[#This Row],[BMI]]&lt;=18.5,"Underweight",IF(Table13[[#This Row],[BMI]]&lt;=24.9,"Normal",IF(Table13[[#This Row],[BMI]]&lt;=29.9,"Overweight",IF(Table13[[#This Row],[BMI]]&lt;=39,"Obese","Severly Obese"))))</f>
        <v>Underweight</v>
      </c>
      <c r="W682" s="18">
        <v>14.42</v>
      </c>
    </row>
    <row r="683" spans="6:23" x14ac:dyDescent="0.3">
      <c r="F683" s="17">
        <v>33</v>
      </c>
      <c r="G683" s="8" t="str">
        <f>IF(Table13[[#This Row],[Age]]&lt;25,"18-24",IF(Table13[[#This Row],[Age]]&lt;35,"25-34",IF(Table13[[#This Row],[Age]]&lt;45,"35-44",IF(Table13[[#This Row],[Age]]&lt;55,"45-54","55-64"))))</f>
        <v>25-34</v>
      </c>
      <c r="H683" s="8" t="s">
        <v>17</v>
      </c>
      <c r="I683" s="8">
        <v>75.5</v>
      </c>
      <c r="J683" s="8">
        <v>1.85</v>
      </c>
      <c r="K683" s="8">
        <v>181</v>
      </c>
      <c r="L683" s="8">
        <v>147</v>
      </c>
      <c r="M683" s="8">
        <v>59</v>
      </c>
      <c r="N683" s="8">
        <v>1.22</v>
      </c>
      <c r="O683" s="8">
        <v>1267</v>
      </c>
      <c r="P683" s="8" t="s">
        <v>21</v>
      </c>
      <c r="Q683" s="8" t="str">
        <f>_xlfn.IFS(AND(Table13[[#This Row],[Gender]]="female",R683&lt;20),"Athletes",AND(Table13[[#This Row],[Gender]]="female",R683&lt;24),"Fitnesss",AND(Table13[[#This Row],[Gender]]="female",R683&lt;31),"Acceptable",AND(Table13[[#This Row],[Gender]]="female",R683&lt;40),"Obese",AND(Table13[[#This Row],[Gender]]="male",R683&lt;13),"Athletes",AND(Table13[[#This Row],[Gender]]="male",R683&lt;17),"Fitnesss",AND(Table13[[#This Row],[Gender]]="male",R683&lt;24.9),"Acceptable",AND(Table13[[#This Row],[Gender]]="male",R683&lt;40),"Obese",AND(Table13[[#This Row],[Gender]]="others",R683&lt;20),"Athletes",AND(Table13[[#This Row],[Gender]]="others",R683&lt;24),"Fitnesss",AND(Table13[[#This Row],[Gender]]="others",R683&lt;31),"Acceptable",AND(Table13[[#This Row],[Gender]]="others",R683&lt;40),"Obese")</f>
        <v>Fitnesss</v>
      </c>
      <c r="R683" s="8">
        <v>21.8</v>
      </c>
      <c r="S683" s="8">
        <v>2.8</v>
      </c>
      <c r="T683" s="8">
        <v>3</v>
      </c>
      <c r="U683" s="8">
        <v>2</v>
      </c>
      <c r="V683" s="8" t="str">
        <f>IF(Table13[[#This Row],[BMI]]&lt;=18.5,"Underweight",IF(Table13[[#This Row],[BMI]]&lt;=24.9,"Normal",IF(Table13[[#This Row],[BMI]]&lt;=29.9,"Overweight",IF(Table13[[#This Row],[BMI]]&lt;=39,"Obese","Severly Obese"))))</f>
        <v>Underweight</v>
      </c>
      <c r="W683" s="18">
        <v>18.190000000000001</v>
      </c>
    </row>
    <row r="684" spans="6:23" x14ac:dyDescent="0.3">
      <c r="F684" s="17">
        <v>44</v>
      </c>
      <c r="G684" s="8" t="str">
        <f>IF(Table13[[#This Row],[Age]]&lt;25,"18-24",IF(Table13[[#This Row],[Age]]&lt;35,"25-34",IF(Table13[[#This Row],[Age]]&lt;45,"35-44",IF(Table13[[#This Row],[Age]]&lt;55,"45-54","55-64"))))</f>
        <v>35-44</v>
      </c>
      <c r="H684" s="8" t="s">
        <v>17</v>
      </c>
      <c r="I684" s="8">
        <v>49.3</v>
      </c>
      <c r="J684" s="8">
        <v>1.55</v>
      </c>
      <c r="K684" s="8">
        <v>193</v>
      </c>
      <c r="L684" s="8">
        <v>168</v>
      </c>
      <c r="M684" s="8">
        <v>72</v>
      </c>
      <c r="N684" s="8">
        <v>1.48</v>
      </c>
      <c r="O684" s="8">
        <v>918</v>
      </c>
      <c r="P684" s="8" t="s">
        <v>20</v>
      </c>
      <c r="Q684" s="8" t="str">
        <f>_xlfn.IFS(AND(Table13[[#This Row],[Gender]]="female",R684&lt;20),"Athletes",AND(Table13[[#This Row],[Gender]]="female",R684&lt;24),"Fitnesss",AND(Table13[[#This Row],[Gender]]="female",R684&lt;31),"Acceptable",AND(Table13[[#This Row],[Gender]]="female",R684&lt;40),"Obese",AND(Table13[[#This Row],[Gender]]="male",R684&lt;13),"Athletes",AND(Table13[[#This Row],[Gender]]="male",R684&lt;17),"Fitnesss",AND(Table13[[#This Row],[Gender]]="male",R684&lt;24.9),"Acceptable",AND(Table13[[#This Row],[Gender]]="male",R684&lt;40),"Obese",AND(Table13[[#This Row],[Gender]]="others",R684&lt;20),"Athletes",AND(Table13[[#This Row],[Gender]]="others",R684&lt;24),"Fitnesss",AND(Table13[[#This Row],[Gender]]="others",R684&lt;31),"Acceptable",AND(Table13[[#This Row],[Gender]]="others",R684&lt;40),"Obese")</f>
        <v>Fitnesss</v>
      </c>
      <c r="R684" s="8">
        <v>21.5</v>
      </c>
      <c r="S684" s="8">
        <v>3.6</v>
      </c>
      <c r="T684" s="8">
        <v>5</v>
      </c>
      <c r="U684" s="8">
        <v>1</v>
      </c>
      <c r="V684" s="8" t="str">
        <f>IF(Table13[[#This Row],[BMI]]&lt;=18.5,"Underweight",IF(Table13[[#This Row],[BMI]]&lt;=24.9,"Normal",IF(Table13[[#This Row],[BMI]]&lt;=29.9,"Overweight",IF(Table13[[#This Row],[BMI]]&lt;=39,"Obese","Severly Obese"))))</f>
        <v>Normal</v>
      </c>
      <c r="W684" s="18">
        <v>21.77</v>
      </c>
    </row>
    <row r="685" spans="6:23" x14ac:dyDescent="0.3">
      <c r="F685" s="17">
        <v>56</v>
      </c>
      <c r="G685" s="8" t="str">
        <f>IF(Table13[[#This Row],[Age]]&lt;25,"18-24",IF(Table13[[#This Row],[Age]]&lt;35,"25-34",IF(Table13[[#This Row],[Age]]&lt;45,"35-44",IF(Table13[[#This Row],[Age]]&lt;55,"45-54","55-64"))))</f>
        <v>55-64</v>
      </c>
      <c r="H685" s="8" t="s">
        <v>17</v>
      </c>
      <c r="I685" s="8">
        <v>92</v>
      </c>
      <c r="J685" s="8">
        <v>1.86</v>
      </c>
      <c r="K685" s="8">
        <v>184</v>
      </c>
      <c r="L685" s="8">
        <v>167</v>
      </c>
      <c r="M685" s="8">
        <v>71</v>
      </c>
      <c r="N685" s="8">
        <v>1.56</v>
      </c>
      <c r="O685" s="8">
        <v>999</v>
      </c>
      <c r="P685" s="8" t="s">
        <v>20</v>
      </c>
      <c r="Q685" s="8" t="str">
        <f>_xlfn.IFS(AND(Table13[[#This Row],[Gender]]="female",R685&lt;20),"Athletes",AND(Table13[[#This Row],[Gender]]="female",R685&lt;24),"Fitnesss",AND(Table13[[#This Row],[Gender]]="female",R685&lt;31),"Acceptable",AND(Table13[[#This Row],[Gender]]="female",R685&lt;40),"Obese",AND(Table13[[#This Row],[Gender]]="male",R685&lt;13),"Athletes",AND(Table13[[#This Row],[Gender]]="male",R685&lt;17),"Fitnesss",AND(Table13[[#This Row],[Gender]]="male",R685&lt;24.9),"Acceptable",AND(Table13[[#This Row],[Gender]]="male",R685&lt;40),"Obese",AND(Table13[[#This Row],[Gender]]="others",R685&lt;20),"Athletes",AND(Table13[[#This Row],[Gender]]="others",R685&lt;24),"Fitnesss",AND(Table13[[#This Row],[Gender]]="others",R685&lt;31),"Acceptable",AND(Table13[[#This Row],[Gender]]="others",R685&lt;40),"Obese")</f>
        <v>Acceptable</v>
      </c>
      <c r="R685" s="8">
        <v>24.2</v>
      </c>
      <c r="S685" s="8">
        <v>2.1</v>
      </c>
      <c r="T685" s="8">
        <v>5</v>
      </c>
      <c r="U685" s="8">
        <v>3</v>
      </c>
      <c r="V685" s="8" t="str">
        <f>IF(Table13[[#This Row],[BMI]]&lt;=18.5,"Underweight",IF(Table13[[#This Row],[BMI]]&lt;=24.9,"Normal",IF(Table13[[#This Row],[BMI]]&lt;=29.9,"Overweight",IF(Table13[[#This Row],[BMI]]&lt;=39,"Obese","Severly Obese"))))</f>
        <v>Obese</v>
      </c>
      <c r="W685" s="18">
        <v>31.52</v>
      </c>
    </row>
    <row r="686" spans="6:23" x14ac:dyDescent="0.3">
      <c r="F686" s="17">
        <v>35</v>
      </c>
      <c r="G686" s="8" t="str">
        <f>IF(Table13[[#This Row],[Age]]&lt;25,"18-24",IF(Table13[[#This Row],[Age]]&lt;35,"25-34",IF(Table13[[#This Row],[Age]]&lt;45,"35-44",IF(Table13[[#This Row],[Age]]&lt;55,"45-54","55-64"))))</f>
        <v>35-44</v>
      </c>
      <c r="H686" s="8" t="s">
        <v>19</v>
      </c>
      <c r="I686" s="8">
        <v>44</v>
      </c>
      <c r="J686" s="8">
        <v>1.59</v>
      </c>
      <c r="K686" s="8">
        <v>168</v>
      </c>
      <c r="L686" s="8">
        <v>144</v>
      </c>
      <c r="M686" s="8">
        <v>54</v>
      </c>
      <c r="N686" s="8">
        <v>1.39</v>
      </c>
      <c r="O686" s="8">
        <v>1040</v>
      </c>
      <c r="P686" s="8" t="s">
        <v>23</v>
      </c>
      <c r="Q686" s="8" t="str">
        <f>_xlfn.IFS(AND(Table13[[#This Row],[Gender]]="female",R686&lt;20),"Athletes",AND(Table13[[#This Row],[Gender]]="female",R686&lt;24),"Fitnesss",AND(Table13[[#This Row],[Gender]]="female",R686&lt;31),"Acceptable",AND(Table13[[#This Row],[Gender]]="female",R686&lt;40),"Obese",AND(Table13[[#This Row],[Gender]]="male",R686&lt;13),"Athletes",AND(Table13[[#This Row],[Gender]]="male",R686&lt;17),"Fitnesss",AND(Table13[[#This Row],[Gender]]="male",R686&lt;24.9),"Acceptable",AND(Table13[[#This Row],[Gender]]="male",R686&lt;40),"Obese",AND(Table13[[#This Row],[Gender]]="others",R686&lt;20),"Athletes",AND(Table13[[#This Row],[Gender]]="others",R686&lt;24),"Fitnesss",AND(Table13[[#This Row],[Gender]]="others",R686&lt;31),"Acceptable",AND(Table13[[#This Row],[Gender]]="others",R686&lt;40),"Obese")</f>
        <v>Obese</v>
      </c>
      <c r="R686" s="8">
        <v>29</v>
      </c>
      <c r="S686" s="8">
        <v>3.4</v>
      </c>
      <c r="T686" s="8">
        <v>2</v>
      </c>
      <c r="U686" s="8">
        <v>2</v>
      </c>
      <c r="V686" s="8" t="str">
        <f>IF(Table13[[#This Row],[BMI]]&lt;=18.5,"Underweight",IF(Table13[[#This Row],[BMI]]&lt;=24.9,"Normal",IF(Table13[[#This Row],[BMI]]&lt;=29.9,"Overweight",IF(Table13[[#This Row],[BMI]]&lt;=39,"Obese","Severly Obese"))))</f>
        <v>Overweight</v>
      </c>
      <c r="W686" s="18">
        <v>27.49</v>
      </c>
    </row>
    <row r="687" spans="6:23" x14ac:dyDescent="0.3">
      <c r="F687" s="17">
        <v>46</v>
      </c>
      <c r="G687" s="8" t="str">
        <f>IF(Table13[[#This Row],[Age]]&lt;25,"18-24",IF(Table13[[#This Row],[Age]]&lt;35,"25-34",IF(Table13[[#This Row],[Age]]&lt;45,"35-44",IF(Table13[[#This Row],[Age]]&lt;55,"45-54","55-64"))))</f>
        <v>45-54</v>
      </c>
      <c r="H687" s="8" t="s">
        <v>19</v>
      </c>
      <c r="I687" s="8">
        <v>92.6</v>
      </c>
      <c r="J687" s="8">
        <v>1.76</v>
      </c>
      <c r="K687" s="8">
        <v>197</v>
      </c>
      <c r="L687" s="8">
        <v>144</v>
      </c>
      <c r="M687" s="8">
        <v>74</v>
      </c>
      <c r="N687" s="8">
        <v>0.96</v>
      </c>
      <c r="O687" s="8">
        <v>1291</v>
      </c>
      <c r="P687" s="8" t="s">
        <v>21</v>
      </c>
      <c r="Q687" s="8" t="str">
        <f>_xlfn.IFS(AND(Table13[[#This Row],[Gender]]="female",R687&lt;20),"Athletes",AND(Table13[[#This Row],[Gender]]="female",R687&lt;24),"Fitnesss",AND(Table13[[#This Row],[Gender]]="female",R687&lt;31),"Acceptable",AND(Table13[[#This Row],[Gender]]="female",R687&lt;40),"Obese",AND(Table13[[#This Row],[Gender]]="male",R687&lt;13),"Athletes",AND(Table13[[#This Row],[Gender]]="male",R687&lt;17),"Fitnesss",AND(Table13[[#This Row],[Gender]]="male",R687&lt;24.9),"Acceptable",AND(Table13[[#This Row],[Gender]]="male",R687&lt;40),"Obese",AND(Table13[[#This Row],[Gender]]="others",R687&lt;20),"Athletes",AND(Table13[[#This Row],[Gender]]="others",R687&lt;24),"Fitnesss",AND(Table13[[#This Row],[Gender]]="others",R687&lt;31),"Acceptable",AND(Table13[[#This Row],[Gender]]="others",R687&lt;40),"Obese")</f>
        <v>Fitnesss</v>
      </c>
      <c r="R687" s="8">
        <v>13.8</v>
      </c>
      <c r="S687" s="8">
        <v>3.3</v>
      </c>
      <c r="T687" s="8">
        <v>2</v>
      </c>
      <c r="U687" s="8">
        <v>2</v>
      </c>
      <c r="V687" s="8" t="str">
        <f>IF(Table13[[#This Row],[BMI]]&lt;=18.5,"Underweight",IF(Table13[[#This Row],[BMI]]&lt;=24.9,"Normal",IF(Table13[[#This Row],[BMI]]&lt;=29.9,"Overweight",IF(Table13[[#This Row],[BMI]]&lt;=39,"Obese","Severly Obese"))))</f>
        <v>Underweight</v>
      </c>
      <c r="W687" s="18">
        <v>12.37</v>
      </c>
    </row>
    <row r="688" spans="6:23" x14ac:dyDescent="0.3">
      <c r="F688" s="17">
        <v>59</v>
      </c>
      <c r="G688" s="8" t="str">
        <f>IF(Table13[[#This Row],[Age]]&lt;25,"18-24",IF(Table13[[#This Row],[Age]]&lt;35,"25-34",IF(Table13[[#This Row],[Age]]&lt;45,"35-44",IF(Table13[[#This Row],[Age]]&lt;55,"45-54","55-64"))))</f>
        <v>55-64</v>
      </c>
      <c r="H688" s="8" t="s">
        <v>23</v>
      </c>
      <c r="I688" s="8">
        <v>50.2</v>
      </c>
      <c r="J688" s="8">
        <v>1.6</v>
      </c>
      <c r="K688" s="8">
        <v>174</v>
      </c>
      <c r="L688" s="8">
        <v>169</v>
      </c>
      <c r="M688" s="8">
        <v>55</v>
      </c>
      <c r="N688" s="8">
        <v>1.33</v>
      </c>
      <c r="O688" s="8"/>
      <c r="P688" s="8" t="s">
        <v>18</v>
      </c>
      <c r="Q688" s="8" t="str">
        <f>_xlfn.IFS(AND(Table13[[#This Row],[Gender]]="female",R688&lt;20),"Athletes",AND(Table13[[#This Row],[Gender]]="female",R688&lt;24),"Fitnesss",AND(Table13[[#This Row],[Gender]]="female",R688&lt;31),"Acceptable",AND(Table13[[#This Row],[Gender]]="female",R688&lt;40),"Obese",AND(Table13[[#This Row],[Gender]]="male",R688&lt;13),"Athletes",AND(Table13[[#This Row],[Gender]]="male",R688&lt;17),"Fitnesss",AND(Table13[[#This Row],[Gender]]="male",R688&lt;24.9),"Acceptable",AND(Table13[[#This Row],[Gender]]="male",R688&lt;40),"Obese",AND(Table13[[#This Row],[Gender]]="others",R688&lt;20),"Athletes",AND(Table13[[#This Row],[Gender]]="others",R688&lt;24),"Fitnesss",AND(Table13[[#This Row],[Gender]]="others",R688&lt;31),"Acceptable",AND(Table13[[#This Row],[Gender]]="others",R688&lt;40),"Obese")</f>
        <v>Athletes</v>
      </c>
      <c r="R688" s="8"/>
      <c r="S688" s="8">
        <v>1.5</v>
      </c>
      <c r="T688" s="8">
        <v>4</v>
      </c>
      <c r="U688" s="8">
        <v>2</v>
      </c>
      <c r="V688" s="8" t="str">
        <f>IF(Table13[[#This Row],[BMI]]&lt;=18.5,"Underweight",IF(Table13[[#This Row],[BMI]]&lt;=24.9,"Normal",IF(Table13[[#This Row],[BMI]]&lt;=29.9,"Overweight",IF(Table13[[#This Row],[BMI]]&lt;=39,"Obese","Severly Obese"))))</f>
        <v>Underweight</v>
      </c>
      <c r="W688" s="18">
        <v>13.4</v>
      </c>
    </row>
    <row r="689" spans="6:23" x14ac:dyDescent="0.3">
      <c r="F689" s="17">
        <v>23</v>
      </c>
      <c r="G689" s="8" t="str">
        <f>IF(Table13[[#This Row],[Age]]&lt;25,"18-24",IF(Table13[[#This Row],[Age]]&lt;35,"25-34",IF(Table13[[#This Row],[Age]]&lt;45,"35-44",IF(Table13[[#This Row],[Age]]&lt;55,"45-54","55-64"))))</f>
        <v>18-24</v>
      </c>
      <c r="H689" s="8" t="s">
        <v>19</v>
      </c>
      <c r="I689" s="8">
        <v>83</v>
      </c>
      <c r="J689" s="8">
        <v>1.74</v>
      </c>
      <c r="K689" s="8">
        <v>160</v>
      </c>
      <c r="L689" s="8">
        <v>120</v>
      </c>
      <c r="M689" s="8">
        <v>72</v>
      </c>
      <c r="N689" s="8">
        <v>1.35</v>
      </c>
      <c r="O689" s="8">
        <v>1628</v>
      </c>
      <c r="P689" s="8" t="s">
        <v>22</v>
      </c>
      <c r="Q689" s="8" t="str">
        <f>_xlfn.IFS(AND(Table13[[#This Row],[Gender]]="female",R689&lt;20),"Athletes",AND(Table13[[#This Row],[Gender]]="female",R689&lt;24),"Fitnesss",AND(Table13[[#This Row],[Gender]]="female",R689&lt;31),"Acceptable",AND(Table13[[#This Row],[Gender]]="female",R689&lt;40),"Obese",AND(Table13[[#This Row],[Gender]]="male",R689&lt;13),"Athletes",AND(Table13[[#This Row],[Gender]]="male",R689&lt;17),"Fitnesss",AND(Table13[[#This Row],[Gender]]="male",R689&lt;24.9),"Acceptable",AND(Table13[[#This Row],[Gender]]="male",R689&lt;40),"Obese",AND(Table13[[#This Row],[Gender]]="others",R689&lt;20),"Athletes",AND(Table13[[#This Row],[Gender]]="others",R689&lt;24),"Fitnesss",AND(Table13[[#This Row],[Gender]]="others",R689&lt;31),"Acceptable",AND(Table13[[#This Row],[Gender]]="others",R689&lt;40),"Obese")</f>
        <v>Acceptable</v>
      </c>
      <c r="R689" s="8">
        <v>21</v>
      </c>
      <c r="S689" s="8">
        <v>3.3</v>
      </c>
      <c r="T689" s="8">
        <v>5</v>
      </c>
      <c r="U689" s="8">
        <v>2</v>
      </c>
      <c r="V689" s="8" t="str">
        <f>IF(Table13[[#This Row],[BMI]]&lt;=18.5,"Underweight",IF(Table13[[#This Row],[BMI]]&lt;=24.9,"Normal",IF(Table13[[#This Row],[BMI]]&lt;=29.9,"Overweight",IF(Table13[[#This Row],[BMI]]&lt;=39,"Obese","Severly Obese"))))</f>
        <v>Underweight</v>
      </c>
      <c r="W689" s="18">
        <v>15.13</v>
      </c>
    </row>
    <row r="690" spans="6:23" x14ac:dyDescent="0.3">
      <c r="F690" s="17">
        <v>21</v>
      </c>
      <c r="G690" s="8" t="str">
        <f>IF(Table13[[#This Row],[Age]]&lt;25,"18-24",IF(Table13[[#This Row],[Age]]&lt;35,"25-34",IF(Table13[[#This Row],[Age]]&lt;45,"35-44",IF(Table13[[#This Row],[Age]]&lt;55,"45-54","55-64"))))</f>
        <v>18-24</v>
      </c>
      <c r="H690" s="8" t="s">
        <v>17</v>
      </c>
      <c r="I690" s="8">
        <v>78.5</v>
      </c>
      <c r="J690" s="8">
        <v>1.8</v>
      </c>
      <c r="K690" s="8">
        <v>179</v>
      </c>
      <c r="L690" s="8">
        <v>169</v>
      </c>
      <c r="M690" s="8">
        <v>59</v>
      </c>
      <c r="N690" s="8">
        <v>1.64</v>
      </c>
      <c r="O690" s="8">
        <v>683</v>
      </c>
      <c r="P690" s="8" t="s">
        <v>22</v>
      </c>
      <c r="Q690" s="8" t="str">
        <f>_xlfn.IFS(AND(Table13[[#This Row],[Gender]]="female",R690&lt;20),"Athletes",AND(Table13[[#This Row],[Gender]]="female",R690&lt;24),"Fitnesss",AND(Table13[[#This Row],[Gender]]="female",R690&lt;31),"Acceptable",AND(Table13[[#This Row],[Gender]]="female",R690&lt;40),"Obese",AND(Table13[[#This Row],[Gender]]="male",R690&lt;13),"Athletes",AND(Table13[[#This Row],[Gender]]="male",R690&lt;17),"Fitnesss",AND(Table13[[#This Row],[Gender]]="male",R690&lt;24.9),"Acceptable",AND(Table13[[#This Row],[Gender]]="male",R690&lt;40),"Obese",AND(Table13[[#This Row],[Gender]]="others",R690&lt;20),"Athletes",AND(Table13[[#This Row],[Gender]]="others",R690&lt;24),"Fitnesss",AND(Table13[[#This Row],[Gender]]="others",R690&lt;31),"Acceptable",AND(Table13[[#This Row],[Gender]]="others",R690&lt;40),"Obese")</f>
        <v>Fitnesss</v>
      </c>
      <c r="R690" s="8">
        <v>23.9</v>
      </c>
      <c r="S690" s="8">
        <v>2.7</v>
      </c>
      <c r="T690" s="8">
        <v>4</v>
      </c>
      <c r="U690" s="8">
        <v>1</v>
      </c>
      <c r="V690" s="8" t="str">
        <f>IF(Table13[[#This Row],[BMI]]&lt;=18.5,"Underweight",IF(Table13[[#This Row],[BMI]]&lt;=24.9,"Normal",IF(Table13[[#This Row],[BMI]]&lt;=29.9,"Overweight",IF(Table13[[#This Row],[BMI]]&lt;=39,"Obese","Severly Obese"))))</f>
        <v>Normal</v>
      </c>
      <c r="W690" s="18">
        <v>22.33</v>
      </c>
    </row>
    <row r="691" spans="6:23" x14ac:dyDescent="0.3">
      <c r="F691" s="17">
        <v>56</v>
      </c>
      <c r="G691" s="8" t="str">
        <f>IF(Table13[[#This Row],[Age]]&lt;25,"18-24",IF(Table13[[#This Row],[Age]]&lt;35,"25-34",IF(Table13[[#This Row],[Age]]&lt;45,"35-44",IF(Table13[[#This Row],[Age]]&lt;55,"45-54","55-64"))))</f>
        <v>55-64</v>
      </c>
      <c r="H691" s="8" t="s">
        <v>17</v>
      </c>
      <c r="I691" s="8">
        <v>56.2</v>
      </c>
      <c r="J691" s="8">
        <v>1.69</v>
      </c>
      <c r="K691" s="8">
        <v>198</v>
      </c>
      <c r="L691" s="8">
        <v>155</v>
      </c>
      <c r="M691" s="8">
        <v>74</v>
      </c>
      <c r="N691" s="8">
        <v>1.64</v>
      </c>
      <c r="O691" s="8">
        <v>1486</v>
      </c>
      <c r="P691" s="8" t="s">
        <v>20</v>
      </c>
      <c r="Q691" s="8" t="str">
        <f>_xlfn.IFS(AND(Table13[[#This Row],[Gender]]="female",R691&lt;20),"Athletes",AND(Table13[[#This Row],[Gender]]="female",R691&lt;24),"Fitnesss",AND(Table13[[#This Row],[Gender]]="female",R691&lt;31),"Acceptable",AND(Table13[[#This Row],[Gender]]="female",R691&lt;40),"Obese",AND(Table13[[#This Row],[Gender]]="male",R691&lt;13),"Athletes",AND(Table13[[#This Row],[Gender]]="male",R691&lt;17),"Fitnesss",AND(Table13[[#This Row],[Gender]]="male",R691&lt;24.9),"Acceptable",AND(Table13[[#This Row],[Gender]]="male",R691&lt;40),"Obese",AND(Table13[[#This Row],[Gender]]="others",R691&lt;20),"Athletes",AND(Table13[[#This Row],[Gender]]="others",R691&lt;24),"Fitnesss",AND(Table13[[#This Row],[Gender]]="others",R691&lt;31),"Acceptable",AND(Table13[[#This Row],[Gender]]="others",R691&lt;40),"Obese")</f>
        <v>Acceptable</v>
      </c>
      <c r="R691" s="8">
        <v>24.4</v>
      </c>
      <c r="S691" s="8">
        <v>1.8</v>
      </c>
      <c r="T691" s="8">
        <v>2</v>
      </c>
      <c r="U691" s="8">
        <v>1</v>
      </c>
      <c r="V691" s="8" t="str">
        <f>IF(Table13[[#This Row],[BMI]]&lt;=18.5,"Underweight",IF(Table13[[#This Row],[BMI]]&lt;=24.9,"Normal",IF(Table13[[#This Row],[BMI]]&lt;=29.9,"Overweight",IF(Table13[[#This Row],[BMI]]&lt;=39,"Obese","Severly Obese"))))</f>
        <v>Normal</v>
      </c>
      <c r="W691" s="18">
        <v>21.59</v>
      </c>
    </row>
    <row r="692" spans="6:23" x14ac:dyDescent="0.3">
      <c r="F692" s="17">
        <v>58</v>
      </c>
      <c r="G692" s="8" t="str">
        <f>IF(Table13[[#This Row],[Age]]&lt;25,"18-24",IF(Table13[[#This Row],[Age]]&lt;35,"25-34",IF(Table13[[#This Row],[Age]]&lt;45,"35-44",IF(Table13[[#This Row],[Age]]&lt;55,"45-54","55-64"))))</f>
        <v>55-64</v>
      </c>
      <c r="H692" s="8" t="s">
        <v>19</v>
      </c>
      <c r="I692" s="8">
        <v>87.4</v>
      </c>
      <c r="J692" s="8">
        <v>1.64</v>
      </c>
      <c r="K692" s="8">
        <v>188</v>
      </c>
      <c r="L692" s="8">
        <v>148</v>
      </c>
      <c r="M692" s="8">
        <v>57</v>
      </c>
      <c r="N692" s="8">
        <v>0.56000000000000005</v>
      </c>
      <c r="O692" s="8">
        <v>1249</v>
      </c>
      <c r="P692" s="8" t="s">
        <v>18</v>
      </c>
      <c r="Q692" s="8" t="str">
        <f>_xlfn.IFS(AND(Table13[[#This Row],[Gender]]="female",R692&lt;20),"Athletes",AND(Table13[[#This Row],[Gender]]="female",R692&lt;24),"Fitnesss",AND(Table13[[#This Row],[Gender]]="female",R692&lt;31),"Acceptable",AND(Table13[[#This Row],[Gender]]="female",R692&lt;40),"Obese",AND(Table13[[#This Row],[Gender]]="male",R692&lt;13),"Athletes",AND(Table13[[#This Row],[Gender]]="male",R692&lt;17),"Fitnesss",AND(Table13[[#This Row],[Gender]]="male",R692&lt;24.9),"Acceptable",AND(Table13[[#This Row],[Gender]]="male",R692&lt;40),"Obese",AND(Table13[[#This Row],[Gender]]="others",R692&lt;20),"Athletes",AND(Table13[[#This Row],[Gender]]="others",R692&lt;24),"Fitnesss",AND(Table13[[#This Row],[Gender]]="others",R692&lt;31),"Acceptable",AND(Table13[[#This Row],[Gender]]="others",R692&lt;40),"Obese")</f>
        <v>Athletes</v>
      </c>
      <c r="R692" s="8">
        <v>10</v>
      </c>
      <c r="S692" s="8">
        <v>3.5</v>
      </c>
      <c r="T692" s="8">
        <v>3</v>
      </c>
      <c r="U692" s="8">
        <v>3</v>
      </c>
      <c r="V692" s="8" t="str">
        <f>IF(Table13[[#This Row],[BMI]]&lt;=18.5,"Underweight",IF(Table13[[#This Row],[BMI]]&lt;=24.9,"Normal",IF(Table13[[#This Row],[BMI]]&lt;=29.9,"Overweight",IF(Table13[[#This Row],[BMI]]&lt;=39,"Obese","Severly Obese"))))</f>
        <v>Underweight</v>
      </c>
      <c r="W692" s="18">
        <v>16.940000000000001</v>
      </c>
    </row>
    <row r="693" spans="6:23" x14ac:dyDescent="0.3">
      <c r="F693" s="17">
        <v>26</v>
      </c>
      <c r="G693" s="8" t="str">
        <f>IF(Table13[[#This Row],[Age]]&lt;25,"18-24",IF(Table13[[#This Row],[Age]]&lt;35,"25-34",IF(Table13[[#This Row],[Age]]&lt;45,"35-44",IF(Table13[[#This Row],[Age]]&lt;55,"45-54","55-64"))))</f>
        <v>25-34</v>
      </c>
      <c r="H693" s="8" t="s">
        <v>19</v>
      </c>
      <c r="I693" s="8">
        <v>92.2</v>
      </c>
      <c r="J693" s="8">
        <v>1.59</v>
      </c>
      <c r="K693" s="8">
        <v>176</v>
      </c>
      <c r="L693" s="8">
        <v>143</v>
      </c>
      <c r="M693" s="8">
        <v>55</v>
      </c>
      <c r="N693" s="8">
        <v>1.57</v>
      </c>
      <c r="O693" s="8">
        <v>1050</v>
      </c>
      <c r="P693" s="8" t="s">
        <v>18</v>
      </c>
      <c r="Q693" s="8" t="str">
        <f>_xlfn.IFS(AND(Table13[[#This Row],[Gender]]="female",R693&lt;20),"Athletes",AND(Table13[[#This Row],[Gender]]="female",R693&lt;24),"Fitnesss",AND(Table13[[#This Row],[Gender]]="female",R693&lt;31),"Acceptable",AND(Table13[[#This Row],[Gender]]="female",R693&lt;40),"Obese",AND(Table13[[#This Row],[Gender]]="male",R693&lt;13),"Athletes",AND(Table13[[#This Row],[Gender]]="male",R693&lt;17),"Fitnesss",AND(Table13[[#This Row],[Gender]]="male",R693&lt;24.9),"Acceptable",AND(Table13[[#This Row],[Gender]]="male",R693&lt;40),"Obese",AND(Table13[[#This Row],[Gender]]="others",R693&lt;20),"Athletes",AND(Table13[[#This Row],[Gender]]="others",R693&lt;24),"Fitnesss",AND(Table13[[#This Row],[Gender]]="others",R693&lt;31),"Acceptable",AND(Table13[[#This Row],[Gender]]="others",R693&lt;40),"Obese")</f>
        <v>Acceptable</v>
      </c>
      <c r="R693" s="8">
        <v>24.5</v>
      </c>
      <c r="S693" s="8">
        <v>2.4</v>
      </c>
      <c r="T693" s="8">
        <v>4</v>
      </c>
      <c r="U693" s="8">
        <v>2</v>
      </c>
      <c r="V693" s="8" t="str">
        <f>IF(Table13[[#This Row],[BMI]]&lt;=18.5,"Underweight",IF(Table13[[#This Row],[BMI]]&lt;=24.9,"Normal",IF(Table13[[#This Row],[BMI]]&lt;=29.9,"Overweight",IF(Table13[[#This Row],[BMI]]&lt;=39,"Obese","Severly Obese"))))</f>
        <v>Normal</v>
      </c>
      <c r="W693" s="18">
        <v>23</v>
      </c>
    </row>
    <row r="694" spans="6:23" x14ac:dyDescent="0.3">
      <c r="F694" s="17">
        <v>18</v>
      </c>
      <c r="G694" s="8" t="str">
        <f>IF(Table13[[#This Row],[Age]]&lt;25,"18-24",IF(Table13[[#This Row],[Age]]&lt;35,"25-34",IF(Table13[[#This Row],[Age]]&lt;45,"35-44",IF(Table13[[#This Row],[Age]]&lt;55,"45-54","55-64"))))</f>
        <v>18-24</v>
      </c>
      <c r="H694" s="8" t="s">
        <v>19</v>
      </c>
      <c r="I694" s="8">
        <v>83.1</v>
      </c>
      <c r="J694" s="8">
        <v>1.94</v>
      </c>
      <c r="K694" s="8">
        <v>188</v>
      </c>
      <c r="L694" s="8">
        <v>153</v>
      </c>
      <c r="M694" s="8">
        <v>56</v>
      </c>
      <c r="N694" s="8">
        <v>1.41</v>
      </c>
      <c r="O694" s="8">
        <v>1180</v>
      </c>
      <c r="P694" s="8" t="s">
        <v>22</v>
      </c>
      <c r="Q694" s="8" t="str">
        <f>_xlfn.IFS(AND(Table13[[#This Row],[Gender]]="female",R694&lt;20),"Athletes",AND(Table13[[#This Row],[Gender]]="female",R694&lt;24),"Fitnesss",AND(Table13[[#This Row],[Gender]]="female",R694&lt;31),"Acceptable",AND(Table13[[#This Row],[Gender]]="female",R694&lt;40),"Obese",AND(Table13[[#This Row],[Gender]]="male",R694&lt;13),"Athletes",AND(Table13[[#This Row],[Gender]]="male",R694&lt;17),"Fitnesss",AND(Table13[[#This Row],[Gender]]="male",R694&lt;24.9),"Acceptable",AND(Table13[[#This Row],[Gender]]="male",R694&lt;40),"Obese",AND(Table13[[#This Row],[Gender]]="others",R694&lt;20),"Athletes",AND(Table13[[#This Row],[Gender]]="others",R694&lt;24),"Fitnesss",AND(Table13[[#This Row],[Gender]]="others",R694&lt;31),"Acceptable",AND(Table13[[#This Row],[Gender]]="others",R694&lt;40),"Obese")</f>
        <v>Acceptable</v>
      </c>
      <c r="R694" s="8">
        <v>24.4</v>
      </c>
      <c r="S694" s="8">
        <v>3.3</v>
      </c>
      <c r="T694" s="8">
        <v>3</v>
      </c>
      <c r="U694" s="8">
        <v>2</v>
      </c>
      <c r="V694" s="8" t="str">
        <f>IF(Table13[[#This Row],[BMI]]&lt;=18.5,"Underweight",IF(Table13[[#This Row],[BMI]]&lt;=24.9,"Normal",IF(Table13[[#This Row],[BMI]]&lt;=29.9,"Overweight",IF(Table13[[#This Row],[BMI]]&lt;=39,"Obese","Severly Obese"))))</f>
        <v>Underweight</v>
      </c>
      <c r="W694" s="18">
        <v>17.84</v>
      </c>
    </row>
    <row r="695" spans="6:23" x14ac:dyDescent="0.3">
      <c r="F695" s="17">
        <v>36</v>
      </c>
      <c r="G695" s="8" t="str">
        <f>IF(Table13[[#This Row],[Age]]&lt;25,"18-24",IF(Table13[[#This Row],[Age]]&lt;35,"25-34",IF(Table13[[#This Row],[Age]]&lt;45,"35-44",IF(Table13[[#This Row],[Age]]&lt;55,"45-54","55-64"))))</f>
        <v>35-44</v>
      </c>
      <c r="H695" s="8" t="s">
        <v>17</v>
      </c>
      <c r="I695" s="8">
        <v>47.1</v>
      </c>
      <c r="J695" s="8">
        <v>1.72</v>
      </c>
      <c r="K695" s="8">
        <v>194</v>
      </c>
      <c r="L695" s="8">
        <v>145</v>
      </c>
      <c r="M695" s="8">
        <v>50</v>
      </c>
      <c r="N695" s="8"/>
      <c r="O695" s="8">
        <v>843</v>
      </c>
      <c r="P695" s="8" t="s">
        <v>18</v>
      </c>
      <c r="Q695" s="8" t="str">
        <f>_xlfn.IFS(AND(Table13[[#This Row],[Gender]]="female",R695&lt;20),"Athletes",AND(Table13[[#This Row],[Gender]]="female",R695&lt;24),"Fitnesss",AND(Table13[[#This Row],[Gender]]="female",R695&lt;31),"Acceptable",AND(Table13[[#This Row],[Gender]]="female",R695&lt;40),"Obese",AND(Table13[[#This Row],[Gender]]="male",R695&lt;13),"Athletes",AND(Table13[[#This Row],[Gender]]="male",R695&lt;17),"Fitnesss",AND(Table13[[#This Row],[Gender]]="male",R695&lt;24.9),"Acceptable",AND(Table13[[#This Row],[Gender]]="male",R695&lt;40),"Obese",AND(Table13[[#This Row],[Gender]]="others",R695&lt;20),"Athletes",AND(Table13[[#This Row],[Gender]]="others",R695&lt;24),"Fitnesss",AND(Table13[[#This Row],[Gender]]="others",R695&lt;31),"Acceptable",AND(Table13[[#This Row],[Gender]]="others",R695&lt;40),"Obese")</f>
        <v>Fitnesss</v>
      </c>
      <c r="R695" s="8">
        <v>21.8</v>
      </c>
      <c r="S695" s="8">
        <v>1.9</v>
      </c>
      <c r="T695" s="8">
        <v>3</v>
      </c>
      <c r="U695" s="8">
        <v>1</v>
      </c>
      <c r="V695" s="8" t="str">
        <f>IF(Table13[[#This Row],[BMI]]&lt;=18.5,"Underweight",IF(Table13[[#This Row],[BMI]]&lt;=24.9,"Normal",IF(Table13[[#This Row],[BMI]]&lt;=29.9,"Overweight",IF(Table13[[#This Row],[BMI]]&lt;=39,"Obese","Severly Obese"))))</f>
        <v>Underweight</v>
      </c>
      <c r="W695" s="18">
        <v>17.46</v>
      </c>
    </row>
    <row r="696" spans="6:23" x14ac:dyDescent="0.3">
      <c r="F696" s="17">
        <v>18</v>
      </c>
      <c r="G696" s="8" t="str">
        <f>IF(Table13[[#This Row],[Age]]&lt;25,"18-24",IF(Table13[[#This Row],[Age]]&lt;35,"25-34",IF(Table13[[#This Row],[Age]]&lt;45,"35-44",IF(Table13[[#This Row],[Age]]&lt;55,"45-54","55-64"))))</f>
        <v>18-24</v>
      </c>
      <c r="H696" s="8" t="s">
        <v>19</v>
      </c>
      <c r="I696" s="8">
        <v>53.1</v>
      </c>
      <c r="J696" s="8">
        <v>1.7</v>
      </c>
      <c r="K696" s="8">
        <v>181</v>
      </c>
      <c r="L696" s="8">
        <v>169</v>
      </c>
      <c r="M696" s="8">
        <v>73</v>
      </c>
      <c r="N696" s="8">
        <v>1.01</v>
      </c>
      <c r="O696" s="8">
        <v>1740</v>
      </c>
      <c r="P696" s="8" t="s">
        <v>18</v>
      </c>
      <c r="Q696" s="8" t="str">
        <f>_xlfn.IFS(AND(Table13[[#This Row],[Gender]]="female",R696&lt;20),"Athletes",AND(Table13[[#This Row],[Gender]]="female",R696&lt;24),"Fitnesss",AND(Table13[[#This Row],[Gender]]="female",R696&lt;31),"Acceptable",AND(Table13[[#This Row],[Gender]]="female",R696&lt;40),"Obese",AND(Table13[[#This Row],[Gender]]="male",R696&lt;13),"Athletes",AND(Table13[[#This Row],[Gender]]="male",R696&lt;17),"Fitnesss",AND(Table13[[#This Row],[Gender]]="male",R696&lt;24.9),"Acceptable",AND(Table13[[#This Row],[Gender]]="male",R696&lt;40),"Obese",AND(Table13[[#This Row],[Gender]]="others",R696&lt;20),"Athletes",AND(Table13[[#This Row],[Gender]]="others",R696&lt;24),"Fitnesss",AND(Table13[[#This Row],[Gender]]="others",R696&lt;31),"Acceptable",AND(Table13[[#This Row],[Gender]]="others",R696&lt;40),"Obese")</f>
        <v>Acceptable</v>
      </c>
      <c r="R696" s="8">
        <v>23.8</v>
      </c>
      <c r="S696" s="8">
        <v>2.2999999999999998</v>
      </c>
      <c r="T696" s="8">
        <v>4</v>
      </c>
      <c r="U696" s="8">
        <v>1</v>
      </c>
      <c r="V696" s="8" t="str">
        <f>IF(Table13[[#This Row],[BMI]]&lt;=18.5,"Underweight",IF(Table13[[#This Row],[BMI]]&lt;=24.9,"Normal",IF(Table13[[#This Row],[BMI]]&lt;=29.9,"Overweight",IF(Table13[[#This Row],[BMI]]&lt;=39,"Obese","Severly Obese"))))</f>
        <v>Underweight</v>
      </c>
      <c r="W696" s="18"/>
    </row>
    <row r="697" spans="6:23" x14ac:dyDescent="0.3">
      <c r="F697" s="17">
        <v>53</v>
      </c>
      <c r="G697" s="8" t="str">
        <f>IF(Table13[[#This Row],[Age]]&lt;25,"18-24",IF(Table13[[#This Row],[Age]]&lt;35,"25-34",IF(Table13[[#This Row],[Age]]&lt;45,"35-44",IF(Table13[[#This Row],[Age]]&lt;55,"45-54","55-64"))))</f>
        <v>45-54</v>
      </c>
      <c r="H697" s="8" t="s">
        <v>17</v>
      </c>
      <c r="I697" s="8">
        <v>76.2</v>
      </c>
      <c r="J697" s="8">
        <v>1.67</v>
      </c>
      <c r="K697" s="8">
        <v>185</v>
      </c>
      <c r="L697" s="8">
        <v>142</v>
      </c>
      <c r="M697" s="8">
        <v>68</v>
      </c>
      <c r="N697" s="8">
        <v>1.55</v>
      </c>
      <c r="O697" s="8">
        <v>804</v>
      </c>
      <c r="P697" s="8" t="s">
        <v>21</v>
      </c>
      <c r="Q697" s="8" t="str">
        <f>_xlfn.IFS(AND(Table13[[#This Row],[Gender]]="female",R697&lt;20),"Athletes",AND(Table13[[#This Row],[Gender]]="female",R697&lt;24),"Fitnesss",AND(Table13[[#This Row],[Gender]]="female",R697&lt;31),"Acceptable",AND(Table13[[#This Row],[Gender]]="female",R697&lt;40),"Obese",AND(Table13[[#This Row],[Gender]]="male",R697&lt;13),"Athletes",AND(Table13[[#This Row],[Gender]]="male",R697&lt;17),"Fitnesss",AND(Table13[[#This Row],[Gender]]="male",R697&lt;24.9),"Acceptable",AND(Table13[[#This Row],[Gender]]="male",R697&lt;40),"Obese",AND(Table13[[#This Row],[Gender]]="others",R697&lt;20),"Athletes",AND(Table13[[#This Row],[Gender]]="others",R697&lt;24),"Fitnesss",AND(Table13[[#This Row],[Gender]]="others",R697&lt;31),"Acceptable",AND(Table13[[#This Row],[Gender]]="others",R697&lt;40),"Obese")</f>
        <v>Acceptable</v>
      </c>
      <c r="R697" s="8">
        <v>25.5</v>
      </c>
      <c r="S697" s="8">
        <v>3.4</v>
      </c>
      <c r="T697" s="8">
        <v>3</v>
      </c>
      <c r="U697" s="8">
        <v>1</v>
      </c>
      <c r="V697" s="8" t="str">
        <f>IF(Table13[[#This Row],[BMI]]&lt;=18.5,"Underweight",IF(Table13[[#This Row],[BMI]]&lt;=24.9,"Normal",IF(Table13[[#This Row],[BMI]]&lt;=29.9,"Overweight",IF(Table13[[#This Row],[BMI]]&lt;=39,"Obese","Severly Obese"))))</f>
        <v>Underweight</v>
      </c>
      <c r="W697" s="18">
        <v>18.46</v>
      </c>
    </row>
    <row r="698" spans="6:23" x14ac:dyDescent="0.3">
      <c r="F698" s="17">
        <v>46</v>
      </c>
      <c r="G698" s="8" t="str">
        <f>IF(Table13[[#This Row],[Age]]&lt;25,"18-24",IF(Table13[[#This Row],[Age]]&lt;35,"25-34",IF(Table13[[#This Row],[Age]]&lt;45,"35-44",IF(Table13[[#This Row],[Age]]&lt;55,"45-54","55-64"))))</f>
        <v>45-54</v>
      </c>
      <c r="H698" s="8" t="s">
        <v>17</v>
      </c>
      <c r="I698" s="8">
        <v>48.4</v>
      </c>
      <c r="J698" s="8">
        <v>1.82</v>
      </c>
      <c r="K698" s="8">
        <v>163</v>
      </c>
      <c r="L698" s="8">
        <v>163</v>
      </c>
      <c r="M698" s="8">
        <v>68</v>
      </c>
      <c r="N698" s="8">
        <v>1.51</v>
      </c>
      <c r="O698" s="8">
        <v>1221</v>
      </c>
      <c r="P698" s="8" t="s">
        <v>21</v>
      </c>
      <c r="Q698" s="8" t="str">
        <f>_xlfn.IFS(AND(Table13[[#This Row],[Gender]]="female",R698&lt;20),"Athletes",AND(Table13[[#This Row],[Gender]]="female",R698&lt;24),"Fitnesss",AND(Table13[[#This Row],[Gender]]="female",R698&lt;31),"Acceptable",AND(Table13[[#This Row],[Gender]]="female",R698&lt;40),"Obese",AND(Table13[[#This Row],[Gender]]="male",R698&lt;13),"Athletes",AND(Table13[[#This Row],[Gender]]="male",R698&lt;17),"Fitnesss",AND(Table13[[#This Row],[Gender]]="male",R698&lt;24.9),"Acceptable",AND(Table13[[#This Row],[Gender]]="male",R698&lt;40),"Obese",AND(Table13[[#This Row],[Gender]]="others",R698&lt;20),"Athletes",AND(Table13[[#This Row],[Gender]]="others",R698&lt;24),"Fitnesss",AND(Table13[[#This Row],[Gender]]="others",R698&lt;31),"Acceptable",AND(Table13[[#This Row],[Gender]]="others",R698&lt;40),"Obese")</f>
        <v>Athletes</v>
      </c>
      <c r="R698" s="8">
        <v>19.2</v>
      </c>
      <c r="S698" s="8">
        <v>3.7</v>
      </c>
      <c r="T698" s="8">
        <v>5</v>
      </c>
      <c r="U698" s="8">
        <v>2</v>
      </c>
      <c r="V698" s="8" t="str">
        <f>IF(Table13[[#This Row],[BMI]]&lt;=18.5,"Underweight",IF(Table13[[#This Row],[BMI]]&lt;=24.9,"Normal",IF(Table13[[#This Row],[BMI]]&lt;=29.9,"Overweight",IF(Table13[[#This Row],[BMI]]&lt;=39,"Obese","Severly Obese"))))</f>
        <v>Underweight</v>
      </c>
      <c r="W698" s="18">
        <v>12.32</v>
      </c>
    </row>
    <row r="699" spans="6:23" x14ac:dyDescent="0.3">
      <c r="F699" s="17">
        <v>24</v>
      </c>
      <c r="G699" s="8" t="str">
        <f>IF(Table13[[#This Row],[Age]]&lt;25,"18-24",IF(Table13[[#This Row],[Age]]&lt;35,"25-34",IF(Table13[[#This Row],[Age]]&lt;45,"35-44",IF(Table13[[#This Row],[Age]]&lt;55,"45-54","55-64"))))</f>
        <v>18-24</v>
      </c>
      <c r="H699" s="8" t="s">
        <v>17</v>
      </c>
      <c r="I699" s="8">
        <v>47.3</v>
      </c>
      <c r="J699" s="8">
        <v>1.92</v>
      </c>
      <c r="K699" s="8">
        <v>189</v>
      </c>
      <c r="L699" s="8">
        <v>155</v>
      </c>
      <c r="M699" s="8">
        <v>74</v>
      </c>
      <c r="N699" s="8">
        <v>1.4</v>
      </c>
      <c r="O699" s="8">
        <v>505</v>
      </c>
      <c r="P699" s="8" t="s">
        <v>21</v>
      </c>
      <c r="Q699" s="8" t="str">
        <f>_xlfn.IFS(AND(Table13[[#This Row],[Gender]]="female",R699&lt;20),"Athletes",AND(Table13[[#This Row],[Gender]]="female",R699&lt;24),"Fitnesss",AND(Table13[[#This Row],[Gender]]="female",R699&lt;31),"Acceptable",AND(Table13[[#This Row],[Gender]]="female",R699&lt;40),"Obese",AND(Table13[[#This Row],[Gender]]="male",R699&lt;13),"Athletes",AND(Table13[[#This Row],[Gender]]="male",R699&lt;17),"Fitnesss",AND(Table13[[#This Row],[Gender]]="male",R699&lt;24.9),"Acceptable",AND(Table13[[#This Row],[Gender]]="male",R699&lt;40),"Obese",AND(Table13[[#This Row],[Gender]]="others",R699&lt;20),"Athletes",AND(Table13[[#This Row],[Gender]]="others",R699&lt;24),"Fitnesss",AND(Table13[[#This Row],[Gender]]="others",R699&lt;31),"Acceptable",AND(Table13[[#This Row],[Gender]]="others",R699&lt;40),"Obese")</f>
        <v>Acceptable</v>
      </c>
      <c r="R699" s="8">
        <v>29.5</v>
      </c>
      <c r="S699" s="8">
        <v>3.4</v>
      </c>
      <c r="T699" s="8">
        <v>5</v>
      </c>
      <c r="U699" s="8">
        <v>2</v>
      </c>
      <c r="V699" s="8" t="str">
        <f>IF(Table13[[#This Row],[BMI]]&lt;=18.5,"Underweight",IF(Table13[[#This Row],[BMI]]&lt;=24.9,"Normal",IF(Table13[[#This Row],[BMI]]&lt;=29.9,"Overweight",IF(Table13[[#This Row],[BMI]]&lt;=39,"Obese","Severly Obese"))))</f>
        <v>Underweight</v>
      </c>
      <c r="W699" s="18">
        <v>12.34</v>
      </c>
    </row>
    <row r="700" spans="6:23" x14ac:dyDescent="0.3">
      <c r="F700" s="17">
        <v>46</v>
      </c>
      <c r="G700" s="8" t="str">
        <f>IF(Table13[[#This Row],[Age]]&lt;25,"18-24",IF(Table13[[#This Row],[Age]]&lt;35,"25-34",IF(Table13[[#This Row],[Age]]&lt;45,"35-44",IF(Table13[[#This Row],[Age]]&lt;55,"45-54","55-64"))))</f>
        <v>45-54</v>
      </c>
      <c r="H700" s="8" t="s">
        <v>19</v>
      </c>
      <c r="I700" s="8">
        <v>91.8</v>
      </c>
      <c r="J700" s="8"/>
      <c r="K700" s="8">
        <v>191</v>
      </c>
      <c r="L700" s="8">
        <v>152</v>
      </c>
      <c r="M700" s="8">
        <v>71</v>
      </c>
      <c r="N700" s="8">
        <v>1.32</v>
      </c>
      <c r="O700" s="8">
        <v>927</v>
      </c>
      <c r="P700" s="8" t="s">
        <v>20</v>
      </c>
      <c r="Q700" s="8" t="str">
        <f>_xlfn.IFS(AND(Table13[[#This Row],[Gender]]="female",R700&lt;20),"Athletes",AND(Table13[[#This Row],[Gender]]="female",R700&lt;24),"Fitnesss",AND(Table13[[#This Row],[Gender]]="female",R700&lt;31),"Acceptable",AND(Table13[[#This Row],[Gender]]="female",R700&lt;40),"Obese",AND(Table13[[#This Row],[Gender]]="male",R700&lt;13),"Athletes",AND(Table13[[#This Row],[Gender]]="male",R700&lt;17),"Fitnesss",AND(Table13[[#This Row],[Gender]]="male",R700&lt;24.9),"Acceptable",AND(Table13[[#This Row],[Gender]]="male",R700&lt;40),"Obese",AND(Table13[[#This Row],[Gender]]="others",R700&lt;20),"Athletes",AND(Table13[[#This Row],[Gender]]="others",R700&lt;24),"Fitnesss",AND(Table13[[#This Row],[Gender]]="others",R700&lt;31),"Acceptable",AND(Table13[[#This Row],[Gender]]="others",R700&lt;40),"Obese")</f>
        <v>Obese</v>
      </c>
      <c r="R700" s="8">
        <v>26.8</v>
      </c>
      <c r="S700" s="8">
        <v>1.8</v>
      </c>
      <c r="T700" s="8">
        <v>3</v>
      </c>
      <c r="U700" s="8">
        <v>1</v>
      </c>
      <c r="V700" s="8" t="str">
        <f>IF(Table13[[#This Row],[BMI]]&lt;=18.5,"Underweight",IF(Table13[[#This Row],[BMI]]&lt;=24.9,"Normal",IF(Table13[[#This Row],[BMI]]&lt;=29.9,"Overweight",IF(Table13[[#This Row],[BMI]]&lt;=39,"Obese","Severly Obese"))))</f>
        <v>Normal</v>
      </c>
      <c r="W700" s="18">
        <v>23.11</v>
      </c>
    </row>
    <row r="701" spans="6:23" x14ac:dyDescent="0.3">
      <c r="F701" s="17">
        <v>31</v>
      </c>
      <c r="G701" s="8" t="str">
        <f>IF(Table13[[#This Row],[Age]]&lt;25,"18-24",IF(Table13[[#This Row],[Age]]&lt;35,"25-34",IF(Table13[[#This Row],[Age]]&lt;45,"35-44",IF(Table13[[#This Row],[Age]]&lt;55,"45-54","55-64"))))</f>
        <v>25-34</v>
      </c>
      <c r="H701" s="8" t="s">
        <v>17</v>
      </c>
      <c r="I701" s="8">
        <v>71.400000000000006</v>
      </c>
      <c r="J701" s="8">
        <v>1.68</v>
      </c>
      <c r="K701" s="8">
        <v>180</v>
      </c>
      <c r="L701" s="8">
        <v>143</v>
      </c>
      <c r="M701" s="8">
        <v>68</v>
      </c>
      <c r="N701" s="8">
        <v>1.37</v>
      </c>
      <c r="O701" s="8">
        <v>606</v>
      </c>
      <c r="P701" s="8" t="s">
        <v>22</v>
      </c>
      <c r="Q701" s="8" t="str">
        <f>_xlfn.IFS(AND(Table13[[#This Row],[Gender]]="female",R701&lt;20),"Athletes",AND(Table13[[#This Row],[Gender]]="female",R701&lt;24),"Fitnesss",AND(Table13[[#This Row],[Gender]]="female",R701&lt;31),"Acceptable",AND(Table13[[#This Row],[Gender]]="female",R701&lt;40),"Obese",AND(Table13[[#This Row],[Gender]]="male",R701&lt;13),"Athletes",AND(Table13[[#This Row],[Gender]]="male",R701&lt;17),"Fitnesss",AND(Table13[[#This Row],[Gender]]="male",R701&lt;24.9),"Acceptable",AND(Table13[[#This Row],[Gender]]="male",R701&lt;40),"Obese",AND(Table13[[#This Row],[Gender]]="others",R701&lt;20),"Athletes",AND(Table13[[#This Row],[Gender]]="others",R701&lt;24),"Fitnesss",AND(Table13[[#This Row],[Gender]]="others",R701&lt;31),"Acceptable",AND(Table13[[#This Row],[Gender]]="others",R701&lt;40),"Obese")</f>
        <v>Fitnesss</v>
      </c>
      <c r="R701" s="8">
        <v>23.8</v>
      </c>
      <c r="S701" s="8">
        <v>3.2</v>
      </c>
      <c r="T701" s="8">
        <v>2</v>
      </c>
      <c r="U701" s="8">
        <v>2</v>
      </c>
      <c r="V701" s="8" t="str">
        <f>IF(Table13[[#This Row],[BMI]]&lt;=18.5,"Underweight",IF(Table13[[#This Row],[BMI]]&lt;=24.9,"Normal",IF(Table13[[#This Row],[BMI]]&lt;=29.9,"Overweight",IF(Table13[[#This Row],[BMI]]&lt;=39,"Obese","Severly Obese"))))</f>
        <v>Normal</v>
      </c>
      <c r="W701" s="18">
        <v>21.59</v>
      </c>
    </row>
    <row r="702" spans="6:23" x14ac:dyDescent="0.3">
      <c r="F702" s="17">
        <v>24</v>
      </c>
      <c r="G702" s="8" t="str">
        <f>IF(Table13[[#This Row],[Age]]&lt;25,"18-24",IF(Table13[[#This Row],[Age]]&lt;35,"25-34",IF(Table13[[#This Row],[Age]]&lt;45,"35-44",IF(Table13[[#This Row],[Age]]&lt;55,"45-54","55-64"))))</f>
        <v>18-24</v>
      </c>
      <c r="H702" s="8" t="s">
        <v>19</v>
      </c>
      <c r="I702" s="8">
        <v>103.6</v>
      </c>
      <c r="J702" s="8">
        <v>1.88</v>
      </c>
      <c r="K702" s="8">
        <v>175</v>
      </c>
      <c r="L702" s="8">
        <v>154</v>
      </c>
      <c r="M702" s="8">
        <v>60</v>
      </c>
      <c r="N702" s="8">
        <v>1.55</v>
      </c>
      <c r="O702" s="8">
        <v>436</v>
      </c>
      <c r="P702" s="8" t="s">
        <v>22</v>
      </c>
      <c r="Q702" s="8" t="str">
        <f>_xlfn.IFS(AND(Table13[[#This Row],[Gender]]="female",R702&lt;20),"Athletes",AND(Table13[[#This Row],[Gender]]="female",R702&lt;24),"Fitnesss",AND(Table13[[#This Row],[Gender]]="female",R702&lt;31),"Acceptable",AND(Table13[[#This Row],[Gender]]="female",R702&lt;40),"Obese",AND(Table13[[#This Row],[Gender]]="male",R702&lt;13),"Athletes",AND(Table13[[#This Row],[Gender]]="male",R702&lt;17),"Fitnesss",AND(Table13[[#This Row],[Gender]]="male",R702&lt;24.9),"Acceptable",AND(Table13[[#This Row],[Gender]]="male",R702&lt;40),"Obese",AND(Table13[[#This Row],[Gender]]="others",R702&lt;20),"Athletes",AND(Table13[[#This Row],[Gender]]="others",R702&lt;24),"Fitnesss",AND(Table13[[#This Row],[Gender]]="others",R702&lt;31),"Acceptable",AND(Table13[[#This Row],[Gender]]="others",R702&lt;40),"Obese")</f>
        <v>Acceptable</v>
      </c>
      <c r="R702" s="8">
        <v>20.9</v>
      </c>
      <c r="S702" s="8">
        <v>3.2</v>
      </c>
      <c r="T702" s="8">
        <v>3</v>
      </c>
      <c r="U702" s="8">
        <v>1</v>
      </c>
      <c r="V702" s="8" t="str">
        <f>IF(Table13[[#This Row],[BMI]]&lt;=18.5,"Underweight",IF(Table13[[#This Row],[BMI]]&lt;=24.9,"Normal",IF(Table13[[#This Row],[BMI]]&lt;=29.9,"Overweight",IF(Table13[[#This Row],[BMI]]&lt;=39,"Obese","Severly Obese"))))</f>
        <v>Underweight</v>
      </c>
      <c r="W702" s="18">
        <v>13.85</v>
      </c>
    </row>
    <row r="703" spans="6:23" x14ac:dyDescent="0.3">
      <c r="F703" s="17">
        <v>35</v>
      </c>
      <c r="G703" s="8" t="str">
        <f>IF(Table13[[#This Row],[Age]]&lt;25,"18-24",IF(Table13[[#This Row],[Age]]&lt;35,"25-34",IF(Table13[[#This Row],[Age]]&lt;45,"35-44",IF(Table13[[#This Row],[Age]]&lt;55,"45-54","55-64"))))</f>
        <v>35-44</v>
      </c>
      <c r="H703" s="8" t="s">
        <v>17</v>
      </c>
      <c r="I703" s="8">
        <v>81</v>
      </c>
      <c r="J703" s="8">
        <v>1.78</v>
      </c>
      <c r="K703" s="8">
        <v>196</v>
      </c>
      <c r="L703" s="8">
        <v>151</v>
      </c>
      <c r="M703" s="8">
        <v>67</v>
      </c>
      <c r="N703" s="8">
        <v>2</v>
      </c>
      <c r="O703" s="8">
        <v>1246</v>
      </c>
      <c r="P703" s="8" t="s">
        <v>21</v>
      </c>
      <c r="Q703" s="8" t="str">
        <f>_xlfn.IFS(AND(Table13[[#This Row],[Gender]]="female",R703&lt;20),"Athletes",AND(Table13[[#This Row],[Gender]]="female",R703&lt;24),"Fitnesss",AND(Table13[[#This Row],[Gender]]="female",R703&lt;31),"Acceptable",AND(Table13[[#This Row],[Gender]]="female",R703&lt;40),"Obese",AND(Table13[[#This Row],[Gender]]="male",R703&lt;13),"Athletes",AND(Table13[[#This Row],[Gender]]="male",R703&lt;17),"Fitnesss",AND(Table13[[#This Row],[Gender]]="male",R703&lt;24.9),"Acceptable",AND(Table13[[#This Row],[Gender]]="male",R703&lt;40),"Obese",AND(Table13[[#This Row],[Gender]]="others",R703&lt;20),"Athletes",AND(Table13[[#This Row],[Gender]]="others",R703&lt;24),"Fitnesss",AND(Table13[[#This Row],[Gender]]="others",R703&lt;31),"Acceptable",AND(Table13[[#This Row],[Gender]]="others",R703&lt;40),"Obese")</f>
        <v>Athletes</v>
      </c>
      <c r="R703" s="8">
        <v>10</v>
      </c>
      <c r="S703" s="8">
        <v>3.3</v>
      </c>
      <c r="T703" s="8">
        <v>3</v>
      </c>
      <c r="U703" s="8">
        <v>1</v>
      </c>
      <c r="V703" s="8" t="str">
        <f>IF(Table13[[#This Row],[BMI]]&lt;=18.5,"Underweight",IF(Table13[[#This Row],[BMI]]&lt;=24.9,"Normal",IF(Table13[[#This Row],[BMI]]&lt;=29.9,"Overweight",IF(Table13[[#This Row],[BMI]]&lt;=39,"Obese","Severly Obese"))))</f>
        <v>Normal</v>
      </c>
      <c r="W703" s="18">
        <v>19.739999999999998</v>
      </c>
    </row>
    <row r="704" spans="6:23" x14ac:dyDescent="0.3">
      <c r="F704" s="17">
        <v>55</v>
      </c>
      <c r="G704" s="8" t="str">
        <f>IF(Table13[[#This Row],[Age]]&lt;25,"18-24",IF(Table13[[#This Row],[Age]]&lt;35,"25-34",IF(Table13[[#This Row],[Age]]&lt;45,"35-44",IF(Table13[[#This Row],[Age]]&lt;55,"45-54","55-64"))))</f>
        <v>55-64</v>
      </c>
      <c r="H704" s="8" t="s">
        <v>17</v>
      </c>
      <c r="I704" s="8">
        <v>94.9</v>
      </c>
      <c r="J704" s="8">
        <v>1.52</v>
      </c>
      <c r="K704" s="8">
        <v>196</v>
      </c>
      <c r="L704" s="8">
        <v>120</v>
      </c>
      <c r="M704" s="8">
        <v>73</v>
      </c>
      <c r="N704" s="8">
        <v>2</v>
      </c>
      <c r="O704" s="8">
        <v>1309</v>
      </c>
      <c r="P704" s="8" t="s">
        <v>21</v>
      </c>
      <c r="Q704" s="8" t="str">
        <f>_xlfn.IFS(AND(Table13[[#This Row],[Gender]]="female",R704&lt;20),"Athletes",AND(Table13[[#This Row],[Gender]]="female",R704&lt;24),"Fitnesss",AND(Table13[[#This Row],[Gender]]="female",R704&lt;31),"Acceptable",AND(Table13[[#This Row],[Gender]]="female",R704&lt;40),"Obese",AND(Table13[[#This Row],[Gender]]="male",R704&lt;13),"Athletes",AND(Table13[[#This Row],[Gender]]="male",R704&lt;17),"Fitnesss",AND(Table13[[#This Row],[Gender]]="male",R704&lt;24.9),"Acceptable",AND(Table13[[#This Row],[Gender]]="male",R704&lt;40),"Obese",AND(Table13[[#This Row],[Gender]]="others",R704&lt;20),"Athletes",AND(Table13[[#This Row],[Gender]]="others",R704&lt;24),"Fitnesss",AND(Table13[[#This Row],[Gender]]="others",R704&lt;31),"Acceptable",AND(Table13[[#This Row],[Gender]]="others",R704&lt;40),"Obese")</f>
        <v>Acceptable</v>
      </c>
      <c r="R704" s="8">
        <v>27.9</v>
      </c>
      <c r="S704" s="8">
        <v>1.5</v>
      </c>
      <c r="T704" s="8">
        <v>2</v>
      </c>
      <c r="U704" s="8"/>
      <c r="V704" s="8" t="str">
        <f>IF(Table13[[#This Row],[BMI]]&lt;=18.5,"Underweight",IF(Table13[[#This Row],[BMI]]&lt;=24.9,"Normal",IF(Table13[[#This Row],[BMI]]&lt;=29.9,"Overweight",IF(Table13[[#This Row],[BMI]]&lt;=39,"Obese","Severly Obese"))))</f>
        <v>Underweight</v>
      </c>
      <c r="W704" s="18">
        <v>12.32</v>
      </c>
    </row>
    <row r="705" spans="6:23" x14ac:dyDescent="0.3">
      <c r="F705" s="17">
        <v>21</v>
      </c>
      <c r="G705" s="8" t="str">
        <f>IF(Table13[[#This Row],[Age]]&lt;25,"18-24",IF(Table13[[#This Row],[Age]]&lt;35,"25-34",IF(Table13[[#This Row],[Age]]&lt;45,"35-44",IF(Table13[[#This Row],[Age]]&lt;55,"45-54","55-64"))))</f>
        <v>18-24</v>
      </c>
      <c r="H705" s="8" t="s">
        <v>17</v>
      </c>
      <c r="I705" s="8">
        <v>80</v>
      </c>
      <c r="J705" s="8">
        <v>1.67</v>
      </c>
      <c r="K705" s="8">
        <v>167</v>
      </c>
      <c r="L705" s="8">
        <v>169</v>
      </c>
      <c r="M705" s="8">
        <v>57</v>
      </c>
      <c r="N705" s="8">
        <v>0.94</v>
      </c>
      <c r="O705" s="8">
        <v>899</v>
      </c>
      <c r="P705" s="8" t="s">
        <v>18</v>
      </c>
      <c r="Q705" s="8" t="str">
        <f>_xlfn.IFS(AND(Table13[[#This Row],[Gender]]="female",R705&lt;20),"Athletes",AND(Table13[[#This Row],[Gender]]="female",R705&lt;24),"Fitnesss",AND(Table13[[#This Row],[Gender]]="female",R705&lt;31),"Acceptable",AND(Table13[[#This Row],[Gender]]="female",R705&lt;40),"Obese",AND(Table13[[#This Row],[Gender]]="male",R705&lt;13),"Athletes",AND(Table13[[#This Row],[Gender]]="male",R705&lt;17),"Fitnesss",AND(Table13[[#This Row],[Gender]]="male",R705&lt;24.9),"Acceptable",AND(Table13[[#This Row],[Gender]]="male",R705&lt;40),"Obese",AND(Table13[[#This Row],[Gender]]="others",R705&lt;20),"Athletes",AND(Table13[[#This Row],[Gender]]="others",R705&lt;24),"Fitnesss",AND(Table13[[#This Row],[Gender]]="others",R705&lt;31),"Acceptable",AND(Table13[[#This Row],[Gender]]="others",R705&lt;40),"Obese")</f>
        <v>Acceptable</v>
      </c>
      <c r="R705" s="8">
        <v>29.8</v>
      </c>
      <c r="S705" s="8">
        <v>3.1</v>
      </c>
      <c r="T705" s="8">
        <v>3</v>
      </c>
      <c r="U705" s="8">
        <v>2</v>
      </c>
      <c r="V705" s="8" t="str">
        <f>IF(Table13[[#This Row],[BMI]]&lt;=18.5,"Underweight",IF(Table13[[#This Row],[BMI]]&lt;=24.9,"Normal",IF(Table13[[#This Row],[BMI]]&lt;=29.9,"Overweight",IF(Table13[[#This Row],[BMI]]&lt;=39,"Obese","Severly Obese"))))</f>
        <v>Underweight</v>
      </c>
      <c r="W705" s="18">
        <v>17.149999999999999</v>
      </c>
    </row>
    <row r="706" spans="6:23" x14ac:dyDescent="0.3">
      <c r="F706" s="17">
        <v>29</v>
      </c>
      <c r="G706" s="8" t="str">
        <f>IF(Table13[[#This Row],[Age]]&lt;25,"18-24",IF(Table13[[#This Row],[Age]]&lt;35,"25-34",IF(Table13[[#This Row],[Age]]&lt;45,"35-44",IF(Table13[[#This Row],[Age]]&lt;55,"45-54","55-64"))))</f>
        <v>25-34</v>
      </c>
      <c r="H706" s="8" t="s">
        <v>17</v>
      </c>
      <c r="I706" s="8">
        <v>40</v>
      </c>
      <c r="J706" s="8">
        <v>1.77</v>
      </c>
      <c r="K706" s="8">
        <v>191</v>
      </c>
      <c r="L706" s="8">
        <v>169</v>
      </c>
      <c r="M706" s="8">
        <v>58</v>
      </c>
      <c r="N706" s="8">
        <v>1.2</v>
      </c>
      <c r="O706" s="8">
        <v>613</v>
      </c>
      <c r="P706" s="8" t="s">
        <v>18</v>
      </c>
      <c r="Q706" s="8" t="str">
        <f>_xlfn.IFS(AND(Table13[[#This Row],[Gender]]="female",R706&lt;20),"Athletes",AND(Table13[[#This Row],[Gender]]="female",R706&lt;24),"Fitnesss",AND(Table13[[#This Row],[Gender]]="female",R706&lt;31),"Acceptable",AND(Table13[[#This Row],[Gender]]="female",R706&lt;40),"Obese",AND(Table13[[#This Row],[Gender]]="male",R706&lt;13),"Athletes",AND(Table13[[#This Row],[Gender]]="male",R706&lt;17),"Fitnesss",AND(Table13[[#This Row],[Gender]]="male",R706&lt;24.9),"Acceptable",AND(Table13[[#This Row],[Gender]]="male",R706&lt;40),"Obese",AND(Table13[[#This Row],[Gender]]="others",R706&lt;20),"Athletes",AND(Table13[[#This Row],[Gender]]="others",R706&lt;24),"Fitnesss",AND(Table13[[#This Row],[Gender]]="others",R706&lt;31),"Acceptable",AND(Table13[[#This Row],[Gender]]="others",R706&lt;40),"Obese")</f>
        <v>Fitnesss</v>
      </c>
      <c r="R706" s="8">
        <v>22.2</v>
      </c>
      <c r="S706" s="8">
        <v>2.2000000000000002</v>
      </c>
      <c r="T706" s="8">
        <v>4</v>
      </c>
      <c r="U706" s="8">
        <v>2</v>
      </c>
      <c r="V706" s="8" t="str">
        <f>IF(Table13[[#This Row],[BMI]]&lt;=18.5,"Underweight",IF(Table13[[#This Row],[BMI]]&lt;=24.9,"Normal",IF(Table13[[#This Row],[BMI]]&lt;=29.9,"Overweight",IF(Table13[[#This Row],[BMI]]&lt;=39,"Obese","Severly Obese"))))</f>
        <v>Overweight</v>
      </c>
      <c r="W706" s="18">
        <v>29.56</v>
      </c>
    </row>
    <row r="707" spans="6:23" x14ac:dyDescent="0.3">
      <c r="F707" s="17">
        <v>35</v>
      </c>
      <c r="G707" s="8" t="str">
        <f>IF(Table13[[#This Row],[Age]]&lt;25,"18-24",IF(Table13[[#This Row],[Age]]&lt;35,"25-34",IF(Table13[[#This Row],[Age]]&lt;45,"35-44",IF(Table13[[#This Row],[Age]]&lt;55,"45-54","55-64"))))</f>
        <v>35-44</v>
      </c>
      <c r="H707" s="8" t="s">
        <v>19</v>
      </c>
      <c r="I707" s="8">
        <v>69.5</v>
      </c>
      <c r="J707" s="8">
        <v>1.68</v>
      </c>
      <c r="K707" s="8">
        <v>172</v>
      </c>
      <c r="L707" s="8">
        <v>155</v>
      </c>
      <c r="M707" s="8">
        <v>59</v>
      </c>
      <c r="N707" s="8">
        <v>1.78</v>
      </c>
      <c r="O707" s="8">
        <v>1350</v>
      </c>
      <c r="P707" s="8" t="s">
        <v>21</v>
      </c>
      <c r="Q707" s="8" t="str">
        <f>_xlfn.IFS(AND(Table13[[#This Row],[Gender]]="female",R707&lt;20),"Athletes",AND(Table13[[#This Row],[Gender]]="female",R707&lt;24),"Fitnesss",AND(Table13[[#This Row],[Gender]]="female",R707&lt;31),"Acceptable",AND(Table13[[#This Row],[Gender]]="female",R707&lt;40),"Obese",AND(Table13[[#This Row],[Gender]]="male",R707&lt;13),"Athletes",AND(Table13[[#This Row],[Gender]]="male",R707&lt;17),"Fitnesss",AND(Table13[[#This Row],[Gender]]="male",R707&lt;24.9),"Acceptable",AND(Table13[[#This Row],[Gender]]="male",R707&lt;40),"Obese",AND(Table13[[#This Row],[Gender]]="others",R707&lt;20),"Athletes",AND(Table13[[#This Row],[Gender]]="others",R707&lt;24),"Fitnesss",AND(Table13[[#This Row],[Gender]]="others",R707&lt;31),"Acceptable",AND(Table13[[#This Row],[Gender]]="others",R707&lt;40),"Obese")</f>
        <v>Acceptable</v>
      </c>
      <c r="R707" s="8">
        <v>23.6</v>
      </c>
      <c r="S707" s="8">
        <v>1.6</v>
      </c>
      <c r="T707" s="8">
        <v>3</v>
      </c>
      <c r="U707" s="8"/>
      <c r="V707" s="8" t="str">
        <f>IF(Table13[[#This Row],[BMI]]&lt;=18.5,"Underweight",IF(Table13[[#This Row],[BMI]]&lt;=24.9,"Normal",IF(Table13[[#This Row],[BMI]]&lt;=29.9,"Overweight",IF(Table13[[#This Row],[BMI]]&lt;=39,"Obese","Severly Obese"))))</f>
        <v>Underweight</v>
      </c>
      <c r="W707" s="18">
        <v>16.62</v>
      </c>
    </row>
    <row r="708" spans="6:23" x14ac:dyDescent="0.3">
      <c r="F708" s="17">
        <v>37</v>
      </c>
      <c r="G708" s="8" t="str">
        <f>IF(Table13[[#This Row],[Age]]&lt;25,"18-24",IF(Table13[[#This Row],[Age]]&lt;35,"25-34",IF(Table13[[#This Row],[Age]]&lt;45,"35-44",IF(Table13[[#This Row],[Age]]&lt;55,"45-54","55-64"))))</f>
        <v>35-44</v>
      </c>
      <c r="H708" s="8" t="s">
        <v>19</v>
      </c>
      <c r="I708" s="8">
        <v>48.3</v>
      </c>
      <c r="J708" s="8">
        <v>1.81</v>
      </c>
      <c r="K708" s="8">
        <v>167</v>
      </c>
      <c r="L708" s="8">
        <v>134</v>
      </c>
      <c r="M708" s="8">
        <v>69</v>
      </c>
      <c r="N708" s="8">
        <v>1.97</v>
      </c>
      <c r="O708" s="8">
        <v>1276</v>
      </c>
      <c r="P708" s="8" t="s">
        <v>22</v>
      </c>
      <c r="Q708" s="8" t="str">
        <f>_xlfn.IFS(AND(Table13[[#This Row],[Gender]]="female",R708&lt;20),"Athletes",AND(Table13[[#This Row],[Gender]]="female",R708&lt;24),"Fitnesss",AND(Table13[[#This Row],[Gender]]="female",R708&lt;31),"Acceptable",AND(Table13[[#This Row],[Gender]]="female",R708&lt;40),"Obese",AND(Table13[[#This Row],[Gender]]="male",R708&lt;13),"Athletes",AND(Table13[[#This Row],[Gender]]="male",R708&lt;17),"Fitnesss",AND(Table13[[#This Row],[Gender]]="male",R708&lt;24.9),"Acceptable",AND(Table13[[#This Row],[Gender]]="male",R708&lt;40),"Obese",AND(Table13[[#This Row],[Gender]]="others",R708&lt;20),"Athletes",AND(Table13[[#This Row],[Gender]]="others",R708&lt;24),"Fitnesss",AND(Table13[[#This Row],[Gender]]="others",R708&lt;31),"Acceptable",AND(Table13[[#This Row],[Gender]]="others",R708&lt;40),"Obese")</f>
        <v>Obese</v>
      </c>
      <c r="R708" s="8">
        <v>26.1</v>
      </c>
      <c r="S708" s="8">
        <v>1.8</v>
      </c>
      <c r="T708" s="8">
        <v>3</v>
      </c>
      <c r="U708" s="8">
        <v>2</v>
      </c>
      <c r="V708" s="8" t="str">
        <f>IF(Table13[[#This Row],[BMI]]&lt;=18.5,"Underweight",IF(Table13[[#This Row],[BMI]]&lt;=24.9,"Normal",IF(Table13[[#This Row],[BMI]]&lt;=29.9,"Overweight",IF(Table13[[#This Row],[BMI]]&lt;=39,"Obese","Severly Obese"))))</f>
        <v>Normal</v>
      </c>
      <c r="W708" s="18">
        <v>20.81</v>
      </c>
    </row>
    <row r="709" spans="6:23" x14ac:dyDescent="0.3">
      <c r="F709" s="17">
        <v>18</v>
      </c>
      <c r="G709" s="8" t="str">
        <f>IF(Table13[[#This Row],[Age]]&lt;25,"18-24",IF(Table13[[#This Row],[Age]]&lt;35,"25-34",IF(Table13[[#This Row],[Age]]&lt;45,"35-44",IF(Table13[[#This Row],[Age]]&lt;55,"45-54","55-64"))))</f>
        <v>18-24</v>
      </c>
      <c r="H709" s="8" t="s">
        <v>19</v>
      </c>
      <c r="I709" s="8">
        <v>44.8</v>
      </c>
      <c r="J709" s="8">
        <v>1.67</v>
      </c>
      <c r="K709" s="8">
        <v>193</v>
      </c>
      <c r="L709" s="8">
        <v>137</v>
      </c>
      <c r="M709" s="8">
        <v>61</v>
      </c>
      <c r="N709" s="8">
        <v>1.3</v>
      </c>
      <c r="O709" s="8">
        <v>719</v>
      </c>
      <c r="P709" s="8" t="s">
        <v>22</v>
      </c>
      <c r="Q709" s="8" t="str">
        <f>_xlfn.IFS(AND(Table13[[#This Row],[Gender]]="female",R709&lt;20),"Athletes",AND(Table13[[#This Row],[Gender]]="female",R709&lt;24),"Fitnesss",AND(Table13[[#This Row],[Gender]]="female",R709&lt;31),"Acceptable",AND(Table13[[#This Row],[Gender]]="female",R709&lt;40),"Obese",AND(Table13[[#This Row],[Gender]]="male",R709&lt;13),"Athletes",AND(Table13[[#This Row],[Gender]]="male",R709&lt;17),"Fitnesss",AND(Table13[[#This Row],[Gender]]="male",R709&lt;24.9),"Acceptable",AND(Table13[[#This Row],[Gender]]="male",R709&lt;40),"Obese",AND(Table13[[#This Row],[Gender]]="others",R709&lt;20),"Athletes",AND(Table13[[#This Row],[Gender]]="others",R709&lt;24),"Fitnesss",AND(Table13[[#This Row],[Gender]]="others",R709&lt;31),"Acceptable",AND(Table13[[#This Row],[Gender]]="others",R709&lt;40),"Obese")</f>
        <v>Acceptable</v>
      </c>
      <c r="R709" s="8">
        <v>21.6</v>
      </c>
      <c r="S709" s="8">
        <v>2.2999999999999998</v>
      </c>
      <c r="T709" s="8">
        <v>4</v>
      </c>
      <c r="U709" s="8">
        <v>1</v>
      </c>
      <c r="V709" s="8" t="str">
        <f>IF(Table13[[#This Row],[BMI]]&lt;=18.5,"Underweight",IF(Table13[[#This Row],[BMI]]&lt;=24.9,"Normal",IF(Table13[[#This Row],[BMI]]&lt;=29.9,"Overweight",IF(Table13[[#This Row],[BMI]]&lt;=39,"Obese","Severly Obese"))))</f>
        <v>Underweight</v>
      </c>
      <c r="W709" s="18">
        <v>12.32</v>
      </c>
    </row>
    <row r="710" spans="6:23" x14ac:dyDescent="0.3">
      <c r="F710" s="17">
        <v>54</v>
      </c>
      <c r="G710" s="8" t="str">
        <f>IF(Table13[[#This Row],[Age]]&lt;25,"18-24",IF(Table13[[#This Row],[Age]]&lt;35,"25-34",IF(Table13[[#This Row],[Age]]&lt;45,"35-44",IF(Table13[[#This Row],[Age]]&lt;55,"45-54","55-64"))))</f>
        <v>45-54</v>
      </c>
      <c r="H710" s="8" t="s">
        <v>19</v>
      </c>
      <c r="I710" s="8">
        <v>68.900000000000006</v>
      </c>
      <c r="J710" s="8">
        <v>1.78</v>
      </c>
      <c r="K710" s="8">
        <v>187</v>
      </c>
      <c r="L710" s="8">
        <v>155</v>
      </c>
      <c r="M710" s="8">
        <v>60</v>
      </c>
      <c r="N710" s="8">
        <v>1.42</v>
      </c>
      <c r="O710" s="8">
        <v>913</v>
      </c>
      <c r="P710" s="8" t="s">
        <v>23</v>
      </c>
      <c r="Q710" s="8" t="str">
        <f>_xlfn.IFS(AND(Table13[[#This Row],[Gender]]="female",R710&lt;20),"Athletes",AND(Table13[[#This Row],[Gender]]="female",R710&lt;24),"Fitnesss",AND(Table13[[#This Row],[Gender]]="female",R710&lt;31),"Acceptable",AND(Table13[[#This Row],[Gender]]="female",R710&lt;40),"Obese",AND(Table13[[#This Row],[Gender]]="male",R710&lt;13),"Athletes",AND(Table13[[#This Row],[Gender]]="male",R710&lt;17),"Fitnesss",AND(Table13[[#This Row],[Gender]]="male",R710&lt;24.9),"Acceptable",AND(Table13[[#This Row],[Gender]]="male",R710&lt;40),"Obese",AND(Table13[[#This Row],[Gender]]="others",R710&lt;20),"Athletes",AND(Table13[[#This Row],[Gender]]="others",R710&lt;24),"Fitnesss",AND(Table13[[#This Row],[Gender]]="others",R710&lt;31),"Acceptable",AND(Table13[[#This Row],[Gender]]="others",R710&lt;40),"Obese")</f>
        <v>Obese</v>
      </c>
      <c r="R710" s="8">
        <v>30.7</v>
      </c>
      <c r="S710" s="8">
        <v>3.4</v>
      </c>
      <c r="T710" s="8">
        <v>3</v>
      </c>
      <c r="U710" s="8">
        <v>1</v>
      </c>
      <c r="V710" s="8" t="str">
        <f>IF(Table13[[#This Row],[BMI]]&lt;=18.5,"Underweight",IF(Table13[[#This Row],[BMI]]&lt;=24.9,"Normal",IF(Table13[[#This Row],[BMI]]&lt;=29.9,"Overweight",IF(Table13[[#This Row],[BMI]]&lt;=39,"Obese","Severly Obese"))))</f>
        <v>Underweight</v>
      </c>
      <c r="W710" s="18">
        <v>17.82</v>
      </c>
    </row>
    <row r="711" spans="6:23" x14ac:dyDescent="0.3">
      <c r="F711" s="17">
        <v>44</v>
      </c>
      <c r="G711" s="8" t="str">
        <f>IF(Table13[[#This Row],[Age]]&lt;25,"18-24",IF(Table13[[#This Row],[Age]]&lt;35,"25-34",IF(Table13[[#This Row],[Age]]&lt;45,"35-44",IF(Table13[[#This Row],[Age]]&lt;55,"45-54","55-64"))))</f>
        <v>35-44</v>
      </c>
      <c r="H711" s="8" t="s">
        <v>17</v>
      </c>
      <c r="I711" s="8">
        <v>63.6</v>
      </c>
      <c r="J711" s="8">
        <v>1.77</v>
      </c>
      <c r="K711" s="8">
        <v>161</v>
      </c>
      <c r="L711" s="8">
        <v>169</v>
      </c>
      <c r="M711" s="8">
        <v>50</v>
      </c>
      <c r="N711" s="8">
        <v>1.57</v>
      </c>
      <c r="O711" s="8">
        <v>1283</v>
      </c>
      <c r="P711" s="8" t="s">
        <v>20</v>
      </c>
      <c r="Q711" s="8" t="str">
        <f>_xlfn.IFS(AND(Table13[[#This Row],[Gender]]="female",R711&lt;20),"Athletes",AND(Table13[[#This Row],[Gender]]="female",R711&lt;24),"Fitnesss",AND(Table13[[#This Row],[Gender]]="female",R711&lt;31),"Acceptable",AND(Table13[[#This Row],[Gender]]="female",R711&lt;40),"Obese",AND(Table13[[#This Row],[Gender]]="male",R711&lt;13),"Athletes",AND(Table13[[#This Row],[Gender]]="male",R711&lt;17),"Fitnesss",AND(Table13[[#This Row],[Gender]]="male",R711&lt;24.9),"Acceptable",AND(Table13[[#This Row],[Gender]]="male",R711&lt;40),"Obese",AND(Table13[[#This Row],[Gender]]="others",R711&lt;20),"Athletes",AND(Table13[[#This Row],[Gender]]="others",R711&lt;24),"Fitnesss",AND(Table13[[#This Row],[Gender]]="others",R711&lt;31),"Acceptable",AND(Table13[[#This Row],[Gender]]="others",R711&lt;40),"Obese")</f>
        <v>Athletes</v>
      </c>
      <c r="R711" s="8">
        <v>17.8</v>
      </c>
      <c r="S711" s="8">
        <v>2.1</v>
      </c>
      <c r="T711" s="8">
        <v>3</v>
      </c>
      <c r="U711" s="8"/>
      <c r="V711" s="8" t="str">
        <f>IF(Table13[[#This Row],[BMI]]&lt;=18.5,"Underweight",IF(Table13[[#This Row],[BMI]]&lt;=24.9,"Normal",IF(Table13[[#This Row],[BMI]]&lt;=29.9,"Overweight",IF(Table13[[#This Row],[BMI]]&lt;=39,"Obese","Severly Obese"))))</f>
        <v>Underweight</v>
      </c>
      <c r="W711" s="18">
        <v>17.920000000000002</v>
      </c>
    </row>
    <row r="712" spans="6:23" x14ac:dyDescent="0.3">
      <c r="F712" s="17">
        <v>27</v>
      </c>
      <c r="G712" s="8" t="str">
        <f>IF(Table13[[#This Row],[Age]]&lt;25,"18-24",IF(Table13[[#This Row],[Age]]&lt;35,"25-34",IF(Table13[[#This Row],[Age]]&lt;45,"35-44",IF(Table13[[#This Row],[Age]]&lt;55,"45-54","55-64"))))</f>
        <v>25-34</v>
      </c>
      <c r="H712" s="8" t="s">
        <v>17</v>
      </c>
      <c r="I712" s="8">
        <v>40</v>
      </c>
      <c r="J712" s="8">
        <v>1.72</v>
      </c>
      <c r="K712" s="8">
        <v>178</v>
      </c>
      <c r="L712" s="8">
        <v>132</v>
      </c>
      <c r="M712" s="8">
        <v>72</v>
      </c>
      <c r="N712" s="8">
        <v>0.83</v>
      </c>
      <c r="O712" s="8">
        <v>857</v>
      </c>
      <c r="P712" s="8" t="s">
        <v>20</v>
      </c>
      <c r="Q712" s="8" t="str">
        <f>_xlfn.IFS(AND(Table13[[#This Row],[Gender]]="female",R712&lt;20),"Athletes",AND(Table13[[#This Row],[Gender]]="female",R712&lt;24),"Fitnesss",AND(Table13[[#This Row],[Gender]]="female",R712&lt;31),"Acceptable",AND(Table13[[#This Row],[Gender]]="female",R712&lt;40),"Obese",AND(Table13[[#This Row],[Gender]]="male",R712&lt;13),"Athletes",AND(Table13[[#This Row],[Gender]]="male",R712&lt;17),"Fitnesss",AND(Table13[[#This Row],[Gender]]="male",R712&lt;24.9),"Acceptable",AND(Table13[[#This Row],[Gender]]="male",R712&lt;40),"Obese",AND(Table13[[#This Row],[Gender]]="others",R712&lt;20),"Athletes",AND(Table13[[#This Row],[Gender]]="others",R712&lt;24),"Fitnesss",AND(Table13[[#This Row],[Gender]]="others",R712&lt;31),"Acceptable",AND(Table13[[#This Row],[Gender]]="others",R712&lt;40),"Obese")</f>
        <v>Acceptable</v>
      </c>
      <c r="R712" s="8">
        <v>27.3</v>
      </c>
      <c r="S712" s="8">
        <v>3.2</v>
      </c>
      <c r="T712" s="8">
        <v>4</v>
      </c>
      <c r="U712" s="8">
        <v>2</v>
      </c>
      <c r="V712" s="8" t="str">
        <f>IF(Table13[[#This Row],[BMI]]&lt;=18.5,"Underweight",IF(Table13[[#This Row],[BMI]]&lt;=24.9,"Normal",IF(Table13[[#This Row],[BMI]]&lt;=29.9,"Overweight",IF(Table13[[#This Row],[BMI]]&lt;=39,"Obese","Severly Obese"))))</f>
        <v>Underweight</v>
      </c>
      <c r="W712" s="18">
        <v>17.8</v>
      </c>
    </row>
    <row r="713" spans="6:23" x14ac:dyDescent="0.3">
      <c r="F713" s="17">
        <v>35</v>
      </c>
      <c r="G713" s="8" t="str">
        <f>IF(Table13[[#This Row],[Age]]&lt;25,"18-24",IF(Table13[[#This Row],[Age]]&lt;35,"25-34",IF(Table13[[#This Row],[Age]]&lt;45,"35-44",IF(Table13[[#This Row],[Age]]&lt;55,"45-54","55-64"))))</f>
        <v>35-44</v>
      </c>
      <c r="H713" s="8" t="s">
        <v>17</v>
      </c>
      <c r="I713" s="8">
        <v>66.7</v>
      </c>
      <c r="J713" s="8">
        <v>1.72</v>
      </c>
      <c r="K713" s="8">
        <v>171</v>
      </c>
      <c r="L713" s="8">
        <v>153</v>
      </c>
      <c r="M713" s="8">
        <v>65</v>
      </c>
      <c r="N713" s="8">
        <v>1.1499999999999999</v>
      </c>
      <c r="O713" s="8">
        <v>776</v>
      </c>
      <c r="P713" s="8" t="s">
        <v>21</v>
      </c>
      <c r="Q713" s="8" t="str">
        <f>_xlfn.IFS(AND(Table13[[#This Row],[Gender]]="female",R713&lt;20),"Athletes",AND(Table13[[#This Row],[Gender]]="female",R713&lt;24),"Fitnesss",AND(Table13[[#This Row],[Gender]]="female",R713&lt;31),"Acceptable",AND(Table13[[#This Row],[Gender]]="female",R713&lt;40),"Obese",AND(Table13[[#This Row],[Gender]]="male",R713&lt;13),"Athletes",AND(Table13[[#This Row],[Gender]]="male",R713&lt;17),"Fitnesss",AND(Table13[[#This Row],[Gender]]="male",R713&lt;24.9),"Acceptable",AND(Table13[[#This Row],[Gender]]="male",R713&lt;40),"Obese",AND(Table13[[#This Row],[Gender]]="others",R713&lt;20),"Athletes",AND(Table13[[#This Row],[Gender]]="others",R713&lt;24),"Fitnesss",AND(Table13[[#This Row],[Gender]]="others",R713&lt;31),"Acceptable",AND(Table13[[#This Row],[Gender]]="others",R713&lt;40),"Obese")</f>
        <v>Athletes</v>
      </c>
      <c r="R713" s="8">
        <v>18.7</v>
      </c>
      <c r="S713" s="8">
        <v>2.5</v>
      </c>
      <c r="T713" s="8">
        <v>4</v>
      </c>
      <c r="U713" s="8">
        <v>1</v>
      </c>
      <c r="V713" s="8" t="str">
        <f>IF(Table13[[#This Row],[BMI]]&lt;=18.5,"Underweight",IF(Table13[[#This Row],[BMI]]&lt;=24.9,"Normal",IF(Table13[[#This Row],[BMI]]&lt;=29.9,"Overweight",IF(Table13[[#This Row],[BMI]]&lt;=39,"Obese","Severly Obese"))))</f>
        <v>Normal</v>
      </c>
      <c r="W713" s="18">
        <v>22.98</v>
      </c>
    </row>
    <row r="714" spans="6:23" x14ac:dyDescent="0.3">
      <c r="F714" s="17">
        <v>44</v>
      </c>
      <c r="G714" s="8" t="str">
        <f>IF(Table13[[#This Row],[Age]]&lt;25,"18-24",IF(Table13[[#This Row],[Age]]&lt;35,"25-34",IF(Table13[[#This Row],[Age]]&lt;45,"35-44",IF(Table13[[#This Row],[Age]]&lt;55,"45-54","55-64"))))</f>
        <v>35-44</v>
      </c>
      <c r="H714" s="8" t="s">
        <v>19</v>
      </c>
      <c r="I714" s="8">
        <v>47.3</v>
      </c>
      <c r="J714" s="8">
        <v>1.72</v>
      </c>
      <c r="K714" s="8">
        <v>198</v>
      </c>
      <c r="L714" s="8">
        <v>164</v>
      </c>
      <c r="M714" s="8">
        <v>70</v>
      </c>
      <c r="N714" s="8">
        <v>1.46</v>
      </c>
      <c r="O714" s="8">
        <v>1103</v>
      </c>
      <c r="P714" s="8" t="s">
        <v>18</v>
      </c>
      <c r="Q714" s="8" t="str">
        <f>_xlfn.IFS(AND(Table13[[#This Row],[Gender]]="female",R714&lt;20),"Athletes",AND(Table13[[#This Row],[Gender]]="female",R714&lt;24),"Fitnesss",AND(Table13[[#This Row],[Gender]]="female",R714&lt;31),"Acceptable",AND(Table13[[#This Row],[Gender]]="female",R714&lt;40),"Obese",AND(Table13[[#This Row],[Gender]]="male",R714&lt;13),"Athletes",AND(Table13[[#This Row],[Gender]]="male",R714&lt;17),"Fitnesss",AND(Table13[[#This Row],[Gender]]="male",R714&lt;24.9),"Acceptable",AND(Table13[[#This Row],[Gender]]="male",R714&lt;40),"Obese",AND(Table13[[#This Row],[Gender]]="others",R714&lt;20),"Athletes",AND(Table13[[#This Row],[Gender]]="others",R714&lt;24),"Fitnesss",AND(Table13[[#This Row],[Gender]]="others",R714&lt;31),"Acceptable",AND(Table13[[#This Row],[Gender]]="others",R714&lt;40),"Obese")</f>
        <v>Obese</v>
      </c>
      <c r="R714" s="8">
        <v>26.7</v>
      </c>
      <c r="S714" s="8">
        <v>1.5</v>
      </c>
      <c r="T714" s="8">
        <v>4</v>
      </c>
      <c r="U714" s="8"/>
      <c r="V714" s="8" t="str">
        <f>IF(Table13[[#This Row],[BMI]]&lt;=18.5,"Underweight",IF(Table13[[#This Row],[BMI]]&lt;=24.9,"Normal",IF(Table13[[#This Row],[BMI]]&lt;=29.9,"Overweight",IF(Table13[[#This Row],[BMI]]&lt;=39,"Obese","Severly Obese"))))</f>
        <v>Normal</v>
      </c>
      <c r="W714" s="18">
        <v>23.85</v>
      </c>
    </row>
    <row r="715" spans="6:23" x14ac:dyDescent="0.3">
      <c r="F715" s="17">
        <v>39</v>
      </c>
      <c r="G715" s="8" t="str">
        <f>IF(Table13[[#This Row],[Age]]&lt;25,"18-24",IF(Table13[[#This Row],[Age]]&lt;35,"25-34",IF(Table13[[#This Row],[Age]]&lt;45,"35-44",IF(Table13[[#This Row],[Age]]&lt;55,"45-54","55-64"))))</f>
        <v>35-44</v>
      </c>
      <c r="H715" s="8" t="s">
        <v>17</v>
      </c>
      <c r="I715" s="8">
        <v>70.3</v>
      </c>
      <c r="J715" s="8">
        <v>1.74</v>
      </c>
      <c r="K715" s="8">
        <v>170</v>
      </c>
      <c r="L715" s="8">
        <v>152</v>
      </c>
      <c r="M715" s="8">
        <v>59</v>
      </c>
      <c r="N715" s="8">
        <v>2</v>
      </c>
      <c r="O715" s="8">
        <v>864</v>
      </c>
      <c r="P715" s="8" t="s">
        <v>20</v>
      </c>
      <c r="Q715" s="8" t="str">
        <f>_xlfn.IFS(AND(Table13[[#This Row],[Gender]]="female",R715&lt;20),"Athletes",AND(Table13[[#This Row],[Gender]]="female",R715&lt;24),"Fitnesss",AND(Table13[[#This Row],[Gender]]="female",R715&lt;31),"Acceptable",AND(Table13[[#This Row],[Gender]]="female",R715&lt;40),"Obese",AND(Table13[[#This Row],[Gender]]="male",R715&lt;13),"Athletes",AND(Table13[[#This Row],[Gender]]="male",R715&lt;17),"Fitnesss",AND(Table13[[#This Row],[Gender]]="male",R715&lt;24.9),"Acceptable",AND(Table13[[#This Row],[Gender]]="male",R715&lt;40),"Obese",AND(Table13[[#This Row],[Gender]]="others",R715&lt;20),"Athletes",AND(Table13[[#This Row],[Gender]]="others",R715&lt;24),"Fitnesss",AND(Table13[[#This Row],[Gender]]="others",R715&lt;31),"Acceptable",AND(Table13[[#This Row],[Gender]]="others",R715&lt;40),"Obese")</f>
        <v>Fitnesss</v>
      </c>
      <c r="R715" s="8">
        <v>20.399999999999999</v>
      </c>
      <c r="S715" s="8">
        <v>1.5</v>
      </c>
      <c r="T715" s="8">
        <v>3</v>
      </c>
      <c r="U715" s="8">
        <v>2</v>
      </c>
      <c r="V715" s="8" t="str">
        <f>IF(Table13[[#This Row],[BMI]]&lt;=18.5,"Underweight",IF(Table13[[#This Row],[BMI]]&lt;=24.9,"Normal",IF(Table13[[#This Row],[BMI]]&lt;=29.9,"Overweight",IF(Table13[[#This Row],[BMI]]&lt;=39,"Obese","Severly Obese"))))</f>
        <v>Underweight</v>
      </c>
      <c r="W715" s="18">
        <v>17.03</v>
      </c>
    </row>
    <row r="716" spans="6:23" x14ac:dyDescent="0.3">
      <c r="F716" s="17">
        <v>49</v>
      </c>
      <c r="G716" s="8" t="str">
        <f>IF(Table13[[#This Row],[Age]]&lt;25,"18-24",IF(Table13[[#This Row],[Age]]&lt;35,"25-34",IF(Table13[[#This Row],[Age]]&lt;45,"35-44",IF(Table13[[#This Row],[Age]]&lt;55,"45-54","55-64"))))</f>
        <v>45-54</v>
      </c>
      <c r="H716" s="8" t="s">
        <v>17</v>
      </c>
      <c r="I716" s="8">
        <v>74.7</v>
      </c>
      <c r="J716" s="8">
        <v>1.81</v>
      </c>
      <c r="K716" s="8">
        <v>176</v>
      </c>
      <c r="L716" s="8">
        <v>132</v>
      </c>
      <c r="M716" s="8">
        <v>18</v>
      </c>
      <c r="N716" s="8">
        <v>1.81</v>
      </c>
      <c r="O716" s="8">
        <v>758</v>
      </c>
      <c r="P716" s="8" t="s">
        <v>22</v>
      </c>
      <c r="Q716" s="8" t="str">
        <f>_xlfn.IFS(AND(Table13[[#This Row],[Gender]]="female",R716&lt;20),"Athletes",AND(Table13[[#This Row],[Gender]]="female",R716&lt;24),"Fitnesss",AND(Table13[[#This Row],[Gender]]="female",R716&lt;31),"Acceptable",AND(Table13[[#This Row],[Gender]]="female",R716&lt;40),"Obese",AND(Table13[[#This Row],[Gender]]="male",R716&lt;13),"Athletes",AND(Table13[[#This Row],[Gender]]="male",R716&lt;17),"Fitnesss",AND(Table13[[#This Row],[Gender]]="male",R716&lt;24.9),"Acceptable",AND(Table13[[#This Row],[Gender]]="male",R716&lt;40),"Obese",AND(Table13[[#This Row],[Gender]]="others",R716&lt;20),"Athletes",AND(Table13[[#This Row],[Gender]]="others",R716&lt;24),"Fitnesss",AND(Table13[[#This Row],[Gender]]="others",R716&lt;31),"Acceptable",AND(Table13[[#This Row],[Gender]]="others",R716&lt;40),"Obese")</f>
        <v>Fitnesss</v>
      </c>
      <c r="R716" s="8">
        <v>23.9</v>
      </c>
      <c r="S716" s="8">
        <v>1.7</v>
      </c>
      <c r="T716" s="8">
        <v>3</v>
      </c>
      <c r="U716" s="8">
        <v>2</v>
      </c>
      <c r="V716" s="8" t="str">
        <f>IF(Table13[[#This Row],[BMI]]&lt;=18.5,"Underweight",IF(Table13[[#This Row],[BMI]]&lt;=24.9,"Normal",IF(Table13[[#This Row],[BMI]]&lt;=29.9,"Overweight",IF(Table13[[#This Row],[BMI]]&lt;=39,"Obese","Severly Obese"))))</f>
        <v>Underweight</v>
      </c>
      <c r="W716" s="18">
        <v>14.58</v>
      </c>
    </row>
    <row r="717" spans="6:23" x14ac:dyDescent="0.3">
      <c r="F717" s="17">
        <v>26</v>
      </c>
      <c r="G717" s="8" t="str">
        <f>IF(Table13[[#This Row],[Age]]&lt;25,"18-24",IF(Table13[[#This Row],[Age]]&lt;35,"25-34",IF(Table13[[#This Row],[Age]]&lt;45,"35-44",IF(Table13[[#This Row],[Age]]&lt;55,"45-54","55-64"))))</f>
        <v>25-34</v>
      </c>
      <c r="H717" s="8" t="s">
        <v>19</v>
      </c>
      <c r="I717" s="8">
        <v>57.8</v>
      </c>
      <c r="J717" s="8">
        <v>1.61</v>
      </c>
      <c r="K717" s="8">
        <v>162</v>
      </c>
      <c r="L717" s="8">
        <v>135</v>
      </c>
      <c r="M717" s="8">
        <v>65</v>
      </c>
      <c r="N717" s="8">
        <v>1.91</v>
      </c>
      <c r="O717" s="8">
        <v>684</v>
      </c>
      <c r="P717" s="8" t="s">
        <v>22</v>
      </c>
      <c r="Q717" s="8" t="str">
        <f>_xlfn.IFS(AND(Table13[[#This Row],[Gender]]="female",R717&lt;20),"Athletes",AND(Table13[[#This Row],[Gender]]="female",R717&lt;24),"Fitnesss",AND(Table13[[#This Row],[Gender]]="female",R717&lt;31),"Acceptable",AND(Table13[[#This Row],[Gender]]="female",R717&lt;40),"Obese",AND(Table13[[#This Row],[Gender]]="male",R717&lt;13),"Athletes",AND(Table13[[#This Row],[Gender]]="male",R717&lt;17),"Fitnesss",AND(Table13[[#This Row],[Gender]]="male",R717&lt;24.9),"Acceptable",AND(Table13[[#This Row],[Gender]]="male",R717&lt;40),"Obese",AND(Table13[[#This Row],[Gender]]="others",R717&lt;20),"Athletes",AND(Table13[[#This Row],[Gender]]="others",R717&lt;24),"Fitnesss",AND(Table13[[#This Row],[Gender]]="others",R717&lt;31),"Acceptable",AND(Table13[[#This Row],[Gender]]="others",R717&lt;40),"Obese")</f>
        <v>Acceptable</v>
      </c>
      <c r="R717" s="8">
        <v>18.2</v>
      </c>
      <c r="S717" s="8">
        <v>3.7</v>
      </c>
      <c r="T717" s="8">
        <v>3</v>
      </c>
      <c r="U717" s="8">
        <v>1</v>
      </c>
      <c r="V717" s="8" t="str">
        <f>IF(Table13[[#This Row],[BMI]]&lt;=18.5,"Underweight",IF(Table13[[#This Row],[BMI]]&lt;=24.9,"Normal",IF(Table13[[#This Row],[BMI]]&lt;=29.9,"Overweight",IF(Table13[[#This Row],[BMI]]&lt;=39,"Obese","Severly Obese"))))</f>
        <v>Underweight</v>
      </c>
      <c r="W717" s="18">
        <v>12.32</v>
      </c>
    </row>
    <row r="718" spans="6:23" x14ac:dyDescent="0.3">
      <c r="F718" s="17">
        <v>18</v>
      </c>
      <c r="G718" s="8" t="str">
        <f>IF(Table13[[#This Row],[Age]]&lt;25,"18-24",IF(Table13[[#This Row],[Age]]&lt;35,"25-34",IF(Table13[[#This Row],[Age]]&lt;45,"35-44",IF(Table13[[#This Row],[Age]]&lt;55,"45-54","55-64"))))</f>
        <v>18-24</v>
      </c>
      <c r="H718" s="8" t="s">
        <v>19</v>
      </c>
      <c r="I718" s="8">
        <v>40</v>
      </c>
      <c r="J718" s="8">
        <v>1.72</v>
      </c>
      <c r="K718" s="8">
        <v>193</v>
      </c>
      <c r="L718" s="8">
        <v>138</v>
      </c>
      <c r="M718" s="8">
        <v>74</v>
      </c>
      <c r="N718" s="8">
        <v>1.41</v>
      </c>
      <c r="O718" s="8">
        <v>726</v>
      </c>
      <c r="P718" s="8" t="s">
        <v>22</v>
      </c>
      <c r="Q718" s="8" t="str">
        <f>_xlfn.IFS(AND(Table13[[#This Row],[Gender]]="female",R718&lt;20),"Athletes",AND(Table13[[#This Row],[Gender]]="female",R718&lt;24),"Fitnesss",AND(Table13[[#This Row],[Gender]]="female",R718&lt;31),"Acceptable",AND(Table13[[#This Row],[Gender]]="female",R718&lt;40),"Obese",AND(Table13[[#This Row],[Gender]]="male",R718&lt;13),"Athletes",AND(Table13[[#This Row],[Gender]]="male",R718&lt;17),"Fitnesss",AND(Table13[[#This Row],[Gender]]="male",R718&lt;24.9),"Acceptable",AND(Table13[[#This Row],[Gender]]="male",R718&lt;40),"Obese",AND(Table13[[#This Row],[Gender]]="others",R718&lt;20),"Athletes",AND(Table13[[#This Row],[Gender]]="others",R718&lt;24),"Fitnesss",AND(Table13[[#This Row],[Gender]]="others",R718&lt;31),"Acceptable",AND(Table13[[#This Row],[Gender]]="others",R718&lt;40),"Obese")</f>
        <v>Obese</v>
      </c>
      <c r="R718" s="8">
        <v>28</v>
      </c>
      <c r="S718" s="8">
        <v>3.7</v>
      </c>
      <c r="T718" s="8">
        <v>2</v>
      </c>
      <c r="U718" s="8">
        <v>3</v>
      </c>
      <c r="V718" s="8" t="str">
        <f>IF(Table13[[#This Row],[BMI]]&lt;=18.5,"Underweight",IF(Table13[[#This Row],[BMI]]&lt;=24.9,"Normal",IF(Table13[[#This Row],[BMI]]&lt;=29.9,"Overweight",IF(Table13[[#This Row],[BMI]]&lt;=39,"Obese","Severly Obese"))))</f>
        <v>Obese</v>
      </c>
      <c r="W718" s="18">
        <v>32.619999999999997</v>
      </c>
    </row>
    <row r="719" spans="6:23" x14ac:dyDescent="0.3">
      <c r="F719" s="17">
        <v>33</v>
      </c>
      <c r="G719" s="8" t="str">
        <f>IF(Table13[[#This Row],[Age]]&lt;25,"18-24",IF(Table13[[#This Row],[Age]]&lt;35,"25-34",IF(Table13[[#This Row],[Age]]&lt;45,"35-44",IF(Table13[[#This Row],[Age]]&lt;55,"45-54","55-64"))))</f>
        <v>25-34</v>
      </c>
      <c r="H719" s="8" t="s">
        <v>19</v>
      </c>
      <c r="I719" s="8">
        <v>79.8</v>
      </c>
      <c r="J719" s="8">
        <v>1.53</v>
      </c>
      <c r="K719" s="8">
        <v>172</v>
      </c>
      <c r="L719" s="8">
        <v>148</v>
      </c>
      <c r="M719" s="8">
        <v>72</v>
      </c>
      <c r="N719" s="8">
        <v>1.98</v>
      </c>
      <c r="O719" s="8">
        <v>1132</v>
      </c>
      <c r="P719" s="8" t="s">
        <v>22</v>
      </c>
      <c r="Q719" s="8" t="str">
        <f>_xlfn.IFS(AND(Table13[[#This Row],[Gender]]="female",R719&lt;20),"Athletes",AND(Table13[[#This Row],[Gender]]="female",R719&lt;24),"Fitnesss",AND(Table13[[#This Row],[Gender]]="female",R719&lt;31),"Acceptable",AND(Table13[[#This Row],[Gender]]="female",R719&lt;40),"Obese",AND(Table13[[#This Row],[Gender]]="male",R719&lt;13),"Athletes",AND(Table13[[#This Row],[Gender]]="male",R719&lt;17),"Fitnesss",AND(Table13[[#This Row],[Gender]]="male",R719&lt;24.9),"Acceptable",AND(Table13[[#This Row],[Gender]]="male",R719&lt;40),"Obese",AND(Table13[[#This Row],[Gender]]="others",R719&lt;20),"Athletes",AND(Table13[[#This Row],[Gender]]="others",R719&lt;24),"Fitnesss",AND(Table13[[#This Row],[Gender]]="others",R719&lt;31),"Acceptable",AND(Table13[[#This Row],[Gender]]="others",R719&lt;40),"Obese")</f>
        <v>Fitnesss</v>
      </c>
      <c r="R719" s="8">
        <v>14.7</v>
      </c>
      <c r="S719" s="8">
        <v>1.7</v>
      </c>
      <c r="T719" s="8">
        <v>3</v>
      </c>
      <c r="U719" s="8">
        <v>2</v>
      </c>
      <c r="V719" s="8" t="str">
        <f>IF(Table13[[#This Row],[BMI]]&lt;=18.5,"Underweight",IF(Table13[[#This Row],[BMI]]&lt;=24.9,"Normal",IF(Table13[[#This Row],[BMI]]&lt;=29.9,"Overweight",IF(Table13[[#This Row],[BMI]]&lt;=39,"Obese","Severly Obese"))))</f>
        <v>Underweight</v>
      </c>
      <c r="W719" s="18">
        <v>16.600000000000001</v>
      </c>
    </row>
    <row r="720" spans="6:23" x14ac:dyDescent="0.3">
      <c r="F720" s="17">
        <v>18</v>
      </c>
      <c r="G720" s="8" t="str">
        <f>IF(Table13[[#This Row],[Age]]&lt;25,"18-24",IF(Table13[[#This Row],[Age]]&lt;35,"25-34",IF(Table13[[#This Row],[Age]]&lt;45,"35-44",IF(Table13[[#This Row],[Age]]&lt;55,"45-54","55-64"))))</f>
        <v>18-24</v>
      </c>
      <c r="H720" s="8" t="s">
        <v>23</v>
      </c>
      <c r="I720" s="8">
        <v>75.8</v>
      </c>
      <c r="J720" s="8">
        <v>1.99</v>
      </c>
      <c r="K720" s="8">
        <v>191</v>
      </c>
      <c r="L720" s="8">
        <v>167</v>
      </c>
      <c r="M720" s="8">
        <v>71</v>
      </c>
      <c r="N720" s="8">
        <v>1.53</v>
      </c>
      <c r="O720" s="8">
        <v>850</v>
      </c>
      <c r="P720" s="8" t="s">
        <v>21</v>
      </c>
      <c r="Q720" s="8" t="str">
        <f>_xlfn.IFS(AND(Table13[[#This Row],[Gender]]="female",R720&lt;20),"Athletes",AND(Table13[[#This Row],[Gender]]="female",R720&lt;24),"Fitnesss",AND(Table13[[#This Row],[Gender]]="female",R720&lt;31),"Acceptable",AND(Table13[[#This Row],[Gender]]="female",R720&lt;40),"Obese",AND(Table13[[#This Row],[Gender]]="male",R720&lt;13),"Athletes",AND(Table13[[#This Row],[Gender]]="male",R720&lt;17),"Fitnesss",AND(Table13[[#This Row],[Gender]]="male",R720&lt;24.9),"Acceptable",AND(Table13[[#This Row],[Gender]]="male",R720&lt;40),"Obese",AND(Table13[[#This Row],[Gender]]="others",R720&lt;20),"Athletes",AND(Table13[[#This Row],[Gender]]="others",R720&lt;24),"Fitnesss",AND(Table13[[#This Row],[Gender]]="others",R720&lt;31),"Acceptable",AND(Table13[[#This Row],[Gender]]="others",R720&lt;40),"Obese")</f>
        <v>Athletes</v>
      </c>
      <c r="R720" s="8">
        <v>10</v>
      </c>
      <c r="S720" s="8">
        <v>3.5</v>
      </c>
      <c r="T720" s="8">
        <v>4</v>
      </c>
      <c r="U720" s="8">
        <v>1</v>
      </c>
      <c r="V720" s="8" t="str">
        <f>IF(Table13[[#This Row],[BMI]]&lt;=18.5,"Underweight",IF(Table13[[#This Row],[BMI]]&lt;=24.9,"Normal",IF(Table13[[#This Row],[BMI]]&lt;=29.9,"Overweight",IF(Table13[[#This Row],[BMI]]&lt;=39,"Obese","Severly Obese"))))</f>
        <v>Underweight</v>
      </c>
      <c r="W720" s="18">
        <v>15.4</v>
      </c>
    </row>
    <row r="721" spans="6:23" x14ac:dyDescent="0.3">
      <c r="F721" s="17">
        <v>47</v>
      </c>
      <c r="G721" s="8" t="str">
        <f>IF(Table13[[#This Row],[Age]]&lt;25,"18-24",IF(Table13[[#This Row],[Age]]&lt;35,"25-34",IF(Table13[[#This Row],[Age]]&lt;45,"35-44",IF(Table13[[#This Row],[Age]]&lt;55,"45-54","55-64"))))</f>
        <v>45-54</v>
      </c>
      <c r="H721" s="8" t="s">
        <v>17</v>
      </c>
      <c r="I721" s="8">
        <v>74.7</v>
      </c>
      <c r="J721" s="8">
        <v>1.77</v>
      </c>
      <c r="K721" s="8">
        <v>195</v>
      </c>
      <c r="L721" s="8">
        <v>130</v>
      </c>
      <c r="M721" s="8">
        <v>68</v>
      </c>
      <c r="N721" s="8">
        <v>1.93</v>
      </c>
      <c r="O721" s="8">
        <v>1056</v>
      </c>
      <c r="P721" s="8" t="s">
        <v>21</v>
      </c>
      <c r="Q721" s="8" t="str">
        <f>_xlfn.IFS(AND(Table13[[#This Row],[Gender]]="female",R721&lt;20),"Athletes",AND(Table13[[#This Row],[Gender]]="female",R721&lt;24),"Fitnesss",AND(Table13[[#This Row],[Gender]]="female",R721&lt;31),"Acceptable",AND(Table13[[#This Row],[Gender]]="female",R721&lt;40),"Obese",AND(Table13[[#This Row],[Gender]]="male",R721&lt;13),"Athletes",AND(Table13[[#This Row],[Gender]]="male",R721&lt;17),"Fitnesss",AND(Table13[[#This Row],[Gender]]="male",R721&lt;24.9),"Acceptable",AND(Table13[[#This Row],[Gender]]="male",R721&lt;40),"Obese",AND(Table13[[#This Row],[Gender]]="others",R721&lt;20),"Athletes",AND(Table13[[#This Row],[Gender]]="others",R721&lt;24),"Fitnesss",AND(Table13[[#This Row],[Gender]]="others",R721&lt;31),"Acceptable",AND(Table13[[#This Row],[Gender]]="others",R721&lt;40),"Obese")</f>
        <v>Fitnesss</v>
      </c>
      <c r="R721" s="8">
        <v>22.1</v>
      </c>
      <c r="S721" s="8">
        <v>3.4</v>
      </c>
      <c r="T721" s="8">
        <v>4</v>
      </c>
      <c r="U721" s="8">
        <v>2</v>
      </c>
      <c r="V721" s="8" t="str">
        <f>IF(Table13[[#This Row],[BMI]]&lt;=18.5,"Underweight",IF(Table13[[#This Row],[BMI]]&lt;=24.9,"Normal",IF(Table13[[#This Row],[BMI]]&lt;=29.9,"Overweight",IF(Table13[[#This Row],[BMI]]&lt;=39,"Obese","Severly Obese"))))</f>
        <v>Normal</v>
      </c>
      <c r="W721" s="18">
        <v>24.44</v>
      </c>
    </row>
    <row r="722" spans="6:23" x14ac:dyDescent="0.3">
      <c r="F722" s="17">
        <v>40</v>
      </c>
      <c r="G722" s="8" t="str">
        <f>IF(Table13[[#This Row],[Age]]&lt;25,"18-24",IF(Table13[[#This Row],[Age]]&lt;35,"25-34",IF(Table13[[#This Row],[Age]]&lt;45,"35-44",IF(Table13[[#This Row],[Age]]&lt;55,"45-54","55-64"))))</f>
        <v>35-44</v>
      </c>
      <c r="H722" s="8" t="s">
        <v>17</v>
      </c>
      <c r="I722" s="8">
        <v>83.6</v>
      </c>
      <c r="J722" s="8">
        <v>1.84</v>
      </c>
      <c r="K722" s="8">
        <v>175</v>
      </c>
      <c r="L722" s="8">
        <v>137</v>
      </c>
      <c r="M722" s="8">
        <v>18</v>
      </c>
      <c r="N722" s="8">
        <v>1.46</v>
      </c>
      <c r="O722" s="8">
        <v>1481</v>
      </c>
      <c r="P722" s="8" t="s">
        <v>20</v>
      </c>
      <c r="Q722" s="8" t="str">
        <f>_xlfn.IFS(AND(Table13[[#This Row],[Gender]]="female",R722&lt;20),"Athletes",AND(Table13[[#This Row],[Gender]]="female",R722&lt;24),"Fitnesss",AND(Table13[[#This Row],[Gender]]="female",R722&lt;31),"Acceptable",AND(Table13[[#This Row],[Gender]]="female",R722&lt;40),"Obese",AND(Table13[[#This Row],[Gender]]="male",R722&lt;13),"Athletes",AND(Table13[[#This Row],[Gender]]="male",R722&lt;17),"Fitnesss",AND(Table13[[#This Row],[Gender]]="male",R722&lt;24.9),"Acceptable",AND(Table13[[#This Row],[Gender]]="male",R722&lt;40),"Obese",AND(Table13[[#This Row],[Gender]]="others",R722&lt;20),"Athletes",AND(Table13[[#This Row],[Gender]]="others",R722&lt;24),"Fitnesss",AND(Table13[[#This Row],[Gender]]="others",R722&lt;31),"Acceptable",AND(Table13[[#This Row],[Gender]]="others",R722&lt;40),"Obese")</f>
        <v>Fitnesss</v>
      </c>
      <c r="R722" s="8">
        <v>23</v>
      </c>
      <c r="S722" s="8">
        <v>2.5</v>
      </c>
      <c r="T722" s="8">
        <v>5</v>
      </c>
      <c r="U722" s="8">
        <v>1</v>
      </c>
      <c r="V722" s="8" t="str">
        <f>IF(Table13[[#This Row],[BMI]]&lt;=18.5,"Underweight",IF(Table13[[#This Row],[BMI]]&lt;=24.9,"Normal",IF(Table13[[#This Row],[BMI]]&lt;=29.9,"Overweight",IF(Table13[[#This Row],[BMI]]&lt;=39,"Obese","Severly Obese"))))</f>
        <v>Normal</v>
      </c>
      <c r="W722" s="18">
        <v>20.2</v>
      </c>
    </row>
    <row r="723" spans="6:23" x14ac:dyDescent="0.3">
      <c r="F723" s="17">
        <v>38</v>
      </c>
      <c r="G723" s="8" t="str">
        <f>IF(Table13[[#This Row],[Age]]&lt;25,"18-24",IF(Table13[[#This Row],[Age]]&lt;35,"25-34",IF(Table13[[#This Row],[Age]]&lt;45,"35-44",IF(Table13[[#This Row],[Age]]&lt;55,"45-54","55-64"))))</f>
        <v>35-44</v>
      </c>
      <c r="H723" s="8" t="s">
        <v>19</v>
      </c>
      <c r="I723" s="8">
        <v>101.8</v>
      </c>
      <c r="J723" s="8">
        <v>1.51</v>
      </c>
      <c r="K723" s="8">
        <v>163</v>
      </c>
      <c r="L723" s="8">
        <v>169</v>
      </c>
      <c r="M723" s="8">
        <v>72</v>
      </c>
      <c r="N723" s="8">
        <v>1.42</v>
      </c>
      <c r="O723" s="8">
        <v>1384</v>
      </c>
      <c r="P723" s="8" t="s">
        <v>18</v>
      </c>
      <c r="Q723" s="8" t="str">
        <f>_xlfn.IFS(AND(Table13[[#This Row],[Gender]]="female",R723&lt;20),"Athletes",AND(Table13[[#This Row],[Gender]]="female",R723&lt;24),"Fitnesss",AND(Table13[[#This Row],[Gender]]="female",R723&lt;31),"Acceptable",AND(Table13[[#This Row],[Gender]]="female",R723&lt;40),"Obese",AND(Table13[[#This Row],[Gender]]="male",R723&lt;13),"Athletes",AND(Table13[[#This Row],[Gender]]="male",R723&lt;17),"Fitnesss",AND(Table13[[#This Row],[Gender]]="male",R723&lt;24.9),"Acceptable",AND(Table13[[#This Row],[Gender]]="male",R723&lt;40),"Obese",AND(Table13[[#This Row],[Gender]]="others",R723&lt;20),"Athletes",AND(Table13[[#This Row],[Gender]]="others",R723&lt;24),"Fitnesss",AND(Table13[[#This Row],[Gender]]="others",R723&lt;31),"Acceptable",AND(Table13[[#This Row],[Gender]]="others",R723&lt;40),"Obese")</f>
        <v>Obese</v>
      </c>
      <c r="R723" s="8">
        <v>25.6</v>
      </c>
      <c r="S723" s="8">
        <v>3.3</v>
      </c>
      <c r="T723" s="8">
        <v>4</v>
      </c>
      <c r="U723" s="8">
        <v>1</v>
      </c>
      <c r="V723" s="8" t="str">
        <f>IF(Table13[[#This Row],[BMI]]&lt;=18.5,"Underweight",IF(Table13[[#This Row],[BMI]]&lt;=24.9,"Normal",IF(Table13[[#This Row],[BMI]]&lt;=29.9,"Overweight",IF(Table13[[#This Row],[BMI]]&lt;=39,"Obese","Severly Obese"))))</f>
        <v>Normal</v>
      </c>
      <c r="W723" s="18">
        <v>20.89</v>
      </c>
    </row>
    <row r="724" spans="6:23" x14ac:dyDescent="0.3">
      <c r="F724" s="17">
        <v>25</v>
      </c>
      <c r="G724" s="8" t="str">
        <f>IF(Table13[[#This Row],[Age]]&lt;25,"18-24",IF(Table13[[#This Row],[Age]]&lt;35,"25-34",IF(Table13[[#This Row],[Age]]&lt;45,"35-44",IF(Table13[[#This Row],[Age]]&lt;55,"45-54","55-64"))))</f>
        <v>25-34</v>
      </c>
      <c r="H724" s="8" t="s">
        <v>17</v>
      </c>
      <c r="I724" s="8">
        <v>56.8</v>
      </c>
      <c r="J724" s="8"/>
      <c r="K724" s="8">
        <v>191</v>
      </c>
      <c r="L724" s="8">
        <v>150</v>
      </c>
      <c r="M724" s="8">
        <v>61</v>
      </c>
      <c r="N724" s="8">
        <v>2</v>
      </c>
      <c r="O724" s="8">
        <v>1183</v>
      </c>
      <c r="P724" s="8" t="s">
        <v>18</v>
      </c>
      <c r="Q724" s="8" t="str">
        <f>_xlfn.IFS(AND(Table13[[#This Row],[Gender]]="female",R724&lt;20),"Athletes",AND(Table13[[#This Row],[Gender]]="female",R724&lt;24),"Fitnesss",AND(Table13[[#This Row],[Gender]]="female",R724&lt;31),"Acceptable",AND(Table13[[#This Row],[Gender]]="female",R724&lt;40),"Obese",AND(Table13[[#This Row],[Gender]]="male",R724&lt;13),"Athletes",AND(Table13[[#This Row],[Gender]]="male",R724&lt;17),"Fitnesss",AND(Table13[[#This Row],[Gender]]="male",R724&lt;24.9),"Acceptable",AND(Table13[[#This Row],[Gender]]="male",R724&lt;40),"Obese",AND(Table13[[#This Row],[Gender]]="others",R724&lt;20),"Athletes",AND(Table13[[#This Row],[Gender]]="others",R724&lt;24),"Fitnesss",AND(Table13[[#This Row],[Gender]]="others",R724&lt;31),"Acceptable",AND(Table13[[#This Row],[Gender]]="others",R724&lt;40),"Obese")</f>
        <v>Acceptable</v>
      </c>
      <c r="R724" s="8">
        <v>24.3</v>
      </c>
      <c r="S724" s="8">
        <v>1.7</v>
      </c>
      <c r="T724" s="8">
        <v>3</v>
      </c>
      <c r="U724" s="8">
        <v>1</v>
      </c>
      <c r="V724" s="8" t="str">
        <f>IF(Table13[[#This Row],[BMI]]&lt;=18.5,"Underweight",IF(Table13[[#This Row],[BMI]]&lt;=24.9,"Normal",IF(Table13[[#This Row],[BMI]]&lt;=29.9,"Overweight",IF(Table13[[#This Row],[BMI]]&lt;=39,"Obese","Severly Obese"))))</f>
        <v>Normal</v>
      </c>
      <c r="W724" s="18">
        <v>19.28</v>
      </c>
    </row>
    <row r="725" spans="6:23" x14ac:dyDescent="0.3">
      <c r="F725" s="17">
        <v>42</v>
      </c>
      <c r="G725" s="8" t="str">
        <f>IF(Table13[[#This Row],[Age]]&lt;25,"18-24",IF(Table13[[#This Row],[Age]]&lt;35,"25-34",IF(Table13[[#This Row],[Age]]&lt;45,"35-44",IF(Table13[[#This Row],[Age]]&lt;55,"45-54","55-64"))))</f>
        <v>35-44</v>
      </c>
      <c r="H725" s="8" t="s">
        <v>17</v>
      </c>
      <c r="I725" s="8">
        <v>86.7</v>
      </c>
      <c r="J725" s="8">
        <v>1.7</v>
      </c>
      <c r="K725" s="8">
        <v>196</v>
      </c>
      <c r="L725" s="8">
        <v>135</v>
      </c>
      <c r="M725" s="8">
        <v>68</v>
      </c>
      <c r="N725" s="8">
        <v>1.22</v>
      </c>
      <c r="O725" s="8">
        <v>923</v>
      </c>
      <c r="P725" s="8" t="s">
        <v>18</v>
      </c>
      <c r="Q725" s="8" t="str">
        <f>_xlfn.IFS(AND(Table13[[#This Row],[Gender]]="female",R725&lt;20),"Athletes",AND(Table13[[#This Row],[Gender]]="female",R725&lt;24),"Fitnesss",AND(Table13[[#This Row],[Gender]]="female",R725&lt;31),"Acceptable",AND(Table13[[#This Row],[Gender]]="female",R725&lt;40),"Obese",AND(Table13[[#This Row],[Gender]]="male",R725&lt;13),"Athletes",AND(Table13[[#This Row],[Gender]]="male",R725&lt;17),"Fitnesss",AND(Table13[[#This Row],[Gender]]="male",R725&lt;24.9),"Acceptable",AND(Table13[[#This Row],[Gender]]="male",R725&lt;40),"Obese",AND(Table13[[#This Row],[Gender]]="others",R725&lt;20),"Athletes",AND(Table13[[#This Row],[Gender]]="others",R725&lt;24),"Fitnesss",AND(Table13[[#This Row],[Gender]]="others",R725&lt;31),"Acceptable",AND(Table13[[#This Row],[Gender]]="others",R725&lt;40),"Obese")</f>
        <v>Acceptable</v>
      </c>
      <c r="R725" s="8">
        <v>27.2</v>
      </c>
      <c r="S725" s="8">
        <v>3.2</v>
      </c>
      <c r="T725" s="8">
        <v>3</v>
      </c>
      <c r="U725" s="8">
        <v>2</v>
      </c>
      <c r="V725" s="8" t="str">
        <f>IF(Table13[[#This Row],[BMI]]&lt;=18.5,"Underweight",IF(Table13[[#This Row],[BMI]]&lt;=24.9,"Normal",IF(Table13[[#This Row],[BMI]]&lt;=29.9,"Overweight",IF(Table13[[#This Row],[BMI]]&lt;=39,"Obese","Severly Obese"))))</f>
        <v>Underweight</v>
      </c>
      <c r="W725" s="18">
        <v>17.489999999999998</v>
      </c>
    </row>
    <row r="726" spans="6:23" x14ac:dyDescent="0.3">
      <c r="F726" s="17">
        <v>18</v>
      </c>
      <c r="G726" s="8" t="str">
        <f>IF(Table13[[#This Row],[Age]]&lt;25,"18-24",IF(Table13[[#This Row],[Age]]&lt;35,"25-34",IF(Table13[[#This Row],[Age]]&lt;45,"35-44",IF(Table13[[#This Row],[Age]]&lt;55,"45-54","55-64"))))</f>
        <v>18-24</v>
      </c>
      <c r="H726" s="8" t="s">
        <v>19</v>
      </c>
      <c r="I726" s="8">
        <v>40.9</v>
      </c>
      <c r="J726" s="8">
        <v>1.87</v>
      </c>
      <c r="K726" s="8">
        <v>160</v>
      </c>
      <c r="L726" s="8">
        <v>140</v>
      </c>
      <c r="M726" s="8">
        <v>50</v>
      </c>
      <c r="N726" s="8">
        <v>1.28</v>
      </c>
      <c r="O726" s="8">
        <v>1261</v>
      </c>
      <c r="P726" s="8" t="s">
        <v>21</v>
      </c>
      <c r="Q726" s="8" t="str">
        <f>_xlfn.IFS(AND(Table13[[#This Row],[Gender]]="female",R726&lt;20),"Athletes",AND(Table13[[#This Row],[Gender]]="female",R726&lt;24),"Fitnesss",AND(Table13[[#This Row],[Gender]]="female",R726&lt;31),"Acceptable",AND(Table13[[#This Row],[Gender]]="female",R726&lt;40),"Obese",AND(Table13[[#This Row],[Gender]]="male",R726&lt;13),"Athletes",AND(Table13[[#This Row],[Gender]]="male",R726&lt;17),"Fitnesss",AND(Table13[[#This Row],[Gender]]="male",R726&lt;24.9),"Acceptable",AND(Table13[[#This Row],[Gender]]="male",R726&lt;40),"Obese",AND(Table13[[#This Row],[Gender]]="others",R726&lt;20),"Athletes",AND(Table13[[#This Row],[Gender]]="others",R726&lt;24),"Fitnesss",AND(Table13[[#This Row],[Gender]]="others",R726&lt;31),"Acceptable",AND(Table13[[#This Row],[Gender]]="others",R726&lt;40),"Obese")</f>
        <v>Acceptable</v>
      </c>
      <c r="R726" s="8">
        <v>17.100000000000001</v>
      </c>
      <c r="S726" s="8">
        <v>2.1</v>
      </c>
      <c r="T726" s="8">
        <v>4</v>
      </c>
      <c r="U726" s="8">
        <v>2</v>
      </c>
      <c r="V726" s="8" t="str">
        <f>IF(Table13[[#This Row],[BMI]]&lt;=18.5,"Underweight",IF(Table13[[#This Row],[BMI]]&lt;=24.9,"Normal",IF(Table13[[#This Row],[BMI]]&lt;=29.9,"Overweight",IF(Table13[[#This Row],[BMI]]&lt;=39,"Obese","Severly Obese"))))</f>
        <v>Severly Obese</v>
      </c>
      <c r="W726" s="18">
        <v>39.61</v>
      </c>
    </row>
    <row r="727" spans="6:23" x14ac:dyDescent="0.3">
      <c r="F727" s="17">
        <v>28</v>
      </c>
      <c r="G727" s="8" t="str">
        <f>IF(Table13[[#This Row],[Age]]&lt;25,"18-24",IF(Table13[[#This Row],[Age]]&lt;35,"25-34",IF(Table13[[#This Row],[Age]]&lt;45,"35-44",IF(Table13[[#This Row],[Age]]&lt;55,"45-54","55-64"))))</f>
        <v>25-34</v>
      </c>
      <c r="H727" s="8" t="s">
        <v>19</v>
      </c>
      <c r="I727" s="8">
        <v>87.3</v>
      </c>
      <c r="J727" s="8">
        <v>1.51</v>
      </c>
      <c r="K727" s="8">
        <v>190</v>
      </c>
      <c r="L727" s="8">
        <v>168</v>
      </c>
      <c r="M727" s="8">
        <v>56</v>
      </c>
      <c r="N727" s="8">
        <v>2</v>
      </c>
      <c r="O727" s="8">
        <v>1306</v>
      </c>
      <c r="P727" s="8" t="s">
        <v>22</v>
      </c>
      <c r="Q727" s="8" t="str">
        <f>_xlfn.IFS(AND(Table13[[#This Row],[Gender]]="female",R727&lt;20),"Athletes",AND(Table13[[#This Row],[Gender]]="female",R727&lt;24),"Fitnesss",AND(Table13[[#This Row],[Gender]]="female",R727&lt;31),"Acceptable",AND(Table13[[#This Row],[Gender]]="female",R727&lt;40),"Obese",AND(Table13[[#This Row],[Gender]]="male",R727&lt;13),"Athletes",AND(Table13[[#This Row],[Gender]]="male",R727&lt;17),"Fitnesss",AND(Table13[[#This Row],[Gender]]="male",R727&lt;24.9),"Acceptable",AND(Table13[[#This Row],[Gender]]="male",R727&lt;40),"Obese",AND(Table13[[#This Row],[Gender]]="others",R727&lt;20),"Athletes",AND(Table13[[#This Row],[Gender]]="others",R727&lt;24),"Fitnesss",AND(Table13[[#This Row],[Gender]]="others",R727&lt;31),"Acceptable",AND(Table13[[#This Row],[Gender]]="others",R727&lt;40),"Obese")</f>
        <v>Obese</v>
      </c>
      <c r="R727" s="8">
        <v>32</v>
      </c>
      <c r="S727" s="8">
        <v>2.2999999999999998</v>
      </c>
      <c r="T727" s="8">
        <v>4</v>
      </c>
      <c r="U727" s="8">
        <v>2</v>
      </c>
      <c r="V727" s="8" t="str">
        <f>IF(Table13[[#This Row],[BMI]]&lt;=18.5,"Underweight",IF(Table13[[#This Row],[BMI]]&lt;=24.9,"Normal",IF(Table13[[#This Row],[BMI]]&lt;=29.9,"Overweight",IF(Table13[[#This Row],[BMI]]&lt;=39,"Obese","Severly Obese"))))</f>
        <v>Underweight</v>
      </c>
      <c r="W727" s="18">
        <v>14.46</v>
      </c>
    </row>
    <row r="728" spans="6:23" x14ac:dyDescent="0.3">
      <c r="F728" s="17">
        <v>26</v>
      </c>
      <c r="G728" s="8" t="str">
        <f>IF(Table13[[#This Row],[Age]]&lt;25,"18-24",IF(Table13[[#This Row],[Age]]&lt;35,"25-34",IF(Table13[[#This Row],[Age]]&lt;45,"35-44",IF(Table13[[#This Row],[Age]]&lt;55,"45-54","55-64"))))</f>
        <v>25-34</v>
      </c>
      <c r="H728" s="8" t="s">
        <v>19</v>
      </c>
      <c r="I728" s="8">
        <v>89.2</v>
      </c>
      <c r="J728" s="8">
        <v>1.81</v>
      </c>
      <c r="K728" s="8">
        <v>161</v>
      </c>
      <c r="L728" s="8">
        <v>169</v>
      </c>
      <c r="M728" s="8">
        <v>61</v>
      </c>
      <c r="N728" s="8">
        <v>1.34</v>
      </c>
      <c r="O728" s="8">
        <v>820</v>
      </c>
      <c r="P728" s="8" t="s">
        <v>18</v>
      </c>
      <c r="Q728" s="8" t="str">
        <f>_xlfn.IFS(AND(Table13[[#This Row],[Gender]]="female",R728&lt;20),"Athletes",AND(Table13[[#This Row],[Gender]]="female",R728&lt;24),"Fitnesss",AND(Table13[[#This Row],[Gender]]="female",R728&lt;31),"Acceptable",AND(Table13[[#This Row],[Gender]]="female",R728&lt;40),"Obese",AND(Table13[[#This Row],[Gender]]="male",R728&lt;13),"Athletes",AND(Table13[[#This Row],[Gender]]="male",R728&lt;17),"Fitnesss",AND(Table13[[#This Row],[Gender]]="male",R728&lt;24.9),"Acceptable",AND(Table13[[#This Row],[Gender]]="male",R728&lt;40),"Obese",AND(Table13[[#This Row],[Gender]]="others",R728&lt;20),"Athletes",AND(Table13[[#This Row],[Gender]]="others",R728&lt;24),"Fitnesss",AND(Table13[[#This Row],[Gender]]="others",R728&lt;31),"Acceptable",AND(Table13[[#This Row],[Gender]]="others",R728&lt;40),"Obese")</f>
        <v>Acceptable</v>
      </c>
      <c r="R728" s="8">
        <v>23.5</v>
      </c>
      <c r="S728" s="8">
        <v>2.6</v>
      </c>
      <c r="T728" s="8">
        <v>4</v>
      </c>
      <c r="U728" s="8">
        <v>1</v>
      </c>
      <c r="V728" s="8" t="str">
        <f>IF(Table13[[#This Row],[BMI]]&lt;=18.5,"Underweight",IF(Table13[[#This Row],[BMI]]&lt;=24.9,"Normal",IF(Table13[[#This Row],[BMI]]&lt;=29.9,"Overweight",IF(Table13[[#This Row],[BMI]]&lt;=39,"Obese","Severly Obese"))))</f>
        <v>Overweight</v>
      </c>
      <c r="W728" s="18">
        <v>27.63</v>
      </c>
    </row>
    <row r="729" spans="6:23" x14ac:dyDescent="0.3">
      <c r="F729" s="17">
        <v>23</v>
      </c>
      <c r="G729" s="8" t="str">
        <f>IF(Table13[[#This Row],[Age]]&lt;25,"18-24",IF(Table13[[#This Row],[Age]]&lt;35,"25-34",IF(Table13[[#This Row],[Age]]&lt;45,"35-44",IF(Table13[[#This Row],[Age]]&lt;55,"45-54","55-64"))))</f>
        <v>18-24</v>
      </c>
      <c r="H729" s="8" t="s">
        <v>19</v>
      </c>
      <c r="I729" s="8">
        <v>75.900000000000006</v>
      </c>
      <c r="J729" s="8">
        <v>1.81</v>
      </c>
      <c r="K729" s="8">
        <v>196</v>
      </c>
      <c r="L729" s="8">
        <v>125</v>
      </c>
      <c r="M729" s="8">
        <v>55</v>
      </c>
      <c r="N729" s="8">
        <v>1.4</v>
      </c>
      <c r="O729" s="8">
        <v>1177</v>
      </c>
      <c r="P729" s="8" t="s">
        <v>21</v>
      </c>
      <c r="Q729" s="8" t="str">
        <f>_xlfn.IFS(AND(Table13[[#This Row],[Gender]]="female",R729&lt;20),"Athletes",AND(Table13[[#This Row],[Gender]]="female",R729&lt;24),"Fitnesss",AND(Table13[[#This Row],[Gender]]="female",R729&lt;31),"Acceptable",AND(Table13[[#This Row],[Gender]]="female",R729&lt;40),"Obese",AND(Table13[[#This Row],[Gender]]="male",R729&lt;13),"Athletes",AND(Table13[[#This Row],[Gender]]="male",R729&lt;17),"Fitnesss",AND(Table13[[#This Row],[Gender]]="male",R729&lt;24.9),"Acceptable",AND(Table13[[#This Row],[Gender]]="male",R729&lt;40),"Obese",AND(Table13[[#This Row],[Gender]]="others",R729&lt;20),"Athletes",AND(Table13[[#This Row],[Gender]]="others",R729&lt;24),"Fitnesss",AND(Table13[[#This Row],[Gender]]="others",R729&lt;31),"Acceptable",AND(Table13[[#This Row],[Gender]]="others",R729&lt;40),"Obese")</f>
        <v>Obese</v>
      </c>
      <c r="R729" s="8">
        <v>30</v>
      </c>
      <c r="S729" s="8"/>
      <c r="T729" s="8">
        <v>3</v>
      </c>
      <c r="U729" s="8">
        <v>2</v>
      </c>
      <c r="V729" s="8" t="str">
        <f>IF(Table13[[#This Row],[BMI]]&lt;=18.5,"Underweight",IF(Table13[[#This Row],[BMI]]&lt;=24.9,"Normal",IF(Table13[[#This Row],[BMI]]&lt;=29.9,"Overweight",IF(Table13[[#This Row],[BMI]]&lt;=39,"Obese","Severly Obese"))))</f>
        <v>Underweight</v>
      </c>
      <c r="W729" s="18">
        <v>12.32</v>
      </c>
    </row>
    <row r="730" spans="6:23" x14ac:dyDescent="0.3">
      <c r="F730" s="17">
        <v>30</v>
      </c>
      <c r="G730" s="8" t="str">
        <f>IF(Table13[[#This Row],[Age]]&lt;25,"18-24",IF(Table13[[#This Row],[Age]]&lt;35,"25-34",IF(Table13[[#This Row],[Age]]&lt;45,"35-44",IF(Table13[[#This Row],[Age]]&lt;55,"45-54","55-64"))))</f>
        <v>25-34</v>
      </c>
      <c r="H730" s="8" t="s">
        <v>19</v>
      </c>
      <c r="I730" s="8">
        <v>100.1</v>
      </c>
      <c r="J730" s="8">
        <v>1.76</v>
      </c>
      <c r="K730" s="8">
        <v>170</v>
      </c>
      <c r="L730" s="8">
        <v>160</v>
      </c>
      <c r="M730" s="8">
        <v>55</v>
      </c>
      <c r="N730" s="8">
        <v>1.43</v>
      </c>
      <c r="O730" s="8">
        <v>1694</v>
      </c>
      <c r="P730" s="8" t="s">
        <v>21</v>
      </c>
      <c r="Q730" s="8" t="str">
        <f>_xlfn.IFS(AND(Table13[[#This Row],[Gender]]="female",R730&lt;20),"Athletes",AND(Table13[[#This Row],[Gender]]="female",R730&lt;24),"Fitnesss",AND(Table13[[#This Row],[Gender]]="female",R730&lt;31),"Acceptable",AND(Table13[[#This Row],[Gender]]="female",R730&lt;40),"Obese",AND(Table13[[#This Row],[Gender]]="male",R730&lt;13),"Athletes",AND(Table13[[#This Row],[Gender]]="male",R730&lt;17),"Fitnesss",AND(Table13[[#This Row],[Gender]]="male",R730&lt;24.9),"Acceptable",AND(Table13[[#This Row],[Gender]]="male",R730&lt;40),"Obese",AND(Table13[[#This Row],[Gender]]="others",R730&lt;20),"Athletes",AND(Table13[[#This Row],[Gender]]="others",R730&lt;24),"Fitnesss",AND(Table13[[#This Row],[Gender]]="others",R730&lt;31),"Acceptable",AND(Table13[[#This Row],[Gender]]="others",R730&lt;40),"Obese")</f>
        <v>Obese</v>
      </c>
      <c r="R730" s="8">
        <v>25.9</v>
      </c>
      <c r="S730" s="8">
        <v>1.8</v>
      </c>
      <c r="T730" s="8">
        <v>3</v>
      </c>
      <c r="U730" s="8">
        <v>2</v>
      </c>
      <c r="V730" s="8" t="str">
        <f>IF(Table13[[#This Row],[BMI]]&lt;=18.5,"Underweight",IF(Table13[[#This Row],[BMI]]&lt;=24.9,"Normal",IF(Table13[[#This Row],[BMI]]&lt;=29.9,"Overweight",IF(Table13[[#This Row],[BMI]]&lt;=39,"Obese","Severly Obese"))))</f>
        <v>Underweight</v>
      </c>
      <c r="W730" s="18">
        <v>15.73</v>
      </c>
    </row>
    <row r="731" spans="6:23" x14ac:dyDescent="0.3">
      <c r="F731" s="17">
        <v>18</v>
      </c>
      <c r="G731" s="8" t="str">
        <f>IF(Table13[[#This Row],[Age]]&lt;25,"18-24",IF(Table13[[#This Row],[Age]]&lt;35,"25-34",IF(Table13[[#This Row],[Age]]&lt;45,"35-44",IF(Table13[[#This Row],[Age]]&lt;55,"45-54","55-64"))))</f>
        <v>18-24</v>
      </c>
      <c r="H731" s="8" t="s">
        <v>17</v>
      </c>
      <c r="I731" s="8">
        <v>80.8</v>
      </c>
      <c r="J731" s="8">
        <v>1.85</v>
      </c>
      <c r="K731" s="8">
        <v>188</v>
      </c>
      <c r="L731" s="8">
        <v>141</v>
      </c>
      <c r="M731" s="8">
        <v>74</v>
      </c>
      <c r="N731" s="8">
        <v>1.19</v>
      </c>
      <c r="O731" s="8">
        <v>838</v>
      </c>
      <c r="P731" s="8" t="s">
        <v>22</v>
      </c>
      <c r="Q731" s="8" t="str">
        <f>_xlfn.IFS(AND(Table13[[#This Row],[Gender]]="female",R731&lt;20),"Athletes",AND(Table13[[#This Row],[Gender]]="female",R731&lt;24),"Fitnesss",AND(Table13[[#This Row],[Gender]]="female",R731&lt;31),"Acceptable",AND(Table13[[#This Row],[Gender]]="female",R731&lt;40),"Obese",AND(Table13[[#This Row],[Gender]]="male",R731&lt;13),"Athletes",AND(Table13[[#This Row],[Gender]]="male",R731&lt;17),"Fitnesss",AND(Table13[[#This Row],[Gender]]="male",R731&lt;24.9),"Acceptable",AND(Table13[[#This Row],[Gender]]="male",R731&lt;40),"Obese",AND(Table13[[#This Row],[Gender]]="others",R731&lt;20),"Athletes",AND(Table13[[#This Row],[Gender]]="others",R731&lt;24),"Fitnesss",AND(Table13[[#This Row],[Gender]]="others",R731&lt;31),"Acceptable",AND(Table13[[#This Row],[Gender]]="others",R731&lt;40),"Obese")</f>
        <v>Athletes</v>
      </c>
      <c r="R731" s="8">
        <v>12.1</v>
      </c>
      <c r="S731" s="8">
        <v>3.5</v>
      </c>
      <c r="T731" s="8">
        <v>2</v>
      </c>
      <c r="U731" s="8">
        <v>1</v>
      </c>
      <c r="V731" s="8" t="str">
        <f>IF(Table13[[#This Row],[BMI]]&lt;=18.5,"Underweight",IF(Table13[[#This Row],[BMI]]&lt;=24.9,"Normal",IF(Table13[[#This Row],[BMI]]&lt;=29.9,"Overweight",IF(Table13[[#This Row],[BMI]]&lt;=39,"Obese","Severly Obese"))))</f>
        <v>Underweight</v>
      </c>
      <c r="W731" s="18">
        <v>14.81</v>
      </c>
    </row>
    <row r="732" spans="6:23" x14ac:dyDescent="0.3">
      <c r="F732" s="17">
        <v>58</v>
      </c>
      <c r="G732" s="8" t="str">
        <f>IF(Table13[[#This Row],[Age]]&lt;25,"18-24",IF(Table13[[#This Row],[Age]]&lt;35,"25-34",IF(Table13[[#This Row],[Age]]&lt;45,"35-44",IF(Table13[[#This Row],[Age]]&lt;55,"45-54","55-64"))))</f>
        <v>55-64</v>
      </c>
      <c r="H732" s="8" t="s">
        <v>17</v>
      </c>
      <c r="I732" s="8">
        <v>68.599999999999994</v>
      </c>
      <c r="J732" s="8">
        <v>1.72</v>
      </c>
      <c r="K732" s="8">
        <v>164</v>
      </c>
      <c r="L732" s="8">
        <v>155</v>
      </c>
      <c r="M732" s="8">
        <v>72</v>
      </c>
      <c r="N732" s="8">
        <v>1.23</v>
      </c>
      <c r="O732" s="8">
        <v>797</v>
      </c>
      <c r="P732" s="8" t="s">
        <v>22</v>
      </c>
      <c r="Q732" s="8" t="str">
        <f>_xlfn.IFS(AND(Table13[[#This Row],[Gender]]="female",R732&lt;20),"Athletes",AND(Table13[[#This Row],[Gender]]="female",R732&lt;24),"Fitnesss",AND(Table13[[#This Row],[Gender]]="female",R732&lt;31),"Acceptable",AND(Table13[[#This Row],[Gender]]="female",R732&lt;40),"Obese",AND(Table13[[#This Row],[Gender]]="male",R732&lt;13),"Athletes",AND(Table13[[#This Row],[Gender]]="male",R732&lt;17),"Fitnesss",AND(Table13[[#This Row],[Gender]]="male",R732&lt;24.9),"Acceptable",AND(Table13[[#This Row],[Gender]]="male",R732&lt;40),"Obese",AND(Table13[[#This Row],[Gender]]="others",R732&lt;20),"Athletes",AND(Table13[[#This Row],[Gender]]="others",R732&lt;24),"Fitnesss",AND(Table13[[#This Row],[Gender]]="others",R732&lt;31),"Acceptable",AND(Table13[[#This Row],[Gender]]="others",R732&lt;40),"Obese")</f>
        <v>Acceptable</v>
      </c>
      <c r="R732" s="8">
        <v>27.2</v>
      </c>
      <c r="S732" s="8">
        <v>2.5</v>
      </c>
      <c r="T732" s="8">
        <v>2</v>
      </c>
      <c r="U732" s="8">
        <v>1</v>
      </c>
      <c r="V732" s="8" t="str">
        <f>IF(Table13[[#This Row],[BMI]]&lt;=18.5,"Underweight",IF(Table13[[#This Row],[BMI]]&lt;=24.9,"Normal",IF(Table13[[#This Row],[BMI]]&lt;=29.9,"Overweight",IF(Table13[[#This Row],[BMI]]&lt;=39,"Obese","Severly Obese"))))</f>
        <v>Underweight</v>
      </c>
      <c r="W732" s="18">
        <v>12.32</v>
      </c>
    </row>
    <row r="733" spans="6:23" x14ac:dyDescent="0.3">
      <c r="F733" s="17">
        <v>46</v>
      </c>
      <c r="G733" s="8" t="str">
        <f>IF(Table13[[#This Row],[Age]]&lt;25,"18-24",IF(Table13[[#This Row],[Age]]&lt;35,"25-34",IF(Table13[[#This Row],[Age]]&lt;45,"35-44",IF(Table13[[#This Row],[Age]]&lt;55,"45-54","55-64"))))</f>
        <v>45-54</v>
      </c>
      <c r="H733" s="8" t="s">
        <v>17</v>
      </c>
      <c r="I733" s="8">
        <v>45.7</v>
      </c>
      <c r="J733" s="8">
        <v>1.96</v>
      </c>
      <c r="K733" s="8">
        <v>168</v>
      </c>
      <c r="L733" s="8">
        <v>137</v>
      </c>
      <c r="M733" s="8">
        <v>64</v>
      </c>
      <c r="N733" s="8">
        <v>1.38</v>
      </c>
      <c r="O733" s="8">
        <v>1303</v>
      </c>
      <c r="P733" s="8" t="s">
        <v>18</v>
      </c>
      <c r="Q733" s="8" t="str">
        <f>_xlfn.IFS(AND(Table13[[#This Row],[Gender]]="female",R733&lt;20),"Athletes",AND(Table13[[#This Row],[Gender]]="female",R733&lt;24),"Fitnesss",AND(Table13[[#This Row],[Gender]]="female",R733&lt;31),"Acceptable",AND(Table13[[#This Row],[Gender]]="female",R733&lt;40),"Obese",AND(Table13[[#This Row],[Gender]]="male",R733&lt;13),"Athletes",AND(Table13[[#This Row],[Gender]]="male",R733&lt;17),"Fitnesss",AND(Table13[[#This Row],[Gender]]="male",R733&lt;24.9),"Acceptable",AND(Table13[[#This Row],[Gender]]="male",R733&lt;40),"Obese",AND(Table13[[#This Row],[Gender]]="others",R733&lt;20),"Athletes",AND(Table13[[#This Row],[Gender]]="others",R733&lt;24),"Fitnesss",AND(Table13[[#This Row],[Gender]]="others",R733&lt;31),"Acceptable",AND(Table13[[#This Row],[Gender]]="others",R733&lt;40),"Obese")</f>
        <v>Acceptable</v>
      </c>
      <c r="R733" s="8">
        <v>29.8</v>
      </c>
      <c r="S733" s="8">
        <v>3.3</v>
      </c>
      <c r="T733" s="8">
        <v>2</v>
      </c>
      <c r="U733" s="8">
        <v>2</v>
      </c>
      <c r="V733" s="8" t="str">
        <f>IF(Table13[[#This Row],[BMI]]&lt;=18.5,"Underweight",IF(Table13[[#This Row],[BMI]]&lt;=24.9,"Normal",IF(Table13[[#This Row],[BMI]]&lt;=29.9,"Overweight",IF(Table13[[#This Row],[BMI]]&lt;=39,"Obese","Severly Obese"))))</f>
        <v>Normal</v>
      </c>
      <c r="W733" s="18">
        <v>22.82</v>
      </c>
    </row>
    <row r="734" spans="6:23" x14ac:dyDescent="0.3">
      <c r="F734" s="17">
        <v>19</v>
      </c>
      <c r="G734" s="8" t="str">
        <f>IF(Table13[[#This Row],[Age]]&lt;25,"18-24",IF(Table13[[#This Row],[Age]]&lt;35,"25-34",IF(Table13[[#This Row],[Age]]&lt;45,"35-44",IF(Table13[[#This Row],[Age]]&lt;55,"45-54","55-64"))))</f>
        <v>18-24</v>
      </c>
      <c r="H734" s="8" t="s">
        <v>17</v>
      </c>
      <c r="I734" s="8">
        <v>55.2</v>
      </c>
      <c r="J734" s="8">
        <v>1.71</v>
      </c>
      <c r="K734" s="8">
        <v>172</v>
      </c>
      <c r="L734" s="8">
        <v>136</v>
      </c>
      <c r="M734" s="8">
        <v>74</v>
      </c>
      <c r="N734" s="8">
        <v>1.93</v>
      </c>
      <c r="O734" s="8">
        <v>670</v>
      </c>
      <c r="P734" s="8" t="s">
        <v>22</v>
      </c>
      <c r="Q734" s="8" t="str">
        <f>_xlfn.IFS(AND(Table13[[#This Row],[Gender]]="female",R734&lt;20),"Athletes",AND(Table13[[#This Row],[Gender]]="female",R734&lt;24),"Fitnesss",AND(Table13[[#This Row],[Gender]]="female",R734&lt;31),"Acceptable",AND(Table13[[#This Row],[Gender]]="female",R734&lt;40),"Obese",AND(Table13[[#This Row],[Gender]]="male",R734&lt;13),"Athletes",AND(Table13[[#This Row],[Gender]]="male",R734&lt;17),"Fitnesss",AND(Table13[[#This Row],[Gender]]="male",R734&lt;24.9),"Acceptable",AND(Table13[[#This Row],[Gender]]="male",R734&lt;40),"Obese",AND(Table13[[#This Row],[Gender]]="others",R734&lt;20),"Athletes",AND(Table13[[#This Row],[Gender]]="others",R734&lt;24),"Fitnesss",AND(Table13[[#This Row],[Gender]]="others",R734&lt;31),"Acceptable",AND(Table13[[#This Row],[Gender]]="others",R734&lt;40),"Obese")</f>
        <v>Athletes</v>
      </c>
      <c r="R734" s="8">
        <v>10</v>
      </c>
      <c r="S734" s="8">
        <v>3.1</v>
      </c>
      <c r="T734" s="8">
        <v>4</v>
      </c>
      <c r="U734" s="8">
        <v>1</v>
      </c>
      <c r="V734" s="8" t="str">
        <f>IF(Table13[[#This Row],[BMI]]&lt;=18.5,"Underweight",IF(Table13[[#This Row],[BMI]]&lt;=24.9,"Normal",IF(Table13[[#This Row],[BMI]]&lt;=29.9,"Overweight",IF(Table13[[#This Row],[BMI]]&lt;=39,"Obese","Severly Obese"))))</f>
        <v>Normal</v>
      </c>
      <c r="W734" s="18">
        <v>20.85</v>
      </c>
    </row>
    <row r="735" spans="6:23" x14ac:dyDescent="0.3">
      <c r="F735" s="17">
        <v>31</v>
      </c>
      <c r="G735" s="8" t="str">
        <f>IF(Table13[[#This Row],[Age]]&lt;25,"18-24",IF(Table13[[#This Row],[Age]]&lt;35,"25-34",IF(Table13[[#This Row],[Age]]&lt;45,"35-44",IF(Table13[[#This Row],[Age]]&lt;55,"45-54","55-64"))))</f>
        <v>25-34</v>
      </c>
      <c r="H735" s="8" t="s">
        <v>17</v>
      </c>
      <c r="I735" s="8">
        <v>91.7</v>
      </c>
      <c r="J735" s="8">
        <v>1.74</v>
      </c>
      <c r="K735" s="8">
        <v>172</v>
      </c>
      <c r="L735" s="8">
        <v>166</v>
      </c>
      <c r="M735" s="8">
        <v>56</v>
      </c>
      <c r="N735" s="8">
        <v>1.28</v>
      </c>
      <c r="O735" s="8">
        <v>892</v>
      </c>
      <c r="P735" s="8" t="s">
        <v>22</v>
      </c>
      <c r="Q735" s="8" t="str">
        <f>_xlfn.IFS(AND(Table13[[#This Row],[Gender]]="female",R735&lt;20),"Athletes",AND(Table13[[#This Row],[Gender]]="female",R735&lt;24),"Fitnesss",AND(Table13[[#This Row],[Gender]]="female",R735&lt;31),"Acceptable",AND(Table13[[#This Row],[Gender]]="female",R735&lt;40),"Obese",AND(Table13[[#This Row],[Gender]]="male",R735&lt;13),"Athletes",AND(Table13[[#This Row],[Gender]]="male",R735&lt;17),"Fitnesss",AND(Table13[[#This Row],[Gender]]="male",R735&lt;24.9),"Acceptable",AND(Table13[[#This Row],[Gender]]="male",R735&lt;40),"Obese",AND(Table13[[#This Row],[Gender]]="others",R735&lt;20),"Athletes",AND(Table13[[#This Row],[Gender]]="others",R735&lt;24),"Fitnesss",AND(Table13[[#This Row],[Gender]]="others",R735&lt;31),"Acceptable",AND(Table13[[#This Row],[Gender]]="others",R735&lt;40),"Obese")</f>
        <v>Athletes</v>
      </c>
      <c r="R735" s="8">
        <v>19.8</v>
      </c>
      <c r="S735" s="8">
        <v>3.1</v>
      </c>
      <c r="T735" s="8">
        <v>4</v>
      </c>
      <c r="U735" s="8">
        <v>3</v>
      </c>
      <c r="V735" s="8" t="str">
        <f>IF(Table13[[#This Row],[BMI]]&lt;=18.5,"Underweight",IF(Table13[[#This Row],[BMI]]&lt;=24.9,"Normal",IF(Table13[[#This Row],[BMI]]&lt;=29.9,"Overweight",IF(Table13[[#This Row],[BMI]]&lt;=39,"Obese","Severly Obese"))))</f>
        <v>Underweight</v>
      </c>
      <c r="W735" s="18">
        <v>12.32</v>
      </c>
    </row>
    <row r="736" spans="6:23" x14ac:dyDescent="0.3">
      <c r="F736" s="17">
        <v>47</v>
      </c>
      <c r="G736" s="8" t="str">
        <f>IF(Table13[[#This Row],[Age]]&lt;25,"18-24",IF(Table13[[#This Row],[Age]]&lt;35,"25-34",IF(Table13[[#This Row],[Age]]&lt;45,"35-44",IF(Table13[[#This Row],[Age]]&lt;55,"45-54","55-64"))))</f>
        <v>45-54</v>
      </c>
      <c r="H736" s="8" t="s">
        <v>19</v>
      </c>
      <c r="I736" s="8">
        <v>78.7</v>
      </c>
      <c r="J736" s="8">
        <v>1.69</v>
      </c>
      <c r="K736" s="8">
        <v>170</v>
      </c>
      <c r="L736" s="8">
        <v>144</v>
      </c>
      <c r="M736" s="8">
        <v>57</v>
      </c>
      <c r="N736" s="8">
        <v>1</v>
      </c>
      <c r="O736" s="8">
        <v>845</v>
      </c>
      <c r="P736" s="8" t="s">
        <v>22</v>
      </c>
      <c r="Q736" s="8" t="str">
        <f>_xlfn.IFS(AND(Table13[[#This Row],[Gender]]="female",R736&lt;20),"Athletes",AND(Table13[[#This Row],[Gender]]="female",R736&lt;24),"Fitnesss",AND(Table13[[#This Row],[Gender]]="female",R736&lt;31),"Acceptable",AND(Table13[[#This Row],[Gender]]="female",R736&lt;40),"Obese",AND(Table13[[#This Row],[Gender]]="male",R736&lt;13),"Athletes",AND(Table13[[#This Row],[Gender]]="male",R736&lt;17),"Fitnesss",AND(Table13[[#This Row],[Gender]]="male",R736&lt;24.9),"Acceptable",AND(Table13[[#This Row],[Gender]]="male",R736&lt;40),"Obese",AND(Table13[[#This Row],[Gender]]="others",R736&lt;20),"Athletes",AND(Table13[[#This Row],[Gender]]="others",R736&lt;24),"Fitnesss",AND(Table13[[#This Row],[Gender]]="others",R736&lt;31),"Acceptable",AND(Table13[[#This Row],[Gender]]="others",R736&lt;40),"Obese")</f>
        <v>Acceptable</v>
      </c>
      <c r="R736" s="8">
        <v>24.5</v>
      </c>
      <c r="S736" s="8">
        <v>1.9</v>
      </c>
      <c r="T736" s="8">
        <v>4</v>
      </c>
      <c r="U736" s="8">
        <v>1</v>
      </c>
      <c r="V736" s="8" t="str">
        <f>IF(Table13[[#This Row],[BMI]]&lt;=18.5,"Underweight",IF(Table13[[#This Row],[BMI]]&lt;=24.9,"Normal",IF(Table13[[#This Row],[BMI]]&lt;=29.9,"Overweight",IF(Table13[[#This Row],[BMI]]&lt;=39,"Obese","Severly Obese"))))</f>
        <v>Normal</v>
      </c>
      <c r="W736" s="18">
        <v>22</v>
      </c>
    </row>
    <row r="737" spans="6:23" x14ac:dyDescent="0.3">
      <c r="F737" s="17">
        <v>28</v>
      </c>
      <c r="G737" s="8" t="str">
        <f>IF(Table13[[#This Row],[Age]]&lt;25,"18-24",IF(Table13[[#This Row],[Age]]&lt;35,"25-34",IF(Table13[[#This Row],[Age]]&lt;45,"35-44",IF(Table13[[#This Row],[Age]]&lt;55,"45-54","55-64"))))</f>
        <v>25-34</v>
      </c>
      <c r="H737" s="8" t="s">
        <v>17</v>
      </c>
      <c r="I737" s="8">
        <v>40</v>
      </c>
      <c r="J737" s="8">
        <v>1.57</v>
      </c>
      <c r="K737" s="8">
        <v>165</v>
      </c>
      <c r="L737" s="8">
        <v>169</v>
      </c>
      <c r="M737" s="8">
        <v>68</v>
      </c>
      <c r="N737" s="8">
        <v>1.04</v>
      </c>
      <c r="O737" s="8">
        <v>669</v>
      </c>
      <c r="P737" s="8" t="s">
        <v>20</v>
      </c>
      <c r="Q737" s="8" t="str">
        <f>_xlfn.IFS(AND(Table13[[#This Row],[Gender]]="female",R737&lt;20),"Athletes",AND(Table13[[#This Row],[Gender]]="female",R737&lt;24),"Fitnesss",AND(Table13[[#This Row],[Gender]]="female",R737&lt;31),"Acceptable",AND(Table13[[#This Row],[Gender]]="female",R737&lt;40),"Obese",AND(Table13[[#This Row],[Gender]]="male",R737&lt;13),"Athletes",AND(Table13[[#This Row],[Gender]]="male",R737&lt;17),"Fitnesss",AND(Table13[[#This Row],[Gender]]="male",R737&lt;24.9),"Acceptable",AND(Table13[[#This Row],[Gender]]="male",R737&lt;40),"Obese",AND(Table13[[#This Row],[Gender]]="others",R737&lt;20),"Athletes",AND(Table13[[#This Row],[Gender]]="others",R737&lt;24),"Fitnesss",AND(Table13[[#This Row],[Gender]]="others",R737&lt;31),"Acceptable",AND(Table13[[#This Row],[Gender]]="others",R737&lt;40),"Obese")</f>
        <v>Acceptable</v>
      </c>
      <c r="R737" s="8">
        <v>30.2</v>
      </c>
      <c r="S737" s="8">
        <v>2.6</v>
      </c>
      <c r="T737" s="8">
        <v>2</v>
      </c>
      <c r="U737" s="8">
        <v>2</v>
      </c>
      <c r="V737" s="8" t="str">
        <f>IF(Table13[[#This Row],[BMI]]&lt;=18.5,"Underweight",IF(Table13[[#This Row],[BMI]]&lt;=24.9,"Normal",IF(Table13[[#This Row],[BMI]]&lt;=29.9,"Overweight",IF(Table13[[#This Row],[BMI]]&lt;=39,"Obese","Severly Obese"))))</f>
        <v>Underweight</v>
      </c>
      <c r="W737" s="18">
        <v>15.05</v>
      </c>
    </row>
    <row r="738" spans="6:23" x14ac:dyDescent="0.3">
      <c r="F738" s="17">
        <v>22</v>
      </c>
      <c r="G738" s="8" t="str">
        <f>IF(Table13[[#This Row],[Age]]&lt;25,"18-24",IF(Table13[[#This Row],[Age]]&lt;35,"25-34",IF(Table13[[#This Row],[Age]]&lt;45,"35-44",IF(Table13[[#This Row],[Age]]&lt;55,"45-54","55-64"))))</f>
        <v>18-24</v>
      </c>
      <c r="H738" s="8" t="s">
        <v>19</v>
      </c>
      <c r="I738" s="8">
        <v>47.1</v>
      </c>
      <c r="J738" s="8">
        <v>1.87</v>
      </c>
      <c r="K738" s="8">
        <v>165</v>
      </c>
      <c r="L738" s="8">
        <v>132</v>
      </c>
      <c r="M738" s="8">
        <v>68</v>
      </c>
      <c r="N738" s="8">
        <v>0.72</v>
      </c>
      <c r="O738" s="8">
        <v>674</v>
      </c>
      <c r="P738" s="8" t="s">
        <v>18</v>
      </c>
      <c r="Q738" s="8" t="str">
        <f>_xlfn.IFS(AND(Table13[[#This Row],[Gender]]="female",R738&lt;20),"Athletes",AND(Table13[[#This Row],[Gender]]="female",R738&lt;24),"Fitnesss",AND(Table13[[#This Row],[Gender]]="female",R738&lt;31),"Acceptable",AND(Table13[[#This Row],[Gender]]="female",R738&lt;40),"Obese",AND(Table13[[#This Row],[Gender]]="male",R738&lt;13),"Athletes",AND(Table13[[#This Row],[Gender]]="male",R738&lt;17),"Fitnesss",AND(Table13[[#This Row],[Gender]]="male",R738&lt;24.9),"Acceptable",AND(Table13[[#This Row],[Gender]]="male",R738&lt;40),"Obese",AND(Table13[[#This Row],[Gender]]="others",R738&lt;20),"Athletes",AND(Table13[[#This Row],[Gender]]="others",R738&lt;24),"Fitnesss",AND(Table13[[#This Row],[Gender]]="others",R738&lt;31),"Acceptable",AND(Table13[[#This Row],[Gender]]="others",R738&lt;40),"Obese")</f>
        <v>Obese</v>
      </c>
      <c r="R738" s="8">
        <v>31.7</v>
      </c>
      <c r="S738" s="8">
        <v>3.2</v>
      </c>
      <c r="T738" s="8">
        <v>2</v>
      </c>
      <c r="U738" s="8">
        <v>2</v>
      </c>
      <c r="V738" s="8" t="str">
        <f>IF(Table13[[#This Row],[BMI]]&lt;=18.5,"Underweight",IF(Table13[[#This Row],[BMI]]&lt;=24.9,"Normal",IF(Table13[[#This Row],[BMI]]&lt;=29.9,"Overweight",IF(Table13[[#This Row],[BMI]]&lt;=39,"Obese","Severly Obese"))))</f>
        <v>Obese</v>
      </c>
      <c r="W738" s="18">
        <v>34.979999999999997</v>
      </c>
    </row>
    <row r="739" spans="6:23" x14ac:dyDescent="0.3">
      <c r="F739" s="17">
        <v>23</v>
      </c>
      <c r="G739" s="8" t="str">
        <f>IF(Table13[[#This Row],[Age]]&lt;25,"18-24",IF(Table13[[#This Row],[Age]]&lt;35,"25-34",IF(Table13[[#This Row],[Age]]&lt;45,"35-44",IF(Table13[[#This Row],[Age]]&lt;55,"45-54","55-64"))))</f>
        <v>18-24</v>
      </c>
      <c r="H739" s="8" t="s">
        <v>19</v>
      </c>
      <c r="I739" s="8">
        <v>85.1</v>
      </c>
      <c r="J739" s="8">
        <v>1.79</v>
      </c>
      <c r="K739" s="8">
        <v>194</v>
      </c>
      <c r="L739" s="8">
        <v>138</v>
      </c>
      <c r="M739" s="8">
        <v>55</v>
      </c>
      <c r="N739" s="8">
        <v>1.1599999999999999</v>
      </c>
      <c r="O739" s="8">
        <v>829</v>
      </c>
      <c r="P739" s="8" t="s">
        <v>18</v>
      </c>
      <c r="Q739" s="8" t="str">
        <f>_xlfn.IFS(AND(Table13[[#This Row],[Gender]]="female",R739&lt;20),"Athletes",AND(Table13[[#This Row],[Gender]]="female",R739&lt;24),"Fitnesss",AND(Table13[[#This Row],[Gender]]="female",R739&lt;31),"Acceptable",AND(Table13[[#This Row],[Gender]]="female",R739&lt;40),"Obese",AND(Table13[[#This Row],[Gender]]="male",R739&lt;13),"Athletes",AND(Table13[[#This Row],[Gender]]="male",R739&lt;17),"Fitnesss",AND(Table13[[#This Row],[Gender]]="male",R739&lt;24.9),"Acceptable",AND(Table13[[#This Row],[Gender]]="male",R739&lt;40),"Obese",AND(Table13[[#This Row],[Gender]]="others",R739&lt;20),"Athletes",AND(Table13[[#This Row],[Gender]]="others",R739&lt;24),"Fitnesss",AND(Table13[[#This Row],[Gender]]="others",R739&lt;31),"Acceptable",AND(Table13[[#This Row],[Gender]]="others",R739&lt;40),"Obese")</f>
        <v>Acceptable</v>
      </c>
      <c r="R739" s="8">
        <v>23.7</v>
      </c>
      <c r="S739" s="8">
        <v>2.6</v>
      </c>
      <c r="T739" s="8">
        <v>4</v>
      </c>
      <c r="U739" s="8">
        <v>2</v>
      </c>
      <c r="V739" s="8" t="str">
        <f>IF(Table13[[#This Row],[BMI]]&lt;=18.5,"Underweight",IF(Table13[[#This Row],[BMI]]&lt;=24.9,"Normal",IF(Table13[[#This Row],[BMI]]&lt;=29.9,"Overweight",IF(Table13[[#This Row],[BMI]]&lt;=39,"Obese","Severly Obese"))))</f>
        <v>Normal</v>
      </c>
      <c r="W739" s="18">
        <v>19.2</v>
      </c>
    </row>
    <row r="740" spans="6:23" x14ac:dyDescent="0.3">
      <c r="F740" s="17">
        <v>48</v>
      </c>
      <c r="G740" s="8" t="str">
        <f>IF(Table13[[#This Row],[Age]]&lt;25,"18-24",IF(Table13[[#This Row],[Age]]&lt;35,"25-34",IF(Table13[[#This Row],[Age]]&lt;45,"35-44",IF(Table13[[#This Row],[Age]]&lt;55,"45-54","55-64"))))</f>
        <v>45-54</v>
      </c>
      <c r="H740" s="8" t="s">
        <v>17</v>
      </c>
      <c r="I740" s="8">
        <v>87.9</v>
      </c>
      <c r="J740" s="8">
        <v>1.5</v>
      </c>
      <c r="K740" s="8">
        <v>180</v>
      </c>
      <c r="L740" s="8">
        <v>164</v>
      </c>
      <c r="M740" s="8">
        <v>68</v>
      </c>
      <c r="N740" s="8">
        <v>1.41</v>
      </c>
      <c r="O740" s="8">
        <v>974</v>
      </c>
      <c r="P740" s="8" t="s">
        <v>22</v>
      </c>
      <c r="Q740" s="8" t="str">
        <f>_xlfn.IFS(AND(Table13[[#This Row],[Gender]]="female",R740&lt;20),"Athletes",AND(Table13[[#This Row],[Gender]]="female",R740&lt;24),"Fitnesss",AND(Table13[[#This Row],[Gender]]="female",R740&lt;31),"Acceptable",AND(Table13[[#This Row],[Gender]]="female",R740&lt;40),"Obese",AND(Table13[[#This Row],[Gender]]="male",R740&lt;13),"Athletes",AND(Table13[[#This Row],[Gender]]="male",R740&lt;17),"Fitnesss",AND(Table13[[#This Row],[Gender]]="male",R740&lt;24.9),"Acceptable",AND(Table13[[#This Row],[Gender]]="male",R740&lt;40),"Obese",AND(Table13[[#This Row],[Gender]]="others",R740&lt;20),"Athletes",AND(Table13[[#This Row],[Gender]]="others",R740&lt;24),"Fitnesss",AND(Table13[[#This Row],[Gender]]="others",R740&lt;31),"Acceptable",AND(Table13[[#This Row],[Gender]]="others",R740&lt;40),"Obese")</f>
        <v>Fitnesss</v>
      </c>
      <c r="R740" s="8">
        <v>22.1</v>
      </c>
      <c r="S740" s="8">
        <v>2.6</v>
      </c>
      <c r="T740" s="8">
        <v>4</v>
      </c>
      <c r="U740" s="8">
        <v>1</v>
      </c>
      <c r="V740" s="8" t="str">
        <f>IF(Table13[[#This Row],[BMI]]&lt;=18.5,"Underweight",IF(Table13[[#This Row],[BMI]]&lt;=24.9,"Normal",IF(Table13[[#This Row],[BMI]]&lt;=29.9,"Overweight",IF(Table13[[#This Row],[BMI]]&lt;=39,"Obese","Severly Obese"))))</f>
        <v>Underweight</v>
      </c>
      <c r="W740" s="18">
        <v>13.04</v>
      </c>
    </row>
    <row r="741" spans="6:23" x14ac:dyDescent="0.3">
      <c r="F741" s="17">
        <v>24</v>
      </c>
      <c r="G741" s="8" t="str">
        <f>IF(Table13[[#This Row],[Age]]&lt;25,"18-24",IF(Table13[[#This Row],[Age]]&lt;35,"25-34",IF(Table13[[#This Row],[Age]]&lt;45,"35-44",IF(Table13[[#This Row],[Age]]&lt;55,"45-54","55-64"))))</f>
        <v>18-24</v>
      </c>
      <c r="H741" s="8" t="s">
        <v>17</v>
      </c>
      <c r="I741" s="8">
        <v>74.2</v>
      </c>
      <c r="J741" s="8">
        <v>1.58</v>
      </c>
      <c r="K741" s="8">
        <v>177</v>
      </c>
      <c r="L741" s="8">
        <v>140</v>
      </c>
      <c r="M741" s="8">
        <v>71</v>
      </c>
      <c r="N741" s="8">
        <v>1.28</v>
      </c>
      <c r="O741" s="8">
        <v>780</v>
      </c>
      <c r="P741" s="8" t="s">
        <v>18</v>
      </c>
      <c r="Q741" s="8" t="str">
        <f>_xlfn.IFS(AND(Table13[[#This Row],[Gender]]="female",R741&lt;20),"Athletes",AND(Table13[[#This Row],[Gender]]="female",R741&lt;24),"Fitnesss",AND(Table13[[#This Row],[Gender]]="female",R741&lt;31),"Acceptable",AND(Table13[[#This Row],[Gender]]="female",R741&lt;40),"Obese",AND(Table13[[#This Row],[Gender]]="male",R741&lt;13),"Athletes",AND(Table13[[#This Row],[Gender]]="male",R741&lt;17),"Fitnesss",AND(Table13[[#This Row],[Gender]]="male",R741&lt;24.9),"Acceptable",AND(Table13[[#This Row],[Gender]]="male",R741&lt;40),"Obese",AND(Table13[[#This Row],[Gender]]="others",R741&lt;20),"Athletes",AND(Table13[[#This Row],[Gender]]="others",R741&lt;24),"Fitnesss",AND(Table13[[#This Row],[Gender]]="others",R741&lt;31),"Acceptable",AND(Table13[[#This Row],[Gender]]="others",R741&lt;40),"Obese")</f>
        <v>Fitnesss</v>
      </c>
      <c r="R741" s="8">
        <v>23.6</v>
      </c>
      <c r="S741" s="8">
        <v>1.9</v>
      </c>
      <c r="T741" s="8">
        <v>4</v>
      </c>
      <c r="U741" s="8">
        <v>2</v>
      </c>
      <c r="V741" s="8" t="str">
        <f>IF(Table13[[#This Row],[BMI]]&lt;=18.5,"Underweight",IF(Table13[[#This Row],[BMI]]&lt;=24.9,"Normal",IF(Table13[[#This Row],[BMI]]&lt;=29.9,"Overweight",IF(Table13[[#This Row],[BMI]]&lt;=39,"Obese","Severly Obese"))))</f>
        <v>Obese</v>
      </c>
      <c r="W741" s="18">
        <v>30.92</v>
      </c>
    </row>
    <row r="742" spans="6:23" x14ac:dyDescent="0.3">
      <c r="F742" s="17">
        <v>33</v>
      </c>
      <c r="G742" s="8" t="str">
        <f>IF(Table13[[#This Row],[Age]]&lt;25,"18-24",IF(Table13[[#This Row],[Age]]&lt;35,"25-34",IF(Table13[[#This Row],[Age]]&lt;45,"35-44",IF(Table13[[#This Row],[Age]]&lt;55,"45-54","55-64"))))</f>
        <v>25-34</v>
      </c>
      <c r="H742" s="8" t="s">
        <v>19</v>
      </c>
      <c r="I742" s="8"/>
      <c r="J742" s="8">
        <v>1.8</v>
      </c>
      <c r="K742" s="8">
        <v>160</v>
      </c>
      <c r="L742" s="8">
        <v>155</v>
      </c>
      <c r="M742" s="8">
        <v>74</v>
      </c>
      <c r="N742" s="8">
        <v>1.26</v>
      </c>
      <c r="O742" s="8">
        <v>906</v>
      </c>
      <c r="P742" s="8" t="s">
        <v>22</v>
      </c>
      <c r="Q742" s="8" t="str">
        <f>_xlfn.IFS(AND(Table13[[#This Row],[Gender]]="female",R742&lt;20),"Athletes",AND(Table13[[#This Row],[Gender]]="female",R742&lt;24),"Fitnesss",AND(Table13[[#This Row],[Gender]]="female",R742&lt;31),"Acceptable",AND(Table13[[#This Row],[Gender]]="female",R742&lt;40),"Obese",AND(Table13[[#This Row],[Gender]]="male",R742&lt;13),"Athletes",AND(Table13[[#This Row],[Gender]]="male",R742&lt;17),"Fitnesss",AND(Table13[[#This Row],[Gender]]="male",R742&lt;24.9),"Acceptable",AND(Table13[[#This Row],[Gender]]="male",R742&lt;40),"Obese",AND(Table13[[#This Row],[Gender]]="others",R742&lt;20),"Athletes",AND(Table13[[#This Row],[Gender]]="others",R742&lt;24),"Fitnesss",AND(Table13[[#This Row],[Gender]]="others",R742&lt;31),"Acceptable",AND(Table13[[#This Row],[Gender]]="others",R742&lt;40),"Obese")</f>
        <v>Acceptable</v>
      </c>
      <c r="R742" s="8">
        <v>23.9</v>
      </c>
      <c r="S742" s="8">
        <v>3.2</v>
      </c>
      <c r="T742" s="8">
        <v>4</v>
      </c>
      <c r="U742" s="8">
        <v>1</v>
      </c>
      <c r="V742" s="8" t="str">
        <f>IF(Table13[[#This Row],[BMI]]&lt;=18.5,"Underweight",IF(Table13[[#This Row],[BMI]]&lt;=24.9,"Normal",IF(Table13[[#This Row],[BMI]]&lt;=29.9,"Overweight",IF(Table13[[#This Row],[BMI]]&lt;=39,"Obese","Severly Obese"))))</f>
        <v>Underweight</v>
      </c>
      <c r="W742" s="18">
        <v>18.21</v>
      </c>
    </row>
    <row r="743" spans="6:23" x14ac:dyDescent="0.3">
      <c r="F743" s="17">
        <v>22</v>
      </c>
      <c r="G743" s="8" t="str">
        <f>IF(Table13[[#This Row],[Age]]&lt;25,"18-24",IF(Table13[[#This Row],[Age]]&lt;35,"25-34",IF(Table13[[#This Row],[Age]]&lt;45,"35-44",IF(Table13[[#This Row],[Age]]&lt;55,"45-54","55-64"))))</f>
        <v>18-24</v>
      </c>
      <c r="H743" s="8" t="s">
        <v>19</v>
      </c>
      <c r="I743" s="8">
        <v>49.6</v>
      </c>
      <c r="J743" s="8">
        <v>1.87</v>
      </c>
      <c r="K743" s="8">
        <v>190</v>
      </c>
      <c r="L743" s="8">
        <v>137</v>
      </c>
      <c r="M743" s="8">
        <v>54</v>
      </c>
      <c r="N743" s="8">
        <v>1.6</v>
      </c>
      <c r="O743" s="8">
        <v>1326</v>
      </c>
      <c r="P743" s="8" t="s">
        <v>21</v>
      </c>
      <c r="Q743" s="8" t="str">
        <f>_xlfn.IFS(AND(Table13[[#This Row],[Gender]]="female",R743&lt;20),"Athletes",AND(Table13[[#This Row],[Gender]]="female",R743&lt;24),"Fitnesss",AND(Table13[[#This Row],[Gender]]="female",R743&lt;31),"Acceptable",AND(Table13[[#This Row],[Gender]]="female",R743&lt;40),"Obese",AND(Table13[[#This Row],[Gender]]="male",R743&lt;13),"Athletes",AND(Table13[[#This Row],[Gender]]="male",R743&lt;17),"Fitnesss",AND(Table13[[#This Row],[Gender]]="male",R743&lt;24.9),"Acceptable",AND(Table13[[#This Row],[Gender]]="male",R743&lt;40),"Obese",AND(Table13[[#This Row],[Gender]]="others",R743&lt;20),"Athletes",AND(Table13[[#This Row],[Gender]]="others",R743&lt;24),"Fitnesss",AND(Table13[[#This Row],[Gender]]="others",R743&lt;31),"Acceptable",AND(Table13[[#This Row],[Gender]]="others",R743&lt;40),"Obese")</f>
        <v>Obese</v>
      </c>
      <c r="R743" s="8">
        <v>30.5</v>
      </c>
      <c r="S743" s="8">
        <v>1.9</v>
      </c>
      <c r="T743" s="8">
        <v>5</v>
      </c>
      <c r="U743" s="8">
        <v>1</v>
      </c>
      <c r="V743" s="8" t="str">
        <f>IF(Table13[[#This Row],[BMI]]&lt;=18.5,"Underweight",IF(Table13[[#This Row],[BMI]]&lt;=24.9,"Normal",IF(Table13[[#This Row],[BMI]]&lt;=29.9,"Overweight",IF(Table13[[#This Row],[BMI]]&lt;=39,"Obese","Severly Obese"))))</f>
        <v>Underweight</v>
      </c>
      <c r="W743" s="18">
        <v>14.25</v>
      </c>
    </row>
    <row r="744" spans="6:23" x14ac:dyDescent="0.3">
      <c r="F744" s="17">
        <v>18</v>
      </c>
      <c r="G744" s="8" t="str">
        <f>IF(Table13[[#This Row],[Age]]&lt;25,"18-24",IF(Table13[[#This Row],[Age]]&lt;35,"25-34",IF(Table13[[#This Row],[Age]]&lt;45,"35-44",IF(Table13[[#This Row],[Age]]&lt;55,"45-54","55-64"))))</f>
        <v>18-24</v>
      </c>
      <c r="H744" s="8" t="s">
        <v>19</v>
      </c>
      <c r="I744" s="8">
        <v>63.9</v>
      </c>
      <c r="J744" s="8">
        <v>1.86</v>
      </c>
      <c r="K744" s="8">
        <v>161</v>
      </c>
      <c r="L744" s="8">
        <v>147</v>
      </c>
      <c r="M744" s="8">
        <v>51</v>
      </c>
      <c r="N744" s="8">
        <v>1.83</v>
      </c>
      <c r="O744" s="8">
        <v>1178</v>
      </c>
      <c r="P744" s="8" t="s">
        <v>18</v>
      </c>
      <c r="Q744" s="8" t="str">
        <f>_xlfn.IFS(AND(Table13[[#This Row],[Gender]]="female",R744&lt;20),"Athletes",AND(Table13[[#This Row],[Gender]]="female",R744&lt;24),"Fitnesss",AND(Table13[[#This Row],[Gender]]="female",R744&lt;31),"Acceptable",AND(Table13[[#This Row],[Gender]]="female",R744&lt;40),"Obese",AND(Table13[[#This Row],[Gender]]="male",R744&lt;13),"Athletes",AND(Table13[[#This Row],[Gender]]="male",R744&lt;17),"Fitnesss",AND(Table13[[#This Row],[Gender]]="male",R744&lt;24.9),"Acceptable",AND(Table13[[#This Row],[Gender]]="male",R744&lt;40),"Obese",AND(Table13[[#This Row],[Gender]]="others",R744&lt;20),"Athletes",AND(Table13[[#This Row],[Gender]]="others",R744&lt;24),"Fitnesss",AND(Table13[[#This Row],[Gender]]="others",R744&lt;31),"Acceptable",AND(Table13[[#This Row],[Gender]]="others",R744&lt;40),"Obese")</f>
        <v>Acceptable</v>
      </c>
      <c r="R744" s="8">
        <v>24</v>
      </c>
      <c r="S744" s="8">
        <v>3.3</v>
      </c>
      <c r="T744" s="8">
        <v>2</v>
      </c>
      <c r="U744" s="8">
        <v>1</v>
      </c>
      <c r="V744" s="8" t="str">
        <f>IF(Table13[[#This Row],[BMI]]&lt;=18.5,"Underweight",IF(Table13[[#This Row],[BMI]]&lt;=24.9,"Normal",IF(Table13[[#This Row],[BMI]]&lt;=29.9,"Overweight",IF(Table13[[#This Row],[BMI]]&lt;=39,"Obese","Severly Obese"))))</f>
        <v>Normal</v>
      </c>
      <c r="W744" s="18">
        <v>24.05</v>
      </c>
    </row>
    <row r="745" spans="6:23" x14ac:dyDescent="0.3">
      <c r="F745" s="17">
        <v>43</v>
      </c>
      <c r="G745" s="8" t="str">
        <f>IF(Table13[[#This Row],[Age]]&lt;25,"18-24",IF(Table13[[#This Row],[Age]]&lt;35,"25-34",IF(Table13[[#This Row],[Age]]&lt;45,"35-44",IF(Table13[[#This Row],[Age]]&lt;55,"45-54","55-64"))))</f>
        <v>35-44</v>
      </c>
      <c r="H745" s="8" t="s">
        <v>19</v>
      </c>
      <c r="I745" s="8">
        <v>75</v>
      </c>
      <c r="J745" s="8">
        <v>1.8</v>
      </c>
      <c r="K745" s="8">
        <v>170</v>
      </c>
      <c r="L745" s="8">
        <v>141</v>
      </c>
      <c r="M745" s="8">
        <v>61</v>
      </c>
      <c r="N745" s="8">
        <v>1.0900000000000001</v>
      </c>
      <c r="O745" s="8">
        <v>790</v>
      </c>
      <c r="P745" s="8" t="s">
        <v>22</v>
      </c>
      <c r="Q745" s="8" t="str">
        <f>_xlfn.IFS(AND(Table13[[#This Row],[Gender]]="female",R745&lt;20),"Athletes",AND(Table13[[#This Row],[Gender]]="female",R745&lt;24),"Fitnesss",AND(Table13[[#This Row],[Gender]]="female",R745&lt;31),"Acceptable",AND(Table13[[#This Row],[Gender]]="female",R745&lt;40),"Obese",AND(Table13[[#This Row],[Gender]]="male",R745&lt;13),"Athletes",AND(Table13[[#This Row],[Gender]]="male",R745&lt;17),"Fitnesss",AND(Table13[[#This Row],[Gender]]="male",R745&lt;24.9),"Acceptable",AND(Table13[[#This Row],[Gender]]="male",R745&lt;40),"Obese",AND(Table13[[#This Row],[Gender]]="others",R745&lt;20),"Athletes",AND(Table13[[#This Row],[Gender]]="others",R745&lt;24),"Fitnesss",AND(Table13[[#This Row],[Gender]]="others",R745&lt;31),"Acceptable",AND(Table13[[#This Row],[Gender]]="others",R745&lt;40),"Obese")</f>
        <v>Obese</v>
      </c>
      <c r="R745" s="8">
        <v>32.799999999999997</v>
      </c>
      <c r="S745" s="8">
        <v>2.4</v>
      </c>
      <c r="T745" s="8">
        <v>3</v>
      </c>
      <c r="U745" s="8">
        <v>2</v>
      </c>
      <c r="V745" s="8" t="str">
        <f>IF(Table13[[#This Row],[BMI]]&lt;=18.5,"Underweight",IF(Table13[[#This Row],[BMI]]&lt;=24.9,"Normal",IF(Table13[[#This Row],[BMI]]&lt;=29.9,"Overweight",IF(Table13[[#This Row],[BMI]]&lt;=39,"Obese","Severly Obese"))))</f>
        <v>Underweight</v>
      </c>
      <c r="W745" s="18"/>
    </row>
    <row r="746" spans="6:23" x14ac:dyDescent="0.3">
      <c r="F746" s="17">
        <v>54</v>
      </c>
      <c r="G746" s="8" t="str">
        <f>IF(Table13[[#This Row],[Age]]&lt;25,"18-24",IF(Table13[[#This Row],[Age]]&lt;35,"25-34",IF(Table13[[#This Row],[Age]]&lt;45,"35-44",IF(Table13[[#This Row],[Age]]&lt;55,"45-54","55-64"))))</f>
        <v>45-54</v>
      </c>
      <c r="H746" s="8" t="s">
        <v>19</v>
      </c>
      <c r="I746" s="8">
        <v>69.8</v>
      </c>
      <c r="J746" s="8">
        <v>1.75</v>
      </c>
      <c r="K746" s="8">
        <v>170</v>
      </c>
      <c r="L746" s="8">
        <v>131</v>
      </c>
      <c r="M746" s="8">
        <v>72</v>
      </c>
      <c r="N746" s="8">
        <v>1.29</v>
      </c>
      <c r="O746" s="8">
        <v>954</v>
      </c>
      <c r="P746" s="8" t="s">
        <v>18</v>
      </c>
      <c r="Q746" s="8" t="str">
        <f>_xlfn.IFS(AND(Table13[[#This Row],[Gender]]="female",R746&lt;20),"Athletes",AND(Table13[[#This Row],[Gender]]="female",R746&lt;24),"Fitnesss",AND(Table13[[#This Row],[Gender]]="female",R746&lt;31),"Acceptable",AND(Table13[[#This Row],[Gender]]="female",R746&lt;40),"Obese",AND(Table13[[#This Row],[Gender]]="male",R746&lt;13),"Athletes",AND(Table13[[#This Row],[Gender]]="male",R746&lt;17),"Fitnesss",AND(Table13[[#This Row],[Gender]]="male",R746&lt;24.9),"Acceptable",AND(Table13[[#This Row],[Gender]]="male",R746&lt;40),"Obese",AND(Table13[[#This Row],[Gender]]="others",R746&lt;20),"Athletes",AND(Table13[[#This Row],[Gender]]="others",R746&lt;24),"Fitnesss",AND(Table13[[#This Row],[Gender]]="others",R746&lt;31),"Acceptable",AND(Table13[[#This Row],[Gender]]="others",R746&lt;40),"Obese")</f>
        <v>Obese</v>
      </c>
      <c r="R746" s="8">
        <v>32</v>
      </c>
      <c r="S746" s="8">
        <v>3.2</v>
      </c>
      <c r="T746" s="8">
        <v>2</v>
      </c>
      <c r="U746" s="8">
        <v>1</v>
      </c>
      <c r="V746" s="8" t="str">
        <f>IF(Table13[[#This Row],[BMI]]&lt;=18.5,"Underweight",IF(Table13[[#This Row],[BMI]]&lt;=24.9,"Normal",IF(Table13[[#This Row],[BMI]]&lt;=29.9,"Overweight",IF(Table13[[#This Row],[BMI]]&lt;=39,"Obese","Severly Obese"))))</f>
        <v>Normal</v>
      </c>
      <c r="W746" s="18">
        <v>21.66</v>
      </c>
    </row>
    <row r="747" spans="6:23" x14ac:dyDescent="0.3">
      <c r="F747" s="17">
        <v>42</v>
      </c>
      <c r="G747" s="8" t="str">
        <f>IF(Table13[[#This Row],[Age]]&lt;25,"18-24",IF(Table13[[#This Row],[Age]]&lt;35,"25-34",IF(Table13[[#This Row],[Age]]&lt;45,"35-44",IF(Table13[[#This Row],[Age]]&lt;55,"45-54","55-64"))))</f>
        <v>35-44</v>
      </c>
      <c r="H747" s="8" t="s">
        <v>17</v>
      </c>
      <c r="I747" s="8">
        <v>40.5</v>
      </c>
      <c r="J747" s="8">
        <v>1.64</v>
      </c>
      <c r="K747" s="8">
        <v>196</v>
      </c>
      <c r="L747" s="8">
        <v>137</v>
      </c>
      <c r="M747" s="8">
        <v>59</v>
      </c>
      <c r="N747" s="8">
        <v>1.1200000000000001</v>
      </c>
      <c r="O747" s="8">
        <v>1150</v>
      </c>
      <c r="P747" s="8" t="s">
        <v>22</v>
      </c>
      <c r="Q747" s="8" t="str">
        <f>_xlfn.IFS(AND(Table13[[#This Row],[Gender]]="female",R747&lt;20),"Athletes",AND(Table13[[#This Row],[Gender]]="female",R747&lt;24),"Fitnesss",AND(Table13[[#This Row],[Gender]]="female",R747&lt;31),"Acceptable",AND(Table13[[#This Row],[Gender]]="female",R747&lt;40),"Obese",AND(Table13[[#This Row],[Gender]]="male",R747&lt;13),"Athletes",AND(Table13[[#This Row],[Gender]]="male",R747&lt;17),"Fitnesss",AND(Table13[[#This Row],[Gender]]="male",R747&lt;24.9),"Acceptable",AND(Table13[[#This Row],[Gender]]="male",R747&lt;40),"Obese",AND(Table13[[#This Row],[Gender]]="others",R747&lt;20),"Athletes",AND(Table13[[#This Row],[Gender]]="others",R747&lt;24),"Fitnesss",AND(Table13[[#This Row],[Gender]]="others",R747&lt;31),"Acceptable",AND(Table13[[#This Row],[Gender]]="others",R747&lt;40),"Obese")</f>
        <v>Athletes</v>
      </c>
      <c r="R747" s="8">
        <v>13.4</v>
      </c>
      <c r="S747" s="8">
        <v>3.7</v>
      </c>
      <c r="T747" s="8">
        <v>5</v>
      </c>
      <c r="U747" s="8">
        <v>2</v>
      </c>
      <c r="V747" s="8" t="str">
        <f>IF(Table13[[#This Row],[BMI]]&lt;=18.5,"Underweight",IF(Table13[[#This Row],[BMI]]&lt;=24.9,"Normal",IF(Table13[[#This Row],[BMI]]&lt;=29.9,"Overweight",IF(Table13[[#This Row],[BMI]]&lt;=39,"Obese","Severly Obese"))))</f>
        <v>Underweight</v>
      </c>
      <c r="W747" s="18">
        <v>12.32</v>
      </c>
    </row>
    <row r="748" spans="6:23" x14ac:dyDescent="0.3">
      <c r="F748" s="17">
        <v>18</v>
      </c>
      <c r="G748" s="8" t="str">
        <f>IF(Table13[[#This Row],[Age]]&lt;25,"18-24",IF(Table13[[#This Row],[Age]]&lt;35,"25-34",IF(Table13[[#This Row],[Age]]&lt;45,"35-44",IF(Table13[[#This Row],[Age]]&lt;55,"45-54","55-64"))))</f>
        <v>18-24</v>
      </c>
      <c r="H748" s="8" t="s">
        <v>17</v>
      </c>
      <c r="I748" s="8">
        <v>43.8</v>
      </c>
      <c r="J748" s="8">
        <v>1.96</v>
      </c>
      <c r="K748" s="8">
        <v>193</v>
      </c>
      <c r="L748" s="8">
        <v>142</v>
      </c>
      <c r="M748" s="8">
        <v>50</v>
      </c>
      <c r="N748" s="8">
        <v>1.03</v>
      </c>
      <c r="O748" s="8">
        <v>1590</v>
      </c>
      <c r="P748" s="8" t="s">
        <v>18</v>
      </c>
      <c r="Q748" s="8" t="str">
        <f>_xlfn.IFS(AND(Table13[[#This Row],[Gender]]="female",R748&lt;20),"Athletes",AND(Table13[[#This Row],[Gender]]="female",R748&lt;24),"Fitnesss",AND(Table13[[#This Row],[Gender]]="female",R748&lt;31),"Acceptable",AND(Table13[[#This Row],[Gender]]="female",R748&lt;40),"Obese",AND(Table13[[#This Row],[Gender]]="male",R748&lt;13),"Athletes",AND(Table13[[#This Row],[Gender]]="male",R748&lt;17),"Fitnesss",AND(Table13[[#This Row],[Gender]]="male",R748&lt;24.9),"Acceptable",AND(Table13[[#This Row],[Gender]]="male",R748&lt;40),"Obese",AND(Table13[[#This Row],[Gender]]="others",R748&lt;20),"Athletes",AND(Table13[[#This Row],[Gender]]="others",R748&lt;24),"Fitnesss",AND(Table13[[#This Row],[Gender]]="others",R748&lt;31),"Acceptable",AND(Table13[[#This Row],[Gender]]="others",R748&lt;40),"Obese")</f>
        <v>Acceptable</v>
      </c>
      <c r="R748" s="8">
        <v>29.7</v>
      </c>
      <c r="S748" s="8">
        <v>3.6</v>
      </c>
      <c r="T748" s="8">
        <v>2</v>
      </c>
      <c r="U748" s="8">
        <v>3</v>
      </c>
      <c r="V748" s="8" t="str">
        <f>IF(Table13[[#This Row],[BMI]]&lt;=18.5,"Underweight",IF(Table13[[#This Row],[BMI]]&lt;=24.9,"Normal",IF(Table13[[#This Row],[BMI]]&lt;=29.9,"Overweight",IF(Table13[[#This Row],[BMI]]&lt;=39,"Obese","Severly Obese"))))</f>
        <v>Normal</v>
      </c>
      <c r="W748" s="18">
        <v>21.88</v>
      </c>
    </row>
    <row r="749" spans="6:23" x14ac:dyDescent="0.3">
      <c r="F749" s="17">
        <v>24</v>
      </c>
      <c r="G749" s="8" t="str">
        <f>IF(Table13[[#This Row],[Age]]&lt;25,"18-24",IF(Table13[[#This Row],[Age]]&lt;35,"25-34",IF(Table13[[#This Row],[Age]]&lt;45,"35-44",IF(Table13[[#This Row],[Age]]&lt;55,"45-54","55-64"))))</f>
        <v>18-24</v>
      </c>
      <c r="H749" s="8" t="s">
        <v>17</v>
      </c>
      <c r="I749" s="8">
        <v>45.7</v>
      </c>
      <c r="J749" s="8">
        <v>1.63</v>
      </c>
      <c r="K749" s="8">
        <v>199</v>
      </c>
      <c r="L749" s="8">
        <v>144</v>
      </c>
      <c r="M749" s="8">
        <v>71</v>
      </c>
      <c r="N749" s="8">
        <v>0.94</v>
      </c>
      <c r="O749" s="8">
        <v>1137</v>
      </c>
      <c r="P749" s="8" t="s">
        <v>22</v>
      </c>
      <c r="Q749" s="8" t="str">
        <f>_xlfn.IFS(AND(Table13[[#This Row],[Gender]]="female",R749&lt;20),"Athletes",AND(Table13[[#This Row],[Gender]]="female",R749&lt;24),"Fitnesss",AND(Table13[[#This Row],[Gender]]="female",R749&lt;31),"Acceptable",AND(Table13[[#This Row],[Gender]]="female",R749&lt;40),"Obese",AND(Table13[[#This Row],[Gender]]="male",R749&lt;13),"Athletes",AND(Table13[[#This Row],[Gender]]="male",R749&lt;17),"Fitnesss",AND(Table13[[#This Row],[Gender]]="male",R749&lt;24.9),"Acceptable",AND(Table13[[#This Row],[Gender]]="male",R749&lt;40),"Obese",AND(Table13[[#This Row],[Gender]]="others",R749&lt;20),"Athletes",AND(Table13[[#This Row],[Gender]]="others",R749&lt;24),"Fitnesss",AND(Table13[[#This Row],[Gender]]="others",R749&lt;31),"Acceptable",AND(Table13[[#This Row],[Gender]]="others",R749&lt;40),"Obese")</f>
        <v>Athletes</v>
      </c>
      <c r="R749" s="8">
        <v>19.600000000000001</v>
      </c>
      <c r="S749" s="8">
        <v>1.8</v>
      </c>
      <c r="T749" s="8">
        <v>2</v>
      </c>
      <c r="U749" s="8">
        <v>3</v>
      </c>
      <c r="V749" s="8" t="str">
        <f>IF(Table13[[#This Row],[BMI]]&lt;=18.5,"Underweight",IF(Table13[[#This Row],[BMI]]&lt;=24.9,"Normal",IF(Table13[[#This Row],[BMI]]&lt;=29.9,"Overweight",IF(Table13[[#This Row],[BMI]]&lt;=39,"Obese","Severly Obese"))))</f>
        <v>Underweight</v>
      </c>
      <c r="W749" s="18">
        <v>12.32</v>
      </c>
    </row>
    <row r="750" spans="6:23" x14ac:dyDescent="0.3">
      <c r="F750" s="17">
        <v>43</v>
      </c>
      <c r="G750" s="8" t="str">
        <f>IF(Table13[[#This Row],[Age]]&lt;25,"18-24",IF(Table13[[#This Row],[Age]]&lt;35,"25-34",IF(Table13[[#This Row],[Age]]&lt;45,"35-44",IF(Table13[[#This Row],[Age]]&lt;55,"45-54","55-64"))))</f>
        <v>35-44</v>
      </c>
      <c r="H750" s="8" t="s">
        <v>19</v>
      </c>
      <c r="I750" s="8">
        <v>40</v>
      </c>
      <c r="J750" s="8">
        <v>1.73</v>
      </c>
      <c r="K750" s="8">
        <v>161</v>
      </c>
      <c r="L750" s="8">
        <v>146</v>
      </c>
      <c r="M750" s="8">
        <v>69</v>
      </c>
      <c r="N750" s="8"/>
      <c r="O750" s="8">
        <v>1359</v>
      </c>
      <c r="P750" s="8" t="s">
        <v>20</v>
      </c>
      <c r="Q750" s="8" t="str">
        <f>_xlfn.IFS(AND(Table13[[#This Row],[Gender]]="female",R750&lt;20),"Athletes",AND(Table13[[#This Row],[Gender]]="female",R750&lt;24),"Fitnesss",AND(Table13[[#This Row],[Gender]]="female",R750&lt;31),"Acceptable",AND(Table13[[#This Row],[Gender]]="female",R750&lt;40),"Obese",AND(Table13[[#This Row],[Gender]]="male",R750&lt;13),"Athletes",AND(Table13[[#This Row],[Gender]]="male",R750&lt;17),"Fitnesss",AND(Table13[[#This Row],[Gender]]="male",R750&lt;24.9),"Acceptable",AND(Table13[[#This Row],[Gender]]="male",R750&lt;40),"Obese",AND(Table13[[#This Row],[Gender]]="others",R750&lt;20),"Athletes",AND(Table13[[#This Row],[Gender]]="others",R750&lt;24),"Fitnesss",AND(Table13[[#This Row],[Gender]]="others",R750&lt;31),"Acceptable",AND(Table13[[#This Row],[Gender]]="others",R750&lt;40),"Obese")</f>
        <v>Acceptable</v>
      </c>
      <c r="R750" s="8">
        <v>21.3</v>
      </c>
      <c r="S750" s="8">
        <v>2.5</v>
      </c>
      <c r="T750" s="8">
        <v>2</v>
      </c>
      <c r="U750" s="8">
        <v>3</v>
      </c>
      <c r="V750" s="8" t="str">
        <f>IF(Table13[[#This Row],[BMI]]&lt;=18.5,"Underweight",IF(Table13[[#This Row],[BMI]]&lt;=24.9,"Normal",IF(Table13[[#This Row],[BMI]]&lt;=29.9,"Overweight",IF(Table13[[#This Row],[BMI]]&lt;=39,"Obese","Severly Obese"))))</f>
        <v>Underweight</v>
      </c>
      <c r="W750" s="18">
        <v>12.61</v>
      </c>
    </row>
    <row r="751" spans="6:23" x14ac:dyDescent="0.3">
      <c r="F751" s="17">
        <v>25</v>
      </c>
      <c r="G751" s="8" t="str">
        <f>IF(Table13[[#This Row],[Age]]&lt;25,"18-24",IF(Table13[[#This Row],[Age]]&lt;35,"25-34",IF(Table13[[#This Row],[Age]]&lt;45,"35-44",IF(Table13[[#This Row],[Age]]&lt;55,"45-54","55-64"))))</f>
        <v>25-34</v>
      </c>
      <c r="H751" s="8" t="s">
        <v>19</v>
      </c>
      <c r="I751" s="8">
        <v>40.799999999999997</v>
      </c>
      <c r="J751" s="8">
        <v>1.69</v>
      </c>
      <c r="K751" s="8">
        <v>194</v>
      </c>
      <c r="L751" s="8">
        <v>145</v>
      </c>
      <c r="M751" s="8">
        <v>54</v>
      </c>
      <c r="N751" s="8">
        <v>1.65</v>
      </c>
      <c r="O751" s="8">
        <v>1353</v>
      </c>
      <c r="P751" s="8" t="s">
        <v>21</v>
      </c>
      <c r="Q751" s="8" t="str">
        <f>_xlfn.IFS(AND(Table13[[#This Row],[Gender]]="female",R751&lt;20),"Athletes",AND(Table13[[#This Row],[Gender]]="female",R751&lt;24),"Fitnesss",AND(Table13[[#This Row],[Gender]]="female",R751&lt;31),"Acceptable",AND(Table13[[#This Row],[Gender]]="female",R751&lt;40),"Obese",AND(Table13[[#This Row],[Gender]]="male",R751&lt;13),"Athletes",AND(Table13[[#This Row],[Gender]]="male",R751&lt;17),"Fitnesss",AND(Table13[[#This Row],[Gender]]="male",R751&lt;24.9),"Acceptable",AND(Table13[[#This Row],[Gender]]="male",R751&lt;40),"Obese",AND(Table13[[#This Row],[Gender]]="others",R751&lt;20),"Athletes",AND(Table13[[#This Row],[Gender]]="others",R751&lt;24),"Fitnesss",AND(Table13[[#This Row],[Gender]]="others",R751&lt;31),"Acceptable",AND(Table13[[#This Row],[Gender]]="others",R751&lt;40),"Obese")</f>
        <v>Acceptable</v>
      </c>
      <c r="R751" s="8">
        <v>24.4</v>
      </c>
      <c r="S751" s="8">
        <v>2.5</v>
      </c>
      <c r="T751" s="8">
        <v>4</v>
      </c>
      <c r="U751" s="8">
        <v>1</v>
      </c>
      <c r="V751" s="8" t="str">
        <f>IF(Table13[[#This Row],[BMI]]&lt;=18.5,"Underweight",IF(Table13[[#This Row],[BMI]]&lt;=24.9,"Normal",IF(Table13[[#This Row],[BMI]]&lt;=29.9,"Overweight",IF(Table13[[#This Row],[BMI]]&lt;=39,"Obese","Severly Obese"))))</f>
        <v>Normal</v>
      </c>
      <c r="W751" s="18">
        <v>22.31</v>
      </c>
    </row>
    <row r="752" spans="6:23" x14ac:dyDescent="0.3">
      <c r="F752" s="17">
        <v>59</v>
      </c>
      <c r="G752" s="8" t="str">
        <f>IF(Table13[[#This Row],[Age]]&lt;25,"18-24",IF(Table13[[#This Row],[Age]]&lt;35,"25-34",IF(Table13[[#This Row],[Age]]&lt;45,"35-44",IF(Table13[[#This Row],[Age]]&lt;55,"45-54","55-64"))))</f>
        <v>55-64</v>
      </c>
      <c r="H752" s="8" t="s">
        <v>19</v>
      </c>
      <c r="I752" s="8">
        <v>82</v>
      </c>
      <c r="J752" s="8">
        <v>1.51</v>
      </c>
      <c r="K752" s="8">
        <v>185</v>
      </c>
      <c r="L752" s="8">
        <v>121</v>
      </c>
      <c r="M752" s="8">
        <v>70</v>
      </c>
      <c r="N752" s="8">
        <v>1.82</v>
      </c>
      <c r="O752" s="8">
        <v>625</v>
      </c>
      <c r="P752" s="8" t="s">
        <v>18</v>
      </c>
      <c r="Q752" s="8" t="str">
        <f>_xlfn.IFS(AND(Table13[[#This Row],[Gender]]="female",R752&lt;20),"Athletes",AND(Table13[[#This Row],[Gender]]="female",R752&lt;24),"Fitnesss",AND(Table13[[#This Row],[Gender]]="female",R752&lt;31),"Acceptable",AND(Table13[[#This Row],[Gender]]="female",R752&lt;40),"Obese",AND(Table13[[#This Row],[Gender]]="male",R752&lt;13),"Athletes",AND(Table13[[#This Row],[Gender]]="male",R752&lt;17),"Fitnesss",AND(Table13[[#This Row],[Gender]]="male",R752&lt;24.9),"Acceptable",AND(Table13[[#This Row],[Gender]]="male",R752&lt;40),"Obese",AND(Table13[[#This Row],[Gender]]="others",R752&lt;20),"Athletes",AND(Table13[[#This Row],[Gender]]="others",R752&lt;24),"Fitnesss",AND(Table13[[#This Row],[Gender]]="others",R752&lt;31),"Acceptable",AND(Table13[[#This Row],[Gender]]="others",R752&lt;40),"Obese")</f>
        <v>Obese</v>
      </c>
      <c r="R752" s="8">
        <v>28.5</v>
      </c>
      <c r="S752" s="8">
        <v>2.2000000000000002</v>
      </c>
      <c r="T752" s="8">
        <v>4</v>
      </c>
      <c r="U752" s="8">
        <v>3</v>
      </c>
      <c r="V752" s="8" t="str">
        <f>IF(Table13[[#This Row],[BMI]]&lt;=18.5,"Underweight",IF(Table13[[#This Row],[BMI]]&lt;=24.9,"Normal",IF(Table13[[#This Row],[BMI]]&lt;=29.9,"Overweight",IF(Table13[[#This Row],[BMI]]&lt;=39,"Obese","Severly Obese"))))</f>
        <v>Normal</v>
      </c>
      <c r="W752" s="18">
        <v>24.72</v>
      </c>
    </row>
    <row r="753" spans="6:23" x14ac:dyDescent="0.3">
      <c r="F753" s="17">
        <v>29</v>
      </c>
      <c r="G753" s="8" t="str">
        <f>IF(Table13[[#This Row],[Age]]&lt;25,"18-24",IF(Table13[[#This Row],[Age]]&lt;35,"25-34",IF(Table13[[#This Row],[Age]]&lt;45,"35-44",IF(Table13[[#This Row],[Age]]&lt;55,"45-54","55-64"))))</f>
        <v>25-34</v>
      </c>
      <c r="H753" s="8" t="s">
        <v>17</v>
      </c>
      <c r="I753" s="8">
        <v>60.9</v>
      </c>
      <c r="J753" s="8">
        <v>1.92</v>
      </c>
      <c r="K753" s="8">
        <v>192</v>
      </c>
      <c r="L753" s="8">
        <v>151</v>
      </c>
      <c r="M753" s="8">
        <v>67</v>
      </c>
      <c r="N753" s="8">
        <v>1.5</v>
      </c>
      <c r="O753" s="8">
        <v>1407</v>
      </c>
      <c r="P753" s="8" t="s">
        <v>20</v>
      </c>
      <c r="Q753" s="8" t="str">
        <f>_xlfn.IFS(AND(Table13[[#This Row],[Gender]]="female",R753&lt;20),"Athletes",AND(Table13[[#This Row],[Gender]]="female",R753&lt;24),"Fitnesss",AND(Table13[[#This Row],[Gender]]="female",R753&lt;31),"Acceptable",AND(Table13[[#This Row],[Gender]]="female",R753&lt;40),"Obese",AND(Table13[[#This Row],[Gender]]="male",R753&lt;13),"Athletes",AND(Table13[[#This Row],[Gender]]="male",R753&lt;17),"Fitnesss",AND(Table13[[#This Row],[Gender]]="male",R753&lt;24.9),"Acceptable",AND(Table13[[#This Row],[Gender]]="male",R753&lt;40),"Obese",AND(Table13[[#This Row],[Gender]]="others",R753&lt;20),"Athletes",AND(Table13[[#This Row],[Gender]]="others",R753&lt;24),"Fitnesss",AND(Table13[[#This Row],[Gender]]="others",R753&lt;31),"Acceptable",AND(Table13[[#This Row],[Gender]]="others",R753&lt;40),"Obese")</f>
        <v>Athletes</v>
      </c>
      <c r="R753" s="8">
        <v>18</v>
      </c>
      <c r="S753" s="8">
        <v>3.5</v>
      </c>
      <c r="T753" s="8">
        <v>5</v>
      </c>
      <c r="U753" s="8">
        <v>1</v>
      </c>
      <c r="V753" s="8" t="str">
        <f>IF(Table13[[#This Row],[BMI]]&lt;=18.5,"Underweight",IF(Table13[[#This Row],[BMI]]&lt;=24.9,"Normal",IF(Table13[[#This Row],[BMI]]&lt;=29.9,"Overweight",IF(Table13[[#This Row],[BMI]]&lt;=39,"Obese","Severly Obese"))))</f>
        <v>Severly Obese</v>
      </c>
      <c r="W753" s="18">
        <v>43.3</v>
      </c>
    </row>
    <row r="754" spans="6:23" x14ac:dyDescent="0.3">
      <c r="F754" s="17">
        <v>27</v>
      </c>
      <c r="G754" s="8" t="str">
        <f>IF(Table13[[#This Row],[Age]]&lt;25,"18-24",IF(Table13[[#This Row],[Age]]&lt;35,"25-34",IF(Table13[[#This Row],[Age]]&lt;45,"35-44",IF(Table13[[#This Row],[Age]]&lt;55,"45-54","55-64"))))</f>
        <v>25-34</v>
      </c>
      <c r="H754" s="8" t="s">
        <v>19</v>
      </c>
      <c r="I754" s="8">
        <v>55</v>
      </c>
      <c r="J754" s="8">
        <v>1.68</v>
      </c>
      <c r="K754" s="8">
        <v>169</v>
      </c>
      <c r="L754" s="8">
        <v>136</v>
      </c>
      <c r="M754" s="8">
        <v>64</v>
      </c>
      <c r="N754" s="8">
        <v>1.07</v>
      </c>
      <c r="O754" s="8">
        <v>1389</v>
      </c>
      <c r="P754" s="8" t="s">
        <v>20</v>
      </c>
      <c r="Q754" s="8" t="str">
        <f>_xlfn.IFS(AND(Table13[[#This Row],[Gender]]="female",R754&lt;20),"Athletes",AND(Table13[[#This Row],[Gender]]="female",R754&lt;24),"Fitnesss",AND(Table13[[#This Row],[Gender]]="female",R754&lt;31),"Acceptable",AND(Table13[[#This Row],[Gender]]="female",R754&lt;40),"Obese",AND(Table13[[#This Row],[Gender]]="male",R754&lt;13),"Athletes",AND(Table13[[#This Row],[Gender]]="male",R754&lt;17),"Fitnesss",AND(Table13[[#This Row],[Gender]]="male",R754&lt;24.9),"Acceptable",AND(Table13[[#This Row],[Gender]]="male",R754&lt;40),"Obese",AND(Table13[[#This Row],[Gender]]="others",R754&lt;20),"Athletes",AND(Table13[[#This Row],[Gender]]="others",R754&lt;24),"Fitnesss",AND(Table13[[#This Row],[Gender]]="others",R754&lt;31),"Acceptable",AND(Table13[[#This Row],[Gender]]="others",R754&lt;40),"Obese")</f>
        <v>Acceptable</v>
      </c>
      <c r="R754" s="8">
        <v>24.6</v>
      </c>
      <c r="S754" s="8">
        <v>2.1</v>
      </c>
      <c r="T754" s="8">
        <v>4</v>
      </c>
      <c r="U754" s="8">
        <v>2</v>
      </c>
      <c r="V754" s="8" t="str">
        <f>IF(Table13[[#This Row],[BMI]]&lt;=18.5,"Underweight",IF(Table13[[#This Row],[BMI]]&lt;=24.9,"Normal",IF(Table13[[#This Row],[BMI]]&lt;=29.9,"Overweight",IF(Table13[[#This Row],[BMI]]&lt;=39,"Obese","Severly Obese"))))</f>
        <v>Normal</v>
      </c>
      <c r="W754" s="18">
        <v>18.54</v>
      </c>
    </row>
    <row r="755" spans="6:23" x14ac:dyDescent="0.3">
      <c r="F755" s="17">
        <v>23</v>
      </c>
      <c r="G755" s="8" t="str">
        <f>IF(Table13[[#This Row],[Age]]&lt;25,"18-24",IF(Table13[[#This Row],[Age]]&lt;35,"25-34",IF(Table13[[#This Row],[Age]]&lt;45,"35-44",IF(Table13[[#This Row],[Age]]&lt;55,"45-54","55-64"))))</f>
        <v>18-24</v>
      </c>
      <c r="H755" s="8" t="s">
        <v>17</v>
      </c>
      <c r="I755" s="8">
        <v>59</v>
      </c>
      <c r="J755" s="8">
        <v>1.62</v>
      </c>
      <c r="K755" s="8">
        <v>193</v>
      </c>
      <c r="L755" s="8">
        <v>162</v>
      </c>
      <c r="M755" s="8">
        <v>56</v>
      </c>
      <c r="N755" s="8"/>
      <c r="O755" s="8">
        <v>670</v>
      </c>
      <c r="P755" s="8" t="s">
        <v>20</v>
      </c>
      <c r="Q755" s="8" t="str">
        <f>_xlfn.IFS(AND(Table13[[#This Row],[Gender]]="female",R755&lt;20),"Athletes",AND(Table13[[#This Row],[Gender]]="female",R755&lt;24),"Fitnesss",AND(Table13[[#This Row],[Gender]]="female",R755&lt;31),"Acceptable",AND(Table13[[#This Row],[Gender]]="female",R755&lt;40),"Obese",AND(Table13[[#This Row],[Gender]]="male",R755&lt;13),"Athletes",AND(Table13[[#This Row],[Gender]]="male",R755&lt;17),"Fitnesss",AND(Table13[[#This Row],[Gender]]="male",R755&lt;24.9),"Acceptable",AND(Table13[[#This Row],[Gender]]="male",R755&lt;40),"Obese",AND(Table13[[#This Row],[Gender]]="others",R755&lt;20),"Athletes",AND(Table13[[#This Row],[Gender]]="others",R755&lt;24),"Fitnesss",AND(Table13[[#This Row],[Gender]]="others",R755&lt;31),"Acceptable",AND(Table13[[#This Row],[Gender]]="others",R755&lt;40),"Obese")</f>
        <v>Athletes</v>
      </c>
      <c r="R755" s="8">
        <v>17.600000000000001</v>
      </c>
      <c r="S755" s="8">
        <v>1.6</v>
      </c>
      <c r="T755" s="8">
        <v>5</v>
      </c>
      <c r="U755" s="8">
        <v>1</v>
      </c>
      <c r="V755" s="8" t="str">
        <f>IF(Table13[[#This Row],[BMI]]&lt;=18.5,"Underweight",IF(Table13[[#This Row],[BMI]]&lt;=24.9,"Normal",IF(Table13[[#This Row],[BMI]]&lt;=29.9,"Overweight",IF(Table13[[#This Row],[BMI]]&lt;=39,"Obese","Severly Obese"))))</f>
        <v>Underweight</v>
      </c>
      <c r="W755" s="18">
        <v>17.71</v>
      </c>
    </row>
    <row r="756" spans="6:23" x14ac:dyDescent="0.3">
      <c r="F756" s="17">
        <v>34</v>
      </c>
      <c r="G756" s="8" t="str">
        <f>IF(Table13[[#This Row],[Age]]&lt;25,"18-24",IF(Table13[[#This Row],[Age]]&lt;35,"25-34",IF(Table13[[#This Row],[Age]]&lt;45,"35-44",IF(Table13[[#This Row],[Age]]&lt;55,"45-54","55-64"))))</f>
        <v>25-34</v>
      </c>
      <c r="H756" s="8" t="s">
        <v>17</v>
      </c>
      <c r="I756" s="8">
        <v>80</v>
      </c>
      <c r="J756" s="8">
        <v>2</v>
      </c>
      <c r="K756" s="8">
        <v>173</v>
      </c>
      <c r="L756" s="8">
        <v>125</v>
      </c>
      <c r="M756" s="8">
        <v>56</v>
      </c>
      <c r="N756" s="8">
        <v>1.82</v>
      </c>
      <c r="O756" s="8">
        <v>773</v>
      </c>
      <c r="P756" s="8" t="s">
        <v>18</v>
      </c>
      <c r="Q756" s="8" t="str">
        <f>_xlfn.IFS(AND(Table13[[#This Row],[Gender]]="female",R756&lt;20),"Athletes",AND(Table13[[#This Row],[Gender]]="female",R756&lt;24),"Fitnesss",AND(Table13[[#This Row],[Gender]]="female",R756&lt;31),"Acceptable",AND(Table13[[#This Row],[Gender]]="female",R756&lt;40),"Obese",AND(Table13[[#This Row],[Gender]]="male",R756&lt;13),"Athletes",AND(Table13[[#This Row],[Gender]]="male",R756&lt;17),"Fitnesss",AND(Table13[[#This Row],[Gender]]="male",R756&lt;24.9),"Acceptable",AND(Table13[[#This Row],[Gender]]="male",R756&lt;40),"Obese",AND(Table13[[#This Row],[Gender]]="others",R756&lt;20),"Athletes",AND(Table13[[#This Row],[Gender]]="others",R756&lt;24),"Fitnesss",AND(Table13[[#This Row],[Gender]]="others",R756&lt;31),"Acceptable",AND(Table13[[#This Row],[Gender]]="others",R756&lt;40),"Obese")</f>
        <v>Fitnesss</v>
      </c>
      <c r="R756" s="8">
        <v>22.3</v>
      </c>
      <c r="S756" s="8">
        <v>2.8</v>
      </c>
      <c r="T756" s="8">
        <v>4</v>
      </c>
      <c r="U756" s="8">
        <v>2</v>
      </c>
      <c r="V756" s="8" t="str">
        <f>IF(Table13[[#This Row],[BMI]]&lt;=18.5,"Underweight",IF(Table13[[#This Row],[BMI]]&lt;=24.9,"Normal",IF(Table13[[#This Row],[BMI]]&lt;=29.9,"Overweight",IF(Table13[[#This Row],[BMI]]&lt;=39,"Obese","Severly Obese"))))</f>
        <v>Underweight</v>
      </c>
      <c r="W756" s="18">
        <v>14.62</v>
      </c>
    </row>
    <row r="757" spans="6:23" x14ac:dyDescent="0.3">
      <c r="F757" s="17">
        <v>24</v>
      </c>
      <c r="G757" s="8" t="str">
        <f>IF(Table13[[#This Row],[Age]]&lt;25,"18-24",IF(Table13[[#This Row],[Age]]&lt;35,"25-34",IF(Table13[[#This Row],[Age]]&lt;45,"35-44",IF(Table13[[#This Row],[Age]]&lt;55,"45-54","55-64"))))</f>
        <v>18-24</v>
      </c>
      <c r="H757" s="8" t="s">
        <v>19</v>
      </c>
      <c r="I757" s="8">
        <v>44.3</v>
      </c>
      <c r="J757" s="8">
        <v>1.65</v>
      </c>
      <c r="K757" s="8">
        <v>189</v>
      </c>
      <c r="L757" s="8">
        <v>129</v>
      </c>
      <c r="M757" s="8">
        <v>56</v>
      </c>
      <c r="N757" s="8">
        <v>1.9</v>
      </c>
      <c r="O757" s="8">
        <v>972</v>
      </c>
      <c r="P757" s="8" t="s">
        <v>22</v>
      </c>
      <c r="Q757" s="8" t="str">
        <f>_xlfn.IFS(AND(Table13[[#This Row],[Gender]]="female",R757&lt;20),"Athletes",AND(Table13[[#This Row],[Gender]]="female",R757&lt;24),"Fitnesss",AND(Table13[[#This Row],[Gender]]="female",R757&lt;31),"Acceptable",AND(Table13[[#This Row],[Gender]]="female",R757&lt;40),"Obese",AND(Table13[[#This Row],[Gender]]="male",R757&lt;13),"Athletes",AND(Table13[[#This Row],[Gender]]="male",R757&lt;17),"Fitnesss",AND(Table13[[#This Row],[Gender]]="male",R757&lt;24.9),"Acceptable",AND(Table13[[#This Row],[Gender]]="male",R757&lt;40),"Obese",AND(Table13[[#This Row],[Gender]]="others",R757&lt;20),"Athletes",AND(Table13[[#This Row],[Gender]]="others",R757&lt;24),"Fitnesss",AND(Table13[[#This Row],[Gender]]="others",R757&lt;31),"Acceptable",AND(Table13[[#This Row],[Gender]]="others",R757&lt;40),"Obese")</f>
        <v>Obese</v>
      </c>
      <c r="R757" s="8">
        <v>27.8</v>
      </c>
      <c r="S757" s="8">
        <v>3.3</v>
      </c>
      <c r="T757" s="8">
        <v>2</v>
      </c>
      <c r="U757" s="8">
        <v>1</v>
      </c>
      <c r="V757" s="8" t="str">
        <f>IF(Table13[[#This Row],[BMI]]&lt;=18.5,"Underweight",IF(Table13[[#This Row],[BMI]]&lt;=24.9,"Normal",IF(Table13[[#This Row],[BMI]]&lt;=29.9,"Overweight",IF(Table13[[#This Row],[BMI]]&lt;=39,"Obese","Severly Obese"))))</f>
        <v>Underweight</v>
      </c>
      <c r="W757" s="18">
        <v>15.86</v>
      </c>
    </row>
    <row r="758" spans="6:23" x14ac:dyDescent="0.3">
      <c r="F758" s="17">
        <v>24</v>
      </c>
      <c r="G758" s="8" t="str">
        <f>IF(Table13[[#This Row],[Age]]&lt;25,"18-24",IF(Table13[[#This Row],[Age]]&lt;35,"25-34",IF(Table13[[#This Row],[Age]]&lt;45,"35-44",IF(Table13[[#This Row],[Age]]&lt;55,"45-54","55-64"))))</f>
        <v>18-24</v>
      </c>
      <c r="H758" s="8" t="s">
        <v>19</v>
      </c>
      <c r="I758" s="8">
        <v>63.6</v>
      </c>
      <c r="J758" s="8">
        <v>1.74</v>
      </c>
      <c r="K758" s="8">
        <v>199</v>
      </c>
      <c r="L758" s="8">
        <v>135</v>
      </c>
      <c r="M758" s="8">
        <v>61</v>
      </c>
      <c r="N758" s="8">
        <v>1.31</v>
      </c>
      <c r="O758" s="8">
        <v>486</v>
      </c>
      <c r="P758" s="8" t="s">
        <v>21</v>
      </c>
      <c r="Q758" s="8" t="str">
        <f>_xlfn.IFS(AND(Table13[[#This Row],[Gender]]="female",R758&lt;20),"Athletes",AND(Table13[[#This Row],[Gender]]="female",R758&lt;24),"Fitnesss",AND(Table13[[#This Row],[Gender]]="female",R758&lt;31),"Acceptable",AND(Table13[[#This Row],[Gender]]="female",R758&lt;40),"Obese",AND(Table13[[#This Row],[Gender]]="male",R758&lt;13),"Athletes",AND(Table13[[#This Row],[Gender]]="male",R758&lt;17),"Fitnesss",AND(Table13[[#This Row],[Gender]]="male",R758&lt;24.9),"Acceptable",AND(Table13[[#This Row],[Gender]]="male",R758&lt;40),"Obese",AND(Table13[[#This Row],[Gender]]="others",R758&lt;20),"Athletes",AND(Table13[[#This Row],[Gender]]="others",R758&lt;24),"Fitnesss",AND(Table13[[#This Row],[Gender]]="others",R758&lt;31),"Acceptable",AND(Table13[[#This Row],[Gender]]="others",R758&lt;40),"Obese")</f>
        <v>Obese</v>
      </c>
      <c r="R758" s="8">
        <v>26.1</v>
      </c>
      <c r="S758" s="8">
        <v>2.2000000000000002</v>
      </c>
      <c r="T758" s="8">
        <v>2</v>
      </c>
      <c r="U758" s="8">
        <v>3</v>
      </c>
      <c r="V758" s="8" t="str">
        <f>IF(Table13[[#This Row],[BMI]]&lt;=18.5,"Underweight",IF(Table13[[#This Row],[BMI]]&lt;=24.9,"Normal",IF(Table13[[#This Row],[BMI]]&lt;=29.9,"Overweight",IF(Table13[[#This Row],[BMI]]&lt;=39,"Obese","Severly Obese"))))</f>
        <v>Overweight</v>
      </c>
      <c r="W758" s="18">
        <v>25.85</v>
      </c>
    </row>
    <row r="759" spans="6:23" x14ac:dyDescent="0.3">
      <c r="F759" s="17">
        <v>29</v>
      </c>
      <c r="G759" s="8" t="str">
        <f>IF(Table13[[#This Row],[Age]]&lt;25,"18-24",IF(Table13[[#This Row],[Age]]&lt;35,"25-34",IF(Table13[[#This Row],[Age]]&lt;45,"35-44",IF(Table13[[#This Row],[Age]]&lt;55,"45-54","55-64"))))</f>
        <v>25-34</v>
      </c>
      <c r="H759" s="8" t="s">
        <v>17</v>
      </c>
      <c r="I759" s="8">
        <v>50.2</v>
      </c>
      <c r="J759" s="8">
        <v>1.89</v>
      </c>
      <c r="K759" s="8">
        <v>197</v>
      </c>
      <c r="L759" s="8">
        <v>125</v>
      </c>
      <c r="M759" s="8">
        <v>51</v>
      </c>
      <c r="N759" s="8">
        <v>1.46</v>
      </c>
      <c r="O759" s="8">
        <v>1286</v>
      </c>
      <c r="P759" s="8" t="s">
        <v>18</v>
      </c>
      <c r="Q759" s="8" t="str">
        <f>_xlfn.IFS(AND(Table13[[#This Row],[Gender]]="female",R759&lt;20),"Athletes",AND(Table13[[#This Row],[Gender]]="female",R759&lt;24),"Fitnesss",AND(Table13[[#This Row],[Gender]]="female",R759&lt;31),"Acceptable",AND(Table13[[#This Row],[Gender]]="female",R759&lt;40),"Obese",AND(Table13[[#This Row],[Gender]]="male",R759&lt;13),"Athletes",AND(Table13[[#This Row],[Gender]]="male",R759&lt;17),"Fitnesss",AND(Table13[[#This Row],[Gender]]="male",R759&lt;24.9),"Acceptable",AND(Table13[[#This Row],[Gender]]="male",R759&lt;40),"Obese",AND(Table13[[#This Row],[Gender]]="others",R759&lt;20),"Athletes",AND(Table13[[#This Row],[Gender]]="others",R759&lt;24),"Fitnesss",AND(Table13[[#This Row],[Gender]]="others",R759&lt;31),"Acceptable",AND(Table13[[#This Row],[Gender]]="others",R759&lt;40),"Obese")</f>
        <v>Acceptable</v>
      </c>
      <c r="R759" s="8">
        <v>27.6</v>
      </c>
      <c r="S759" s="8">
        <v>3.3</v>
      </c>
      <c r="T759" s="8">
        <v>2</v>
      </c>
      <c r="U759" s="8">
        <v>3</v>
      </c>
      <c r="V759" s="8" t="str">
        <f>IF(Table13[[#This Row],[BMI]]&lt;=18.5,"Underweight",IF(Table13[[#This Row],[BMI]]&lt;=24.9,"Normal",IF(Table13[[#This Row],[BMI]]&lt;=29.9,"Overweight",IF(Table13[[#This Row],[BMI]]&lt;=39,"Obese","Severly Obese"))))</f>
        <v>Underweight</v>
      </c>
      <c r="W759" s="18">
        <v>15.27</v>
      </c>
    </row>
    <row r="760" spans="6:23" x14ac:dyDescent="0.3">
      <c r="F760" s="17">
        <v>58</v>
      </c>
      <c r="G760" s="8" t="str">
        <f>IF(Table13[[#This Row],[Age]]&lt;25,"18-24",IF(Table13[[#This Row],[Age]]&lt;35,"25-34",IF(Table13[[#This Row],[Age]]&lt;45,"35-44",IF(Table13[[#This Row],[Age]]&lt;55,"45-54","55-64"))))</f>
        <v>55-64</v>
      </c>
      <c r="H760" s="8" t="s">
        <v>19</v>
      </c>
      <c r="I760" s="8">
        <v>43.6</v>
      </c>
      <c r="J760" s="8">
        <v>1.67</v>
      </c>
      <c r="K760" s="8">
        <v>176</v>
      </c>
      <c r="L760" s="8">
        <v>142</v>
      </c>
      <c r="M760" s="8">
        <v>74</v>
      </c>
      <c r="N760" s="8">
        <v>1.1299999999999999</v>
      </c>
      <c r="O760" s="8">
        <v>1089</v>
      </c>
      <c r="P760" s="8" t="s">
        <v>21</v>
      </c>
      <c r="Q760" s="8" t="str">
        <f>_xlfn.IFS(AND(Table13[[#This Row],[Gender]]="female",R760&lt;20),"Athletes",AND(Table13[[#This Row],[Gender]]="female",R760&lt;24),"Fitnesss",AND(Table13[[#This Row],[Gender]]="female",R760&lt;31),"Acceptable",AND(Table13[[#This Row],[Gender]]="female",R760&lt;40),"Obese",AND(Table13[[#This Row],[Gender]]="male",R760&lt;13),"Athletes",AND(Table13[[#This Row],[Gender]]="male",R760&lt;17),"Fitnesss",AND(Table13[[#This Row],[Gender]]="male",R760&lt;24.9),"Acceptable",AND(Table13[[#This Row],[Gender]]="male",R760&lt;40),"Obese",AND(Table13[[#This Row],[Gender]]="others",R760&lt;20),"Athletes",AND(Table13[[#This Row],[Gender]]="others",R760&lt;24),"Fitnesss",AND(Table13[[#This Row],[Gender]]="others",R760&lt;31),"Acceptable",AND(Table13[[#This Row],[Gender]]="others",R760&lt;40),"Obese")</f>
        <v>Obese</v>
      </c>
      <c r="R760" s="8">
        <v>26.7</v>
      </c>
      <c r="S760" s="8">
        <v>3.4</v>
      </c>
      <c r="T760" s="8">
        <v>4</v>
      </c>
      <c r="U760" s="8">
        <v>2</v>
      </c>
      <c r="V760" s="8" t="str">
        <f>IF(Table13[[#This Row],[BMI]]&lt;=18.5,"Underweight",IF(Table13[[#This Row],[BMI]]&lt;=24.9,"Normal",IF(Table13[[#This Row],[BMI]]&lt;=29.9,"Overweight",IF(Table13[[#This Row],[BMI]]&lt;=39,"Obese","Severly Obese"))))</f>
        <v>Overweight</v>
      </c>
      <c r="W760" s="18">
        <v>28.29</v>
      </c>
    </row>
    <row r="761" spans="6:23" x14ac:dyDescent="0.3">
      <c r="F761" s="17">
        <v>38</v>
      </c>
      <c r="G761" s="8" t="str">
        <f>IF(Table13[[#This Row],[Age]]&lt;25,"18-24",IF(Table13[[#This Row],[Age]]&lt;35,"25-34",IF(Table13[[#This Row],[Age]]&lt;45,"35-44",IF(Table13[[#This Row],[Age]]&lt;55,"45-54","55-64"))))</f>
        <v>35-44</v>
      </c>
      <c r="H761" s="8" t="s">
        <v>19</v>
      </c>
      <c r="I761" s="8">
        <v>60.5</v>
      </c>
      <c r="J761" s="8">
        <v>1.72</v>
      </c>
      <c r="K761" s="8">
        <v>187</v>
      </c>
      <c r="L761" s="8">
        <v>139</v>
      </c>
      <c r="M761" s="8">
        <v>50</v>
      </c>
      <c r="N761" s="8">
        <v>1.34</v>
      </c>
      <c r="O761" s="8">
        <v>1096</v>
      </c>
      <c r="P761" s="8" t="s">
        <v>22</v>
      </c>
      <c r="Q761" s="8" t="str">
        <f>_xlfn.IFS(AND(Table13[[#This Row],[Gender]]="female",R761&lt;20),"Athletes",AND(Table13[[#This Row],[Gender]]="female",R761&lt;24),"Fitnesss",AND(Table13[[#This Row],[Gender]]="female",R761&lt;31),"Acceptable",AND(Table13[[#This Row],[Gender]]="female",R761&lt;40),"Obese",AND(Table13[[#This Row],[Gender]]="male",R761&lt;13),"Athletes",AND(Table13[[#This Row],[Gender]]="male",R761&lt;17),"Fitnesss",AND(Table13[[#This Row],[Gender]]="male",R761&lt;24.9),"Acceptable",AND(Table13[[#This Row],[Gender]]="male",R761&lt;40),"Obese",AND(Table13[[#This Row],[Gender]]="others",R761&lt;20),"Athletes",AND(Table13[[#This Row],[Gender]]="others",R761&lt;24),"Fitnesss",AND(Table13[[#This Row],[Gender]]="others",R761&lt;31),"Acceptable",AND(Table13[[#This Row],[Gender]]="others",R761&lt;40),"Obese")</f>
        <v>Acceptable</v>
      </c>
      <c r="R761" s="8">
        <v>20.9</v>
      </c>
      <c r="S761" s="8">
        <v>3.7</v>
      </c>
      <c r="T761" s="8">
        <v>4</v>
      </c>
      <c r="U761" s="8">
        <v>2</v>
      </c>
      <c r="V761" s="8" t="str">
        <f>IF(Table13[[#This Row],[BMI]]&lt;=18.5,"Underweight",IF(Table13[[#This Row],[BMI]]&lt;=24.9,"Normal",IF(Table13[[#This Row],[BMI]]&lt;=29.9,"Overweight",IF(Table13[[#This Row],[BMI]]&lt;=39,"Obese","Severly Obese"))))</f>
        <v>Overweight</v>
      </c>
      <c r="W761" s="18">
        <v>25.58</v>
      </c>
    </row>
    <row r="762" spans="6:23" x14ac:dyDescent="0.3">
      <c r="F762" s="17">
        <v>34</v>
      </c>
      <c r="G762" s="8" t="str">
        <f>IF(Table13[[#This Row],[Age]]&lt;25,"18-24",IF(Table13[[#This Row],[Age]]&lt;35,"25-34",IF(Table13[[#This Row],[Age]]&lt;45,"35-44",IF(Table13[[#This Row],[Age]]&lt;55,"45-54","55-64"))))</f>
        <v>25-34</v>
      </c>
      <c r="H762" s="8" t="s">
        <v>19</v>
      </c>
      <c r="I762" s="8">
        <v>92.4</v>
      </c>
      <c r="J762" s="8">
        <v>1.79</v>
      </c>
      <c r="K762" s="8"/>
      <c r="L762" s="8">
        <v>128</v>
      </c>
      <c r="M762" s="8">
        <v>52</v>
      </c>
      <c r="N762" s="8">
        <v>0.52</v>
      </c>
      <c r="O762" s="8">
        <v>724</v>
      </c>
      <c r="P762" s="8" t="s">
        <v>20</v>
      </c>
      <c r="Q762" s="8" t="str">
        <f>_xlfn.IFS(AND(Table13[[#This Row],[Gender]]="female",R762&lt;20),"Athletes",AND(Table13[[#This Row],[Gender]]="female",R762&lt;24),"Fitnesss",AND(Table13[[#This Row],[Gender]]="female",R762&lt;31),"Acceptable",AND(Table13[[#This Row],[Gender]]="female",R762&lt;40),"Obese",AND(Table13[[#This Row],[Gender]]="male",R762&lt;13),"Athletes",AND(Table13[[#This Row],[Gender]]="male",R762&lt;17),"Fitnesss",AND(Table13[[#This Row],[Gender]]="male",R762&lt;24.9),"Acceptable",AND(Table13[[#This Row],[Gender]]="male",R762&lt;40),"Obese",AND(Table13[[#This Row],[Gender]]="others",R762&lt;20),"Athletes",AND(Table13[[#This Row],[Gender]]="others",R762&lt;24),"Fitnesss",AND(Table13[[#This Row],[Gender]]="others",R762&lt;31),"Acceptable",AND(Table13[[#This Row],[Gender]]="others",R762&lt;40),"Obese")</f>
        <v>Obese</v>
      </c>
      <c r="R762" s="8">
        <v>25.3</v>
      </c>
      <c r="S762" s="8">
        <v>3.1</v>
      </c>
      <c r="T762" s="8">
        <v>5</v>
      </c>
      <c r="U762" s="8">
        <v>3</v>
      </c>
      <c r="V762" s="8" t="str">
        <f>IF(Table13[[#This Row],[BMI]]&lt;=18.5,"Underweight",IF(Table13[[#This Row],[BMI]]&lt;=24.9,"Normal",IF(Table13[[#This Row],[BMI]]&lt;=29.9,"Overweight",IF(Table13[[#This Row],[BMI]]&lt;=39,"Obese","Severly Obese"))))</f>
        <v>Underweight</v>
      </c>
      <c r="W762" s="18">
        <v>12.85</v>
      </c>
    </row>
    <row r="763" spans="6:23" x14ac:dyDescent="0.3">
      <c r="F763" s="17">
        <v>39</v>
      </c>
      <c r="G763" s="8" t="str">
        <f>IF(Table13[[#This Row],[Age]]&lt;25,"18-24",IF(Table13[[#This Row],[Age]]&lt;35,"25-34",IF(Table13[[#This Row],[Age]]&lt;45,"35-44",IF(Table13[[#This Row],[Age]]&lt;55,"45-54","55-64"))))</f>
        <v>35-44</v>
      </c>
      <c r="H763" s="8" t="s">
        <v>17</v>
      </c>
      <c r="I763" s="8">
        <v>76.7</v>
      </c>
      <c r="J763" s="8">
        <v>1.86</v>
      </c>
      <c r="K763" s="8">
        <v>193</v>
      </c>
      <c r="L763" s="8">
        <v>122</v>
      </c>
      <c r="M763" s="8">
        <v>65</v>
      </c>
      <c r="N763" s="8">
        <v>1.29</v>
      </c>
      <c r="O763" s="8">
        <v>1770</v>
      </c>
      <c r="P763" s="8" t="s">
        <v>22</v>
      </c>
      <c r="Q763" s="8" t="str">
        <f>_xlfn.IFS(AND(Table13[[#This Row],[Gender]]="female",R763&lt;20),"Athletes",AND(Table13[[#This Row],[Gender]]="female",R763&lt;24),"Fitnesss",AND(Table13[[#This Row],[Gender]]="female",R763&lt;31),"Acceptable",AND(Table13[[#This Row],[Gender]]="female",R763&lt;40),"Obese",AND(Table13[[#This Row],[Gender]]="male",R763&lt;13),"Athletes",AND(Table13[[#This Row],[Gender]]="male",R763&lt;17),"Fitnesss",AND(Table13[[#This Row],[Gender]]="male",R763&lt;24.9),"Acceptable",AND(Table13[[#This Row],[Gender]]="male",R763&lt;40),"Obese",AND(Table13[[#This Row],[Gender]]="others",R763&lt;20),"Athletes",AND(Table13[[#This Row],[Gender]]="others",R763&lt;24),"Fitnesss",AND(Table13[[#This Row],[Gender]]="others",R763&lt;31),"Acceptable",AND(Table13[[#This Row],[Gender]]="others",R763&lt;40),"Obese")</f>
        <v>Fitnesss</v>
      </c>
      <c r="R763" s="8">
        <v>23.1</v>
      </c>
      <c r="S763" s="8">
        <v>3.2</v>
      </c>
      <c r="T763" s="8">
        <v>3</v>
      </c>
      <c r="U763" s="8">
        <v>1</v>
      </c>
      <c r="V763" s="8" t="str">
        <f>IF(Table13[[#This Row],[BMI]]&lt;=18.5,"Underweight",IF(Table13[[#This Row],[BMI]]&lt;=24.9,"Normal",IF(Table13[[#This Row],[BMI]]&lt;=29.9,"Overweight",IF(Table13[[#This Row],[BMI]]&lt;=39,"Obese","Severly Obese"))))</f>
        <v>Underweight</v>
      </c>
      <c r="W763" s="18">
        <v>17.75</v>
      </c>
    </row>
    <row r="764" spans="6:23" x14ac:dyDescent="0.3">
      <c r="F764" s="17">
        <v>38</v>
      </c>
      <c r="G764" s="8" t="str">
        <f>IF(Table13[[#This Row],[Age]]&lt;25,"18-24",IF(Table13[[#This Row],[Age]]&lt;35,"25-34",IF(Table13[[#This Row],[Age]]&lt;45,"35-44",IF(Table13[[#This Row],[Age]]&lt;55,"45-54","55-64"))))</f>
        <v>35-44</v>
      </c>
      <c r="H764" s="8" t="s">
        <v>19</v>
      </c>
      <c r="I764" s="8"/>
      <c r="J764" s="8">
        <v>1.7</v>
      </c>
      <c r="K764" s="8">
        <v>181</v>
      </c>
      <c r="L764" s="8">
        <v>144</v>
      </c>
      <c r="M764" s="8">
        <v>56</v>
      </c>
      <c r="N764" s="8">
        <v>1.47</v>
      </c>
      <c r="O764" s="8">
        <v>574</v>
      </c>
      <c r="P764" s="8" t="s">
        <v>21</v>
      </c>
      <c r="Q764" s="8" t="str">
        <f>_xlfn.IFS(AND(Table13[[#This Row],[Gender]]="female",R764&lt;20),"Athletes",AND(Table13[[#This Row],[Gender]]="female",R764&lt;24),"Fitnesss",AND(Table13[[#This Row],[Gender]]="female",R764&lt;31),"Acceptable",AND(Table13[[#This Row],[Gender]]="female",R764&lt;40),"Obese",AND(Table13[[#This Row],[Gender]]="male",R764&lt;13),"Athletes",AND(Table13[[#This Row],[Gender]]="male",R764&lt;17),"Fitnesss",AND(Table13[[#This Row],[Gender]]="male",R764&lt;24.9),"Acceptable",AND(Table13[[#This Row],[Gender]]="male",R764&lt;40),"Obese",AND(Table13[[#This Row],[Gender]]="others",R764&lt;20),"Athletes",AND(Table13[[#This Row],[Gender]]="others",R764&lt;24),"Fitnesss",AND(Table13[[#This Row],[Gender]]="others",R764&lt;31),"Acceptable",AND(Table13[[#This Row],[Gender]]="others",R764&lt;40),"Obese")</f>
        <v>Obese</v>
      </c>
      <c r="R764" s="8">
        <v>26.3</v>
      </c>
      <c r="S764" s="8">
        <v>2.6</v>
      </c>
      <c r="T764" s="8">
        <v>4</v>
      </c>
      <c r="U764" s="8">
        <v>1</v>
      </c>
      <c r="V764" s="8" t="str">
        <f>IF(Table13[[#This Row],[BMI]]&lt;=18.5,"Underweight",IF(Table13[[#This Row],[BMI]]&lt;=24.9,"Normal",IF(Table13[[#This Row],[BMI]]&lt;=29.9,"Overweight",IF(Table13[[#This Row],[BMI]]&lt;=39,"Obese","Severly Obese"))))</f>
        <v>Underweight</v>
      </c>
      <c r="W764" s="18">
        <v>14.96</v>
      </c>
    </row>
    <row r="765" spans="6:23" x14ac:dyDescent="0.3">
      <c r="F765" s="17">
        <v>18</v>
      </c>
      <c r="G765" s="8" t="str">
        <f>IF(Table13[[#This Row],[Age]]&lt;25,"18-24",IF(Table13[[#This Row],[Age]]&lt;35,"25-34",IF(Table13[[#This Row],[Age]]&lt;45,"35-44",IF(Table13[[#This Row],[Age]]&lt;55,"45-54","55-64"))))</f>
        <v>18-24</v>
      </c>
      <c r="H765" s="8" t="s">
        <v>19</v>
      </c>
      <c r="I765" s="8">
        <v>71.900000000000006</v>
      </c>
      <c r="J765" s="8">
        <v>1.88</v>
      </c>
      <c r="K765" s="8">
        <v>177</v>
      </c>
      <c r="L765" s="8">
        <v>159</v>
      </c>
      <c r="M765" s="8">
        <v>57</v>
      </c>
      <c r="N765" s="8">
        <v>2</v>
      </c>
      <c r="O765" s="8">
        <v>1571</v>
      </c>
      <c r="P765" s="8" t="s">
        <v>22</v>
      </c>
      <c r="Q765" s="8" t="str">
        <f>_xlfn.IFS(AND(Table13[[#This Row],[Gender]]="female",R765&lt;20),"Athletes",AND(Table13[[#This Row],[Gender]]="female",R765&lt;24),"Fitnesss",AND(Table13[[#This Row],[Gender]]="female",R765&lt;31),"Acceptable",AND(Table13[[#This Row],[Gender]]="female",R765&lt;40),"Obese",AND(Table13[[#This Row],[Gender]]="male",R765&lt;13),"Athletes",AND(Table13[[#This Row],[Gender]]="male",R765&lt;17),"Fitnesss",AND(Table13[[#This Row],[Gender]]="male",R765&lt;24.9),"Acceptable",AND(Table13[[#This Row],[Gender]]="male",R765&lt;40),"Obese",AND(Table13[[#This Row],[Gender]]="others",R765&lt;20),"Athletes",AND(Table13[[#This Row],[Gender]]="others",R765&lt;24),"Fitnesss",AND(Table13[[#This Row],[Gender]]="others",R765&lt;31),"Acceptable",AND(Table13[[#This Row],[Gender]]="others",R765&lt;40),"Obese")</f>
        <v>Athletes</v>
      </c>
      <c r="R765" s="8">
        <v>10</v>
      </c>
      <c r="S765" s="8">
        <v>2.4</v>
      </c>
      <c r="T765" s="8">
        <v>3</v>
      </c>
      <c r="U765" s="8">
        <v>2</v>
      </c>
      <c r="V765" s="8" t="str">
        <f>IF(Table13[[#This Row],[BMI]]&lt;=18.5,"Underweight",IF(Table13[[#This Row],[BMI]]&lt;=24.9,"Normal",IF(Table13[[#This Row],[BMI]]&lt;=29.9,"Overweight",IF(Table13[[#This Row],[BMI]]&lt;=39,"Obese","Severly Obese"))))</f>
        <v>Underweight</v>
      </c>
      <c r="W765" s="18">
        <v>15.96</v>
      </c>
    </row>
    <row r="766" spans="6:23" x14ac:dyDescent="0.3">
      <c r="F766" s="17">
        <v>25</v>
      </c>
      <c r="G766" s="8" t="str">
        <f>IF(Table13[[#This Row],[Age]]&lt;25,"18-24",IF(Table13[[#This Row],[Age]]&lt;35,"25-34",IF(Table13[[#This Row],[Age]]&lt;45,"35-44",IF(Table13[[#This Row],[Age]]&lt;55,"45-54","55-64"))))</f>
        <v>25-34</v>
      </c>
      <c r="H766" s="8" t="s">
        <v>17</v>
      </c>
      <c r="I766" s="8">
        <v>59.2</v>
      </c>
      <c r="J766" s="8">
        <v>1.84</v>
      </c>
      <c r="K766" s="8">
        <v>168</v>
      </c>
      <c r="L766" s="8">
        <v>160</v>
      </c>
      <c r="M766" s="8">
        <v>51</v>
      </c>
      <c r="N766" s="8">
        <v>1.53</v>
      </c>
      <c r="O766" s="8">
        <v>1476</v>
      </c>
      <c r="P766" s="8" t="s">
        <v>22</v>
      </c>
      <c r="Q766" s="8" t="str">
        <f>_xlfn.IFS(AND(Table13[[#This Row],[Gender]]="female",R766&lt;20),"Athletes",AND(Table13[[#This Row],[Gender]]="female",R766&lt;24),"Fitnesss",AND(Table13[[#This Row],[Gender]]="female",R766&lt;31),"Acceptable",AND(Table13[[#This Row],[Gender]]="female",R766&lt;40),"Obese",AND(Table13[[#This Row],[Gender]]="male",R766&lt;13),"Athletes",AND(Table13[[#This Row],[Gender]]="male",R766&lt;17),"Fitnesss",AND(Table13[[#This Row],[Gender]]="male",R766&lt;24.9),"Acceptable",AND(Table13[[#This Row],[Gender]]="male",R766&lt;40),"Obese",AND(Table13[[#This Row],[Gender]]="others",R766&lt;20),"Athletes",AND(Table13[[#This Row],[Gender]]="others",R766&lt;24),"Fitnesss",AND(Table13[[#This Row],[Gender]]="others",R766&lt;31),"Acceptable",AND(Table13[[#This Row],[Gender]]="others",R766&lt;40),"Obese")</f>
        <v>Acceptable</v>
      </c>
      <c r="R766" s="8">
        <v>25.1</v>
      </c>
      <c r="S766" s="8">
        <v>3.7</v>
      </c>
      <c r="T766" s="8">
        <v>4</v>
      </c>
      <c r="U766" s="8">
        <v>2</v>
      </c>
      <c r="V766" s="8" t="str">
        <f>IF(Table13[[#This Row],[BMI]]&lt;=18.5,"Underweight",IF(Table13[[#This Row],[BMI]]&lt;=24.9,"Normal",IF(Table13[[#This Row],[BMI]]&lt;=29.9,"Overweight",IF(Table13[[#This Row],[BMI]]&lt;=39,"Obese","Severly Obese"))))</f>
        <v>Underweight</v>
      </c>
      <c r="W766" s="18">
        <v>13.81</v>
      </c>
    </row>
    <row r="767" spans="6:23" x14ac:dyDescent="0.3">
      <c r="F767" s="17">
        <v>27</v>
      </c>
      <c r="G767" s="8" t="str">
        <f>IF(Table13[[#This Row],[Age]]&lt;25,"18-24",IF(Table13[[#This Row],[Age]]&lt;35,"25-34",IF(Table13[[#This Row],[Age]]&lt;45,"35-44",IF(Table13[[#This Row],[Age]]&lt;55,"45-54","55-64"))))</f>
        <v>25-34</v>
      </c>
      <c r="H767" s="8" t="s">
        <v>19</v>
      </c>
      <c r="I767" s="8">
        <v>57.4</v>
      </c>
      <c r="J767" s="8">
        <v>1.89</v>
      </c>
      <c r="K767" s="8">
        <v>193</v>
      </c>
      <c r="L767" s="8">
        <v>128</v>
      </c>
      <c r="M767" s="8">
        <v>51</v>
      </c>
      <c r="N767" s="8">
        <v>0.92</v>
      </c>
      <c r="O767" s="8">
        <v>1121</v>
      </c>
      <c r="P767" s="8" t="s">
        <v>22</v>
      </c>
      <c r="Q767" s="8" t="str">
        <f>_xlfn.IFS(AND(Table13[[#This Row],[Gender]]="female",R767&lt;20),"Athletes",AND(Table13[[#This Row],[Gender]]="female",R767&lt;24),"Fitnesss",AND(Table13[[#This Row],[Gender]]="female",R767&lt;31),"Acceptable",AND(Table13[[#This Row],[Gender]]="female",R767&lt;40),"Obese",AND(Table13[[#This Row],[Gender]]="male",R767&lt;13),"Athletes",AND(Table13[[#This Row],[Gender]]="male",R767&lt;17),"Fitnesss",AND(Table13[[#This Row],[Gender]]="male",R767&lt;24.9),"Acceptable",AND(Table13[[#This Row],[Gender]]="male",R767&lt;40),"Obese",AND(Table13[[#This Row],[Gender]]="others",R767&lt;20),"Athletes",AND(Table13[[#This Row],[Gender]]="others",R767&lt;24),"Fitnesss",AND(Table13[[#This Row],[Gender]]="others",R767&lt;31),"Acceptable",AND(Table13[[#This Row],[Gender]]="others",R767&lt;40),"Obese")</f>
        <v>Acceptable</v>
      </c>
      <c r="R767" s="8">
        <v>22.4</v>
      </c>
      <c r="S767" s="8">
        <v>3.5</v>
      </c>
      <c r="T767" s="8">
        <v>4</v>
      </c>
      <c r="U767" s="8">
        <v>2</v>
      </c>
      <c r="V767" s="8" t="str">
        <f>IF(Table13[[#This Row],[BMI]]&lt;=18.5,"Underweight",IF(Table13[[#This Row],[BMI]]&lt;=24.9,"Normal",IF(Table13[[#This Row],[BMI]]&lt;=29.9,"Overweight",IF(Table13[[#This Row],[BMI]]&lt;=39,"Obese","Severly Obese"))))</f>
        <v>Underweight</v>
      </c>
      <c r="W767" s="18">
        <v>16</v>
      </c>
    </row>
    <row r="768" spans="6:23" x14ac:dyDescent="0.3">
      <c r="F768" s="17">
        <v>33</v>
      </c>
      <c r="G768" s="8" t="str">
        <f>IF(Table13[[#This Row],[Age]]&lt;25,"18-24",IF(Table13[[#This Row],[Age]]&lt;35,"25-34",IF(Table13[[#This Row],[Age]]&lt;45,"35-44",IF(Table13[[#This Row],[Age]]&lt;55,"45-54","55-64"))))</f>
        <v>25-34</v>
      </c>
      <c r="H768" s="8" t="s">
        <v>19</v>
      </c>
      <c r="I768" s="8">
        <v>69.5</v>
      </c>
      <c r="J768" s="8">
        <v>1.75</v>
      </c>
      <c r="K768" s="8">
        <v>178</v>
      </c>
      <c r="L768" s="8">
        <v>131</v>
      </c>
      <c r="M768" s="8">
        <v>74</v>
      </c>
      <c r="N768" s="8">
        <v>1.51</v>
      </c>
      <c r="O768" s="8">
        <v>1651</v>
      </c>
      <c r="P768" s="8" t="s">
        <v>18</v>
      </c>
      <c r="Q768" s="8" t="str">
        <f>_xlfn.IFS(AND(Table13[[#This Row],[Gender]]="female",R768&lt;20),"Athletes",AND(Table13[[#This Row],[Gender]]="female",R768&lt;24),"Fitnesss",AND(Table13[[#This Row],[Gender]]="female",R768&lt;31),"Acceptable",AND(Table13[[#This Row],[Gender]]="female",R768&lt;40),"Obese",AND(Table13[[#This Row],[Gender]]="male",R768&lt;13),"Athletes",AND(Table13[[#This Row],[Gender]]="male",R768&lt;17),"Fitnesss",AND(Table13[[#This Row],[Gender]]="male",R768&lt;24.9),"Acceptable",AND(Table13[[#This Row],[Gender]]="male",R768&lt;40),"Obese",AND(Table13[[#This Row],[Gender]]="others",R768&lt;20),"Athletes",AND(Table13[[#This Row],[Gender]]="others",R768&lt;24),"Fitnesss",AND(Table13[[#This Row],[Gender]]="others",R768&lt;31),"Acceptable",AND(Table13[[#This Row],[Gender]]="others",R768&lt;40),"Obese")</f>
        <v>Obese</v>
      </c>
      <c r="R768" s="8">
        <v>32.4</v>
      </c>
      <c r="S768" s="8">
        <v>1.6</v>
      </c>
      <c r="T768" s="8">
        <v>3</v>
      </c>
      <c r="U768" s="8">
        <v>3</v>
      </c>
      <c r="V768" s="8" t="str">
        <f>IF(Table13[[#This Row],[BMI]]&lt;=18.5,"Underweight",IF(Table13[[#This Row],[BMI]]&lt;=24.9,"Normal",IF(Table13[[#This Row],[BMI]]&lt;=29.9,"Overweight",IF(Table13[[#This Row],[BMI]]&lt;=39,"Obese","Severly Obese"))))</f>
        <v>Normal</v>
      </c>
      <c r="W768" s="18">
        <v>21.58</v>
      </c>
    </row>
    <row r="769" spans="6:23" x14ac:dyDescent="0.3">
      <c r="F769" s="17">
        <v>23</v>
      </c>
      <c r="G769" s="8" t="str">
        <f>IF(Table13[[#This Row],[Age]]&lt;25,"18-24",IF(Table13[[#This Row],[Age]]&lt;35,"25-34",IF(Table13[[#This Row],[Age]]&lt;45,"35-44",IF(Table13[[#This Row],[Age]]&lt;55,"45-54","55-64"))))</f>
        <v>18-24</v>
      </c>
      <c r="H769" s="8" t="s">
        <v>19</v>
      </c>
      <c r="I769" s="8">
        <v>47.4</v>
      </c>
      <c r="J769" s="8">
        <v>1.96</v>
      </c>
      <c r="K769" s="8">
        <v>161</v>
      </c>
      <c r="L769" s="8">
        <v>142</v>
      </c>
      <c r="M769" s="8">
        <v>65</v>
      </c>
      <c r="N769" s="8">
        <v>1.18</v>
      </c>
      <c r="O769" s="8">
        <v>441</v>
      </c>
      <c r="P769" s="8" t="s">
        <v>20</v>
      </c>
      <c r="Q769" s="8" t="str">
        <f>_xlfn.IFS(AND(Table13[[#This Row],[Gender]]="female",R769&lt;20),"Athletes",AND(Table13[[#This Row],[Gender]]="female",R769&lt;24),"Fitnesss",AND(Table13[[#This Row],[Gender]]="female",R769&lt;31),"Acceptable",AND(Table13[[#This Row],[Gender]]="female",R769&lt;40),"Obese",AND(Table13[[#This Row],[Gender]]="male",R769&lt;13),"Athletes",AND(Table13[[#This Row],[Gender]]="male",R769&lt;17),"Fitnesss",AND(Table13[[#This Row],[Gender]]="male",R769&lt;24.9),"Acceptable",AND(Table13[[#This Row],[Gender]]="male",R769&lt;40),"Obese",AND(Table13[[#This Row],[Gender]]="others",R769&lt;20),"Athletes",AND(Table13[[#This Row],[Gender]]="others",R769&lt;24),"Fitnesss",AND(Table13[[#This Row],[Gender]]="others",R769&lt;31),"Acceptable",AND(Table13[[#This Row],[Gender]]="others",R769&lt;40),"Obese")</f>
        <v>Acceptable</v>
      </c>
      <c r="R769" s="8">
        <v>18.7</v>
      </c>
      <c r="S769" s="8">
        <v>1.6</v>
      </c>
      <c r="T769" s="8">
        <v>3</v>
      </c>
      <c r="U769" s="8">
        <v>1</v>
      </c>
      <c r="V769" s="8" t="str">
        <f>IF(Table13[[#This Row],[BMI]]&lt;=18.5,"Underweight",IF(Table13[[#This Row],[BMI]]&lt;=24.9,"Normal",IF(Table13[[#This Row],[BMI]]&lt;=29.9,"Overweight",IF(Table13[[#This Row],[BMI]]&lt;=39,"Obese","Severly Obese"))))</f>
        <v>Normal</v>
      </c>
      <c r="W769" s="18">
        <v>21.34</v>
      </c>
    </row>
    <row r="770" spans="6:23" x14ac:dyDescent="0.3">
      <c r="F770" s="17">
        <v>33</v>
      </c>
      <c r="G770" s="8" t="str">
        <f>IF(Table13[[#This Row],[Age]]&lt;25,"18-24",IF(Table13[[#This Row],[Age]]&lt;35,"25-34",IF(Table13[[#This Row],[Age]]&lt;45,"35-44",IF(Table13[[#This Row],[Age]]&lt;55,"45-54","55-64"))))</f>
        <v>25-34</v>
      </c>
      <c r="H770" s="8" t="s">
        <v>19</v>
      </c>
      <c r="I770" s="8">
        <v>76.5</v>
      </c>
      <c r="J770" s="8">
        <v>1.75</v>
      </c>
      <c r="K770" s="8">
        <v>198</v>
      </c>
      <c r="L770" s="8">
        <v>139</v>
      </c>
      <c r="M770" s="8">
        <v>57</v>
      </c>
      <c r="N770" s="8">
        <v>1.22</v>
      </c>
      <c r="O770" s="8">
        <v>984</v>
      </c>
      <c r="P770" s="8" t="s">
        <v>18</v>
      </c>
      <c r="Q770" s="8" t="str">
        <f>_xlfn.IFS(AND(Table13[[#This Row],[Gender]]="female",R770&lt;20),"Athletes",AND(Table13[[#This Row],[Gender]]="female",R770&lt;24),"Fitnesss",AND(Table13[[#This Row],[Gender]]="female",R770&lt;31),"Acceptable",AND(Table13[[#This Row],[Gender]]="female",R770&lt;40),"Obese",AND(Table13[[#This Row],[Gender]]="male",R770&lt;13),"Athletes",AND(Table13[[#This Row],[Gender]]="male",R770&lt;17),"Fitnesss",AND(Table13[[#This Row],[Gender]]="male",R770&lt;24.9),"Acceptable",AND(Table13[[#This Row],[Gender]]="male",R770&lt;40),"Obese",AND(Table13[[#This Row],[Gender]]="others",R770&lt;20),"Athletes",AND(Table13[[#This Row],[Gender]]="others",R770&lt;24),"Fitnesss",AND(Table13[[#This Row],[Gender]]="others",R770&lt;31),"Acceptable",AND(Table13[[#This Row],[Gender]]="others",R770&lt;40),"Obese")</f>
        <v>Athletes</v>
      </c>
      <c r="R770" s="8">
        <v>12.5</v>
      </c>
      <c r="S770" s="8">
        <v>3.4</v>
      </c>
      <c r="T770" s="8">
        <v>3</v>
      </c>
      <c r="U770" s="8">
        <v>1</v>
      </c>
      <c r="V770" s="8" t="str">
        <f>IF(Table13[[#This Row],[BMI]]&lt;=18.5,"Underweight",IF(Table13[[#This Row],[BMI]]&lt;=24.9,"Normal",IF(Table13[[#This Row],[BMI]]&lt;=29.9,"Overweight",IF(Table13[[#This Row],[BMI]]&lt;=39,"Obese","Severly Obese"))))</f>
        <v>Obese</v>
      </c>
      <c r="W770" s="18">
        <v>32.82</v>
      </c>
    </row>
    <row r="771" spans="6:23" x14ac:dyDescent="0.3">
      <c r="F771" s="17">
        <v>18</v>
      </c>
      <c r="G771" s="8" t="str">
        <f>IF(Table13[[#This Row],[Age]]&lt;25,"18-24",IF(Table13[[#This Row],[Age]]&lt;35,"25-34",IF(Table13[[#This Row],[Age]]&lt;45,"35-44",IF(Table13[[#This Row],[Age]]&lt;55,"45-54","55-64"))))</f>
        <v>18-24</v>
      </c>
      <c r="H771" s="8" t="s">
        <v>17</v>
      </c>
      <c r="I771" s="8">
        <v>53.5</v>
      </c>
      <c r="J771" s="8">
        <v>1.68</v>
      </c>
      <c r="K771" s="8">
        <v>198</v>
      </c>
      <c r="L771" s="8">
        <v>134</v>
      </c>
      <c r="M771" s="8">
        <v>74</v>
      </c>
      <c r="N771" s="8">
        <v>1.9</v>
      </c>
      <c r="O771" s="8">
        <v>368</v>
      </c>
      <c r="P771" s="8" t="s">
        <v>21</v>
      </c>
      <c r="Q771" s="8" t="str">
        <f>_xlfn.IFS(AND(Table13[[#This Row],[Gender]]="female",R771&lt;20),"Athletes",AND(Table13[[#This Row],[Gender]]="female",R771&lt;24),"Fitnesss",AND(Table13[[#This Row],[Gender]]="female",R771&lt;31),"Acceptable",AND(Table13[[#This Row],[Gender]]="female",R771&lt;40),"Obese",AND(Table13[[#This Row],[Gender]]="male",R771&lt;13),"Athletes",AND(Table13[[#This Row],[Gender]]="male",R771&lt;17),"Fitnesss",AND(Table13[[#This Row],[Gender]]="male",R771&lt;24.9),"Acceptable",AND(Table13[[#This Row],[Gender]]="male",R771&lt;40),"Obese",AND(Table13[[#This Row],[Gender]]="others",R771&lt;20),"Athletes",AND(Table13[[#This Row],[Gender]]="others",R771&lt;24),"Fitnesss",AND(Table13[[#This Row],[Gender]]="others",R771&lt;31),"Acceptable",AND(Table13[[#This Row],[Gender]]="others",R771&lt;40),"Obese")</f>
        <v>Acceptable</v>
      </c>
      <c r="R771" s="8">
        <v>28.1</v>
      </c>
      <c r="S771" s="8">
        <v>3.1</v>
      </c>
      <c r="T771" s="8">
        <v>5</v>
      </c>
      <c r="U771" s="8">
        <v>2</v>
      </c>
      <c r="V771" s="8" t="str">
        <f>IF(Table13[[#This Row],[BMI]]&lt;=18.5,"Underweight",IF(Table13[[#This Row],[BMI]]&lt;=24.9,"Normal",IF(Table13[[#This Row],[BMI]]&lt;=29.9,"Overweight",IF(Table13[[#This Row],[BMI]]&lt;=39,"Obese","Severly Obese"))))</f>
        <v>Normal</v>
      </c>
      <c r="W771" s="18">
        <v>23.57</v>
      </c>
    </row>
    <row r="772" spans="6:23" x14ac:dyDescent="0.3">
      <c r="F772" s="17">
        <v>25</v>
      </c>
      <c r="G772" s="8" t="str">
        <f>IF(Table13[[#This Row],[Age]]&lt;25,"18-24",IF(Table13[[#This Row],[Age]]&lt;35,"25-34",IF(Table13[[#This Row],[Age]]&lt;45,"35-44",IF(Table13[[#This Row],[Age]]&lt;55,"45-54","55-64"))))</f>
        <v>25-34</v>
      </c>
      <c r="H772" s="8" t="s">
        <v>17</v>
      </c>
      <c r="I772" s="8">
        <v>83.1</v>
      </c>
      <c r="J772" s="8">
        <v>1.72</v>
      </c>
      <c r="K772" s="8">
        <v>182</v>
      </c>
      <c r="L772" s="8">
        <v>167</v>
      </c>
      <c r="M772" s="8">
        <v>67</v>
      </c>
      <c r="N772" s="8">
        <v>0.89</v>
      </c>
      <c r="O772" s="8">
        <v>771</v>
      </c>
      <c r="P772" s="8" t="s">
        <v>18</v>
      </c>
      <c r="Q772" s="8" t="str">
        <f>_xlfn.IFS(AND(Table13[[#This Row],[Gender]]="female",R772&lt;20),"Athletes",AND(Table13[[#This Row],[Gender]]="female",R772&lt;24),"Fitnesss",AND(Table13[[#This Row],[Gender]]="female",R772&lt;31),"Acceptable",AND(Table13[[#This Row],[Gender]]="female",R772&lt;40),"Obese",AND(Table13[[#This Row],[Gender]]="male",R772&lt;13),"Athletes",AND(Table13[[#This Row],[Gender]]="male",R772&lt;17),"Fitnesss",AND(Table13[[#This Row],[Gender]]="male",R772&lt;24.9),"Acceptable",AND(Table13[[#This Row],[Gender]]="male",R772&lt;40),"Obese",AND(Table13[[#This Row],[Gender]]="others",R772&lt;20),"Athletes",AND(Table13[[#This Row],[Gender]]="others",R772&lt;24),"Fitnesss",AND(Table13[[#This Row],[Gender]]="others",R772&lt;31),"Acceptable",AND(Table13[[#This Row],[Gender]]="others",R772&lt;40),"Obese")</f>
        <v>Fitnesss</v>
      </c>
      <c r="R772" s="8">
        <v>23.8</v>
      </c>
      <c r="S772" s="8">
        <v>2.2999999999999998</v>
      </c>
      <c r="T772" s="8">
        <v>4</v>
      </c>
      <c r="U772" s="8">
        <v>1</v>
      </c>
      <c r="V772" s="8" t="str">
        <f>IF(Table13[[#This Row],[BMI]]&lt;=18.5,"Underweight",IF(Table13[[#This Row],[BMI]]&lt;=24.9,"Normal",IF(Table13[[#This Row],[BMI]]&lt;=29.9,"Overweight",IF(Table13[[#This Row],[BMI]]&lt;=39,"Obese","Severly Obese"))))</f>
        <v>Underweight</v>
      </c>
      <c r="W772" s="18">
        <v>12.32</v>
      </c>
    </row>
    <row r="773" spans="6:23" x14ac:dyDescent="0.3">
      <c r="F773" s="17">
        <v>47</v>
      </c>
      <c r="G773" s="8" t="str">
        <f>IF(Table13[[#This Row],[Age]]&lt;25,"18-24",IF(Table13[[#This Row],[Age]]&lt;35,"25-34",IF(Table13[[#This Row],[Age]]&lt;45,"35-44",IF(Table13[[#This Row],[Age]]&lt;55,"45-54","55-64"))))</f>
        <v>45-54</v>
      </c>
      <c r="H773" s="8" t="s">
        <v>17</v>
      </c>
      <c r="I773" s="8">
        <v>70.400000000000006</v>
      </c>
      <c r="J773" s="8">
        <v>1.93</v>
      </c>
      <c r="K773" s="8">
        <v>177</v>
      </c>
      <c r="L773" s="8">
        <v>153</v>
      </c>
      <c r="M773" s="8">
        <v>74</v>
      </c>
      <c r="N773" s="8">
        <v>1.28</v>
      </c>
      <c r="O773" s="8">
        <v>846</v>
      </c>
      <c r="P773" s="8" t="s">
        <v>18</v>
      </c>
      <c r="Q773" s="8" t="str">
        <f>_xlfn.IFS(AND(Table13[[#This Row],[Gender]]="female",R773&lt;20),"Athletes",AND(Table13[[#This Row],[Gender]]="female",R773&lt;24),"Fitnesss",AND(Table13[[#This Row],[Gender]]="female",R773&lt;31),"Acceptable",AND(Table13[[#This Row],[Gender]]="female",R773&lt;40),"Obese",AND(Table13[[#This Row],[Gender]]="male",R773&lt;13),"Athletes",AND(Table13[[#This Row],[Gender]]="male",R773&lt;17),"Fitnesss",AND(Table13[[#This Row],[Gender]]="male",R773&lt;24.9),"Acceptable",AND(Table13[[#This Row],[Gender]]="male",R773&lt;40),"Obese",AND(Table13[[#This Row],[Gender]]="others",R773&lt;20),"Athletes",AND(Table13[[#This Row],[Gender]]="others",R773&lt;24),"Fitnesss",AND(Table13[[#This Row],[Gender]]="others",R773&lt;31),"Acceptable",AND(Table13[[#This Row],[Gender]]="others",R773&lt;40),"Obese")</f>
        <v>Fitnesss</v>
      </c>
      <c r="R773" s="8">
        <v>23.5</v>
      </c>
      <c r="S773" s="8">
        <v>1.6</v>
      </c>
      <c r="T773" s="8">
        <v>3</v>
      </c>
      <c r="U773" s="8">
        <v>2</v>
      </c>
      <c r="V773" s="8" t="str">
        <f>IF(Table13[[#This Row],[BMI]]&lt;=18.5,"Underweight",IF(Table13[[#This Row],[BMI]]&lt;=24.9,"Normal",IF(Table13[[#This Row],[BMI]]&lt;=29.9,"Overweight",IF(Table13[[#This Row],[BMI]]&lt;=39,"Obese","Severly Obese"))))</f>
        <v>Underweight</v>
      </c>
      <c r="W773" s="18">
        <v>12.32</v>
      </c>
    </row>
    <row r="774" spans="6:23" x14ac:dyDescent="0.3">
      <c r="F774" s="17">
        <v>39</v>
      </c>
      <c r="G774" s="8" t="str">
        <f>IF(Table13[[#This Row],[Age]]&lt;25,"18-24",IF(Table13[[#This Row],[Age]]&lt;35,"25-34",IF(Table13[[#This Row],[Age]]&lt;45,"35-44",IF(Table13[[#This Row],[Age]]&lt;55,"45-54","55-64"))))</f>
        <v>35-44</v>
      </c>
      <c r="H774" s="8" t="s">
        <v>17</v>
      </c>
      <c r="I774" s="8">
        <v>50.3</v>
      </c>
      <c r="J774" s="8">
        <v>1.94</v>
      </c>
      <c r="K774" s="8">
        <v>164</v>
      </c>
      <c r="L774" s="8">
        <v>160</v>
      </c>
      <c r="M774" s="8">
        <v>66</v>
      </c>
      <c r="N774" s="8">
        <v>0.57999999999999996</v>
      </c>
      <c r="O774" s="8">
        <v>992</v>
      </c>
      <c r="P774" s="8" t="s">
        <v>20</v>
      </c>
      <c r="Q774" s="8" t="str">
        <f>_xlfn.IFS(AND(Table13[[#This Row],[Gender]]="female",R774&lt;20),"Athletes",AND(Table13[[#This Row],[Gender]]="female",R774&lt;24),"Fitnesss",AND(Table13[[#This Row],[Gender]]="female",R774&lt;31),"Acceptable",AND(Table13[[#This Row],[Gender]]="female",R774&lt;40),"Obese",AND(Table13[[#This Row],[Gender]]="male",R774&lt;13),"Athletes",AND(Table13[[#This Row],[Gender]]="male",R774&lt;17),"Fitnesss",AND(Table13[[#This Row],[Gender]]="male",R774&lt;24.9),"Acceptable",AND(Table13[[#This Row],[Gender]]="male",R774&lt;40),"Obese",AND(Table13[[#This Row],[Gender]]="others",R774&lt;20),"Athletes",AND(Table13[[#This Row],[Gender]]="others",R774&lt;24),"Fitnesss",AND(Table13[[#This Row],[Gender]]="others",R774&lt;31),"Acceptable",AND(Table13[[#This Row],[Gender]]="others",R774&lt;40),"Obese")</f>
        <v>Athletes</v>
      </c>
      <c r="R774" s="8">
        <v>10</v>
      </c>
      <c r="S774" s="8">
        <v>2.9</v>
      </c>
      <c r="T774" s="8">
        <v>4</v>
      </c>
      <c r="U774" s="8">
        <v>1</v>
      </c>
      <c r="V774" s="8" t="str">
        <f>IF(Table13[[#This Row],[BMI]]&lt;=18.5,"Underweight",IF(Table13[[#This Row],[BMI]]&lt;=24.9,"Normal",IF(Table13[[#This Row],[BMI]]&lt;=29.9,"Overweight",IF(Table13[[#This Row],[BMI]]&lt;=39,"Obese","Severly Obese"))))</f>
        <v>Underweight</v>
      </c>
      <c r="W774" s="18">
        <v>14.72</v>
      </c>
    </row>
    <row r="775" spans="6:23" x14ac:dyDescent="0.3">
      <c r="F775" s="17">
        <v>28</v>
      </c>
      <c r="G775" s="8" t="str">
        <f>IF(Table13[[#This Row],[Age]]&lt;25,"18-24",IF(Table13[[#This Row],[Age]]&lt;35,"25-34",IF(Table13[[#This Row],[Age]]&lt;45,"35-44",IF(Table13[[#This Row],[Age]]&lt;55,"45-54","55-64"))))</f>
        <v>25-34</v>
      </c>
      <c r="H775" s="8" t="s">
        <v>17</v>
      </c>
      <c r="I775" s="8">
        <v>65.3</v>
      </c>
      <c r="J775" s="8">
        <v>1.68</v>
      </c>
      <c r="K775" s="8">
        <v>161</v>
      </c>
      <c r="L775" s="8">
        <v>145</v>
      </c>
      <c r="M775" s="8">
        <v>73</v>
      </c>
      <c r="N775" s="8">
        <v>0.72</v>
      </c>
      <c r="O775" s="8">
        <v>408</v>
      </c>
      <c r="P775" s="8" t="s">
        <v>21</v>
      </c>
      <c r="Q775" s="8" t="str">
        <f>_xlfn.IFS(AND(Table13[[#This Row],[Gender]]="female",R775&lt;20),"Athletes",AND(Table13[[#This Row],[Gender]]="female",R775&lt;24),"Fitnesss",AND(Table13[[#This Row],[Gender]]="female",R775&lt;31),"Acceptable",AND(Table13[[#This Row],[Gender]]="female",R775&lt;40),"Obese",AND(Table13[[#This Row],[Gender]]="male",R775&lt;13),"Athletes",AND(Table13[[#This Row],[Gender]]="male",R775&lt;17),"Fitnesss",AND(Table13[[#This Row],[Gender]]="male",R775&lt;24.9),"Acceptable",AND(Table13[[#This Row],[Gender]]="male",R775&lt;40),"Obese",AND(Table13[[#This Row],[Gender]]="others",R775&lt;20),"Athletes",AND(Table13[[#This Row],[Gender]]="others",R775&lt;24),"Fitnesss",AND(Table13[[#This Row],[Gender]]="others",R775&lt;31),"Acceptable",AND(Table13[[#This Row],[Gender]]="others",R775&lt;40),"Obese")</f>
        <v>Obese</v>
      </c>
      <c r="R775" s="8">
        <v>32.4</v>
      </c>
      <c r="S775" s="8">
        <v>1.7</v>
      </c>
      <c r="T775" s="8">
        <v>5</v>
      </c>
      <c r="U775" s="8"/>
      <c r="V775" s="8" t="str">
        <f>IF(Table13[[#This Row],[BMI]]&lt;=18.5,"Underweight",IF(Table13[[#This Row],[BMI]]&lt;=24.9,"Normal",IF(Table13[[#This Row],[BMI]]&lt;=29.9,"Overweight",IF(Table13[[#This Row],[BMI]]&lt;=39,"Obese","Severly Obese"))))</f>
        <v>Overweight</v>
      </c>
      <c r="W775" s="18">
        <v>25.26</v>
      </c>
    </row>
    <row r="776" spans="6:23" x14ac:dyDescent="0.3">
      <c r="F776" s="17">
        <v>20</v>
      </c>
      <c r="G776" s="8" t="str">
        <f>IF(Table13[[#This Row],[Age]]&lt;25,"18-24",IF(Table13[[#This Row],[Age]]&lt;35,"25-34",IF(Table13[[#This Row],[Age]]&lt;45,"35-44",IF(Table13[[#This Row],[Age]]&lt;55,"45-54","55-64"))))</f>
        <v>18-24</v>
      </c>
      <c r="H776" s="8" t="s">
        <v>19</v>
      </c>
      <c r="I776" s="8">
        <v>66.2</v>
      </c>
      <c r="J776" s="8">
        <v>1.85</v>
      </c>
      <c r="K776" s="8">
        <v>196</v>
      </c>
      <c r="L776" s="8">
        <v>120</v>
      </c>
      <c r="M776" s="8">
        <v>58</v>
      </c>
      <c r="N776" s="8">
        <v>0.84</v>
      </c>
      <c r="O776" s="8">
        <v>420</v>
      </c>
      <c r="P776" s="8" t="s">
        <v>21</v>
      </c>
      <c r="Q776" s="8" t="str">
        <f>_xlfn.IFS(AND(Table13[[#This Row],[Gender]]="female",R776&lt;20),"Athletes",AND(Table13[[#This Row],[Gender]]="female",R776&lt;24),"Fitnesss",AND(Table13[[#This Row],[Gender]]="female",R776&lt;31),"Acceptable",AND(Table13[[#This Row],[Gender]]="female",R776&lt;40),"Obese",AND(Table13[[#This Row],[Gender]]="male",R776&lt;13),"Athletes",AND(Table13[[#This Row],[Gender]]="male",R776&lt;17),"Fitnesss",AND(Table13[[#This Row],[Gender]]="male",R776&lt;24.9),"Acceptable",AND(Table13[[#This Row],[Gender]]="male",R776&lt;40),"Obese",AND(Table13[[#This Row],[Gender]]="others",R776&lt;20),"Athletes",AND(Table13[[#This Row],[Gender]]="others",R776&lt;24),"Fitnesss",AND(Table13[[#This Row],[Gender]]="others",R776&lt;31),"Acceptable",AND(Table13[[#This Row],[Gender]]="others",R776&lt;40),"Obese")</f>
        <v>Obese</v>
      </c>
      <c r="R776" s="8">
        <v>24.9</v>
      </c>
      <c r="S776" s="8">
        <v>1.5</v>
      </c>
      <c r="T776" s="8">
        <v>4</v>
      </c>
      <c r="U776" s="8">
        <v>1</v>
      </c>
      <c r="V776" s="8" t="str">
        <f>IF(Table13[[#This Row],[BMI]]&lt;=18.5,"Underweight",IF(Table13[[#This Row],[BMI]]&lt;=24.9,"Normal",IF(Table13[[#This Row],[BMI]]&lt;=29.9,"Overweight",IF(Table13[[#This Row],[BMI]]&lt;=39,"Obese","Severly Obese"))))</f>
        <v>Underweight</v>
      </c>
      <c r="W776" s="18">
        <v>12.32</v>
      </c>
    </row>
    <row r="777" spans="6:23" x14ac:dyDescent="0.3">
      <c r="F777" s="17">
        <v>19</v>
      </c>
      <c r="G777" s="8" t="str">
        <f>IF(Table13[[#This Row],[Age]]&lt;25,"18-24",IF(Table13[[#This Row],[Age]]&lt;35,"25-34",IF(Table13[[#This Row],[Age]]&lt;45,"35-44",IF(Table13[[#This Row],[Age]]&lt;55,"45-54","55-64"))))</f>
        <v>18-24</v>
      </c>
      <c r="H777" s="8" t="s">
        <v>17</v>
      </c>
      <c r="I777" s="8">
        <v>51.4</v>
      </c>
      <c r="J777" s="8">
        <v>1.84</v>
      </c>
      <c r="K777" s="8">
        <v>169</v>
      </c>
      <c r="L777" s="8">
        <v>152</v>
      </c>
      <c r="M777" s="8">
        <v>58</v>
      </c>
      <c r="N777" s="8">
        <v>1.1399999999999999</v>
      </c>
      <c r="O777" s="8">
        <v>1175</v>
      </c>
      <c r="P777" s="8" t="s">
        <v>20</v>
      </c>
      <c r="Q777" s="8" t="str">
        <f>_xlfn.IFS(AND(Table13[[#This Row],[Gender]]="female",R777&lt;20),"Athletes",AND(Table13[[#This Row],[Gender]]="female",R777&lt;24),"Fitnesss",AND(Table13[[#This Row],[Gender]]="female",R777&lt;31),"Acceptable",AND(Table13[[#This Row],[Gender]]="female",R777&lt;40),"Obese",AND(Table13[[#This Row],[Gender]]="male",R777&lt;13),"Athletes",AND(Table13[[#This Row],[Gender]]="male",R777&lt;17),"Fitnesss",AND(Table13[[#This Row],[Gender]]="male",R777&lt;24.9),"Acceptable",AND(Table13[[#This Row],[Gender]]="male",R777&lt;40),"Obese",AND(Table13[[#This Row],[Gender]]="others",R777&lt;20),"Athletes",AND(Table13[[#This Row],[Gender]]="others",R777&lt;24),"Fitnesss",AND(Table13[[#This Row],[Gender]]="others",R777&lt;31),"Acceptable",AND(Table13[[#This Row],[Gender]]="others",R777&lt;40),"Obese")</f>
        <v>Fitnesss</v>
      </c>
      <c r="R777" s="8">
        <v>20.9</v>
      </c>
      <c r="S777" s="8">
        <v>3.5</v>
      </c>
      <c r="T777" s="8">
        <v>5</v>
      </c>
      <c r="U777" s="8">
        <v>3</v>
      </c>
      <c r="V777" s="8" t="str">
        <f>IF(Table13[[#This Row],[BMI]]&lt;=18.5,"Underweight",IF(Table13[[#This Row],[BMI]]&lt;=24.9,"Normal",IF(Table13[[#This Row],[BMI]]&lt;=29.9,"Overweight",IF(Table13[[#This Row],[BMI]]&lt;=39,"Obese","Severly Obese"))))</f>
        <v>Underweight</v>
      </c>
      <c r="W777" s="18">
        <v>16.95</v>
      </c>
    </row>
    <row r="778" spans="6:23" x14ac:dyDescent="0.3">
      <c r="F778" s="17">
        <v>58</v>
      </c>
      <c r="G778" s="8" t="str">
        <f>IF(Table13[[#This Row],[Age]]&lt;25,"18-24",IF(Table13[[#This Row],[Age]]&lt;35,"25-34",IF(Table13[[#This Row],[Age]]&lt;45,"35-44",IF(Table13[[#This Row],[Age]]&lt;55,"45-54","55-64"))))</f>
        <v>55-64</v>
      </c>
      <c r="H778" s="8" t="s">
        <v>17</v>
      </c>
      <c r="I778" s="8">
        <v>78.3</v>
      </c>
      <c r="J778" s="8">
        <v>1.52</v>
      </c>
      <c r="K778" s="8">
        <v>176</v>
      </c>
      <c r="L778" s="8">
        <v>123</v>
      </c>
      <c r="M778" s="8">
        <v>74</v>
      </c>
      <c r="N778" s="8">
        <v>1.49</v>
      </c>
      <c r="O778" s="8">
        <v>1063</v>
      </c>
      <c r="P778" s="8" t="s">
        <v>20</v>
      </c>
      <c r="Q778" s="8" t="str">
        <f>_xlfn.IFS(AND(Table13[[#This Row],[Gender]]="female",R778&lt;20),"Athletes",AND(Table13[[#This Row],[Gender]]="female",R778&lt;24),"Fitnesss",AND(Table13[[#This Row],[Gender]]="female",R778&lt;31),"Acceptable",AND(Table13[[#This Row],[Gender]]="female",R778&lt;40),"Obese",AND(Table13[[#This Row],[Gender]]="male",R778&lt;13),"Athletes",AND(Table13[[#This Row],[Gender]]="male",R778&lt;17),"Fitnesss",AND(Table13[[#This Row],[Gender]]="male",R778&lt;24.9),"Acceptable",AND(Table13[[#This Row],[Gender]]="male",R778&lt;40),"Obese",AND(Table13[[#This Row],[Gender]]="others",R778&lt;20),"Athletes",AND(Table13[[#This Row],[Gender]]="others",R778&lt;24),"Fitnesss",AND(Table13[[#This Row],[Gender]]="others",R778&lt;31),"Acceptable",AND(Table13[[#This Row],[Gender]]="others",R778&lt;40),"Obese")</f>
        <v>Acceptable</v>
      </c>
      <c r="R778" s="8">
        <v>30.5</v>
      </c>
      <c r="S778" s="8">
        <v>3.4</v>
      </c>
      <c r="T778" s="8">
        <v>3</v>
      </c>
      <c r="U778" s="8">
        <v>2</v>
      </c>
      <c r="V778" s="8" t="str">
        <f>IF(Table13[[#This Row],[BMI]]&lt;=18.5,"Underweight",IF(Table13[[#This Row],[BMI]]&lt;=24.9,"Normal",IF(Table13[[#This Row],[BMI]]&lt;=29.9,"Overweight",IF(Table13[[#This Row],[BMI]]&lt;=39,"Obese","Severly Obese"))))</f>
        <v>Overweight</v>
      </c>
      <c r="W778" s="18">
        <v>25.33</v>
      </c>
    </row>
    <row r="779" spans="6:23" x14ac:dyDescent="0.3">
      <c r="F779" s="17">
        <v>31</v>
      </c>
      <c r="G779" s="8" t="str">
        <f>IF(Table13[[#This Row],[Age]]&lt;25,"18-24",IF(Table13[[#This Row],[Age]]&lt;35,"25-34",IF(Table13[[#This Row],[Age]]&lt;45,"35-44",IF(Table13[[#This Row],[Age]]&lt;55,"45-54","55-64"))))</f>
        <v>25-34</v>
      </c>
      <c r="H779" s="8" t="s">
        <v>17</v>
      </c>
      <c r="I779" s="8">
        <v>79.400000000000006</v>
      </c>
      <c r="J779" s="8">
        <v>1.56</v>
      </c>
      <c r="K779" s="8">
        <v>171</v>
      </c>
      <c r="L779" s="8">
        <v>126</v>
      </c>
      <c r="M779" s="8">
        <v>69</v>
      </c>
      <c r="N779" s="8">
        <v>1.42</v>
      </c>
      <c r="O779" s="8">
        <v>963</v>
      </c>
      <c r="P779" s="8" t="s">
        <v>20</v>
      </c>
      <c r="Q779" s="8" t="str">
        <f>_xlfn.IFS(AND(Table13[[#This Row],[Gender]]="female",R779&lt;20),"Athletes",AND(Table13[[#This Row],[Gender]]="female",R779&lt;24),"Fitnesss",AND(Table13[[#This Row],[Gender]]="female",R779&lt;31),"Acceptable",AND(Table13[[#This Row],[Gender]]="female",R779&lt;40),"Obese",AND(Table13[[#This Row],[Gender]]="male",R779&lt;13),"Athletes",AND(Table13[[#This Row],[Gender]]="male",R779&lt;17),"Fitnesss",AND(Table13[[#This Row],[Gender]]="male",R779&lt;24.9),"Acceptable",AND(Table13[[#This Row],[Gender]]="male",R779&lt;40),"Obese",AND(Table13[[#This Row],[Gender]]="others",R779&lt;20),"Athletes",AND(Table13[[#This Row],[Gender]]="others",R779&lt;24),"Fitnesss",AND(Table13[[#This Row],[Gender]]="others",R779&lt;31),"Acceptable",AND(Table13[[#This Row],[Gender]]="others",R779&lt;40),"Obese")</f>
        <v>Fitnesss</v>
      </c>
      <c r="R779" s="8">
        <v>21.3</v>
      </c>
      <c r="S779" s="8">
        <v>3.1</v>
      </c>
      <c r="T779" s="8">
        <v>3</v>
      </c>
      <c r="U779" s="8">
        <v>3</v>
      </c>
      <c r="V779" s="8" t="str">
        <f>IF(Table13[[#This Row],[BMI]]&lt;=18.5,"Underweight",IF(Table13[[#This Row],[BMI]]&lt;=24.9,"Normal",IF(Table13[[#This Row],[BMI]]&lt;=29.9,"Overweight",IF(Table13[[#This Row],[BMI]]&lt;=39,"Obese","Severly Obese"))))</f>
        <v>Overweight</v>
      </c>
      <c r="W779" s="18">
        <v>26.3</v>
      </c>
    </row>
    <row r="780" spans="6:23" x14ac:dyDescent="0.3">
      <c r="F780" s="17">
        <v>25</v>
      </c>
      <c r="G780" s="8" t="str">
        <f>IF(Table13[[#This Row],[Age]]&lt;25,"18-24",IF(Table13[[#This Row],[Age]]&lt;35,"25-34",IF(Table13[[#This Row],[Age]]&lt;45,"35-44",IF(Table13[[#This Row],[Age]]&lt;55,"45-54","55-64"))))</f>
        <v>25-34</v>
      </c>
      <c r="H780" s="8" t="s">
        <v>19</v>
      </c>
      <c r="I780" s="8">
        <v>72.5</v>
      </c>
      <c r="J780" s="8">
        <v>1.78</v>
      </c>
      <c r="K780" s="8">
        <v>177</v>
      </c>
      <c r="L780" s="8">
        <v>142</v>
      </c>
      <c r="M780" s="8">
        <v>67</v>
      </c>
      <c r="N780" s="8">
        <v>1.99</v>
      </c>
      <c r="O780" s="8">
        <v>1047</v>
      </c>
      <c r="P780" s="8" t="s">
        <v>21</v>
      </c>
      <c r="Q780" s="8" t="str">
        <f>_xlfn.IFS(AND(Table13[[#This Row],[Gender]]="female",R780&lt;20),"Athletes",AND(Table13[[#This Row],[Gender]]="female",R780&lt;24),"Fitnesss",AND(Table13[[#This Row],[Gender]]="female",R780&lt;31),"Acceptable",AND(Table13[[#This Row],[Gender]]="female",R780&lt;40),"Obese",AND(Table13[[#This Row],[Gender]]="male",R780&lt;13),"Athletes",AND(Table13[[#This Row],[Gender]]="male",R780&lt;17),"Fitnesss",AND(Table13[[#This Row],[Gender]]="male",R780&lt;24.9),"Acceptable",AND(Table13[[#This Row],[Gender]]="male",R780&lt;40),"Obese",AND(Table13[[#This Row],[Gender]]="others",R780&lt;20),"Athletes",AND(Table13[[#This Row],[Gender]]="others",R780&lt;24),"Fitnesss",AND(Table13[[#This Row],[Gender]]="others",R780&lt;31),"Acceptable",AND(Table13[[#This Row],[Gender]]="others",R780&lt;40),"Obese")</f>
        <v>Obese</v>
      </c>
      <c r="R780" s="8">
        <v>27.4</v>
      </c>
      <c r="S780" s="8">
        <v>3</v>
      </c>
      <c r="T780" s="8">
        <v>4</v>
      </c>
      <c r="U780" s="8">
        <v>3</v>
      </c>
      <c r="V780" s="8" t="str">
        <f>IF(Table13[[#This Row],[BMI]]&lt;=18.5,"Underweight",IF(Table13[[#This Row],[BMI]]&lt;=24.9,"Normal",IF(Table13[[#This Row],[BMI]]&lt;=29.9,"Overweight",IF(Table13[[#This Row],[BMI]]&lt;=39,"Obese","Severly Obese"))))</f>
        <v>Underweight</v>
      </c>
      <c r="W780" s="18">
        <v>12.32</v>
      </c>
    </row>
    <row r="781" spans="6:23" x14ac:dyDescent="0.3">
      <c r="F781" s="17">
        <v>21</v>
      </c>
      <c r="G781" s="8" t="str">
        <f>IF(Table13[[#This Row],[Age]]&lt;25,"18-24",IF(Table13[[#This Row],[Age]]&lt;35,"25-34",IF(Table13[[#This Row],[Age]]&lt;45,"35-44",IF(Table13[[#This Row],[Age]]&lt;55,"45-54","55-64"))))</f>
        <v>18-24</v>
      </c>
      <c r="H781" s="8" t="s">
        <v>19</v>
      </c>
      <c r="I781" s="8">
        <v>92.1</v>
      </c>
      <c r="J781" s="8">
        <v>1.77</v>
      </c>
      <c r="K781" s="8">
        <v>175</v>
      </c>
      <c r="L781" s="8">
        <v>167</v>
      </c>
      <c r="M781" s="8">
        <v>74</v>
      </c>
      <c r="N781" s="8">
        <v>1.66</v>
      </c>
      <c r="O781" s="8">
        <v>737</v>
      </c>
      <c r="P781" s="8" t="s">
        <v>20</v>
      </c>
      <c r="Q781" s="8" t="str">
        <f>_xlfn.IFS(AND(Table13[[#This Row],[Gender]]="female",R781&lt;20),"Athletes",AND(Table13[[#This Row],[Gender]]="female",R781&lt;24),"Fitnesss",AND(Table13[[#This Row],[Gender]]="female",R781&lt;31),"Acceptable",AND(Table13[[#This Row],[Gender]]="female",R781&lt;40),"Obese",AND(Table13[[#This Row],[Gender]]="male",R781&lt;13),"Athletes",AND(Table13[[#This Row],[Gender]]="male",R781&lt;17),"Fitnesss",AND(Table13[[#This Row],[Gender]]="male",R781&lt;24.9),"Acceptable",AND(Table13[[#This Row],[Gender]]="male",R781&lt;40),"Obese",AND(Table13[[#This Row],[Gender]]="others",R781&lt;20),"Athletes",AND(Table13[[#This Row],[Gender]]="others",R781&lt;24),"Fitnesss",AND(Table13[[#This Row],[Gender]]="others",R781&lt;31),"Acceptable",AND(Table13[[#This Row],[Gender]]="others",R781&lt;40),"Obese")</f>
        <v>Obese</v>
      </c>
      <c r="R781" s="8">
        <v>25.3</v>
      </c>
      <c r="S781" s="8">
        <v>3.3</v>
      </c>
      <c r="T781" s="8">
        <v>4</v>
      </c>
      <c r="U781" s="8">
        <v>2</v>
      </c>
      <c r="V781" s="8" t="str">
        <f>IF(Table13[[#This Row],[BMI]]&lt;=18.5,"Underweight",IF(Table13[[#This Row],[BMI]]&lt;=24.9,"Normal",IF(Table13[[#This Row],[BMI]]&lt;=29.9,"Overweight",IF(Table13[[#This Row],[BMI]]&lt;=39,"Obese","Severly Obese"))))</f>
        <v>Underweight</v>
      </c>
      <c r="W781" s="18">
        <v>17.16</v>
      </c>
    </row>
    <row r="782" spans="6:23" x14ac:dyDescent="0.3">
      <c r="F782" s="17">
        <v>55</v>
      </c>
      <c r="G782" s="8" t="str">
        <f>IF(Table13[[#This Row],[Age]]&lt;25,"18-24",IF(Table13[[#This Row],[Age]]&lt;35,"25-34",IF(Table13[[#This Row],[Age]]&lt;45,"35-44",IF(Table13[[#This Row],[Age]]&lt;55,"45-54","55-64"))))</f>
        <v>55-64</v>
      </c>
      <c r="H782" s="8" t="s">
        <v>17</v>
      </c>
      <c r="I782" s="8">
        <v>72.599999999999994</v>
      </c>
      <c r="J782" s="8">
        <v>1.55</v>
      </c>
      <c r="K782" s="8">
        <v>191</v>
      </c>
      <c r="L782" s="8">
        <v>137</v>
      </c>
      <c r="M782" s="8">
        <v>50</v>
      </c>
      <c r="N782" s="8">
        <v>2</v>
      </c>
      <c r="O782" s="8">
        <v>1084</v>
      </c>
      <c r="P782" s="8" t="s">
        <v>20</v>
      </c>
      <c r="Q782" s="8" t="str">
        <f>_xlfn.IFS(AND(Table13[[#This Row],[Gender]]="female",R782&lt;20),"Athletes",AND(Table13[[#This Row],[Gender]]="female",R782&lt;24),"Fitnesss",AND(Table13[[#This Row],[Gender]]="female",R782&lt;31),"Acceptable",AND(Table13[[#This Row],[Gender]]="female",R782&lt;40),"Obese",AND(Table13[[#This Row],[Gender]]="male",R782&lt;13),"Athletes",AND(Table13[[#This Row],[Gender]]="male",R782&lt;17),"Fitnesss",AND(Table13[[#This Row],[Gender]]="male",R782&lt;24.9),"Acceptable",AND(Table13[[#This Row],[Gender]]="male",R782&lt;40),"Obese",AND(Table13[[#This Row],[Gender]]="others",R782&lt;20),"Athletes",AND(Table13[[#This Row],[Gender]]="others",R782&lt;24),"Fitnesss",AND(Table13[[#This Row],[Gender]]="others",R782&lt;31),"Acceptable",AND(Table13[[#This Row],[Gender]]="others",R782&lt;40),"Obese")</f>
        <v>Acceptable</v>
      </c>
      <c r="R782" s="8">
        <v>24.1</v>
      </c>
      <c r="S782" s="8">
        <v>2.5</v>
      </c>
      <c r="T782" s="8">
        <v>3</v>
      </c>
      <c r="U782" s="8">
        <v>2</v>
      </c>
      <c r="V782" s="8" t="str">
        <f>IF(Table13[[#This Row],[BMI]]&lt;=18.5,"Underweight",IF(Table13[[#This Row],[BMI]]&lt;=24.9,"Normal",IF(Table13[[#This Row],[BMI]]&lt;=29.9,"Overweight",IF(Table13[[#This Row],[BMI]]&lt;=39,"Obese","Severly Obese"))))</f>
        <v>Normal</v>
      </c>
      <c r="W782" s="18">
        <v>19.760000000000002</v>
      </c>
    </row>
    <row r="783" spans="6:23" x14ac:dyDescent="0.3">
      <c r="F783" s="17">
        <v>40</v>
      </c>
      <c r="G783" s="8" t="str">
        <f>IF(Table13[[#This Row],[Age]]&lt;25,"18-24",IF(Table13[[#This Row],[Age]]&lt;35,"25-34",IF(Table13[[#This Row],[Age]]&lt;45,"35-44",IF(Table13[[#This Row],[Age]]&lt;55,"45-54","55-64"))))</f>
        <v>35-44</v>
      </c>
      <c r="H783" s="8" t="s">
        <v>19</v>
      </c>
      <c r="I783" s="8">
        <v>76.7</v>
      </c>
      <c r="J783" s="8">
        <v>1.68</v>
      </c>
      <c r="K783" s="8">
        <v>177</v>
      </c>
      <c r="L783" s="8">
        <v>133</v>
      </c>
      <c r="M783" s="8">
        <v>57</v>
      </c>
      <c r="N783" s="8">
        <v>0.89</v>
      </c>
      <c r="O783" s="8">
        <v>984</v>
      </c>
      <c r="P783" s="8" t="s">
        <v>20</v>
      </c>
      <c r="Q783" s="8" t="str">
        <f>_xlfn.IFS(AND(Table13[[#This Row],[Gender]]="female",R783&lt;20),"Athletes",AND(Table13[[#This Row],[Gender]]="female",R783&lt;24),"Fitnesss",AND(Table13[[#This Row],[Gender]]="female",R783&lt;31),"Acceptable",AND(Table13[[#This Row],[Gender]]="female",R783&lt;40),"Obese",AND(Table13[[#This Row],[Gender]]="male",R783&lt;13),"Athletes",AND(Table13[[#This Row],[Gender]]="male",R783&lt;17),"Fitnesss",AND(Table13[[#This Row],[Gender]]="male",R783&lt;24.9),"Acceptable",AND(Table13[[#This Row],[Gender]]="male",R783&lt;40),"Obese",AND(Table13[[#This Row],[Gender]]="others",R783&lt;20),"Athletes",AND(Table13[[#This Row],[Gender]]="others",R783&lt;24),"Fitnesss",AND(Table13[[#This Row],[Gender]]="others",R783&lt;31),"Acceptable",AND(Table13[[#This Row],[Gender]]="others",R783&lt;40),"Obese")</f>
        <v>Obese</v>
      </c>
      <c r="R783" s="8">
        <v>27.3</v>
      </c>
      <c r="S783" s="8">
        <v>3.1</v>
      </c>
      <c r="T783" s="8">
        <v>2</v>
      </c>
      <c r="U783" s="8">
        <v>3</v>
      </c>
      <c r="V783" s="8" t="str">
        <f>IF(Table13[[#This Row],[BMI]]&lt;=18.5,"Underweight",IF(Table13[[#This Row],[BMI]]&lt;=24.9,"Normal",IF(Table13[[#This Row],[BMI]]&lt;=29.9,"Overweight",IF(Table13[[#This Row],[BMI]]&lt;=39,"Obese","Severly Obese"))))</f>
        <v>Normal</v>
      </c>
      <c r="W783" s="18">
        <v>23.76</v>
      </c>
    </row>
    <row r="784" spans="6:23" x14ac:dyDescent="0.3">
      <c r="F784" s="17">
        <v>39</v>
      </c>
      <c r="G784" s="8" t="str">
        <f>IF(Table13[[#This Row],[Age]]&lt;25,"18-24",IF(Table13[[#This Row],[Age]]&lt;35,"25-34",IF(Table13[[#This Row],[Age]]&lt;45,"35-44",IF(Table13[[#This Row],[Age]]&lt;55,"45-54","55-64"))))</f>
        <v>35-44</v>
      </c>
      <c r="H784" s="8" t="s">
        <v>19</v>
      </c>
      <c r="I784" s="8">
        <v>91</v>
      </c>
      <c r="J784" s="8">
        <v>1.73</v>
      </c>
      <c r="K784" s="8">
        <v>165</v>
      </c>
      <c r="L784" s="8">
        <v>169</v>
      </c>
      <c r="M784" s="8">
        <v>72</v>
      </c>
      <c r="N784" s="8">
        <v>1.49</v>
      </c>
      <c r="O784" s="8">
        <v>813</v>
      </c>
      <c r="P784" s="8" t="s">
        <v>18</v>
      </c>
      <c r="Q784" s="8" t="str">
        <f>_xlfn.IFS(AND(Table13[[#This Row],[Gender]]="female",R784&lt;20),"Athletes",AND(Table13[[#This Row],[Gender]]="female",R784&lt;24),"Fitnesss",AND(Table13[[#This Row],[Gender]]="female",R784&lt;31),"Acceptable",AND(Table13[[#This Row],[Gender]]="female",R784&lt;40),"Obese",AND(Table13[[#This Row],[Gender]]="male",R784&lt;13),"Athletes",AND(Table13[[#This Row],[Gender]]="male",R784&lt;17),"Fitnesss",AND(Table13[[#This Row],[Gender]]="male",R784&lt;24.9),"Acceptable",AND(Table13[[#This Row],[Gender]]="male",R784&lt;40),"Obese",AND(Table13[[#This Row],[Gender]]="others",R784&lt;20),"Athletes",AND(Table13[[#This Row],[Gender]]="others",R784&lt;24),"Fitnesss",AND(Table13[[#This Row],[Gender]]="others",R784&lt;31),"Acceptable",AND(Table13[[#This Row],[Gender]]="others",R784&lt;40),"Obese")</f>
        <v>Acceptable</v>
      </c>
      <c r="R784" s="8">
        <v>23.3</v>
      </c>
      <c r="S784" s="8">
        <v>3.4</v>
      </c>
      <c r="T784" s="8">
        <v>2</v>
      </c>
      <c r="U784" s="8">
        <v>3</v>
      </c>
      <c r="V784" s="8" t="str">
        <f>IF(Table13[[#This Row],[BMI]]&lt;=18.5,"Underweight",IF(Table13[[#This Row],[BMI]]&lt;=24.9,"Normal",IF(Table13[[#This Row],[BMI]]&lt;=29.9,"Overweight",IF(Table13[[#This Row],[BMI]]&lt;=39,"Obese","Severly Obese"))))</f>
        <v>Normal</v>
      </c>
      <c r="W784" s="18">
        <v>22.08</v>
      </c>
    </row>
    <row r="785" spans="6:23" x14ac:dyDescent="0.3">
      <c r="F785" s="17">
        <v>26</v>
      </c>
      <c r="G785" s="8" t="str">
        <f>IF(Table13[[#This Row],[Age]]&lt;25,"18-24",IF(Table13[[#This Row],[Age]]&lt;35,"25-34",IF(Table13[[#This Row],[Age]]&lt;45,"35-44",IF(Table13[[#This Row],[Age]]&lt;55,"45-54","55-64"))))</f>
        <v>25-34</v>
      </c>
      <c r="H785" s="8" t="s">
        <v>17</v>
      </c>
      <c r="I785" s="8">
        <v>78.3</v>
      </c>
      <c r="J785" s="8">
        <v>1.58</v>
      </c>
      <c r="K785" s="8">
        <v>184</v>
      </c>
      <c r="L785" s="8">
        <v>141</v>
      </c>
      <c r="M785" s="8">
        <v>68</v>
      </c>
      <c r="N785" s="8">
        <v>1.5</v>
      </c>
      <c r="O785" s="8">
        <v>1436</v>
      </c>
      <c r="P785" s="8" t="s">
        <v>22</v>
      </c>
      <c r="Q785" s="8" t="str">
        <f>_xlfn.IFS(AND(Table13[[#This Row],[Gender]]="female",R785&lt;20),"Athletes",AND(Table13[[#This Row],[Gender]]="female",R785&lt;24),"Fitnesss",AND(Table13[[#This Row],[Gender]]="female",R785&lt;31),"Acceptable",AND(Table13[[#This Row],[Gender]]="female",R785&lt;40),"Obese",AND(Table13[[#This Row],[Gender]]="male",R785&lt;13),"Athletes",AND(Table13[[#This Row],[Gender]]="male",R785&lt;17),"Fitnesss",AND(Table13[[#This Row],[Gender]]="male",R785&lt;24.9),"Acceptable",AND(Table13[[#This Row],[Gender]]="male",R785&lt;40),"Obese",AND(Table13[[#This Row],[Gender]]="others",R785&lt;20),"Athletes",AND(Table13[[#This Row],[Gender]]="others",R785&lt;24),"Fitnesss",AND(Table13[[#This Row],[Gender]]="others",R785&lt;31),"Acceptable",AND(Table13[[#This Row],[Gender]]="others",R785&lt;40),"Obese")</f>
        <v>Athletes</v>
      </c>
      <c r="R785" s="8">
        <v>15</v>
      </c>
      <c r="S785" s="8">
        <v>3.7</v>
      </c>
      <c r="T785" s="8">
        <v>3</v>
      </c>
      <c r="U785" s="8">
        <v>1</v>
      </c>
      <c r="V785" s="8" t="str">
        <f>IF(Table13[[#This Row],[BMI]]&lt;=18.5,"Underweight",IF(Table13[[#This Row],[BMI]]&lt;=24.9,"Normal",IF(Table13[[#This Row],[BMI]]&lt;=29.9,"Overweight",IF(Table13[[#This Row],[BMI]]&lt;=39,"Obese","Severly Obese"))))</f>
        <v>Overweight</v>
      </c>
      <c r="W785" s="18">
        <v>28.61</v>
      </c>
    </row>
    <row r="786" spans="6:23" x14ac:dyDescent="0.3">
      <c r="F786" s="17">
        <v>26</v>
      </c>
      <c r="G786" s="8" t="str">
        <f>IF(Table13[[#This Row],[Age]]&lt;25,"18-24",IF(Table13[[#This Row],[Age]]&lt;35,"25-34",IF(Table13[[#This Row],[Age]]&lt;45,"35-44",IF(Table13[[#This Row],[Age]]&lt;55,"45-54","55-64"))))</f>
        <v>25-34</v>
      </c>
      <c r="H786" s="8" t="s">
        <v>17</v>
      </c>
      <c r="I786" s="8">
        <v>54.2</v>
      </c>
      <c r="J786" s="8">
        <v>1.64</v>
      </c>
      <c r="K786" s="8">
        <v>190</v>
      </c>
      <c r="L786" s="8">
        <v>151</v>
      </c>
      <c r="M786" s="8">
        <v>65</v>
      </c>
      <c r="N786" s="8">
        <v>0.82</v>
      </c>
      <c r="O786" s="8">
        <v>1184</v>
      </c>
      <c r="P786" s="8" t="s">
        <v>22</v>
      </c>
      <c r="Q786" s="8" t="str">
        <f>_xlfn.IFS(AND(Table13[[#This Row],[Gender]]="female",R786&lt;20),"Athletes",AND(Table13[[#This Row],[Gender]]="female",R786&lt;24),"Fitnesss",AND(Table13[[#This Row],[Gender]]="female",R786&lt;31),"Acceptable",AND(Table13[[#This Row],[Gender]]="female",R786&lt;40),"Obese",AND(Table13[[#This Row],[Gender]]="male",R786&lt;13),"Athletes",AND(Table13[[#This Row],[Gender]]="male",R786&lt;17),"Fitnesss",AND(Table13[[#This Row],[Gender]]="male",R786&lt;24.9),"Acceptable",AND(Table13[[#This Row],[Gender]]="male",R786&lt;40),"Obese",AND(Table13[[#This Row],[Gender]]="others",R786&lt;20),"Athletes",AND(Table13[[#This Row],[Gender]]="others",R786&lt;24),"Fitnesss",AND(Table13[[#This Row],[Gender]]="others",R786&lt;31),"Acceptable",AND(Table13[[#This Row],[Gender]]="others",R786&lt;40),"Obese")</f>
        <v>Athletes</v>
      </c>
      <c r="R786" s="8">
        <v>16.7</v>
      </c>
      <c r="S786" s="8">
        <v>3.3</v>
      </c>
      <c r="T786" s="8">
        <v>2</v>
      </c>
      <c r="U786" s="8">
        <v>1</v>
      </c>
      <c r="V786" s="8" t="str">
        <f>IF(Table13[[#This Row],[BMI]]&lt;=18.5,"Underweight",IF(Table13[[#This Row],[BMI]]&lt;=24.9,"Normal",IF(Table13[[#This Row],[BMI]]&lt;=29.9,"Overweight",IF(Table13[[#This Row],[BMI]]&lt;=39,"Obese","Severly Obese"))))</f>
        <v>Normal</v>
      </c>
      <c r="W786" s="18">
        <v>19.39</v>
      </c>
    </row>
    <row r="787" spans="6:23" x14ac:dyDescent="0.3">
      <c r="F787" s="17">
        <v>42</v>
      </c>
      <c r="G787" s="8" t="str">
        <f>IF(Table13[[#This Row],[Age]]&lt;25,"18-24",IF(Table13[[#This Row],[Age]]&lt;35,"25-34",IF(Table13[[#This Row],[Age]]&lt;45,"35-44",IF(Table13[[#This Row],[Age]]&lt;55,"45-54","55-64"))))</f>
        <v>35-44</v>
      </c>
      <c r="H787" s="8" t="s">
        <v>19</v>
      </c>
      <c r="I787" s="8">
        <v>108.5</v>
      </c>
      <c r="J787" s="8">
        <v>1.85</v>
      </c>
      <c r="K787" s="8"/>
      <c r="L787" s="8">
        <v>167</v>
      </c>
      <c r="M787" s="8">
        <v>74</v>
      </c>
      <c r="N787" s="8">
        <v>1.39</v>
      </c>
      <c r="O787" s="8">
        <v>801</v>
      </c>
      <c r="P787" s="8" t="s">
        <v>20</v>
      </c>
      <c r="Q787" s="8" t="str">
        <f>_xlfn.IFS(AND(Table13[[#This Row],[Gender]]="female",R787&lt;20),"Athletes",AND(Table13[[#This Row],[Gender]]="female",R787&lt;24),"Fitnesss",AND(Table13[[#This Row],[Gender]]="female",R787&lt;31),"Acceptable",AND(Table13[[#This Row],[Gender]]="female",R787&lt;40),"Obese",AND(Table13[[#This Row],[Gender]]="male",R787&lt;13),"Athletes",AND(Table13[[#This Row],[Gender]]="male",R787&lt;17),"Fitnesss",AND(Table13[[#This Row],[Gender]]="male",R787&lt;24.9),"Acceptable",AND(Table13[[#This Row],[Gender]]="male",R787&lt;40),"Obese",AND(Table13[[#This Row],[Gender]]="others",R787&lt;20),"Athletes",AND(Table13[[#This Row],[Gender]]="others",R787&lt;24),"Fitnesss",AND(Table13[[#This Row],[Gender]]="others",R787&lt;31),"Acceptable",AND(Table13[[#This Row],[Gender]]="others",R787&lt;40),"Obese")</f>
        <v>Obese</v>
      </c>
      <c r="R787" s="8">
        <v>29</v>
      </c>
      <c r="S787" s="8">
        <v>3</v>
      </c>
      <c r="T787" s="8">
        <v>2</v>
      </c>
      <c r="U787" s="8">
        <v>3</v>
      </c>
      <c r="V787" s="8" t="str">
        <f>IF(Table13[[#This Row],[BMI]]&lt;=18.5,"Underweight",IF(Table13[[#This Row],[BMI]]&lt;=24.9,"Normal",IF(Table13[[#This Row],[BMI]]&lt;=29.9,"Overweight",IF(Table13[[#This Row],[BMI]]&lt;=39,"Obese","Severly Obese"))))</f>
        <v>Underweight</v>
      </c>
      <c r="W787" s="18">
        <v>15.62</v>
      </c>
    </row>
    <row r="788" spans="6:23" x14ac:dyDescent="0.3">
      <c r="F788" s="17">
        <v>18</v>
      </c>
      <c r="G788" s="8" t="str">
        <f>IF(Table13[[#This Row],[Age]]&lt;25,"18-24",IF(Table13[[#This Row],[Age]]&lt;35,"25-34",IF(Table13[[#This Row],[Age]]&lt;45,"35-44",IF(Table13[[#This Row],[Age]]&lt;55,"45-54","55-64"))))</f>
        <v>18-24</v>
      </c>
      <c r="H788" s="8" t="s">
        <v>19</v>
      </c>
      <c r="I788" s="8">
        <v>83.2</v>
      </c>
      <c r="J788" s="8">
        <v>1.62</v>
      </c>
      <c r="K788" s="8">
        <v>169</v>
      </c>
      <c r="L788" s="8">
        <v>156</v>
      </c>
      <c r="M788" s="8">
        <v>57</v>
      </c>
      <c r="N788" s="8">
        <v>1.37</v>
      </c>
      <c r="O788" s="8">
        <v>871</v>
      </c>
      <c r="P788" s="8" t="s">
        <v>20</v>
      </c>
      <c r="Q788" s="8" t="str">
        <f>_xlfn.IFS(AND(Table13[[#This Row],[Gender]]="female",R788&lt;20),"Athletes",AND(Table13[[#This Row],[Gender]]="female",R788&lt;24),"Fitnesss",AND(Table13[[#This Row],[Gender]]="female",R788&lt;31),"Acceptable",AND(Table13[[#This Row],[Gender]]="female",R788&lt;40),"Obese",AND(Table13[[#This Row],[Gender]]="male",R788&lt;13),"Athletes",AND(Table13[[#This Row],[Gender]]="male",R788&lt;17),"Fitnesss",AND(Table13[[#This Row],[Gender]]="male",R788&lt;24.9),"Acceptable",AND(Table13[[#This Row],[Gender]]="male",R788&lt;40),"Obese",AND(Table13[[#This Row],[Gender]]="others",R788&lt;20),"Athletes",AND(Table13[[#This Row],[Gender]]="others",R788&lt;24),"Fitnesss",AND(Table13[[#This Row],[Gender]]="others",R788&lt;31),"Acceptable",AND(Table13[[#This Row],[Gender]]="others",R788&lt;40),"Obese")</f>
        <v>Athletes</v>
      </c>
      <c r="R788" s="8">
        <v>10</v>
      </c>
      <c r="S788" s="8">
        <v>2.5</v>
      </c>
      <c r="T788" s="8">
        <v>4</v>
      </c>
      <c r="U788" s="8"/>
      <c r="V788" s="8" t="str">
        <f>IF(Table13[[#This Row],[BMI]]&lt;=18.5,"Underweight",IF(Table13[[#This Row],[BMI]]&lt;=24.9,"Normal",IF(Table13[[#This Row],[BMI]]&lt;=29.9,"Overweight",IF(Table13[[#This Row],[BMI]]&lt;=39,"Obese","Severly Obese"))))</f>
        <v>Normal</v>
      </c>
      <c r="W788" s="18">
        <v>18.690000000000001</v>
      </c>
    </row>
    <row r="789" spans="6:23" x14ac:dyDescent="0.3">
      <c r="F789" s="17">
        <v>19</v>
      </c>
      <c r="G789" s="8" t="str">
        <f>IF(Table13[[#This Row],[Age]]&lt;25,"18-24",IF(Table13[[#This Row],[Age]]&lt;35,"25-34",IF(Table13[[#This Row],[Age]]&lt;45,"35-44",IF(Table13[[#This Row],[Age]]&lt;55,"45-54","55-64"))))</f>
        <v>18-24</v>
      </c>
      <c r="H789" s="8" t="s">
        <v>17</v>
      </c>
      <c r="I789" s="8">
        <v>64.8</v>
      </c>
      <c r="J789" s="8">
        <v>1.6</v>
      </c>
      <c r="K789" s="8">
        <v>189</v>
      </c>
      <c r="L789" s="8">
        <v>149</v>
      </c>
      <c r="M789" s="8">
        <v>59</v>
      </c>
      <c r="N789" s="8">
        <v>0.5</v>
      </c>
      <c r="O789" s="8">
        <v>880</v>
      </c>
      <c r="P789" s="8" t="s">
        <v>22</v>
      </c>
      <c r="Q789" s="8" t="str">
        <f>_xlfn.IFS(AND(Table13[[#This Row],[Gender]]="female",R789&lt;20),"Athletes",AND(Table13[[#This Row],[Gender]]="female",R789&lt;24),"Fitnesss",AND(Table13[[#This Row],[Gender]]="female",R789&lt;31),"Acceptable",AND(Table13[[#This Row],[Gender]]="female",R789&lt;40),"Obese",AND(Table13[[#This Row],[Gender]]="male",R789&lt;13),"Athletes",AND(Table13[[#This Row],[Gender]]="male",R789&lt;17),"Fitnesss",AND(Table13[[#This Row],[Gender]]="male",R789&lt;24.9),"Acceptable",AND(Table13[[#This Row],[Gender]]="male",R789&lt;40),"Obese",AND(Table13[[#This Row],[Gender]]="others",R789&lt;20),"Athletes",AND(Table13[[#This Row],[Gender]]="others",R789&lt;24),"Fitnesss",AND(Table13[[#This Row],[Gender]]="others",R789&lt;31),"Acceptable",AND(Table13[[#This Row],[Gender]]="others",R789&lt;40),"Obese")</f>
        <v>Fitnesss</v>
      </c>
      <c r="R789" s="8">
        <v>22.3</v>
      </c>
      <c r="S789" s="8">
        <v>1.9</v>
      </c>
      <c r="T789" s="8">
        <v>4</v>
      </c>
      <c r="U789" s="8">
        <v>2</v>
      </c>
      <c r="V789" s="8" t="str">
        <f>IF(Table13[[#This Row],[BMI]]&lt;=18.5,"Underweight",IF(Table13[[#This Row],[BMI]]&lt;=24.9,"Normal",IF(Table13[[#This Row],[BMI]]&lt;=29.9,"Overweight",IF(Table13[[#This Row],[BMI]]&lt;=39,"Obese","Severly Obese"))))</f>
        <v>Normal</v>
      </c>
      <c r="W789" s="18">
        <v>21.61</v>
      </c>
    </row>
    <row r="790" spans="6:23" x14ac:dyDescent="0.3">
      <c r="F790" s="17">
        <v>25</v>
      </c>
      <c r="G790" s="8" t="str">
        <f>IF(Table13[[#This Row],[Age]]&lt;25,"18-24",IF(Table13[[#This Row],[Age]]&lt;35,"25-34",IF(Table13[[#This Row],[Age]]&lt;45,"35-44",IF(Table13[[#This Row],[Age]]&lt;55,"45-54","55-64"))))</f>
        <v>25-34</v>
      </c>
      <c r="H790" s="8" t="s">
        <v>17</v>
      </c>
      <c r="I790" s="8">
        <v>45.5</v>
      </c>
      <c r="J790" s="8">
        <v>1.58</v>
      </c>
      <c r="K790" s="8">
        <v>182</v>
      </c>
      <c r="L790" s="8">
        <v>136</v>
      </c>
      <c r="M790" s="8">
        <v>69</v>
      </c>
      <c r="N790" s="8">
        <v>2</v>
      </c>
      <c r="O790" s="8">
        <v>1137</v>
      </c>
      <c r="P790" s="8" t="s">
        <v>22</v>
      </c>
      <c r="Q790" s="8" t="str">
        <f>_xlfn.IFS(AND(Table13[[#This Row],[Gender]]="female",R790&lt;20),"Athletes",AND(Table13[[#This Row],[Gender]]="female",R790&lt;24),"Fitnesss",AND(Table13[[#This Row],[Gender]]="female",R790&lt;31),"Acceptable",AND(Table13[[#This Row],[Gender]]="female",R790&lt;40),"Obese",AND(Table13[[#This Row],[Gender]]="male",R790&lt;13),"Athletes",AND(Table13[[#This Row],[Gender]]="male",R790&lt;17),"Fitnesss",AND(Table13[[#This Row],[Gender]]="male",R790&lt;24.9),"Acceptable",AND(Table13[[#This Row],[Gender]]="male",R790&lt;40),"Obese",AND(Table13[[#This Row],[Gender]]="others",R790&lt;20),"Athletes",AND(Table13[[#This Row],[Gender]]="others",R790&lt;24),"Fitnesss",AND(Table13[[#This Row],[Gender]]="others",R790&lt;31),"Acceptable",AND(Table13[[#This Row],[Gender]]="others",R790&lt;40),"Obese")</f>
        <v>Athletes</v>
      </c>
      <c r="R790" s="8">
        <v>17.399999999999999</v>
      </c>
      <c r="S790" s="8">
        <v>1.7</v>
      </c>
      <c r="T790" s="8">
        <v>2</v>
      </c>
      <c r="U790" s="8">
        <v>2</v>
      </c>
      <c r="V790" s="8" t="str">
        <f>IF(Table13[[#This Row],[BMI]]&lt;=18.5,"Underweight",IF(Table13[[#This Row],[BMI]]&lt;=24.9,"Normal",IF(Table13[[#This Row],[BMI]]&lt;=29.9,"Overweight",IF(Table13[[#This Row],[BMI]]&lt;=39,"Obese","Severly Obese"))))</f>
        <v>Underweight</v>
      </c>
      <c r="W790" s="18">
        <v>15.04</v>
      </c>
    </row>
    <row r="791" spans="6:23" x14ac:dyDescent="0.3">
      <c r="F791" s="17">
        <v>42</v>
      </c>
      <c r="G791" s="8" t="str">
        <f>IF(Table13[[#This Row],[Age]]&lt;25,"18-24",IF(Table13[[#This Row],[Age]]&lt;35,"25-34",IF(Table13[[#This Row],[Age]]&lt;45,"35-44",IF(Table13[[#This Row],[Age]]&lt;55,"45-54","55-64"))))</f>
        <v>35-44</v>
      </c>
      <c r="H791" s="8" t="s">
        <v>17</v>
      </c>
      <c r="I791" s="8">
        <v>59</v>
      </c>
      <c r="J791" s="8">
        <v>1.89</v>
      </c>
      <c r="K791" s="8">
        <v>175</v>
      </c>
      <c r="L791" s="8">
        <v>142</v>
      </c>
      <c r="M791" s="8">
        <v>63</v>
      </c>
      <c r="N791" s="8">
        <v>1.25</v>
      </c>
      <c r="O791" s="8">
        <v>1092</v>
      </c>
      <c r="P791" s="8" t="s">
        <v>21</v>
      </c>
      <c r="Q791" s="8" t="str">
        <f>_xlfn.IFS(AND(Table13[[#This Row],[Gender]]="female",R791&lt;20),"Athletes",AND(Table13[[#This Row],[Gender]]="female",R791&lt;24),"Fitnesss",AND(Table13[[#This Row],[Gender]]="female",R791&lt;31),"Acceptable",AND(Table13[[#This Row],[Gender]]="female",R791&lt;40),"Obese",AND(Table13[[#This Row],[Gender]]="male",R791&lt;13),"Athletes",AND(Table13[[#This Row],[Gender]]="male",R791&lt;17),"Fitnesss",AND(Table13[[#This Row],[Gender]]="male",R791&lt;24.9),"Acceptable",AND(Table13[[#This Row],[Gender]]="male",R791&lt;40),"Obese",AND(Table13[[#This Row],[Gender]]="others",R791&lt;20),"Athletes",AND(Table13[[#This Row],[Gender]]="others",R791&lt;24),"Fitnesss",AND(Table13[[#This Row],[Gender]]="others",R791&lt;31),"Acceptable",AND(Table13[[#This Row],[Gender]]="others",R791&lt;40),"Obese")</f>
        <v>Acceptable</v>
      </c>
      <c r="R791" s="8">
        <v>27.7</v>
      </c>
      <c r="S791" s="8">
        <v>3.5</v>
      </c>
      <c r="T791" s="8">
        <v>5</v>
      </c>
      <c r="U791" s="8">
        <v>1</v>
      </c>
      <c r="V791" s="8" t="str">
        <f>IF(Table13[[#This Row],[BMI]]&lt;=18.5,"Underweight",IF(Table13[[#This Row],[BMI]]&lt;=24.9,"Normal",IF(Table13[[#This Row],[BMI]]&lt;=29.9,"Overweight",IF(Table13[[#This Row],[BMI]]&lt;=39,"Obese","Severly Obese"))))</f>
        <v>Underweight</v>
      </c>
      <c r="W791" s="18">
        <v>17.68</v>
      </c>
    </row>
    <row r="792" spans="6:23" x14ac:dyDescent="0.3">
      <c r="F792" s="17">
        <v>43</v>
      </c>
      <c r="G792" s="8" t="str">
        <f>IF(Table13[[#This Row],[Age]]&lt;25,"18-24",IF(Table13[[#This Row],[Age]]&lt;35,"25-34",IF(Table13[[#This Row],[Age]]&lt;45,"35-44",IF(Table13[[#This Row],[Age]]&lt;55,"45-54","55-64"))))</f>
        <v>35-44</v>
      </c>
      <c r="H792" s="8" t="s">
        <v>17</v>
      </c>
      <c r="I792" s="8">
        <v>89.2</v>
      </c>
      <c r="J792" s="8">
        <v>1.73</v>
      </c>
      <c r="K792" s="8">
        <v>163</v>
      </c>
      <c r="L792" s="8">
        <v>135</v>
      </c>
      <c r="M792" s="8">
        <v>67</v>
      </c>
      <c r="N792" s="8">
        <v>1.51</v>
      </c>
      <c r="O792" s="8">
        <v>1367</v>
      </c>
      <c r="P792" s="8" t="s">
        <v>22</v>
      </c>
      <c r="Q792" s="8" t="str">
        <f>_xlfn.IFS(AND(Table13[[#This Row],[Gender]]="female",R792&lt;20),"Athletes",AND(Table13[[#This Row],[Gender]]="female",R792&lt;24),"Fitnesss",AND(Table13[[#This Row],[Gender]]="female",R792&lt;31),"Acceptable",AND(Table13[[#This Row],[Gender]]="female",R792&lt;40),"Obese",AND(Table13[[#This Row],[Gender]]="male",R792&lt;13),"Athletes",AND(Table13[[#This Row],[Gender]]="male",R792&lt;17),"Fitnesss",AND(Table13[[#This Row],[Gender]]="male",R792&lt;24.9),"Acceptable",AND(Table13[[#This Row],[Gender]]="male",R792&lt;40),"Obese",AND(Table13[[#This Row],[Gender]]="others",R792&lt;20),"Athletes",AND(Table13[[#This Row],[Gender]]="others",R792&lt;24),"Fitnesss",AND(Table13[[#This Row],[Gender]]="others",R792&lt;31),"Acceptable",AND(Table13[[#This Row],[Gender]]="others",R792&lt;40),"Obese")</f>
        <v>Athletes</v>
      </c>
      <c r="R792" s="8">
        <v>14.5</v>
      </c>
      <c r="S792" s="8">
        <v>3.5</v>
      </c>
      <c r="T792" s="8">
        <v>3</v>
      </c>
      <c r="U792" s="8">
        <v>1</v>
      </c>
      <c r="V792" s="8" t="str">
        <f>IF(Table13[[#This Row],[BMI]]&lt;=18.5,"Underweight",IF(Table13[[#This Row],[BMI]]&lt;=24.9,"Normal",IF(Table13[[#This Row],[BMI]]&lt;=29.9,"Overweight",IF(Table13[[#This Row],[BMI]]&lt;=39,"Obese","Severly Obese"))))</f>
        <v>Overweight</v>
      </c>
      <c r="W792" s="18">
        <v>25.4</v>
      </c>
    </row>
    <row r="793" spans="6:23" x14ac:dyDescent="0.3">
      <c r="F793" s="17">
        <v>47</v>
      </c>
      <c r="G793" s="8" t="str">
        <f>IF(Table13[[#This Row],[Age]]&lt;25,"18-24",IF(Table13[[#This Row],[Age]]&lt;35,"25-34",IF(Table13[[#This Row],[Age]]&lt;45,"35-44",IF(Table13[[#This Row],[Age]]&lt;55,"45-54","55-64"))))</f>
        <v>45-54</v>
      </c>
      <c r="H793" s="8" t="s">
        <v>17</v>
      </c>
      <c r="I793" s="8">
        <v>108.3</v>
      </c>
      <c r="J793" s="8">
        <v>1.67</v>
      </c>
      <c r="K793" s="8">
        <v>176</v>
      </c>
      <c r="L793" s="8">
        <v>169</v>
      </c>
      <c r="M793" s="8">
        <v>69</v>
      </c>
      <c r="N793" s="8">
        <v>1.07</v>
      </c>
      <c r="O793" s="8">
        <v>1204</v>
      </c>
      <c r="P793" s="8" t="s">
        <v>22</v>
      </c>
      <c r="Q793" s="8" t="str">
        <f>_xlfn.IFS(AND(Table13[[#This Row],[Gender]]="female",R793&lt;20),"Athletes",AND(Table13[[#This Row],[Gender]]="female",R793&lt;24),"Fitnesss",AND(Table13[[#This Row],[Gender]]="female",R793&lt;31),"Acceptable",AND(Table13[[#This Row],[Gender]]="female",R793&lt;40),"Obese",AND(Table13[[#This Row],[Gender]]="male",R793&lt;13),"Athletes",AND(Table13[[#This Row],[Gender]]="male",R793&lt;17),"Fitnesss",AND(Table13[[#This Row],[Gender]]="male",R793&lt;24.9),"Acceptable",AND(Table13[[#This Row],[Gender]]="male",R793&lt;40),"Obese",AND(Table13[[#This Row],[Gender]]="others",R793&lt;20),"Athletes",AND(Table13[[#This Row],[Gender]]="others",R793&lt;24),"Fitnesss",AND(Table13[[#This Row],[Gender]]="others",R793&lt;31),"Acceptable",AND(Table13[[#This Row],[Gender]]="others",R793&lt;40),"Obese")</f>
        <v>Acceptable</v>
      </c>
      <c r="R793" s="8">
        <v>27.6</v>
      </c>
      <c r="S793" s="8">
        <v>3.7</v>
      </c>
      <c r="T793" s="8">
        <v>2</v>
      </c>
      <c r="U793" s="8">
        <v>2</v>
      </c>
      <c r="V793" s="8" t="str">
        <f>IF(Table13[[#This Row],[BMI]]&lt;=18.5,"Underweight",IF(Table13[[#This Row],[BMI]]&lt;=24.9,"Normal",IF(Table13[[#This Row],[BMI]]&lt;=29.9,"Overweight",IF(Table13[[#This Row],[BMI]]&lt;=39,"Obese","Severly Obese"))))</f>
        <v>Underweight</v>
      </c>
      <c r="W793" s="18">
        <v>13.44</v>
      </c>
    </row>
    <row r="794" spans="6:23" x14ac:dyDescent="0.3">
      <c r="F794" s="17">
        <v>30</v>
      </c>
      <c r="G794" s="8" t="str">
        <f>IF(Table13[[#This Row],[Age]]&lt;25,"18-24",IF(Table13[[#This Row],[Age]]&lt;35,"25-34",IF(Table13[[#This Row],[Age]]&lt;45,"35-44",IF(Table13[[#This Row],[Age]]&lt;55,"45-54","55-64"))))</f>
        <v>25-34</v>
      </c>
      <c r="H794" s="8" t="s">
        <v>19</v>
      </c>
      <c r="I794" s="8">
        <v>87.9</v>
      </c>
      <c r="J794" s="8">
        <v>1.62</v>
      </c>
      <c r="K794" s="8">
        <v>178</v>
      </c>
      <c r="L794" s="8">
        <v>138</v>
      </c>
      <c r="M794" s="8">
        <v>65</v>
      </c>
      <c r="N794" s="8">
        <v>1.68</v>
      </c>
      <c r="O794" s="8">
        <v>1205</v>
      </c>
      <c r="P794" s="8" t="s">
        <v>22</v>
      </c>
      <c r="Q794" s="8" t="str">
        <f>_xlfn.IFS(AND(Table13[[#This Row],[Gender]]="female",R794&lt;20),"Athletes",AND(Table13[[#This Row],[Gender]]="female",R794&lt;24),"Fitnesss",AND(Table13[[#This Row],[Gender]]="female",R794&lt;31),"Acceptable",AND(Table13[[#This Row],[Gender]]="female",R794&lt;40),"Obese",AND(Table13[[#This Row],[Gender]]="male",R794&lt;13),"Athletes",AND(Table13[[#This Row],[Gender]]="male",R794&lt;17),"Fitnesss",AND(Table13[[#This Row],[Gender]]="male",R794&lt;24.9),"Acceptable",AND(Table13[[#This Row],[Gender]]="male",R794&lt;40),"Obese",AND(Table13[[#This Row],[Gender]]="others",R794&lt;20),"Athletes",AND(Table13[[#This Row],[Gender]]="others",R794&lt;24),"Fitnesss",AND(Table13[[#This Row],[Gender]]="others",R794&lt;31),"Acceptable",AND(Table13[[#This Row],[Gender]]="others",R794&lt;40),"Obese")</f>
        <v>Acceptable</v>
      </c>
      <c r="R794" s="8">
        <v>20.9</v>
      </c>
      <c r="S794" s="8">
        <v>2.6</v>
      </c>
      <c r="T794" s="8">
        <v>4</v>
      </c>
      <c r="U794" s="8"/>
      <c r="V794" s="8" t="str">
        <f>IF(Table13[[#This Row],[BMI]]&lt;=18.5,"Underweight",IF(Table13[[#This Row],[BMI]]&lt;=24.9,"Normal",IF(Table13[[#This Row],[BMI]]&lt;=29.9,"Overweight",IF(Table13[[#This Row],[BMI]]&lt;=39,"Obese","Severly Obese"))))</f>
        <v>Obese</v>
      </c>
      <c r="W794" s="18">
        <v>34.99</v>
      </c>
    </row>
    <row r="795" spans="6:23" x14ac:dyDescent="0.3">
      <c r="F795" s="17">
        <v>48</v>
      </c>
      <c r="G795" s="8" t="str">
        <f>IF(Table13[[#This Row],[Age]]&lt;25,"18-24",IF(Table13[[#This Row],[Age]]&lt;35,"25-34",IF(Table13[[#This Row],[Age]]&lt;45,"35-44",IF(Table13[[#This Row],[Age]]&lt;55,"45-54","55-64"))))</f>
        <v>45-54</v>
      </c>
      <c r="H795" s="8" t="s">
        <v>17</v>
      </c>
      <c r="I795" s="8">
        <v>45.9</v>
      </c>
      <c r="J795" s="8">
        <v>1.94</v>
      </c>
      <c r="K795" s="8">
        <v>169</v>
      </c>
      <c r="L795" s="8">
        <v>141</v>
      </c>
      <c r="M795" s="8">
        <v>74</v>
      </c>
      <c r="N795" s="8">
        <v>1.1299999999999999</v>
      </c>
      <c r="O795" s="8">
        <v>1507</v>
      </c>
      <c r="P795" s="8" t="s">
        <v>20</v>
      </c>
      <c r="Q795" s="8" t="str">
        <f>_xlfn.IFS(AND(Table13[[#This Row],[Gender]]="female",R795&lt;20),"Athletes",AND(Table13[[#This Row],[Gender]]="female",R795&lt;24),"Fitnesss",AND(Table13[[#This Row],[Gender]]="female",R795&lt;31),"Acceptable",AND(Table13[[#This Row],[Gender]]="female",R795&lt;40),"Obese",AND(Table13[[#This Row],[Gender]]="male",R795&lt;13),"Athletes",AND(Table13[[#This Row],[Gender]]="male",R795&lt;17),"Fitnesss",AND(Table13[[#This Row],[Gender]]="male",R795&lt;24.9),"Acceptable",AND(Table13[[#This Row],[Gender]]="male",R795&lt;40),"Obese",AND(Table13[[#This Row],[Gender]]="others",R795&lt;20),"Athletes",AND(Table13[[#This Row],[Gender]]="others",R795&lt;24),"Fitnesss",AND(Table13[[#This Row],[Gender]]="others",R795&lt;31),"Acceptable",AND(Table13[[#This Row],[Gender]]="others",R795&lt;40),"Obese")</f>
        <v>Acceptable</v>
      </c>
      <c r="R795" s="8">
        <v>29.1</v>
      </c>
      <c r="S795" s="8">
        <v>3.2</v>
      </c>
      <c r="T795" s="8">
        <v>5</v>
      </c>
      <c r="U795" s="8">
        <v>2</v>
      </c>
      <c r="V795" s="8" t="str">
        <f>IF(Table13[[#This Row],[BMI]]&lt;=18.5,"Underweight",IF(Table13[[#This Row],[BMI]]&lt;=24.9,"Normal",IF(Table13[[#This Row],[BMI]]&lt;=29.9,"Overweight",IF(Table13[[#This Row],[BMI]]&lt;=39,"Obese","Severly Obese"))))</f>
        <v>Underweight</v>
      </c>
      <c r="W795" s="18">
        <v>12.32</v>
      </c>
    </row>
    <row r="796" spans="6:23" x14ac:dyDescent="0.3">
      <c r="F796" s="17">
        <v>18</v>
      </c>
      <c r="G796" s="8" t="str">
        <f>IF(Table13[[#This Row],[Age]]&lt;25,"18-24",IF(Table13[[#This Row],[Age]]&lt;35,"25-34",IF(Table13[[#This Row],[Age]]&lt;45,"35-44",IF(Table13[[#This Row],[Age]]&lt;55,"45-54","55-64"))))</f>
        <v>18-24</v>
      </c>
      <c r="H796" s="8" t="s">
        <v>19</v>
      </c>
      <c r="I796" s="8">
        <v>107</v>
      </c>
      <c r="J796" s="8">
        <v>1.75</v>
      </c>
      <c r="K796" s="8">
        <v>177</v>
      </c>
      <c r="L796" s="8">
        <v>155</v>
      </c>
      <c r="M796" s="8">
        <v>71</v>
      </c>
      <c r="N796" s="8">
        <v>2</v>
      </c>
      <c r="O796" s="8">
        <v>645</v>
      </c>
      <c r="P796" s="8" t="s">
        <v>18</v>
      </c>
      <c r="Q796" s="8" t="str">
        <f>_xlfn.IFS(AND(Table13[[#This Row],[Gender]]="female",R796&lt;20),"Athletes",AND(Table13[[#This Row],[Gender]]="female",R796&lt;24),"Fitnesss",AND(Table13[[#This Row],[Gender]]="female",R796&lt;31),"Acceptable",AND(Table13[[#This Row],[Gender]]="female",R796&lt;40),"Obese",AND(Table13[[#This Row],[Gender]]="male",R796&lt;13),"Athletes",AND(Table13[[#This Row],[Gender]]="male",R796&lt;17),"Fitnesss",AND(Table13[[#This Row],[Gender]]="male",R796&lt;24.9),"Acceptable",AND(Table13[[#This Row],[Gender]]="male",R796&lt;40),"Obese",AND(Table13[[#This Row],[Gender]]="others",R796&lt;20),"Athletes",AND(Table13[[#This Row],[Gender]]="others",R796&lt;24),"Fitnesss",AND(Table13[[#This Row],[Gender]]="others",R796&lt;31),"Acceptable",AND(Table13[[#This Row],[Gender]]="others",R796&lt;40),"Obese")</f>
        <v>Obese</v>
      </c>
      <c r="R796" s="8">
        <v>27</v>
      </c>
      <c r="S796" s="8">
        <v>3.2</v>
      </c>
      <c r="T796" s="8">
        <v>5</v>
      </c>
      <c r="U796" s="8">
        <v>2</v>
      </c>
      <c r="V796" s="8" t="str">
        <f>IF(Table13[[#This Row],[BMI]]&lt;=18.5,"Underweight",IF(Table13[[#This Row],[BMI]]&lt;=24.9,"Normal",IF(Table13[[#This Row],[BMI]]&lt;=29.9,"Overweight",IF(Table13[[#This Row],[BMI]]&lt;=39,"Obese","Severly Obese"))))</f>
        <v>Overweight</v>
      </c>
      <c r="W796" s="18">
        <v>27.94</v>
      </c>
    </row>
    <row r="797" spans="6:23" x14ac:dyDescent="0.3">
      <c r="F797" s="17">
        <v>39</v>
      </c>
      <c r="G797" s="8" t="str">
        <f>IF(Table13[[#This Row],[Age]]&lt;25,"18-24",IF(Table13[[#This Row],[Age]]&lt;35,"25-34",IF(Table13[[#This Row],[Age]]&lt;45,"35-44",IF(Table13[[#This Row],[Age]]&lt;55,"45-54","55-64"))))</f>
        <v>35-44</v>
      </c>
      <c r="H797" s="8" t="s">
        <v>19</v>
      </c>
      <c r="I797" s="8">
        <v>40.700000000000003</v>
      </c>
      <c r="J797" s="8">
        <v>1.84</v>
      </c>
      <c r="K797" s="8">
        <v>197</v>
      </c>
      <c r="L797" s="8">
        <v>145</v>
      </c>
      <c r="M797" s="8">
        <v>55</v>
      </c>
      <c r="N797" s="8">
        <v>1.48</v>
      </c>
      <c r="O797" s="8">
        <v>1128</v>
      </c>
      <c r="P797" s="8" t="s">
        <v>18</v>
      </c>
      <c r="Q797" s="8" t="str">
        <f>_xlfn.IFS(AND(Table13[[#This Row],[Gender]]="female",R797&lt;20),"Athletes",AND(Table13[[#This Row],[Gender]]="female",R797&lt;24),"Fitnesss",AND(Table13[[#This Row],[Gender]]="female",R797&lt;31),"Acceptable",AND(Table13[[#This Row],[Gender]]="female",R797&lt;40),"Obese",AND(Table13[[#This Row],[Gender]]="male",R797&lt;13),"Athletes",AND(Table13[[#This Row],[Gender]]="male",R797&lt;17),"Fitnesss",AND(Table13[[#This Row],[Gender]]="male",R797&lt;24.9),"Acceptable",AND(Table13[[#This Row],[Gender]]="male",R797&lt;40),"Obese",AND(Table13[[#This Row],[Gender]]="others",R797&lt;20),"Athletes",AND(Table13[[#This Row],[Gender]]="others",R797&lt;24),"Fitnesss",AND(Table13[[#This Row],[Gender]]="others",R797&lt;31),"Acceptable",AND(Table13[[#This Row],[Gender]]="others",R797&lt;40),"Obese")</f>
        <v>Obese</v>
      </c>
      <c r="R797" s="8">
        <v>25.3</v>
      </c>
      <c r="S797" s="8">
        <v>1.5</v>
      </c>
      <c r="T797" s="8">
        <v>4</v>
      </c>
      <c r="U797" s="8">
        <v>1</v>
      </c>
      <c r="V797" s="8" t="str">
        <f>IF(Table13[[#This Row],[BMI]]&lt;=18.5,"Underweight",IF(Table13[[#This Row],[BMI]]&lt;=24.9,"Normal",IF(Table13[[#This Row],[BMI]]&lt;=29.9,"Overweight",IF(Table13[[#This Row],[BMI]]&lt;=39,"Obese","Severly Obese"))))</f>
        <v>Normal</v>
      </c>
      <c r="W797" s="18">
        <v>22.28</v>
      </c>
    </row>
    <row r="798" spans="6:23" x14ac:dyDescent="0.3">
      <c r="F798" s="17">
        <v>18</v>
      </c>
      <c r="G798" s="8" t="str">
        <f>IF(Table13[[#This Row],[Age]]&lt;25,"18-24",IF(Table13[[#This Row],[Age]]&lt;35,"25-34",IF(Table13[[#This Row],[Age]]&lt;45,"35-44",IF(Table13[[#This Row],[Age]]&lt;55,"45-54","55-64"))))</f>
        <v>18-24</v>
      </c>
      <c r="H798" s="8" t="s">
        <v>19</v>
      </c>
      <c r="I798" s="8">
        <v>65.3</v>
      </c>
      <c r="J798" s="8">
        <v>1.6</v>
      </c>
      <c r="K798" s="8">
        <v>177</v>
      </c>
      <c r="L798" s="8">
        <v>153</v>
      </c>
      <c r="M798" s="8">
        <v>74</v>
      </c>
      <c r="N798" s="8">
        <v>0.96</v>
      </c>
      <c r="O798" s="8"/>
      <c r="P798" s="8" t="s">
        <v>22</v>
      </c>
      <c r="Q798" s="8" t="str">
        <f>_xlfn.IFS(AND(Table13[[#This Row],[Gender]]="female",R798&lt;20),"Athletes",AND(Table13[[#This Row],[Gender]]="female",R798&lt;24),"Fitnesss",AND(Table13[[#This Row],[Gender]]="female",R798&lt;31),"Acceptable",AND(Table13[[#This Row],[Gender]]="female",R798&lt;40),"Obese",AND(Table13[[#This Row],[Gender]]="male",R798&lt;13),"Athletes",AND(Table13[[#This Row],[Gender]]="male",R798&lt;17),"Fitnesss",AND(Table13[[#This Row],[Gender]]="male",R798&lt;24.9),"Acceptable",AND(Table13[[#This Row],[Gender]]="male",R798&lt;40),"Obese",AND(Table13[[#This Row],[Gender]]="others",R798&lt;20),"Athletes",AND(Table13[[#This Row],[Gender]]="others",R798&lt;24),"Fitnesss",AND(Table13[[#This Row],[Gender]]="others",R798&lt;31),"Acceptable",AND(Table13[[#This Row],[Gender]]="others",R798&lt;40),"Obese")</f>
        <v>Acceptable</v>
      </c>
      <c r="R798" s="8">
        <v>23.6</v>
      </c>
      <c r="S798" s="8">
        <v>2.4</v>
      </c>
      <c r="T798" s="8">
        <v>4</v>
      </c>
      <c r="U798" s="8">
        <v>1</v>
      </c>
      <c r="V798" s="8" t="str">
        <f>IF(Table13[[#This Row],[BMI]]&lt;=18.5,"Underweight",IF(Table13[[#This Row],[BMI]]&lt;=24.9,"Normal",IF(Table13[[#This Row],[BMI]]&lt;=29.9,"Overweight",IF(Table13[[#This Row],[BMI]]&lt;=39,"Obese","Severly Obese"))))</f>
        <v>Normal</v>
      </c>
      <c r="W798" s="18">
        <v>18.84</v>
      </c>
    </row>
    <row r="799" spans="6:23" x14ac:dyDescent="0.3">
      <c r="F799" s="17">
        <v>50</v>
      </c>
      <c r="G799" s="8" t="str">
        <f>IF(Table13[[#This Row],[Age]]&lt;25,"18-24",IF(Table13[[#This Row],[Age]]&lt;35,"25-34",IF(Table13[[#This Row],[Age]]&lt;45,"35-44",IF(Table13[[#This Row],[Age]]&lt;55,"45-54","55-64"))))</f>
        <v>45-54</v>
      </c>
      <c r="H799" s="8" t="s">
        <v>17</v>
      </c>
      <c r="I799" s="8">
        <v>88.5</v>
      </c>
      <c r="J799" s="8">
        <v>2</v>
      </c>
      <c r="K799" s="8">
        <v>181</v>
      </c>
      <c r="L799" s="8">
        <v>146</v>
      </c>
      <c r="M799" s="8">
        <v>72</v>
      </c>
      <c r="N799" s="8">
        <v>1.33</v>
      </c>
      <c r="O799" s="8">
        <v>1088</v>
      </c>
      <c r="P799" s="8" t="s">
        <v>20</v>
      </c>
      <c r="Q799" s="8" t="str">
        <f>_xlfn.IFS(AND(Table13[[#This Row],[Gender]]="female",R799&lt;20),"Athletes",AND(Table13[[#This Row],[Gender]]="female",R799&lt;24),"Fitnesss",AND(Table13[[#This Row],[Gender]]="female",R799&lt;31),"Acceptable",AND(Table13[[#This Row],[Gender]]="female",R799&lt;40),"Obese",AND(Table13[[#This Row],[Gender]]="male",R799&lt;13),"Athletes",AND(Table13[[#This Row],[Gender]]="male",R799&lt;17),"Fitnesss",AND(Table13[[#This Row],[Gender]]="male",R799&lt;24.9),"Acceptable",AND(Table13[[#This Row],[Gender]]="male",R799&lt;40),"Obese",AND(Table13[[#This Row],[Gender]]="others",R799&lt;20),"Athletes",AND(Table13[[#This Row],[Gender]]="others",R799&lt;24),"Fitnesss",AND(Table13[[#This Row],[Gender]]="others",R799&lt;31),"Acceptable",AND(Table13[[#This Row],[Gender]]="others",R799&lt;40),"Obese")</f>
        <v>Athletes</v>
      </c>
      <c r="R799" s="8">
        <v>11.9</v>
      </c>
      <c r="S799" s="8">
        <v>2.2999999999999998</v>
      </c>
      <c r="T799" s="8">
        <v>4</v>
      </c>
      <c r="U799" s="8">
        <v>1</v>
      </c>
      <c r="V799" s="8" t="str">
        <f>IF(Table13[[#This Row],[BMI]]&lt;=18.5,"Underweight",IF(Table13[[#This Row],[BMI]]&lt;=24.9,"Normal",IF(Table13[[#This Row],[BMI]]&lt;=29.9,"Overweight",IF(Table13[[#This Row],[BMI]]&lt;=39,"Obese","Severly Obese"))))</f>
        <v>Underweight</v>
      </c>
      <c r="W799" s="18">
        <v>17.260000000000002</v>
      </c>
    </row>
    <row r="800" spans="6:23" x14ac:dyDescent="0.3">
      <c r="F800" s="17">
        <v>27</v>
      </c>
      <c r="G800" s="8" t="str">
        <f>IF(Table13[[#This Row],[Age]]&lt;25,"18-24",IF(Table13[[#This Row],[Age]]&lt;35,"25-34",IF(Table13[[#This Row],[Age]]&lt;45,"35-44",IF(Table13[[#This Row],[Age]]&lt;55,"45-54","55-64"))))</f>
        <v>25-34</v>
      </c>
      <c r="H800" s="8" t="s">
        <v>17</v>
      </c>
      <c r="I800" s="8">
        <v>62.5</v>
      </c>
      <c r="J800" s="8">
        <v>1.67</v>
      </c>
      <c r="K800" s="8">
        <v>186</v>
      </c>
      <c r="L800" s="8">
        <v>129</v>
      </c>
      <c r="M800" s="8">
        <v>65</v>
      </c>
      <c r="N800" s="8">
        <v>1.2</v>
      </c>
      <c r="O800" s="8">
        <v>1783</v>
      </c>
      <c r="P800" s="8" t="s">
        <v>18</v>
      </c>
      <c r="Q800" s="8" t="str">
        <f>_xlfn.IFS(AND(Table13[[#This Row],[Gender]]="female",R800&lt;20),"Athletes",AND(Table13[[#This Row],[Gender]]="female",R800&lt;24),"Fitnesss",AND(Table13[[#This Row],[Gender]]="female",R800&lt;31),"Acceptable",AND(Table13[[#This Row],[Gender]]="female",R800&lt;40),"Obese",AND(Table13[[#This Row],[Gender]]="male",R800&lt;13),"Athletes",AND(Table13[[#This Row],[Gender]]="male",R800&lt;17),"Fitnesss",AND(Table13[[#This Row],[Gender]]="male",R800&lt;24.9),"Acceptable",AND(Table13[[#This Row],[Gender]]="male",R800&lt;40),"Obese",AND(Table13[[#This Row],[Gender]]="others",R800&lt;20),"Athletes",AND(Table13[[#This Row],[Gender]]="others",R800&lt;24),"Fitnesss",AND(Table13[[#This Row],[Gender]]="others",R800&lt;31),"Acceptable",AND(Table13[[#This Row],[Gender]]="others",R800&lt;40),"Obese")</f>
        <v>Fitnesss</v>
      </c>
      <c r="R800" s="8">
        <v>23.2</v>
      </c>
      <c r="S800" s="8">
        <v>1.5</v>
      </c>
      <c r="T800" s="8">
        <v>3</v>
      </c>
      <c r="U800" s="8">
        <v>2</v>
      </c>
      <c r="V800" s="8" t="str">
        <f>IF(Table13[[#This Row],[BMI]]&lt;=18.5,"Underweight",IF(Table13[[#This Row],[BMI]]&lt;=24.9,"Normal",IF(Table13[[#This Row],[BMI]]&lt;=29.9,"Overweight",IF(Table13[[#This Row],[BMI]]&lt;=39,"Obese","Severly Obese"))))</f>
        <v>Overweight</v>
      </c>
      <c r="W800" s="18">
        <v>26.22</v>
      </c>
    </row>
    <row r="801" spans="6:23" x14ac:dyDescent="0.3">
      <c r="F801" s="17">
        <v>43</v>
      </c>
      <c r="G801" s="8" t="str">
        <f>IF(Table13[[#This Row],[Age]]&lt;25,"18-24",IF(Table13[[#This Row],[Age]]&lt;35,"25-34",IF(Table13[[#This Row],[Age]]&lt;45,"35-44",IF(Table13[[#This Row],[Age]]&lt;55,"45-54","55-64"))))</f>
        <v>35-44</v>
      </c>
      <c r="H801" s="8" t="s">
        <v>17</v>
      </c>
      <c r="I801" s="8">
        <v>79</v>
      </c>
      <c r="J801" s="8">
        <v>1.73</v>
      </c>
      <c r="K801" s="8">
        <v>186</v>
      </c>
      <c r="L801" s="8">
        <v>158</v>
      </c>
      <c r="M801" s="8">
        <v>55</v>
      </c>
      <c r="N801" s="8">
        <v>1.2</v>
      </c>
      <c r="O801" s="8">
        <v>1146</v>
      </c>
      <c r="P801" s="8" t="s">
        <v>20</v>
      </c>
      <c r="Q801" s="8" t="str">
        <f>_xlfn.IFS(AND(Table13[[#This Row],[Gender]]="female",R801&lt;20),"Athletes",AND(Table13[[#This Row],[Gender]]="female",R801&lt;24),"Fitnesss",AND(Table13[[#This Row],[Gender]]="female",R801&lt;31),"Acceptable",AND(Table13[[#This Row],[Gender]]="female",R801&lt;40),"Obese",AND(Table13[[#This Row],[Gender]]="male",R801&lt;13),"Athletes",AND(Table13[[#This Row],[Gender]]="male",R801&lt;17),"Fitnesss",AND(Table13[[#This Row],[Gender]]="male",R801&lt;24.9),"Acceptable",AND(Table13[[#This Row],[Gender]]="male",R801&lt;40),"Obese",AND(Table13[[#This Row],[Gender]]="others",R801&lt;20),"Athletes",AND(Table13[[#This Row],[Gender]]="others",R801&lt;24),"Fitnesss",AND(Table13[[#This Row],[Gender]]="others",R801&lt;31),"Acceptable",AND(Table13[[#This Row],[Gender]]="others",R801&lt;40),"Obese")</f>
        <v>Acceptable</v>
      </c>
      <c r="R801" s="8">
        <v>25.2</v>
      </c>
      <c r="S801" s="8">
        <v>3.6</v>
      </c>
      <c r="T801" s="8">
        <v>4</v>
      </c>
      <c r="U801" s="8">
        <v>2</v>
      </c>
      <c r="V801" s="8" t="str">
        <f>IF(Table13[[#This Row],[BMI]]&lt;=18.5,"Underweight",IF(Table13[[#This Row],[BMI]]&lt;=24.9,"Normal",IF(Table13[[#This Row],[BMI]]&lt;=29.9,"Overweight",IF(Table13[[#This Row],[BMI]]&lt;=39,"Obese","Severly Obese"))))</f>
        <v>Normal</v>
      </c>
      <c r="W801" s="18">
        <v>19.64</v>
      </c>
    </row>
    <row r="802" spans="6:23" x14ac:dyDescent="0.3">
      <c r="F802" s="17">
        <v>27</v>
      </c>
      <c r="G802" s="8" t="str">
        <f>IF(Table13[[#This Row],[Age]]&lt;25,"18-24",IF(Table13[[#This Row],[Age]]&lt;35,"25-34",IF(Table13[[#This Row],[Age]]&lt;45,"35-44",IF(Table13[[#This Row],[Age]]&lt;55,"45-54","55-64"))))</f>
        <v>25-34</v>
      </c>
      <c r="H802" s="8" t="s">
        <v>17</v>
      </c>
      <c r="I802" s="8">
        <v>40</v>
      </c>
      <c r="J802" s="8">
        <v>1.85</v>
      </c>
      <c r="K802" s="8">
        <v>177</v>
      </c>
      <c r="L802" s="8">
        <v>156</v>
      </c>
      <c r="M802" s="8">
        <v>65</v>
      </c>
      <c r="N802" s="8">
        <v>1.58</v>
      </c>
      <c r="O802" s="8">
        <v>1014</v>
      </c>
      <c r="P802" s="8" t="s">
        <v>20</v>
      </c>
      <c r="Q802" s="8" t="str">
        <f>_xlfn.IFS(AND(Table13[[#This Row],[Gender]]="female",R802&lt;20),"Athletes",AND(Table13[[#This Row],[Gender]]="female",R802&lt;24),"Fitnesss",AND(Table13[[#This Row],[Gender]]="female",R802&lt;31),"Acceptable",AND(Table13[[#This Row],[Gender]]="female",R802&lt;40),"Obese",AND(Table13[[#This Row],[Gender]]="male",R802&lt;13),"Athletes",AND(Table13[[#This Row],[Gender]]="male",R802&lt;17),"Fitnesss",AND(Table13[[#This Row],[Gender]]="male",R802&lt;24.9),"Acceptable",AND(Table13[[#This Row],[Gender]]="male",R802&lt;40),"Obese",AND(Table13[[#This Row],[Gender]]="others",R802&lt;20),"Athletes",AND(Table13[[#This Row],[Gender]]="others",R802&lt;24),"Fitnesss",AND(Table13[[#This Row],[Gender]]="others",R802&lt;31),"Acceptable",AND(Table13[[#This Row],[Gender]]="others",R802&lt;40),"Obese")</f>
        <v>Acceptable</v>
      </c>
      <c r="R802" s="8">
        <v>24</v>
      </c>
      <c r="S802" s="8">
        <v>3.7</v>
      </c>
      <c r="T802" s="8">
        <v>5</v>
      </c>
      <c r="U802" s="8">
        <v>3</v>
      </c>
      <c r="V802" s="8" t="str">
        <f>IF(Table13[[#This Row],[BMI]]&lt;=18.5,"Underweight",IF(Table13[[#This Row],[BMI]]&lt;=24.9,"Normal",IF(Table13[[#This Row],[BMI]]&lt;=29.9,"Overweight",IF(Table13[[#This Row],[BMI]]&lt;=39,"Obese","Severly Obese"))))</f>
        <v>Normal</v>
      </c>
      <c r="W802" s="18">
        <v>22.49</v>
      </c>
    </row>
    <row r="803" spans="6:23" x14ac:dyDescent="0.3">
      <c r="F803" s="17">
        <v>19</v>
      </c>
      <c r="G803" s="8" t="str">
        <f>IF(Table13[[#This Row],[Age]]&lt;25,"18-24",IF(Table13[[#This Row],[Age]]&lt;35,"25-34",IF(Table13[[#This Row],[Age]]&lt;45,"35-44",IF(Table13[[#This Row],[Age]]&lt;55,"45-54","55-64"))))</f>
        <v>18-24</v>
      </c>
      <c r="H803" s="8" t="s">
        <v>19</v>
      </c>
      <c r="I803" s="8">
        <v>51.8</v>
      </c>
      <c r="J803" s="8">
        <v>1.6</v>
      </c>
      <c r="K803" s="8">
        <v>176</v>
      </c>
      <c r="L803" s="8">
        <v>159</v>
      </c>
      <c r="M803" s="8">
        <v>72</v>
      </c>
      <c r="N803" s="8">
        <v>1.1399999999999999</v>
      </c>
      <c r="O803" s="8">
        <v>574</v>
      </c>
      <c r="P803" s="8" t="s">
        <v>20</v>
      </c>
      <c r="Q803" s="8" t="str">
        <f>_xlfn.IFS(AND(Table13[[#This Row],[Gender]]="female",R803&lt;20),"Athletes",AND(Table13[[#This Row],[Gender]]="female",R803&lt;24),"Fitnesss",AND(Table13[[#This Row],[Gender]]="female",R803&lt;31),"Acceptable",AND(Table13[[#This Row],[Gender]]="female",R803&lt;40),"Obese",AND(Table13[[#This Row],[Gender]]="male",R803&lt;13),"Athletes",AND(Table13[[#This Row],[Gender]]="male",R803&lt;17),"Fitnesss",AND(Table13[[#This Row],[Gender]]="male",R803&lt;24.9),"Acceptable",AND(Table13[[#This Row],[Gender]]="male",R803&lt;40),"Obese",AND(Table13[[#This Row],[Gender]]="others",R803&lt;20),"Athletes",AND(Table13[[#This Row],[Gender]]="others",R803&lt;24),"Fitnesss",AND(Table13[[#This Row],[Gender]]="others",R803&lt;31),"Acceptable",AND(Table13[[#This Row],[Gender]]="others",R803&lt;40),"Obese")</f>
        <v>Obese</v>
      </c>
      <c r="R803" s="8">
        <v>25.3</v>
      </c>
      <c r="S803" s="8">
        <v>2</v>
      </c>
      <c r="T803" s="8">
        <v>4</v>
      </c>
      <c r="U803" s="8">
        <v>2</v>
      </c>
      <c r="V803" s="8" t="str">
        <f>IF(Table13[[#This Row],[BMI]]&lt;=18.5,"Underweight",IF(Table13[[#This Row],[BMI]]&lt;=24.9,"Normal",IF(Table13[[#This Row],[BMI]]&lt;=29.9,"Overweight",IF(Table13[[#This Row],[BMI]]&lt;=39,"Obese","Severly Obese"))))</f>
        <v>Underweight</v>
      </c>
      <c r="W803" s="18">
        <v>16.690000000000001</v>
      </c>
    </row>
    <row r="804" spans="6:23" x14ac:dyDescent="0.3">
      <c r="F804" s="17">
        <v>38</v>
      </c>
      <c r="G804" s="8" t="str">
        <f>IF(Table13[[#This Row],[Age]]&lt;25,"18-24",IF(Table13[[#This Row],[Age]]&lt;35,"25-34",IF(Table13[[#This Row],[Age]]&lt;45,"35-44",IF(Table13[[#This Row],[Age]]&lt;55,"45-54","55-64"))))</f>
        <v>35-44</v>
      </c>
      <c r="H804" s="8" t="s">
        <v>17</v>
      </c>
      <c r="I804" s="8">
        <v>89.3</v>
      </c>
      <c r="J804" s="8">
        <v>1.58</v>
      </c>
      <c r="K804" s="8">
        <v>184</v>
      </c>
      <c r="L804" s="8">
        <v>135</v>
      </c>
      <c r="M804" s="8">
        <v>58</v>
      </c>
      <c r="N804" s="8">
        <v>1.58</v>
      </c>
      <c r="O804" s="8">
        <v>995</v>
      </c>
      <c r="P804" s="8" t="s">
        <v>21</v>
      </c>
      <c r="Q804" s="8" t="str">
        <f>_xlfn.IFS(AND(Table13[[#This Row],[Gender]]="female",R804&lt;20),"Athletes",AND(Table13[[#This Row],[Gender]]="female",R804&lt;24),"Fitnesss",AND(Table13[[#This Row],[Gender]]="female",R804&lt;31),"Acceptable",AND(Table13[[#This Row],[Gender]]="female",R804&lt;40),"Obese",AND(Table13[[#This Row],[Gender]]="male",R804&lt;13),"Athletes",AND(Table13[[#This Row],[Gender]]="male",R804&lt;17),"Fitnesss",AND(Table13[[#This Row],[Gender]]="male",R804&lt;24.9),"Acceptable",AND(Table13[[#This Row],[Gender]]="male",R804&lt;40),"Obese",AND(Table13[[#This Row],[Gender]]="others",R804&lt;20),"Athletes",AND(Table13[[#This Row],[Gender]]="others",R804&lt;24),"Fitnesss",AND(Table13[[#This Row],[Gender]]="others",R804&lt;31),"Acceptable",AND(Table13[[#This Row],[Gender]]="others",R804&lt;40),"Obese")</f>
        <v>Acceptable</v>
      </c>
      <c r="R804" s="8">
        <v>24</v>
      </c>
      <c r="S804" s="8">
        <v>2.9</v>
      </c>
      <c r="T804" s="8">
        <v>4</v>
      </c>
      <c r="U804" s="8">
        <v>3</v>
      </c>
      <c r="V804" s="8" t="str">
        <f>IF(Table13[[#This Row],[BMI]]&lt;=18.5,"Underweight",IF(Table13[[#This Row],[BMI]]&lt;=24.9,"Normal",IF(Table13[[#This Row],[BMI]]&lt;=29.9,"Overweight",IF(Table13[[#This Row],[BMI]]&lt;=39,"Obese","Severly Obese"))))</f>
        <v>Normal</v>
      </c>
      <c r="W804" s="18">
        <v>19.02</v>
      </c>
    </row>
    <row r="805" spans="6:23" x14ac:dyDescent="0.3">
      <c r="F805" s="17">
        <v>27</v>
      </c>
      <c r="G805" s="8" t="str">
        <f>IF(Table13[[#This Row],[Age]]&lt;25,"18-24",IF(Table13[[#This Row],[Age]]&lt;35,"25-34",IF(Table13[[#This Row],[Age]]&lt;45,"35-44",IF(Table13[[#This Row],[Age]]&lt;55,"45-54","55-64"))))</f>
        <v>25-34</v>
      </c>
      <c r="H805" s="8" t="s">
        <v>23</v>
      </c>
      <c r="I805" s="8">
        <v>80</v>
      </c>
      <c r="J805" s="8">
        <v>1.86</v>
      </c>
      <c r="K805" s="8">
        <v>177</v>
      </c>
      <c r="L805" s="8">
        <v>153</v>
      </c>
      <c r="M805" s="8">
        <v>74</v>
      </c>
      <c r="N805" s="8">
        <v>0.9</v>
      </c>
      <c r="O805" s="8">
        <v>886</v>
      </c>
      <c r="P805" s="8" t="s">
        <v>18</v>
      </c>
      <c r="Q805" s="8" t="str">
        <f>_xlfn.IFS(AND(Table13[[#This Row],[Gender]]="female",R805&lt;20),"Athletes",AND(Table13[[#This Row],[Gender]]="female",R805&lt;24),"Fitnesss",AND(Table13[[#This Row],[Gender]]="female",R805&lt;31),"Acceptable",AND(Table13[[#This Row],[Gender]]="female",R805&lt;40),"Obese",AND(Table13[[#This Row],[Gender]]="male",R805&lt;13),"Athletes",AND(Table13[[#This Row],[Gender]]="male",R805&lt;17),"Fitnesss",AND(Table13[[#This Row],[Gender]]="male",R805&lt;24.9),"Acceptable",AND(Table13[[#This Row],[Gender]]="male",R805&lt;40),"Obese",AND(Table13[[#This Row],[Gender]]="others",R805&lt;20),"Athletes",AND(Table13[[#This Row],[Gender]]="others",R805&lt;24),"Fitnesss",AND(Table13[[#This Row],[Gender]]="others",R805&lt;31),"Acceptable",AND(Table13[[#This Row],[Gender]]="others",R805&lt;40),"Obese")</f>
        <v>Acceptable</v>
      </c>
      <c r="R805" s="8">
        <v>25.1</v>
      </c>
      <c r="S805" s="8">
        <v>1.6</v>
      </c>
      <c r="T805" s="8">
        <v>2</v>
      </c>
      <c r="U805" s="8">
        <v>1</v>
      </c>
      <c r="V805" s="8" t="str">
        <f>IF(Table13[[#This Row],[BMI]]&lt;=18.5,"Underweight",IF(Table13[[#This Row],[BMI]]&lt;=24.9,"Normal",IF(Table13[[#This Row],[BMI]]&lt;=29.9,"Overweight",IF(Table13[[#This Row],[BMI]]&lt;=39,"Obese","Severly Obese"))))</f>
        <v>Normal</v>
      </c>
      <c r="W805" s="18">
        <v>19.41</v>
      </c>
    </row>
    <row r="806" spans="6:23" x14ac:dyDescent="0.3">
      <c r="F806" s="17">
        <v>33</v>
      </c>
      <c r="G806" s="8" t="str">
        <f>IF(Table13[[#This Row],[Age]]&lt;25,"18-24",IF(Table13[[#This Row],[Age]]&lt;35,"25-34",IF(Table13[[#This Row],[Age]]&lt;45,"35-44",IF(Table13[[#This Row],[Age]]&lt;55,"45-54","55-64"))))</f>
        <v>25-34</v>
      </c>
      <c r="H806" s="8" t="s">
        <v>19</v>
      </c>
      <c r="I806" s="8">
        <v>40</v>
      </c>
      <c r="J806" s="8">
        <v>1.75</v>
      </c>
      <c r="K806" s="8">
        <v>185</v>
      </c>
      <c r="L806" s="8">
        <v>125</v>
      </c>
      <c r="M806" s="8">
        <v>54</v>
      </c>
      <c r="N806" s="8">
        <v>2</v>
      </c>
      <c r="O806" s="8">
        <v>870</v>
      </c>
      <c r="P806" s="8" t="s">
        <v>22</v>
      </c>
      <c r="Q806" s="8" t="str">
        <f>_xlfn.IFS(AND(Table13[[#This Row],[Gender]]="female",R806&lt;20),"Athletes",AND(Table13[[#This Row],[Gender]]="female",R806&lt;24),"Fitnesss",AND(Table13[[#This Row],[Gender]]="female",R806&lt;31),"Acceptable",AND(Table13[[#This Row],[Gender]]="female",R806&lt;40),"Obese",AND(Table13[[#This Row],[Gender]]="male",R806&lt;13),"Athletes",AND(Table13[[#This Row],[Gender]]="male",R806&lt;17),"Fitnesss",AND(Table13[[#This Row],[Gender]]="male",R806&lt;24.9),"Acceptable",AND(Table13[[#This Row],[Gender]]="male",R806&lt;40),"Obese",AND(Table13[[#This Row],[Gender]]="others",R806&lt;20),"Athletes",AND(Table13[[#This Row],[Gender]]="others",R806&lt;24),"Fitnesss",AND(Table13[[#This Row],[Gender]]="others",R806&lt;31),"Acceptable",AND(Table13[[#This Row],[Gender]]="others",R806&lt;40),"Obese")</f>
        <v>Acceptable</v>
      </c>
      <c r="R806" s="8">
        <v>18.7</v>
      </c>
      <c r="S806" s="8">
        <v>1.8</v>
      </c>
      <c r="T806" s="8">
        <v>3</v>
      </c>
      <c r="U806" s="8">
        <v>1</v>
      </c>
      <c r="V806" s="8" t="str">
        <f>IF(Table13[[#This Row],[BMI]]&lt;=18.5,"Underweight",IF(Table13[[#This Row],[BMI]]&lt;=24.9,"Normal",IF(Table13[[#This Row],[BMI]]&lt;=29.9,"Overweight",IF(Table13[[#This Row],[BMI]]&lt;=39,"Obese","Severly Obese"))))</f>
        <v>Underweight</v>
      </c>
      <c r="W806" s="18">
        <v>17.77</v>
      </c>
    </row>
    <row r="807" spans="6:23" x14ac:dyDescent="0.3">
      <c r="F807" s="17">
        <v>50</v>
      </c>
      <c r="G807" s="8" t="str">
        <f>IF(Table13[[#This Row],[Age]]&lt;25,"18-24",IF(Table13[[#This Row],[Age]]&lt;35,"25-34",IF(Table13[[#This Row],[Age]]&lt;45,"35-44",IF(Table13[[#This Row],[Age]]&lt;55,"45-54","55-64"))))</f>
        <v>45-54</v>
      </c>
      <c r="H807" s="8" t="s">
        <v>17</v>
      </c>
      <c r="I807" s="8">
        <v>102.6</v>
      </c>
      <c r="J807" s="8">
        <v>1.62</v>
      </c>
      <c r="K807" s="8">
        <v>198</v>
      </c>
      <c r="L807" s="8">
        <v>138</v>
      </c>
      <c r="M807" s="8">
        <v>66</v>
      </c>
      <c r="N807" s="8">
        <v>1.48</v>
      </c>
      <c r="O807" s="8">
        <v>1149</v>
      </c>
      <c r="P807" s="8" t="s">
        <v>21</v>
      </c>
      <c r="Q807" s="8" t="str">
        <f>_xlfn.IFS(AND(Table13[[#This Row],[Gender]]="female",R807&lt;20),"Athletes",AND(Table13[[#This Row],[Gender]]="female",R807&lt;24),"Fitnesss",AND(Table13[[#This Row],[Gender]]="female",R807&lt;31),"Acceptable",AND(Table13[[#This Row],[Gender]]="female",R807&lt;40),"Obese",AND(Table13[[#This Row],[Gender]]="male",R807&lt;13),"Athletes",AND(Table13[[#This Row],[Gender]]="male",R807&lt;17),"Fitnesss",AND(Table13[[#This Row],[Gender]]="male",R807&lt;24.9),"Acceptable",AND(Table13[[#This Row],[Gender]]="male",R807&lt;40),"Obese",AND(Table13[[#This Row],[Gender]]="others",R807&lt;20),"Athletes",AND(Table13[[#This Row],[Gender]]="others",R807&lt;24),"Fitnesss",AND(Table13[[#This Row],[Gender]]="others",R807&lt;31),"Acceptable",AND(Table13[[#This Row],[Gender]]="others",R807&lt;40),"Obese")</f>
        <v>Athletes</v>
      </c>
      <c r="R807" s="8">
        <v>10</v>
      </c>
      <c r="S807" s="8">
        <v>2.7</v>
      </c>
      <c r="T807" s="8">
        <v>5</v>
      </c>
      <c r="U807" s="8">
        <v>2</v>
      </c>
      <c r="V807" s="8" t="str">
        <f>IF(Table13[[#This Row],[BMI]]&lt;=18.5,"Underweight",IF(Table13[[#This Row],[BMI]]&lt;=24.9,"Normal",IF(Table13[[#This Row],[BMI]]&lt;=29.9,"Overweight",IF(Table13[[#This Row],[BMI]]&lt;=39,"Obese","Severly Obese"))))</f>
        <v>Underweight</v>
      </c>
      <c r="W807" s="18">
        <v>18.48</v>
      </c>
    </row>
    <row r="808" spans="6:23" x14ac:dyDescent="0.3">
      <c r="F808" s="17">
        <v>18</v>
      </c>
      <c r="G808" s="8" t="str">
        <f>IF(Table13[[#This Row],[Age]]&lt;25,"18-24",IF(Table13[[#This Row],[Age]]&lt;35,"25-34",IF(Table13[[#This Row],[Age]]&lt;45,"35-44",IF(Table13[[#This Row],[Age]]&lt;55,"45-54","55-64"))))</f>
        <v>18-24</v>
      </c>
      <c r="H808" s="8" t="s">
        <v>19</v>
      </c>
      <c r="I808" s="8">
        <v>69.2</v>
      </c>
      <c r="J808" s="8">
        <v>1.62</v>
      </c>
      <c r="K808" s="8">
        <v>164</v>
      </c>
      <c r="L808" s="8">
        <v>167</v>
      </c>
      <c r="M808" s="8">
        <v>62</v>
      </c>
      <c r="N808" s="8">
        <v>1.5</v>
      </c>
      <c r="O808" s="8">
        <v>1721</v>
      </c>
      <c r="P808" s="8" t="s">
        <v>21</v>
      </c>
      <c r="Q808" s="8" t="str">
        <f>_xlfn.IFS(AND(Table13[[#This Row],[Gender]]="female",R808&lt;20),"Athletes",AND(Table13[[#This Row],[Gender]]="female",R808&lt;24),"Fitnesss",AND(Table13[[#This Row],[Gender]]="female",R808&lt;31),"Acceptable",AND(Table13[[#This Row],[Gender]]="female",R808&lt;40),"Obese",AND(Table13[[#This Row],[Gender]]="male",R808&lt;13),"Athletes",AND(Table13[[#This Row],[Gender]]="male",R808&lt;17),"Fitnesss",AND(Table13[[#This Row],[Gender]]="male",R808&lt;24.9),"Acceptable",AND(Table13[[#This Row],[Gender]]="male",R808&lt;40),"Obese",AND(Table13[[#This Row],[Gender]]="others",R808&lt;20),"Athletes",AND(Table13[[#This Row],[Gender]]="others",R808&lt;24),"Fitnesss",AND(Table13[[#This Row],[Gender]]="others",R808&lt;31),"Acceptable",AND(Table13[[#This Row],[Gender]]="others",R808&lt;40),"Obese")</f>
        <v>Obese</v>
      </c>
      <c r="R808" s="8">
        <v>25</v>
      </c>
      <c r="S808" s="8">
        <v>2.2999999999999998</v>
      </c>
      <c r="T808" s="8">
        <v>5</v>
      </c>
      <c r="U808" s="8">
        <v>1</v>
      </c>
      <c r="V808" s="8" t="str">
        <f>IF(Table13[[#This Row],[BMI]]&lt;=18.5,"Underweight",IF(Table13[[#This Row],[BMI]]&lt;=24.9,"Normal",IF(Table13[[#This Row],[BMI]]&lt;=29.9,"Overweight",IF(Table13[[#This Row],[BMI]]&lt;=39,"Obese","Severly Obese"))))</f>
        <v>Obese</v>
      </c>
      <c r="W808" s="18">
        <v>33.299999999999997</v>
      </c>
    </row>
    <row r="809" spans="6:23" x14ac:dyDescent="0.3">
      <c r="F809" s="17">
        <v>19</v>
      </c>
      <c r="G809" s="8" t="str">
        <f>IF(Table13[[#This Row],[Age]]&lt;25,"18-24",IF(Table13[[#This Row],[Age]]&lt;35,"25-34",IF(Table13[[#This Row],[Age]]&lt;45,"35-44",IF(Table13[[#This Row],[Age]]&lt;55,"45-54","55-64"))))</f>
        <v>18-24</v>
      </c>
      <c r="H809" s="8" t="s">
        <v>19</v>
      </c>
      <c r="I809" s="8">
        <v>75.3</v>
      </c>
      <c r="J809" s="8">
        <v>1.67</v>
      </c>
      <c r="K809" s="8">
        <v>166</v>
      </c>
      <c r="L809" s="8">
        <v>130</v>
      </c>
      <c r="M809" s="8">
        <v>58</v>
      </c>
      <c r="N809" s="8">
        <v>1.22</v>
      </c>
      <c r="O809" s="8">
        <v>928</v>
      </c>
      <c r="P809" s="8" t="s">
        <v>21</v>
      </c>
      <c r="Q809" s="8" t="str">
        <f>_xlfn.IFS(AND(Table13[[#This Row],[Gender]]="female",R809&lt;20),"Athletes",AND(Table13[[#This Row],[Gender]]="female",R809&lt;24),"Fitnesss",AND(Table13[[#This Row],[Gender]]="female",R809&lt;31),"Acceptable",AND(Table13[[#This Row],[Gender]]="female",R809&lt;40),"Obese",AND(Table13[[#This Row],[Gender]]="male",R809&lt;13),"Athletes",AND(Table13[[#This Row],[Gender]]="male",R809&lt;17),"Fitnesss",AND(Table13[[#This Row],[Gender]]="male",R809&lt;24.9),"Acceptable",AND(Table13[[#This Row],[Gender]]="male",R809&lt;40),"Obese",AND(Table13[[#This Row],[Gender]]="others",R809&lt;20),"Athletes",AND(Table13[[#This Row],[Gender]]="others",R809&lt;24),"Fitnesss",AND(Table13[[#This Row],[Gender]]="others",R809&lt;31),"Acceptable",AND(Table13[[#This Row],[Gender]]="others",R809&lt;40),"Obese")</f>
        <v>Obese</v>
      </c>
      <c r="R809" s="8">
        <v>27.4</v>
      </c>
      <c r="S809" s="8">
        <v>3.2</v>
      </c>
      <c r="T809" s="8">
        <v>3</v>
      </c>
      <c r="U809" s="8">
        <v>2</v>
      </c>
      <c r="V809" s="8" t="str">
        <f>IF(Table13[[#This Row],[BMI]]&lt;=18.5,"Underweight",IF(Table13[[#This Row],[BMI]]&lt;=24.9,"Normal",IF(Table13[[#This Row],[BMI]]&lt;=29.9,"Overweight",IF(Table13[[#This Row],[BMI]]&lt;=39,"Obese","Severly Obese"))))</f>
        <v>Normal</v>
      </c>
      <c r="W809" s="18">
        <v>23.17</v>
      </c>
    </row>
    <row r="810" spans="6:23" x14ac:dyDescent="0.3">
      <c r="F810" s="17">
        <v>45</v>
      </c>
      <c r="G810" s="8" t="str">
        <f>IF(Table13[[#This Row],[Age]]&lt;25,"18-24",IF(Table13[[#This Row],[Age]]&lt;35,"25-34",IF(Table13[[#This Row],[Age]]&lt;45,"35-44",IF(Table13[[#This Row],[Age]]&lt;55,"45-54","55-64"))))</f>
        <v>45-54</v>
      </c>
      <c r="H810" s="8" t="s">
        <v>19</v>
      </c>
      <c r="I810" s="8">
        <v>45.9</v>
      </c>
      <c r="J810" s="8">
        <v>1.51</v>
      </c>
      <c r="K810" s="8">
        <v>195</v>
      </c>
      <c r="L810" s="8">
        <v>142</v>
      </c>
      <c r="M810" s="8">
        <v>57</v>
      </c>
      <c r="N810" s="8">
        <v>1.64</v>
      </c>
      <c r="O810" s="8">
        <v>303</v>
      </c>
      <c r="P810" s="8" t="s">
        <v>20</v>
      </c>
      <c r="Q810" s="8" t="str">
        <f>_xlfn.IFS(AND(Table13[[#This Row],[Gender]]="female",R810&lt;20),"Athletes",AND(Table13[[#This Row],[Gender]]="female",R810&lt;24),"Fitnesss",AND(Table13[[#This Row],[Gender]]="female",R810&lt;31),"Acceptable",AND(Table13[[#This Row],[Gender]]="female",R810&lt;40),"Obese",AND(Table13[[#This Row],[Gender]]="male",R810&lt;13),"Athletes",AND(Table13[[#This Row],[Gender]]="male",R810&lt;17),"Fitnesss",AND(Table13[[#This Row],[Gender]]="male",R810&lt;24.9),"Acceptable",AND(Table13[[#This Row],[Gender]]="male",R810&lt;40),"Obese",AND(Table13[[#This Row],[Gender]]="others",R810&lt;20),"Athletes",AND(Table13[[#This Row],[Gender]]="others",R810&lt;24),"Fitnesss",AND(Table13[[#This Row],[Gender]]="others",R810&lt;31),"Acceptable",AND(Table13[[#This Row],[Gender]]="others",R810&lt;40),"Obese")</f>
        <v>Obese</v>
      </c>
      <c r="R810" s="8">
        <v>29.8</v>
      </c>
      <c r="S810" s="8">
        <v>2.7</v>
      </c>
      <c r="T810" s="8">
        <v>3</v>
      </c>
      <c r="U810" s="8">
        <v>1</v>
      </c>
      <c r="V810" s="8" t="str">
        <f>IF(Table13[[#This Row],[BMI]]&lt;=18.5,"Underweight",IF(Table13[[#This Row],[BMI]]&lt;=24.9,"Normal",IF(Table13[[#This Row],[BMI]]&lt;=29.9,"Overweight",IF(Table13[[#This Row],[BMI]]&lt;=39,"Obese","Severly Obese"))))</f>
        <v>Underweight</v>
      </c>
      <c r="W810" s="18">
        <v>12.32</v>
      </c>
    </row>
    <row r="811" spans="6:23" x14ac:dyDescent="0.3">
      <c r="F811" s="17">
        <v>59</v>
      </c>
      <c r="G811" s="8" t="str">
        <f>IF(Table13[[#This Row],[Age]]&lt;25,"18-24",IF(Table13[[#This Row],[Age]]&lt;35,"25-34",IF(Table13[[#This Row],[Age]]&lt;45,"35-44",IF(Table13[[#This Row],[Age]]&lt;55,"45-54","55-64"))))</f>
        <v>55-64</v>
      </c>
      <c r="H811" s="8" t="s">
        <v>19</v>
      </c>
      <c r="I811" s="8">
        <v>66.900000000000006</v>
      </c>
      <c r="J811" s="8">
        <v>1.57</v>
      </c>
      <c r="K811" s="8">
        <v>178</v>
      </c>
      <c r="L811" s="8">
        <v>120</v>
      </c>
      <c r="M811" s="8">
        <v>71</v>
      </c>
      <c r="N811" s="8">
        <v>1.44</v>
      </c>
      <c r="O811" s="8">
        <v>1153</v>
      </c>
      <c r="P811" s="8" t="s">
        <v>22</v>
      </c>
      <c r="Q811" s="8" t="str">
        <f>_xlfn.IFS(AND(Table13[[#This Row],[Gender]]="female",R811&lt;20),"Athletes",AND(Table13[[#This Row],[Gender]]="female",R811&lt;24),"Fitnesss",AND(Table13[[#This Row],[Gender]]="female",R811&lt;31),"Acceptable",AND(Table13[[#This Row],[Gender]]="female",R811&lt;40),"Obese",AND(Table13[[#This Row],[Gender]]="male",R811&lt;13),"Athletes",AND(Table13[[#This Row],[Gender]]="male",R811&lt;17),"Fitnesss",AND(Table13[[#This Row],[Gender]]="male",R811&lt;24.9),"Acceptable",AND(Table13[[#This Row],[Gender]]="male",R811&lt;40),"Obese",AND(Table13[[#This Row],[Gender]]="others",R811&lt;20),"Athletes",AND(Table13[[#This Row],[Gender]]="others",R811&lt;24),"Fitnesss",AND(Table13[[#This Row],[Gender]]="others",R811&lt;31),"Acceptable",AND(Table13[[#This Row],[Gender]]="others",R811&lt;40),"Obese")</f>
        <v>Obese</v>
      </c>
      <c r="R811" s="8">
        <v>27.5</v>
      </c>
      <c r="S811" s="8">
        <v>3.3</v>
      </c>
      <c r="T811" s="8">
        <v>2</v>
      </c>
      <c r="U811" s="8">
        <v>2</v>
      </c>
      <c r="V811" s="8" t="str">
        <f>IF(Table13[[#This Row],[BMI]]&lt;=18.5,"Underweight",IF(Table13[[#This Row],[BMI]]&lt;=24.9,"Normal",IF(Table13[[#This Row],[BMI]]&lt;=29.9,"Overweight",IF(Table13[[#This Row],[BMI]]&lt;=39,"Obese","Severly Obese"))))</f>
        <v>Normal</v>
      </c>
      <c r="W811" s="18">
        <v>20.399999999999999</v>
      </c>
    </row>
    <row r="812" spans="6:23" x14ac:dyDescent="0.3">
      <c r="F812" s="17">
        <v>42</v>
      </c>
      <c r="G812" s="8" t="str">
        <f>IF(Table13[[#This Row],[Age]]&lt;25,"18-24",IF(Table13[[#This Row],[Age]]&lt;35,"25-34",IF(Table13[[#This Row],[Age]]&lt;45,"35-44",IF(Table13[[#This Row],[Age]]&lt;55,"45-54","55-64"))))</f>
        <v>35-44</v>
      </c>
      <c r="H812" s="8" t="s">
        <v>17</v>
      </c>
      <c r="I812" s="8">
        <v>50.3</v>
      </c>
      <c r="J812" s="8">
        <v>1.69</v>
      </c>
      <c r="K812" s="8">
        <v>199</v>
      </c>
      <c r="L812" s="8">
        <v>159</v>
      </c>
      <c r="M812" s="8">
        <v>69</v>
      </c>
      <c r="N812" s="8">
        <v>0.95</v>
      </c>
      <c r="O812" s="8">
        <v>1293</v>
      </c>
      <c r="P812" s="8" t="s">
        <v>22</v>
      </c>
      <c r="Q812" s="8" t="str">
        <f>_xlfn.IFS(AND(Table13[[#This Row],[Gender]]="female",R812&lt;20),"Athletes",AND(Table13[[#This Row],[Gender]]="female",R812&lt;24),"Fitnesss",AND(Table13[[#This Row],[Gender]]="female",R812&lt;31),"Acceptable",AND(Table13[[#This Row],[Gender]]="female",R812&lt;40),"Obese",AND(Table13[[#This Row],[Gender]]="male",R812&lt;13),"Athletes",AND(Table13[[#This Row],[Gender]]="male",R812&lt;17),"Fitnesss",AND(Table13[[#This Row],[Gender]]="male",R812&lt;24.9),"Acceptable",AND(Table13[[#This Row],[Gender]]="male",R812&lt;40),"Obese",AND(Table13[[#This Row],[Gender]]="others",R812&lt;20),"Athletes",AND(Table13[[#This Row],[Gender]]="others",R812&lt;24),"Fitnesss",AND(Table13[[#This Row],[Gender]]="others",R812&lt;31),"Acceptable",AND(Table13[[#This Row],[Gender]]="others",R812&lt;40),"Obese")</f>
        <v>Athletes</v>
      </c>
      <c r="R812" s="8">
        <v>14.8</v>
      </c>
      <c r="S812" s="8">
        <v>3.2</v>
      </c>
      <c r="T812" s="8">
        <v>3</v>
      </c>
      <c r="U812" s="8">
        <v>2</v>
      </c>
      <c r="V812" s="8" t="str">
        <f>IF(Table13[[#This Row],[BMI]]&lt;=18.5,"Underweight",IF(Table13[[#This Row],[BMI]]&lt;=24.9,"Normal",IF(Table13[[#This Row],[BMI]]&lt;=29.9,"Overweight",IF(Table13[[#This Row],[BMI]]&lt;=39,"Obese","Severly Obese"))))</f>
        <v>Underweight</v>
      </c>
      <c r="W812" s="18"/>
    </row>
    <row r="813" spans="6:23" x14ac:dyDescent="0.3">
      <c r="F813" s="17">
        <v>32</v>
      </c>
      <c r="G813" s="8" t="str">
        <f>IF(Table13[[#This Row],[Age]]&lt;25,"18-24",IF(Table13[[#This Row],[Age]]&lt;35,"25-34",IF(Table13[[#This Row],[Age]]&lt;45,"35-44",IF(Table13[[#This Row],[Age]]&lt;55,"45-54","55-64"))))</f>
        <v>25-34</v>
      </c>
      <c r="H813" s="8" t="s">
        <v>19</v>
      </c>
      <c r="I813" s="8">
        <v>68.7</v>
      </c>
      <c r="J813" s="8">
        <v>1.77</v>
      </c>
      <c r="K813" s="8">
        <v>186</v>
      </c>
      <c r="L813" s="8"/>
      <c r="M813" s="8">
        <v>63</v>
      </c>
      <c r="N813" s="8">
        <v>1.85</v>
      </c>
      <c r="O813" s="8">
        <v>1118</v>
      </c>
      <c r="P813" s="8" t="s">
        <v>22</v>
      </c>
      <c r="Q813" s="8" t="str">
        <f>_xlfn.IFS(AND(Table13[[#This Row],[Gender]]="female",R813&lt;20),"Athletes",AND(Table13[[#This Row],[Gender]]="female",R813&lt;24),"Fitnesss",AND(Table13[[#This Row],[Gender]]="female",R813&lt;31),"Acceptable",AND(Table13[[#This Row],[Gender]]="female",R813&lt;40),"Obese",AND(Table13[[#This Row],[Gender]]="male",R813&lt;13),"Athletes",AND(Table13[[#This Row],[Gender]]="male",R813&lt;17),"Fitnesss",AND(Table13[[#This Row],[Gender]]="male",R813&lt;24.9),"Acceptable",AND(Table13[[#This Row],[Gender]]="male",R813&lt;40),"Obese",AND(Table13[[#This Row],[Gender]]="others",R813&lt;20),"Athletes",AND(Table13[[#This Row],[Gender]]="others",R813&lt;24),"Fitnesss",AND(Table13[[#This Row],[Gender]]="others",R813&lt;31),"Acceptable",AND(Table13[[#This Row],[Gender]]="others",R813&lt;40),"Obese")</f>
        <v>Obese</v>
      </c>
      <c r="R813" s="8">
        <v>28.5</v>
      </c>
      <c r="S813" s="8">
        <v>3.5</v>
      </c>
      <c r="T813" s="8">
        <v>3</v>
      </c>
      <c r="U813" s="8">
        <v>2</v>
      </c>
      <c r="V813" s="8" t="str">
        <f>IF(Table13[[#This Row],[BMI]]&lt;=18.5,"Underweight",IF(Table13[[#This Row],[BMI]]&lt;=24.9,"Normal",IF(Table13[[#This Row],[BMI]]&lt;=29.9,"Overweight",IF(Table13[[#This Row],[BMI]]&lt;=39,"Obese","Severly Obese"))))</f>
        <v>Underweight</v>
      </c>
      <c r="W813" s="18">
        <v>17.39</v>
      </c>
    </row>
    <row r="814" spans="6:23" x14ac:dyDescent="0.3">
      <c r="F814" s="17">
        <v>37</v>
      </c>
      <c r="G814" s="8" t="str">
        <f>IF(Table13[[#This Row],[Age]]&lt;25,"18-24",IF(Table13[[#This Row],[Age]]&lt;35,"25-34",IF(Table13[[#This Row],[Age]]&lt;45,"35-44",IF(Table13[[#This Row],[Age]]&lt;55,"45-54","55-64"))))</f>
        <v>35-44</v>
      </c>
      <c r="H814" s="8" t="s">
        <v>19</v>
      </c>
      <c r="I814" s="8">
        <v>44.2</v>
      </c>
      <c r="J814" s="8">
        <v>1.5</v>
      </c>
      <c r="K814" s="8">
        <v>194</v>
      </c>
      <c r="L814" s="8">
        <v>154</v>
      </c>
      <c r="M814" s="8">
        <v>74</v>
      </c>
      <c r="N814" s="8">
        <v>1.1100000000000001</v>
      </c>
      <c r="O814" s="8">
        <v>612</v>
      </c>
      <c r="P814" s="8" t="s">
        <v>20</v>
      </c>
      <c r="Q814" s="8" t="str">
        <f>_xlfn.IFS(AND(Table13[[#This Row],[Gender]]="female",R814&lt;20),"Athletes",AND(Table13[[#This Row],[Gender]]="female",R814&lt;24),"Fitnesss",AND(Table13[[#This Row],[Gender]]="female",R814&lt;31),"Acceptable",AND(Table13[[#This Row],[Gender]]="female",R814&lt;40),"Obese",AND(Table13[[#This Row],[Gender]]="male",R814&lt;13),"Athletes",AND(Table13[[#This Row],[Gender]]="male",R814&lt;17),"Fitnesss",AND(Table13[[#This Row],[Gender]]="male",R814&lt;24.9),"Acceptable",AND(Table13[[#This Row],[Gender]]="male",R814&lt;40),"Obese",AND(Table13[[#This Row],[Gender]]="others",R814&lt;20),"Athletes",AND(Table13[[#This Row],[Gender]]="others",R814&lt;24),"Fitnesss",AND(Table13[[#This Row],[Gender]]="others",R814&lt;31),"Acceptable",AND(Table13[[#This Row],[Gender]]="others",R814&lt;40),"Obese")</f>
        <v>Acceptable</v>
      </c>
      <c r="R814" s="8">
        <v>24</v>
      </c>
      <c r="S814" s="8">
        <v>3.5</v>
      </c>
      <c r="T814" s="8">
        <v>2</v>
      </c>
      <c r="U814" s="8">
        <v>2</v>
      </c>
      <c r="V814" s="8" t="str">
        <f>IF(Table13[[#This Row],[BMI]]&lt;=18.5,"Underweight",IF(Table13[[#This Row],[BMI]]&lt;=24.9,"Normal",IF(Table13[[#This Row],[BMI]]&lt;=29.9,"Overweight",IF(Table13[[#This Row],[BMI]]&lt;=39,"Obese","Severly Obese"))))</f>
        <v>Normal</v>
      </c>
      <c r="W814" s="18">
        <v>20.62</v>
      </c>
    </row>
    <row r="815" spans="6:23" x14ac:dyDescent="0.3">
      <c r="F815" s="17">
        <v>18</v>
      </c>
      <c r="G815" s="8" t="str">
        <f>IF(Table13[[#This Row],[Age]]&lt;25,"18-24",IF(Table13[[#This Row],[Age]]&lt;35,"25-34",IF(Table13[[#This Row],[Age]]&lt;45,"35-44",IF(Table13[[#This Row],[Age]]&lt;55,"45-54","55-64"))))</f>
        <v>18-24</v>
      </c>
      <c r="H815" s="8" t="s">
        <v>17</v>
      </c>
      <c r="I815" s="8">
        <v>46</v>
      </c>
      <c r="J815" s="8">
        <v>1.79</v>
      </c>
      <c r="K815" s="8">
        <v>177</v>
      </c>
      <c r="L815" s="8">
        <v>140</v>
      </c>
      <c r="M815" s="8">
        <v>68</v>
      </c>
      <c r="N815" s="8">
        <v>2</v>
      </c>
      <c r="O815" s="8">
        <v>1386</v>
      </c>
      <c r="P815" s="8" t="s">
        <v>20</v>
      </c>
      <c r="Q815" s="8" t="str">
        <f>_xlfn.IFS(AND(Table13[[#This Row],[Gender]]="female",R815&lt;20),"Athletes",AND(Table13[[#This Row],[Gender]]="female",R815&lt;24),"Fitnesss",AND(Table13[[#This Row],[Gender]]="female",R815&lt;31),"Acceptable",AND(Table13[[#This Row],[Gender]]="female",R815&lt;40),"Obese",AND(Table13[[#This Row],[Gender]]="male",R815&lt;13),"Athletes",AND(Table13[[#This Row],[Gender]]="male",R815&lt;17),"Fitnesss",AND(Table13[[#This Row],[Gender]]="male",R815&lt;24.9),"Acceptable",AND(Table13[[#This Row],[Gender]]="male",R815&lt;40),"Obese",AND(Table13[[#This Row],[Gender]]="others",R815&lt;20),"Athletes",AND(Table13[[#This Row],[Gender]]="others",R815&lt;24),"Fitnesss",AND(Table13[[#This Row],[Gender]]="others",R815&lt;31),"Acceptable",AND(Table13[[#This Row],[Gender]]="others",R815&lt;40),"Obese")</f>
        <v>Fitnesss</v>
      </c>
      <c r="R815" s="8">
        <v>23.6</v>
      </c>
      <c r="S815" s="8">
        <v>3.2</v>
      </c>
      <c r="T815" s="8">
        <v>3</v>
      </c>
      <c r="U815" s="8">
        <v>2</v>
      </c>
      <c r="V815" s="8" t="str">
        <f>IF(Table13[[#This Row],[BMI]]&lt;=18.5,"Underweight",IF(Table13[[#This Row],[BMI]]&lt;=24.9,"Normal",IF(Table13[[#This Row],[BMI]]&lt;=29.9,"Overweight",IF(Table13[[#This Row],[BMI]]&lt;=39,"Obese","Severly Obese"))))</f>
        <v>Underweight</v>
      </c>
      <c r="W815" s="18">
        <v>18</v>
      </c>
    </row>
    <row r="816" spans="6:23" x14ac:dyDescent="0.3">
      <c r="F816" s="17">
        <v>18</v>
      </c>
      <c r="G816" s="8" t="str">
        <f>IF(Table13[[#This Row],[Age]]&lt;25,"18-24",IF(Table13[[#This Row],[Age]]&lt;35,"25-34",IF(Table13[[#This Row],[Age]]&lt;45,"35-44",IF(Table13[[#This Row],[Age]]&lt;55,"45-54","55-64"))))</f>
        <v>18-24</v>
      </c>
      <c r="H816" s="8" t="s">
        <v>19</v>
      </c>
      <c r="I816" s="8">
        <v>74.8</v>
      </c>
      <c r="J816" s="8">
        <v>1.76</v>
      </c>
      <c r="K816" s="8">
        <v>186</v>
      </c>
      <c r="L816" s="8">
        <v>134</v>
      </c>
      <c r="M816" s="8">
        <v>68</v>
      </c>
      <c r="N816" s="8">
        <v>0.5</v>
      </c>
      <c r="O816" s="8">
        <v>1783</v>
      </c>
      <c r="P816" s="8" t="s">
        <v>20</v>
      </c>
      <c r="Q816" s="8" t="str">
        <f>_xlfn.IFS(AND(Table13[[#This Row],[Gender]]="female",R816&lt;20),"Athletes",AND(Table13[[#This Row],[Gender]]="female",R816&lt;24),"Fitnesss",AND(Table13[[#This Row],[Gender]]="female",R816&lt;31),"Acceptable",AND(Table13[[#This Row],[Gender]]="female",R816&lt;40),"Obese",AND(Table13[[#This Row],[Gender]]="male",R816&lt;13),"Athletes",AND(Table13[[#This Row],[Gender]]="male",R816&lt;17),"Fitnesss",AND(Table13[[#This Row],[Gender]]="male",R816&lt;24.9),"Acceptable",AND(Table13[[#This Row],[Gender]]="male",R816&lt;40),"Obese",AND(Table13[[#This Row],[Gender]]="others",R816&lt;20),"Athletes",AND(Table13[[#This Row],[Gender]]="others",R816&lt;24),"Fitnesss",AND(Table13[[#This Row],[Gender]]="others",R816&lt;31),"Acceptable",AND(Table13[[#This Row],[Gender]]="others",R816&lt;40),"Obese")</f>
        <v>Acceptable</v>
      </c>
      <c r="R816" s="8">
        <v>21.8</v>
      </c>
      <c r="S816" s="8">
        <v>3.5</v>
      </c>
      <c r="T816" s="8">
        <v>4</v>
      </c>
      <c r="U816" s="8">
        <v>3</v>
      </c>
      <c r="V816" s="8" t="str">
        <f>IF(Table13[[#This Row],[BMI]]&lt;=18.5,"Underweight",IF(Table13[[#This Row],[BMI]]&lt;=24.9,"Normal",IF(Table13[[#This Row],[BMI]]&lt;=29.9,"Overweight",IF(Table13[[#This Row],[BMI]]&lt;=39,"Obese","Severly Obese"))))</f>
        <v>Normal</v>
      </c>
      <c r="W816" s="18">
        <v>23.47</v>
      </c>
    </row>
    <row r="817" spans="6:23" x14ac:dyDescent="0.3">
      <c r="F817" s="17">
        <v>54</v>
      </c>
      <c r="G817" s="8" t="str">
        <f>IF(Table13[[#This Row],[Age]]&lt;25,"18-24",IF(Table13[[#This Row],[Age]]&lt;35,"25-34",IF(Table13[[#This Row],[Age]]&lt;45,"35-44",IF(Table13[[#This Row],[Age]]&lt;55,"45-54","55-64"))))</f>
        <v>45-54</v>
      </c>
      <c r="H817" s="8" t="s">
        <v>19</v>
      </c>
      <c r="I817" s="8">
        <v>46.3</v>
      </c>
      <c r="J817" s="8">
        <v>1.62</v>
      </c>
      <c r="K817" s="8">
        <v>161</v>
      </c>
      <c r="L817" s="8">
        <v>138</v>
      </c>
      <c r="M817" s="8">
        <v>60</v>
      </c>
      <c r="N817" s="8">
        <v>1.03</v>
      </c>
      <c r="O817" s="8">
        <v>1175</v>
      </c>
      <c r="P817" s="8" t="s">
        <v>21</v>
      </c>
      <c r="Q817" s="8" t="str">
        <f>_xlfn.IFS(AND(Table13[[#This Row],[Gender]]="female",R817&lt;20),"Athletes",AND(Table13[[#This Row],[Gender]]="female",R817&lt;24),"Fitnesss",AND(Table13[[#This Row],[Gender]]="female",R817&lt;31),"Acceptable",AND(Table13[[#This Row],[Gender]]="female",R817&lt;40),"Obese",AND(Table13[[#This Row],[Gender]]="male",R817&lt;13),"Athletes",AND(Table13[[#This Row],[Gender]]="male",R817&lt;17),"Fitnesss",AND(Table13[[#This Row],[Gender]]="male",R817&lt;24.9),"Acceptable",AND(Table13[[#This Row],[Gender]]="male",R817&lt;40),"Obese",AND(Table13[[#This Row],[Gender]]="others",R817&lt;20),"Athletes",AND(Table13[[#This Row],[Gender]]="others",R817&lt;24),"Fitnesss",AND(Table13[[#This Row],[Gender]]="others",R817&lt;31),"Acceptable",AND(Table13[[#This Row],[Gender]]="others",R817&lt;40),"Obese")</f>
        <v>Obese</v>
      </c>
      <c r="R817" s="8">
        <v>32.200000000000003</v>
      </c>
      <c r="S817" s="8">
        <v>2.5</v>
      </c>
      <c r="T817" s="8">
        <v>4</v>
      </c>
      <c r="U817" s="8">
        <v>2</v>
      </c>
      <c r="V817" s="8" t="str">
        <f>IF(Table13[[#This Row],[BMI]]&lt;=18.5,"Underweight",IF(Table13[[#This Row],[BMI]]&lt;=24.9,"Normal",IF(Table13[[#This Row],[BMI]]&lt;=29.9,"Overweight",IF(Table13[[#This Row],[BMI]]&lt;=39,"Obese","Severly Obese"))))</f>
        <v>Normal</v>
      </c>
      <c r="W817" s="18">
        <v>19.440000000000001</v>
      </c>
    </row>
    <row r="818" spans="6:23" x14ac:dyDescent="0.3">
      <c r="F818" s="17">
        <v>24</v>
      </c>
      <c r="G818" s="8" t="str">
        <f>IF(Table13[[#This Row],[Age]]&lt;25,"18-24",IF(Table13[[#This Row],[Age]]&lt;35,"25-34",IF(Table13[[#This Row],[Age]]&lt;45,"35-44",IF(Table13[[#This Row],[Age]]&lt;55,"45-54","55-64"))))</f>
        <v>18-24</v>
      </c>
      <c r="H818" s="8" t="s">
        <v>19</v>
      </c>
      <c r="I818" s="8">
        <v>87.1</v>
      </c>
      <c r="J818" s="8">
        <v>1.9</v>
      </c>
      <c r="K818" s="8">
        <v>196</v>
      </c>
      <c r="L818" s="8">
        <v>122</v>
      </c>
      <c r="M818" s="8">
        <v>51</v>
      </c>
      <c r="N818" s="8">
        <v>1.42</v>
      </c>
      <c r="O818" s="8">
        <v>1153</v>
      </c>
      <c r="P818" s="8" t="s">
        <v>22</v>
      </c>
      <c r="Q818" s="8" t="str">
        <f>_xlfn.IFS(AND(Table13[[#This Row],[Gender]]="female",R818&lt;20),"Athletes",AND(Table13[[#This Row],[Gender]]="female",R818&lt;24),"Fitnesss",AND(Table13[[#This Row],[Gender]]="female",R818&lt;31),"Acceptable",AND(Table13[[#This Row],[Gender]]="female",R818&lt;40),"Obese",AND(Table13[[#This Row],[Gender]]="male",R818&lt;13),"Athletes",AND(Table13[[#This Row],[Gender]]="male",R818&lt;17),"Fitnesss",AND(Table13[[#This Row],[Gender]]="male",R818&lt;24.9),"Acceptable",AND(Table13[[#This Row],[Gender]]="male",R818&lt;40),"Obese",AND(Table13[[#This Row],[Gender]]="others",R818&lt;20),"Athletes",AND(Table13[[#This Row],[Gender]]="others",R818&lt;24),"Fitnesss",AND(Table13[[#This Row],[Gender]]="others",R818&lt;31),"Acceptable",AND(Table13[[#This Row],[Gender]]="others",R818&lt;40),"Obese")</f>
        <v>Obese</v>
      </c>
      <c r="R818" s="8">
        <v>27.6</v>
      </c>
      <c r="S818" s="8">
        <v>3.3</v>
      </c>
      <c r="T818" s="8">
        <v>3</v>
      </c>
      <c r="U818" s="8">
        <v>1</v>
      </c>
      <c r="V818" s="8" t="str">
        <f>IF(Table13[[#This Row],[BMI]]&lt;=18.5,"Underweight",IF(Table13[[#This Row],[BMI]]&lt;=24.9,"Normal",IF(Table13[[#This Row],[BMI]]&lt;=29.9,"Overweight",IF(Table13[[#This Row],[BMI]]&lt;=39,"Obese","Severly Obese"))))</f>
        <v>Obese</v>
      </c>
      <c r="W818" s="18">
        <v>36.549999999999997</v>
      </c>
    </row>
    <row r="819" spans="6:23" x14ac:dyDescent="0.3">
      <c r="F819" s="17">
        <v>43</v>
      </c>
      <c r="G819" s="8" t="str">
        <f>IF(Table13[[#This Row],[Age]]&lt;25,"18-24",IF(Table13[[#This Row],[Age]]&lt;35,"25-34",IF(Table13[[#This Row],[Age]]&lt;45,"35-44",IF(Table13[[#This Row],[Age]]&lt;55,"45-54","55-64"))))</f>
        <v>35-44</v>
      </c>
      <c r="H819" s="8" t="s">
        <v>17</v>
      </c>
      <c r="I819" s="8">
        <v>40</v>
      </c>
      <c r="J819" s="8">
        <v>1.89</v>
      </c>
      <c r="K819" s="8">
        <v>169</v>
      </c>
      <c r="L819" s="8">
        <v>134</v>
      </c>
      <c r="M819" s="8">
        <v>54</v>
      </c>
      <c r="N819" s="8">
        <v>0.56999999999999995</v>
      </c>
      <c r="O819" s="8">
        <v>1267</v>
      </c>
      <c r="P819" s="8" t="s">
        <v>21</v>
      </c>
      <c r="Q819" s="8" t="str">
        <f>_xlfn.IFS(AND(Table13[[#This Row],[Gender]]="female",R819&lt;20),"Athletes",AND(Table13[[#This Row],[Gender]]="female",R819&lt;24),"Fitnesss",AND(Table13[[#This Row],[Gender]]="female",R819&lt;31),"Acceptable",AND(Table13[[#This Row],[Gender]]="female",R819&lt;40),"Obese",AND(Table13[[#This Row],[Gender]]="male",R819&lt;13),"Athletes",AND(Table13[[#This Row],[Gender]]="male",R819&lt;17),"Fitnesss",AND(Table13[[#This Row],[Gender]]="male",R819&lt;24.9),"Acceptable",AND(Table13[[#This Row],[Gender]]="male",R819&lt;40),"Obese",AND(Table13[[#This Row],[Gender]]="others",R819&lt;20),"Athletes",AND(Table13[[#This Row],[Gender]]="others",R819&lt;24),"Fitnesss",AND(Table13[[#This Row],[Gender]]="others",R819&lt;31),"Acceptable",AND(Table13[[#This Row],[Gender]]="others",R819&lt;40),"Obese")</f>
        <v>Fitnesss</v>
      </c>
      <c r="R819" s="8">
        <v>21.4</v>
      </c>
      <c r="S819" s="8">
        <v>1.5</v>
      </c>
      <c r="T819" s="8">
        <v>4</v>
      </c>
      <c r="U819" s="8">
        <v>2</v>
      </c>
      <c r="V819" s="8" t="str">
        <f>IF(Table13[[#This Row],[BMI]]&lt;=18.5,"Underweight",IF(Table13[[#This Row],[BMI]]&lt;=24.9,"Normal",IF(Table13[[#This Row],[BMI]]&lt;=29.9,"Overweight",IF(Table13[[#This Row],[BMI]]&lt;=39,"Obese","Severly Obese"))))</f>
        <v>Underweight</v>
      </c>
      <c r="W819" s="18">
        <v>12.32</v>
      </c>
    </row>
    <row r="820" spans="6:23" x14ac:dyDescent="0.3">
      <c r="F820" s="17">
        <v>18</v>
      </c>
      <c r="G820" s="8" t="str">
        <f>IF(Table13[[#This Row],[Age]]&lt;25,"18-24",IF(Table13[[#This Row],[Age]]&lt;35,"25-34",IF(Table13[[#This Row],[Age]]&lt;45,"35-44",IF(Table13[[#This Row],[Age]]&lt;55,"45-54","55-64"))))</f>
        <v>18-24</v>
      </c>
      <c r="H820" s="8" t="s">
        <v>17</v>
      </c>
      <c r="I820" s="8">
        <v>49.3</v>
      </c>
      <c r="J820" s="8">
        <v>1.71</v>
      </c>
      <c r="K820" s="8">
        <v>162</v>
      </c>
      <c r="L820" s="8">
        <v>160</v>
      </c>
      <c r="M820" s="8">
        <v>52</v>
      </c>
      <c r="N820" s="8">
        <v>1.23</v>
      </c>
      <c r="O820" s="8">
        <v>375</v>
      </c>
      <c r="P820" s="8" t="s">
        <v>22</v>
      </c>
      <c r="Q820" s="8" t="str">
        <f>_xlfn.IFS(AND(Table13[[#This Row],[Gender]]="female",R820&lt;20),"Athletes",AND(Table13[[#This Row],[Gender]]="female",R820&lt;24),"Fitnesss",AND(Table13[[#This Row],[Gender]]="female",R820&lt;31),"Acceptable",AND(Table13[[#This Row],[Gender]]="female",R820&lt;40),"Obese",AND(Table13[[#This Row],[Gender]]="male",R820&lt;13),"Athletes",AND(Table13[[#This Row],[Gender]]="male",R820&lt;17),"Fitnesss",AND(Table13[[#This Row],[Gender]]="male",R820&lt;24.9),"Acceptable",AND(Table13[[#This Row],[Gender]]="male",R820&lt;40),"Obese",AND(Table13[[#This Row],[Gender]]="others",R820&lt;20),"Athletes",AND(Table13[[#This Row],[Gender]]="others",R820&lt;24),"Fitnesss",AND(Table13[[#This Row],[Gender]]="others",R820&lt;31),"Acceptable",AND(Table13[[#This Row],[Gender]]="others",R820&lt;40),"Obese")</f>
        <v>Acceptable</v>
      </c>
      <c r="R820" s="8">
        <v>29.4</v>
      </c>
      <c r="S820" s="8">
        <v>3.4</v>
      </c>
      <c r="T820" s="8">
        <v>5</v>
      </c>
      <c r="U820" s="8"/>
      <c r="V820" s="8" t="str">
        <f>IF(Table13[[#This Row],[BMI]]&lt;=18.5,"Underweight",IF(Table13[[#This Row],[BMI]]&lt;=24.9,"Normal",IF(Table13[[#This Row],[BMI]]&lt;=29.9,"Overweight",IF(Table13[[#This Row],[BMI]]&lt;=39,"Obese","Severly Obese"))))</f>
        <v>Underweight</v>
      </c>
      <c r="W820" s="18">
        <v>14.06</v>
      </c>
    </row>
    <row r="821" spans="6:23" x14ac:dyDescent="0.3">
      <c r="F821" s="17">
        <v>18</v>
      </c>
      <c r="G821" s="8" t="str">
        <f>IF(Table13[[#This Row],[Age]]&lt;25,"18-24",IF(Table13[[#This Row],[Age]]&lt;35,"25-34",IF(Table13[[#This Row],[Age]]&lt;45,"35-44",IF(Table13[[#This Row],[Age]]&lt;55,"45-54","55-64"))))</f>
        <v>18-24</v>
      </c>
      <c r="H821" s="8" t="s">
        <v>17</v>
      </c>
      <c r="I821" s="8">
        <v>67.900000000000006</v>
      </c>
      <c r="J821" s="8">
        <v>1.81</v>
      </c>
      <c r="K821" s="8">
        <v>194</v>
      </c>
      <c r="L821" s="8">
        <v>137</v>
      </c>
      <c r="M821" s="8">
        <v>73</v>
      </c>
      <c r="N821" s="8">
        <v>1.19</v>
      </c>
      <c r="O821" s="8">
        <v>1405</v>
      </c>
      <c r="P821" s="8" t="s">
        <v>20</v>
      </c>
      <c r="Q821" s="8" t="str">
        <f>_xlfn.IFS(AND(Table13[[#This Row],[Gender]]="female",R821&lt;20),"Athletes",AND(Table13[[#This Row],[Gender]]="female",R821&lt;24),"Fitnesss",AND(Table13[[#This Row],[Gender]]="female",R821&lt;31),"Acceptable",AND(Table13[[#This Row],[Gender]]="female",R821&lt;40),"Obese",AND(Table13[[#This Row],[Gender]]="male",R821&lt;13),"Athletes",AND(Table13[[#This Row],[Gender]]="male",R821&lt;17),"Fitnesss",AND(Table13[[#This Row],[Gender]]="male",R821&lt;24.9),"Acceptable",AND(Table13[[#This Row],[Gender]]="male",R821&lt;40),"Obese",AND(Table13[[#This Row],[Gender]]="others",R821&lt;20),"Athletes",AND(Table13[[#This Row],[Gender]]="others",R821&lt;24),"Fitnesss",AND(Table13[[#This Row],[Gender]]="others",R821&lt;31),"Acceptable",AND(Table13[[#This Row],[Gender]]="others",R821&lt;40),"Obese")</f>
        <v>Obese</v>
      </c>
      <c r="R821" s="8">
        <v>33.799999999999997</v>
      </c>
      <c r="S821" s="8">
        <v>3.2</v>
      </c>
      <c r="T821" s="8">
        <v>2</v>
      </c>
      <c r="U821" s="8">
        <v>1</v>
      </c>
      <c r="V821" s="8" t="str">
        <f>IF(Table13[[#This Row],[BMI]]&lt;=18.5,"Underweight",IF(Table13[[#This Row],[BMI]]&lt;=24.9,"Normal",IF(Table13[[#This Row],[BMI]]&lt;=29.9,"Overweight",IF(Table13[[#This Row],[BMI]]&lt;=39,"Obese","Severly Obese"))))</f>
        <v>Underweight</v>
      </c>
      <c r="W821" s="18">
        <v>12.32</v>
      </c>
    </row>
    <row r="822" spans="6:23" x14ac:dyDescent="0.3">
      <c r="F822" s="17">
        <v>33</v>
      </c>
      <c r="G822" s="8" t="str">
        <f>IF(Table13[[#This Row],[Age]]&lt;25,"18-24",IF(Table13[[#This Row],[Age]]&lt;35,"25-34",IF(Table13[[#This Row],[Age]]&lt;45,"35-44",IF(Table13[[#This Row],[Age]]&lt;55,"45-54","55-64"))))</f>
        <v>25-34</v>
      </c>
      <c r="H822" s="8" t="s">
        <v>19</v>
      </c>
      <c r="I822" s="8">
        <v>49.7</v>
      </c>
      <c r="J822" s="8">
        <v>1.82</v>
      </c>
      <c r="K822" s="8">
        <v>179</v>
      </c>
      <c r="L822" s="8">
        <v>169</v>
      </c>
      <c r="M822" s="8">
        <v>71</v>
      </c>
      <c r="N822" s="8">
        <v>1.55</v>
      </c>
      <c r="O822" s="8">
        <v>968</v>
      </c>
      <c r="P822" s="8" t="s">
        <v>20</v>
      </c>
      <c r="Q822" s="8" t="str">
        <f>_xlfn.IFS(AND(Table13[[#This Row],[Gender]]="female",R822&lt;20),"Athletes",AND(Table13[[#This Row],[Gender]]="female",R822&lt;24),"Fitnesss",AND(Table13[[#This Row],[Gender]]="female",R822&lt;31),"Acceptable",AND(Table13[[#This Row],[Gender]]="female",R822&lt;40),"Obese",AND(Table13[[#This Row],[Gender]]="male",R822&lt;13),"Athletes",AND(Table13[[#This Row],[Gender]]="male",R822&lt;17),"Fitnesss",AND(Table13[[#This Row],[Gender]]="male",R822&lt;24.9),"Acceptable",AND(Table13[[#This Row],[Gender]]="male",R822&lt;40),"Obese",AND(Table13[[#This Row],[Gender]]="others",R822&lt;20),"Athletes",AND(Table13[[#This Row],[Gender]]="others",R822&lt;24),"Fitnesss",AND(Table13[[#This Row],[Gender]]="others",R822&lt;31),"Acceptable",AND(Table13[[#This Row],[Gender]]="others",R822&lt;40),"Obese")</f>
        <v>Obese</v>
      </c>
      <c r="R822" s="8">
        <v>32.200000000000003</v>
      </c>
      <c r="S822" s="8">
        <v>3.6</v>
      </c>
      <c r="T822" s="8">
        <v>4</v>
      </c>
      <c r="U822" s="8">
        <v>3</v>
      </c>
      <c r="V822" s="8" t="str">
        <f>IF(Table13[[#This Row],[BMI]]&lt;=18.5,"Underweight",IF(Table13[[#This Row],[BMI]]&lt;=24.9,"Normal",IF(Table13[[#This Row],[BMI]]&lt;=29.9,"Overweight",IF(Table13[[#This Row],[BMI]]&lt;=39,"Obese","Severly Obese"))))</f>
        <v>Normal</v>
      </c>
      <c r="W822" s="18">
        <v>21.87</v>
      </c>
    </row>
    <row r="823" spans="6:23" x14ac:dyDescent="0.3">
      <c r="F823" s="17">
        <v>49</v>
      </c>
      <c r="G823" s="8" t="str">
        <f>IF(Table13[[#This Row],[Age]]&lt;25,"18-24",IF(Table13[[#This Row],[Age]]&lt;35,"25-34",IF(Table13[[#This Row],[Age]]&lt;45,"35-44",IF(Table13[[#This Row],[Age]]&lt;55,"45-54","55-64"))))</f>
        <v>45-54</v>
      </c>
      <c r="H823" s="8" t="s">
        <v>19</v>
      </c>
      <c r="I823" s="8">
        <v>88.4</v>
      </c>
      <c r="J823" s="8">
        <v>1.75</v>
      </c>
      <c r="K823" s="8">
        <v>192</v>
      </c>
      <c r="L823" s="8">
        <v>145</v>
      </c>
      <c r="M823" s="8">
        <v>74</v>
      </c>
      <c r="N823" s="8">
        <v>1.27</v>
      </c>
      <c r="O823" s="8">
        <v>493</v>
      </c>
      <c r="P823" s="8" t="s">
        <v>22</v>
      </c>
      <c r="Q823" s="8" t="str">
        <f>_xlfn.IFS(AND(Table13[[#This Row],[Gender]]="female",R823&lt;20),"Athletes",AND(Table13[[#This Row],[Gender]]="female",R823&lt;24),"Fitnesss",AND(Table13[[#This Row],[Gender]]="female",R823&lt;31),"Acceptable",AND(Table13[[#This Row],[Gender]]="female",R823&lt;40),"Obese",AND(Table13[[#This Row],[Gender]]="male",R823&lt;13),"Athletes",AND(Table13[[#This Row],[Gender]]="male",R823&lt;17),"Fitnesss",AND(Table13[[#This Row],[Gender]]="male",R823&lt;24.9),"Acceptable",AND(Table13[[#This Row],[Gender]]="male",R823&lt;40),"Obese",AND(Table13[[#This Row],[Gender]]="others",R823&lt;20),"Athletes",AND(Table13[[#This Row],[Gender]]="others",R823&lt;24),"Fitnesss",AND(Table13[[#This Row],[Gender]]="others",R823&lt;31),"Acceptable",AND(Table13[[#This Row],[Gender]]="others",R823&lt;40),"Obese")</f>
        <v>Acceptable</v>
      </c>
      <c r="R823" s="8">
        <v>23.5</v>
      </c>
      <c r="S823" s="8">
        <v>2.2000000000000002</v>
      </c>
      <c r="T823" s="8">
        <v>3</v>
      </c>
      <c r="U823" s="8">
        <v>1</v>
      </c>
      <c r="V823" s="8" t="str">
        <f>IF(Table13[[#This Row],[BMI]]&lt;=18.5,"Underweight",IF(Table13[[#This Row],[BMI]]&lt;=24.9,"Normal",IF(Table13[[#This Row],[BMI]]&lt;=29.9,"Overweight",IF(Table13[[#This Row],[BMI]]&lt;=39,"Obese","Severly Obese"))))</f>
        <v>Underweight</v>
      </c>
      <c r="W823" s="18">
        <v>12.42</v>
      </c>
    </row>
    <row r="824" spans="6:23" x14ac:dyDescent="0.3">
      <c r="F824" s="17">
        <v>48</v>
      </c>
      <c r="G824" s="8" t="str">
        <f>IF(Table13[[#This Row],[Age]]&lt;25,"18-24",IF(Table13[[#This Row],[Age]]&lt;35,"25-34",IF(Table13[[#This Row],[Age]]&lt;45,"35-44",IF(Table13[[#This Row],[Age]]&lt;55,"45-54","55-64"))))</f>
        <v>45-54</v>
      </c>
      <c r="H824" s="8" t="s">
        <v>19</v>
      </c>
      <c r="I824" s="8">
        <v>45.8</v>
      </c>
      <c r="J824" s="8"/>
      <c r="K824" s="8">
        <v>167</v>
      </c>
      <c r="L824" s="8">
        <v>135</v>
      </c>
      <c r="M824" s="8">
        <v>53</v>
      </c>
      <c r="N824" s="8">
        <v>1.28</v>
      </c>
      <c r="O824" s="8">
        <v>1239</v>
      </c>
      <c r="P824" s="8" t="s">
        <v>18</v>
      </c>
      <c r="Q824" s="8" t="str">
        <f>_xlfn.IFS(AND(Table13[[#This Row],[Gender]]="female",R824&lt;20),"Athletes",AND(Table13[[#This Row],[Gender]]="female",R824&lt;24),"Fitnesss",AND(Table13[[#This Row],[Gender]]="female",R824&lt;31),"Acceptable",AND(Table13[[#This Row],[Gender]]="female",R824&lt;40),"Obese",AND(Table13[[#This Row],[Gender]]="male",R824&lt;13),"Athletes",AND(Table13[[#This Row],[Gender]]="male",R824&lt;17),"Fitnesss",AND(Table13[[#This Row],[Gender]]="male",R824&lt;24.9),"Acceptable",AND(Table13[[#This Row],[Gender]]="male",R824&lt;40),"Obese",AND(Table13[[#This Row],[Gender]]="others",R824&lt;20),"Athletes",AND(Table13[[#This Row],[Gender]]="others",R824&lt;24),"Fitnesss",AND(Table13[[#This Row],[Gender]]="others",R824&lt;31),"Acceptable",AND(Table13[[#This Row],[Gender]]="others",R824&lt;40),"Obese")</f>
        <v>Acceptable</v>
      </c>
      <c r="R824" s="8">
        <v>24.5</v>
      </c>
      <c r="S824" s="8">
        <v>1.6</v>
      </c>
      <c r="T824" s="8">
        <v>4</v>
      </c>
      <c r="U824" s="8"/>
      <c r="V824" s="8" t="str">
        <f>IF(Table13[[#This Row],[BMI]]&lt;=18.5,"Underweight",IF(Table13[[#This Row],[BMI]]&lt;=24.9,"Normal",IF(Table13[[#This Row],[BMI]]&lt;=29.9,"Overweight",IF(Table13[[#This Row],[BMI]]&lt;=39,"Obese","Severly Obese"))))</f>
        <v>Normal</v>
      </c>
      <c r="W824" s="18">
        <v>19.27</v>
      </c>
    </row>
    <row r="825" spans="6:23" x14ac:dyDescent="0.3">
      <c r="F825" s="17">
        <v>19</v>
      </c>
      <c r="G825" s="8" t="str">
        <f>IF(Table13[[#This Row],[Age]]&lt;25,"18-24",IF(Table13[[#This Row],[Age]]&lt;35,"25-34",IF(Table13[[#This Row],[Age]]&lt;45,"35-44",IF(Table13[[#This Row],[Age]]&lt;55,"45-54","55-64"))))</f>
        <v>18-24</v>
      </c>
      <c r="H825" s="8" t="s">
        <v>19</v>
      </c>
      <c r="I825" s="8">
        <v>129.9</v>
      </c>
      <c r="J825" s="8">
        <v>1.82</v>
      </c>
      <c r="K825" s="8">
        <v>182</v>
      </c>
      <c r="L825" s="8">
        <v>158</v>
      </c>
      <c r="M825" s="8">
        <v>70</v>
      </c>
      <c r="N825" s="8">
        <v>1.44</v>
      </c>
      <c r="O825" s="8">
        <v>1155</v>
      </c>
      <c r="P825" s="8" t="s">
        <v>20</v>
      </c>
      <c r="Q825" s="8" t="str">
        <f>_xlfn.IFS(AND(Table13[[#This Row],[Gender]]="female",R825&lt;20),"Athletes",AND(Table13[[#This Row],[Gender]]="female",R825&lt;24),"Fitnesss",AND(Table13[[#This Row],[Gender]]="female",R825&lt;31),"Acceptable",AND(Table13[[#This Row],[Gender]]="female",R825&lt;40),"Obese",AND(Table13[[#This Row],[Gender]]="male",R825&lt;13),"Athletes",AND(Table13[[#This Row],[Gender]]="male",R825&lt;17),"Fitnesss",AND(Table13[[#This Row],[Gender]]="male",R825&lt;24.9),"Acceptable",AND(Table13[[#This Row],[Gender]]="male",R825&lt;40),"Obese",AND(Table13[[#This Row],[Gender]]="others",R825&lt;20),"Athletes",AND(Table13[[#This Row],[Gender]]="others",R825&lt;24),"Fitnesss",AND(Table13[[#This Row],[Gender]]="others",R825&lt;31),"Acceptable",AND(Table13[[#This Row],[Gender]]="others",R825&lt;40),"Obese")</f>
        <v>Acceptable</v>
      </c>
      <c r="R825" s="8">
        <v>20.2</v>
      </c>
      <c r="S825" s="8">
        <v>3.6</v>
      </c>
      <c r="T825" s="8"/>
      <c r="U825" s="8">
        <v>1</v>
      </c>
      <c r="V825" s="8" t="str">
        <f>IF(Table13[[#This Row],[BMI]]&lt;=18.5,"Underweight",IF(Table13[[#This Row],[BMI]]&lt;=24.9,"Normal",IF(Table13[[#This Row],[BMI]]&lt;=29.9,"Overweight",IF(Table13[[#This Row],[BMI]]&lt;=39,"Obese","Severly Obese"))))</f>
        <v>Underweight</v>
      </c>
      <c r="W825" s="18">
        <v>17.37</v>
      </c>
    </row>
    <row r="826" spans="6:23" x14ac:dyDescent="0.3">
      <c r="F826" s="17">
        <v>35</v>
      </c>
      <c r="G826" s="8" t="str">
        <f>IF(Table13[[#This Row],[Age]]&lt;25,"18-24",IF(Table13[[#This Row],[Age]]&lt;35,"25-34",IF(Table13[[#This Row],[Age]]&lt;45,"35-44",IF(Table13[[#This Row],[Age]]&lt;55,"45-54","55-64"))))</f>
        <v>35-44</v>
      </c>
      <c r="H826" s="8" t="s">
        <v>19</v>
      </c>
      <c r="I826" s="8">
        <v>40.299999999999997</v>
      </c>
      <c r="J826" s="8">
        <v>1.79</v>
      </c>
      <c r="K826" s="8">
        <v>183</v>
      </c>
      <c r="L826" s="8">
        <v>120</v>
      </c>
      <c r="M826" s="8">
        <v>68</v>
      </c>
      <c r="N826" s="8">
        <v>1.24</v>
      </c>
      <c r="O826" s="8">
        <v>1420</v>
      </c>
      <c r="P826" s="8" t="s">
        <v>18</v>
      </c>
      <c r="Q826" s="8" t="str">
        <f>_xlfn.IFS(AND(Table13[[#This Row],[Gender]]="female",R826&lt;20),"Athletes",AND(Table13[[#This Row],[Gender]]="female",R826&lt;24),"Fitnesss",AND(Table13[[#This Row],[Gender]]="female",R826&lt;31),"Acceptable",AND(Table13[[#This Row],[Gender]]="female",R826&lt;40),"Obese",AND(Table13[[#This Row],[Gender]]="male",R826&lt;13),"Athletes",AND(Table13[[#This Row],[Gender]]="male",R826&lt;17),"Fitnesss",AND(Table13[[#This Row],[Gender]]="male",R826&lt;24.9),"Acceptable",AND(Table13[[#This Row],[Gender]]="male",R826&lt;40),"Obese",AND(Table13[[#This Row],[Gender]]="others",R826&lt;20),"Athletes",AND(Table13[[#This Row],[Gender]]="others",R826&lt;24),"Fitnesss",AND(Table13[[#This Row],[Gender]]="others",R826&lt;31),"Acceptable",AND(Table13[[#This Row],[Gender]]="others",R826&lt;40),"Obese")</f>
        <v>Fitnesss</v>
      </c>
      <c r="R826" s="8">
        <v>14.5</v>
      </c>
      <c r="S826" s="8">
        <v>1.7</v>
      </c>
      <c r="T826" s="8">
        <v>5</v>
      </c>
      <c r="U826" s="8">
        <v>1</v>
      </c>
      <c r="V826" s="8" t="str">
        <f>IF(Table13[[#This Row],[BMI]]&lt;=18.5,"Underweight",IF(Table13[[#This Row],[BMI]]&lt;=24.9,"Normal",IF(Table13[[#This Row],[BMI]]&lt;=29.9,"Overweight",IF(Table13[[#This Row],[BMI]]&lt;=39,"Obese","Severly Obese"))))</f>
        <v>Underweight</v>
      </c>
      <c r="W826" s="18">
        <v>13.37</v>
      </c>
    </row>
    <row r="827" spans="6:23" x14ac:dyDescent="0.3">
      <c r="F827" s="17">
        <v>34</v>
      </c>
      <c r="G827" s="8" t="str">
        <f>IF(Table13[[#This Row],[Age]]&lt;25,"18-24",IF(Table13[[#This Row],[Age]]&lt;35,"25-34",IF(Table13[[#This Row],[Age]]&lt;45,"35-44",IF(Table13[[#This Row],[Age]]&lt;55,"45-54","55-64"))))</f>
        <v>25-34</v>
      </c>
      <c r="H827" s="8" t="s">
        <v>19</v>
      </c>
      <c r="I827" s="8">
        <v>72.099999999999994</v>
      </c>
      <c r="J827" s="8">
        <v>1.78</v>
      </c>
      <c r="K827" s="8">
        <v>167</v>
      </c>
      <c r="L827" s="8">
        <v>163</v>
      </c>
      <c r="M827" s="8">
        <v>58</v>
      </c>
      <c r="N827" s="8">
        <v>0.84</v>
      </c>
      <c r="O827" s="8">
        <v>536</v>
      </c>
      <c r="P827" s="8" t="s">
        <v>21</v>
      </c>
      <c r="Q827" s="8" t="str">
        <f>_xlfn.IFS(AND(Table13[[#This Row],[Gender]]="female",R827&lt;20),"Athletes",AND(Table13[[#This Row],[Gender]]="female",R827&lt;24),"Fitnesss",AND(Table13[[#This Row],[Gender]]="female",R827&lt;31),"Acceptable",AND(Table13[[#This Row],[Gender]]="female",R827&lt;40),"Obese",AND(Table13[[#This Row],[Gender]]="male",R827&lt;13),"Athletes",AND(Table13[[#This Row],[Gender]]="male",R827&lt;17),"Fitnesss",AND(Table13[[#This Row],[Gender]]="male",R827&lt;24.9),"Acceptable",AND(Table13[[#This Row],[Gender]]="male",R827&lt;40),"Obese",AND(Table13[[#This Row],[Gender]]="others",R827&lt;20),"Athletes",AND(Table13[[#This Row],[Gender]]="others",R827&lt;24),"Fitnesss",AND(Table13[[#This Row],[Gender]]="others",R827&lt;31),"Acceptable",AND(Table13[[#This Row],[Gender]]="others",R827&lt;40),"Obese")</f>
        <v>Athletes</v>
      </c>
      <c r="R827" s="8">
        <v>12.1</v>
      </c>
      <c r="S827" s="8">
        <v>2.9</v>
      </c>
      <c r="T827" s="8">
        <v>3</v>
      </c>
      <c r="U827" s="8">
        <v>2</v>
      </c>
      <c r="V827" s="8" t="str">
        <f>IF(Table13[[#This Row],[BMI]]&lt;=18.5,"Underweight",IF(Table13[[#This Row],[BMI]]&lt;=24.9,"Normal",IF(Table13[[#This Row],[BMI]]&lt;=29.9,"Overweight",IF(Table13[[#This Row],[BMI]]&lt;=39,"Obese","Severly Obese"))))</f>
        <v>Underweight</v>
      </c>
      <c r="W827" s="18">
        <v>12.32</v>
      </c>
    </row>
    <row r="828" spans="6:23" x14ac:dyDescent="0.3">
      <c r="F828" s="17">
        <v>50</v>
      </c>
      <c r="G828" s="8" t="str">
        <f>IF(Table13[[#This Row],[Age]]&lt;25,"18-24",IF(Table13[[#This Row],[Age]]&lt;35,"25-34",IF(Table13[[#This Row],[Age]]&lt;45,"35-44",IF(Table13[[#This Row],[Age]]&lt;55,"45-54","55-64"))))</f>
        <v>45-54</v>
      </c>
      <c r="H828" s="8" t="s">
        <v>17</v>
      </c>
      <c r="I828" s="8">
        <v>103.8</v>
      </c>
      <c r="J828" s="8">
        <v>1.54</v>
      </c>
      <c r="K828" s="8">
        <v>185</v>
      </c>
      <c r="L828" s="8">
        <v>169</v>
      </c>
      <c r="M828" s="8">
        <v>56</v>
      </c>
      <c r="N828" s="8">
        <v>2</v>
      </c>
      <c r="O828" s="8">
        <v>766</v>
      </c>
      <c r="P828" s="8" t="s">
        <v>21</v>
      </c>
      <c r="Q828" s="8" t="str">
        <f>_xlfn.IFS(AND(Table13[[#This Row],[Gender]]="female",R828&lt;20),"Athletes",AND(Table13[[#This Row],[Gender]]="female",R828&lt;24),"Fitnesss",AND(Table13[[#This Row],[Gender]]="female",R828&lt;31),"Acceptable",AND(Table13[[#This Row],[Gender]]="female",R828&lt;40),"Obese",AND(Table13[[#This Row],[Gender]]="male",R828&lt;13),"Athletes",AND(Table13[[#This Row],[Gender]]="male",R828&lt;17),"Fitnesss",AND(Table13[[#This Row],[Gender]]="male",R828&lt;24.9),"Acceptable",AND(Table13[[#This Row],[Gender]]="male",R828&lt;40),"Obese",AND(Table13[[#This Row],[Gender]]="others",R828&lt;20),"Athletes",AND(Table13[[#This Row],[Gender]]="others",R828&lt;24),"Fitnesss",AND(Table13[[#This Row],[Gender]]="others",R828&lt;31),"Acceptable",AND(Table13[[#This Row],[Gender]]="others",R828&lt;40),"Obese")</f>
        <v>Acceptable</v>
      </c>
      <c r="R828" s="8">
        <v>27.3</v>
      </c>
      <c r="S828" s="8">
        <v>3.1</v>
      </c>
      <c r="T828" s="8">
        <v>3</v>
      </c>
      <c r="U828" s="8">
        <v>1</v>
      </c>
      <c r="V828" s="8" t="str">
        <f>IF(Table13[[#This Row],[BMI]]&lt;=18.5,"Underweight",IF(Table13[[#This Row],[BMI]]&lt;=24.9,"Normal",IF(Table13[[#This Row],[BMI]]&lt;=29.9,"Overweight",IF(Table13[[#This Row],[BMI]]&lt;=39,"Obese","Severly Obese"))))</f>
        <v>Underweight</v>
      </c>
      <c r="W828" s="18">
        <v>12.32</v>
      </c>
    </row>
    <row r="829" spans="6:23" x14ac:dyDescent="0.3">
      <c r="F829" s="17">
        <v>18</v>
      </c>
      <c r="G829" s="8" t="str">
        <f>IF(Table13[[#This Row],[Age]]&lt;25,"18-24",IF(Table13[[#This Row],[Age]]&lt;35,"25-34",IF(Table13[[#This Row],[Age]]&lt;45,"35-44",IF(Table13[[#This Row],[Age]]&lt;55,"45-54","55-64"))))</f>
        <v>18-24</v>
      </c>
      <c r="H829" s="8" t="s">
        <v>19</v>
      </c>
      <c r="I829" s="8">
        <v>41</v>
      </c>
      <c r="J829" s="8">
        <v>1.97</v>
      </c>
      <c r="K829" s="8">
        <v>189</v>
      </c>
      <c r="L829" s="8">
        <v>149</v>
      </c>
      <c r="M829" s="8">
        <v>63</v>
      </c>
      <c r="N829" s="8">
        <v>1.64</v>
      </c>
      <c r="O829" s="8">
        <v>596</v>
      </c>
      <c r="P829" s="8" t="s">
        <v>18</v>
      </c>
      <c r="Q829" s="8" t="str">
        <f>_xlfn.IFS(AND(Table13[[#This Row],[Gender]]="female",R829&lt;20),"Athletes",AND(Table13[[#This Row],[Gender]]="female",R829&lt;24),"Fitnesss",AND(Table13[[#This Row],[Gender]]="female",R829&lt;31),"Acceptable",AND(Table13[[#This Row],[Gender]]="female",R829&lt;40),"Obese",AND(Table13[[#This Row],[Gender]]="male",R829&lt;13),"Athletes",AND(Table13[[#This Row],[Gender]]="male",R829&lt;17),"Fitnesss",AND(Table13[[#This Row],[Gender]]="male",R829&lt;24.9),"Acceptable",AND(Table13[[#This Row],[Gender]]="male",R829&lt;40),"Obese",AND(Table13[[#This Row],[Gender]]="others",R829&lt;20),"Athletes",AND(Table13[[#This Row],[Gender]]="others",R829&lt;24),"Fitnesss",AND(Table13[[#This Row],[Gender]]="others",R829&lt;31),"Acceptable",AND(Table13[[#This Row],[Gender]]="others",R829&lt;40),"Obese")</f>
        <v>Athletes</v>
      </c>
      <c r="R829" s="8"/>
      <c r="S829" s="8">
        <v>1.8</v>
      </c>
      <c r="T829" s="8">
        <v>2</v>
      </c>
      <c r="U829" s="8">
        <v>2</v>
      </c>
      <c r="V829" s="8" t="str">
        <f>IF(Table13[[#This Row],[BMI]]&lt;=18.5,"Underweight",IF(Table13[[#This Row],[BMI]]&lt;=24.9,"Normal",IF(Table13[[#This Row],[BMI]]&lt;=29.9,"Overweight",IF(Table13[[#This Row],[BMI]]&lt;=39,"Obese","Severly Obese"))))</f>
        <v>Underweight</v>
      </c>
      <c r="W829" s="18">
        <v>12.32</v>
      </c>
    </row>
    <row r="830" spans="6:23" x14ac:dyDescent="0.3">
      <c r="F830" s="17">
        <v>36</v>
      </c>
      <c r="G830" s="8" t="str">
        <f>IF(Table13[[#This Row],[Age]]&lt;25,"18-24",IF(Table13[[#This Row],[Age]]&lt;35,"25-34",IF(Table13[[#This Row],[Age]]&lt;45,"35-44",IF(Table13[[#This Row],[Age]]&lt;55,"45-54","55-64"))))</f>
        <v>35-44</v>
      </c>
      <c r="H830" s="8" t="s">
        <v>17</v>
      </c>
      <c r="I830" s="8">
        <v>85.1</v>
      </c>
      <c r="J830" s="8">
        <v>1.73</v>
      </c>
      <c r="K830" s="8">
        <v>194</v>
      </c>
      <c r="L830" s="8">
        <v>156</v>
      </c>
      <c r="M830" s="8">
        <v>74</v>
      </c>
      <c r="N830" s="8">
        <v>1.41</v>
      </c>
      <c r="O830" s="8">
        <v>1024</v>
      </c>
      <c r="P830" s="8" t="s">
        <v>20</v>
      </c>
      <c r="Q830" s="8" t="str">
        <f>_xlfn.IFS(AND(Table13[[#This Row],[Gender]]="female",R830&lt;20),"Athletes",AND(Table13[[#This Row],[Gender]]="female",R830&lt;24),"Fitnesss",AND(Table13[[#This Row],[Gender]]="female",R830&lt;31),"Acceptable",AND(Table13[[#This Row],[Gender]]="female",R830&lt;40),"Obese",AND(Table13[[#This Row],[Gender]]="male",R830&lt;13),"Athletes",AND(Table13[[#This Row],[Gender]]="male",R830&lt;17),"Fitnesss",AND(Table13[[#This Row],[Gender]]="male",R830&lt;24.9),"Acceptable",AND(Table13[[#This Row],[Gender]]="male",R830&lt;40),"Obese",AND(Table13[[#This Row],[Gender]]="others",R830&lt;20),"Athletes",AND(Table13[[#This Row],[Gender]]="others",R830&lt;24),"Fitnesss",AND(Table13[[#This Row],[Gender]]="others",R830&lt;31),"Acceptable",AND(Table13[[#This Row],[Gender]]="others",R830&lt;40),"Obese")</f>
        <v>Acceptable</v>
      </c>
      <c r="R830" s="8">
        <v>28.9</v>
      </c>
      <c r="S830" s="8">
        <v>3.5</v>
      </c>
      <c r="T830" s="8">
        <v>4</v>
      </c>
      <c r="U830" s="8">
        <v>3</v>
      </c>
      <c r="V830" s="8" t="str">
        <f>IF(Table13[[#This Row],[BMI]]&lt;=18.5,"Underweight",IF(Table13[[#This Row],[BMI]]&lt;=24.9,"Normal",IF(Table13[[#This Row],[BMI]]&lt;=29.9,"Overweight",IF(Table13[[#This Row],[BMI]]&lt;=39,"Obese","Severly Obese"))))</f>
        <v>Underweight</v>
      </c>
      <c r="W830" s="18">
        <v>13.22</v>
      </c>
    </row>
    <row r="831" spans="6:23" x14ac:dyDescent="0.3">
      <c r="F831" s="17">
        <v>18</v>
      </c>
      <c r="G831" s="8" t="str">
        <f>IF(Table13[[#This Row],[Age]]&lt;25,"18-24",IF(Table13[[#This Row],[Age]]&lt;35,"25-34",IF(Table13[[#This Row],[Age]]&lt;45,"35-44",IF(Table13[[#This Row],[Age]]&lt;55,"45-54","55-64"))))</f>
        <v>18-24</v>
      </c>
      <c r="H831" s="8" t="s">
        <v>19</v>
      </c>
      <c r="I831" s="8">
        <v>81</v>
      </c>
      <c r="J831" s="8">
        <v>1.64</v>
      </c>
      <c r="K831" s="8">
        <v>175</v>
      </c>
      <c r="L831" s="8">
        <v>169</v>
      </c>
      <c r="M831" s="8">
        <v>74</v>
      </c>
      <c r="N831" s="8">
        <v>1.99</v>
      </c>
      <c r="O831" s="8">
        <v>878</v>
      </c>
      <c r="P831" s="8" t="s">
        <v>22</v>
      </c>
      <c r="Q831" s="8" t="str">
        <f>_xlfn.IFS(AND(Table13[[#This Row],[Gender]]="female",R831&lt;20),"Athletes",AND(Table13[[#This Row],[Gender]]="female",R831&lt;24),"Fitnesss",AND(Table13[[#This Row],[Gender]]="female",R831&lt;31),"Acceptable",AND(Table13[[#This Row],[Gender]]="female",R831&lt;40),"Obese",AND(Table13[[#This Row],[Gender]]="male",R831&lt;13),"Athletes",AND(Table13[[#This Row],[Gender]]="male",R831&lt;17),"Fitnesss",AND(Table13[[#This Row],[Gender]]="male",R831&lt;24.9),"Acceptable",AND(Table13[[#This Row],[Gender]]="male",R831&lt;40),"Obese",AND(Table13[[#This Row],[Gender]]="others",R831&lt;20),"Athletes",AND(Table13[[#This Row],[Gender]]="others",R831&lt;24),"Fitnesss",AND(Table13[[#This Row],[Gender]]="others",R831&lt;31),"Acceptable",AND(Table13[[#This Row],[Gender]]="others",R831&lt;40),"Obese")</f>
        <v>Acceptable</v>
      </c>
      <c r="R831" s="8">
        <v>21.7</v>
      </c>
      <c r="S831" s="8">
        <v>1.5</v>
      </c>
      <c r="T831" s="8">
        <v>2</v>
      </c>
      <c r="U831" s="8">
        <v>3</v>
      </c>
      <c r="V831" s="8" t="str">
        <f>IF(Table13[[#This Row],[BMI]]&lt;=18.5,"Underweight",IF(Table13[[#This Row],[BMI]]&lt;=24.9,"Normal",IF(Table13[[#This Row],[BMI]]&lt;=29.9,"Overweight",IF(Table13[[#This Row],[BMI]]&lt;=39,"Obese","Severly Obese"))))</f>
        <v>Underweight</v>
      </c>
      <c r="W831" s="18">
        <v>13.42</v>
      </c>
    </row>
    <row r="832" spans="6:23" x14ac:dyDescent="0.3">
      <c r="F832" s="17">
        <v>47</v>
      </c>
      <c r="G832" s="8" t="str">
        <f>IF(Table13[[#This Row],[Age]]&lt;25,"18-24",IF(Table13[[#This Row],[Age]]&lt;35,"25-34",IF(Table13[[#This Row],[Age]]&lt;45,"35-44",IF(Table13[[#This Row],[Age]]&lt;55,"45-54","55-64"))))</f>
        <v>45-54</v>
      </c>
      <c r="H832" s="8" t="s">
        <v>17</v>
      </c>
      <c r="I832" s="8">
        <v>74.099999999999994</v>
      </c>
      <c r="J832" s="8">
        <v>1.87</v>
      </c>
      <c r="K832" s="8">
        <v>168</v>
      </c>
      <c r="L832" s="8">
        <v>123</v>
      </c>
      <c r="M832" s="8">
        <v>70</v>
      </c>
      <c r="N832" s="8">
        <v>0.95</v>
      </c>
      <c r="O832" s="8">
        <v>1030</v>
      </c>
      <c r="P832" s="8" t="s">
        <v>22</v>
      </c>
      <c r="Q832" s="8" t="str">
        <f>_xlfn.IFS(AND(Table13[[#This Row],[Gender]]="female",R832&lt;20),"Athletes",AND(Table13[[#This Row],[Gender]]="female",R832&lt;24),"Fitnesss",AND(Table13[[#This Row],[Gender]]="female",R832&lt;31),"Acceptable",AND(Table13[[#This Row],[Gender]]="female",R832&lt;40),"Obese",AND(Table13[[#This Row],[Gender]]="male",R832&lt;13),"Athletes",AND(Table13[[#This Row],[Gender]]="male",R832&lt;17),"Fitnesss",AND(Table13[[#This Row],[Gender]]="male",R832&lt;24.9),"Acceptable",AND(Table13[[#This Row],[Gender]]="male",R832&lt;40),"Obese",AND(Table13[[#This Row],[Gender]]="others",R832&lt;20),"Athletes",AND(Table13[[#This Row],[Gender]]="others",R832&lt;24),"Fitnesss",AND(Table13[[#This Row],[Gender]]="others",R832&lt;31),"Acceptable",AND(Table13[[#This Row],[Gender]]="others",R832&lt;40),"Obese")</f>
        <v>Athletes</v>
      </c>
      <c r="R832" s="8">
        <v>14.8</v>
      </c>
      <c r="S832" s="8">
        <v>1.5</v>
      </c>
      <c r="T832" s="8">
        <v>3</v>
      </c>
      <c r="U832" s="8">
        <v>1</v>
      </c>
      <c r="V832" s="8" t="str">
        <f>IF(Table13[[#This Row],[BMI]]&lt;=18.5,"Underweight",IF(Table13[[#This Row],[BMI]]&lt;=24.9,"Normal",IF(Table13[[#This Row],[BMI]]&lt;=29.9,"Overweight",IF(Table13[[#This Row],[BMI]]&lt;=39,"Obese","Severly Obese"))))</f>
        <v>Normal</v>
      </c>
      <c r="W832" s="18">
        <v>21.54</v>
      </c>
    </row>
    <row r="833" spans="6:23" x14ac:dyDescent="0.3">
      <c r="F833" s="17">
        <v>32</v>
      </c>
      <c r="G833" s="8" t="str">
        <f>IF(Table13[[#This Row],[Age]]&lt;25,"18-24",IF(Table13[[#This Row],[Age]]&lt;35,"25-34",IF(Table13[[#This Row],[Age]]&lt;45,"35-44",IF(Table13[[#This Row],[Age]]&lt;55,"45-54","55-64"))))</f>
        <v>25-34</v>
      </c>
      <c r="H833" s="8" t="s">
        <v>23</v>
      </c>
      <c r="I833" s="8">
        <v>72.099999999999994</v>
      </c>
      <c r="J833" s="8">
        <v>1.71</v>
      </c>
      <c r="K833" s="8">
        <v>173</v>
      </c>
      <c r="L833" s="8">
        <v>156</v>
      </c>
      <c r="M833" s="8">
        <v>72</v>
      </c>
      <c r="N833" s="8">
        <v>1.61</v>
      </c>
      <c r="O833" s="8">
        <v>606</v>
      </c>
      <c r="P833" s="8" t="s">
        <v>21</v>
      </c>
      <c r="Q833" s="8" t="str">
        <f>_xlfn.IFS(AND(Table13[[#This Row],[Gender]]="female",R833&lt;20),"Athletes",AND(Table13[[#This Row],[Gender]]="female",R833&lt;24),"Fitnesss",AND(Table13[[#This Row],[Gender]]="female",R833&lt;31),"Acceptable",AND(Table13[[#This Row],[Gender]]="female",R833&lt;40),"Obese",AND(Table13[[#This Row],[Gender]]="male",R833&lt;13),"Athletes",AND(Table13[[#This Row],[Gender]]="male",R833&lt;17),"Fitnesss",AND(Table13[[#This Row],[Gender]]="male",R833&lt;24.9),"Acceptable",AND(Table13[[#This Row],[Gender]]="male",R833&lt;40),"Obese",AND(Table13[[#This Row],[Gender]]="others",R833&lt;20),"Athletes",AND(Table13[[#This Row],[Gender]]="others",R833&lt;24),"Fitnesss",AND(Table13[[#This Row],[Gender]]="others",R833&lt;31),"Acceptable",AND(Table13[[#This Row],[Gender]]="others",R833&lt;40),"Obese")</f>
        <v>Athletes</v>
      </c>
      <c r="R833" s="8">
        <v>12</v>
      </c>
      <c r="S833" s="8">
        <v>2.7</v>
      </c>
      <c r="T833" s="8">
        <v>2</v>
      </c>
      <c r="U833" s="8">
        <v>2</v>
      </c>
      <c r="V833" s="8" t="str">
        <f>IF(Table13[[#This Row],[BMI]]&lt;=18.5,"Underweight",IF(Table13[[#This Row],[BMI]]&lt;=24.9,"Normal",IF(Table13[[#This Row],[BMI]]&lt;=29.9,"Overweight",IF(Table13[[#This Row],[BMI]]&lt;=39,"Obese","Severly Obese"))))</f>
        <v>Underweight</v>
      </c>
      <c r="W833" s="18">
        <v>17.91</v>
      </c>
    </row>
    <row r="834" spans="6:23" x14ac:dyDescent="0.3">
      <c r="F834" s="17">
        <v>45</v>
      </c>
      <c r="G834" s="8" t="str">
        <f>IF(Table13[[#This Row],[Age]]&lt;25,"18-24",IF(Table13[[#This Row],[Age]]&lt;35,"25-34",IF(Table13[[#This Row],[Age]]&lt;45,"35-44",IF(Table13[[#This Row],[Age]]&lt;55,"45-54","55-64"))))</f>
        <v>45-54</v>
      </c>
      <c r="H834" s="8" t="s">
        <v>17</v>
      </c>
      <c r="I834" s="8">
        <v>47.9</v>
      </c>
      <c r="J834" s="8">
        <v>1.71</v>
      </c>
      <c r="K834" s="8">
        <v>194</v>
      </c>
      <c r="L834" s="8">
        <v>169</v>
      </c>
      <c r="M834" s="8">
        <v>70</v>
      </c>
      <c r="N834" s="8">
        <v>0.78</v>
      </c>
      <c r="O834" s="8">
        <v>772</v>
      </c>
      <c r="P834" s="8" t="s">
        <v>21</v>
      </c>
      <c r="Q834" s="8" t="str">
        <f>_xlfn.IFS(AND(Table13[[#This Row],[Gender]]="female",R834&lt;20),"Athletes",AND(Table13[[#This Row],[Gender]]="female",R834&lt;24),"Fitnesss",AND(Table13[[#This Row],[Gender]]="female",R834&lt;31),"Acceptable",AND(Table13[[#This Row],[Gender]]="female",R834&lt;40),"Obese",AND(Table13[[#This Row],[Gender]]="male",R834&lt;13),"Athletes",AND(Table13[[#This Row],[Gender]]="male",R834&lt;17),"Fitnesss",AND(Table13[[#This Row],[Gender]]="male",R834&lt;24.9),"Acceptable",AND(Table13[[#This Row],[Gender]]="male",R834&lt;40),"Obese",AND(Table13[[#This Row],[Gender]]="others",R834&lt;20),"Athletes",AND(Table13[[#This Row],[Gender]]="others",R834&lt;24),"Fitnesss",AND(Table13[[#This Row],[Gender]]="others",R834&lt;31),"Acceptable",AND(Table13[[#This Row],[Gender]]="others",R834&lt;40),"Obese")</f>
        <v>Fitnesss</v>
      </c>
      <c r="R834" s="8">
        <v>23.5</v>
      </c>
      <c r="S834" s="8">
        <v>2.8</v>
      </c>
      <c r="T834" s="8">
        <v>3</v>
      </c>
      <c r="U834" s="8">
        <v>2</v>
      </c>
      <c r="V834" s="8" t="str">
        <f>IF(Table13[[#This Row],[BMI]]&lt;=18.5,"Underweight",IF(Table13[[#This Row],[BMI]]&lt;=24.9,"Normal",IF(Table13[[#This Row],[BMI]]&lt;=29.9,"Overweight",IF(Table13[[#This Row],[BMI]]&lt;=39,"Obese","Severly Obese"))))</f>
        <v>Normal</v>
      </c>
      <c r="W834" s="18">
        <v>20.37</v>
      </c>
    </row>
    <row r="835" spans="6:23" x14ac:dyDescent="0.3">
      <c r="F835" s="17">
        <v>25</v>
      </c>
      <c r="G835" s="8" t="str">
        <f>IF(Table13[[#This Row],[Age]]&lt;25,"18-24",IF(Table13[[#This Row],[Age]]&lt;35,"25-34",IF(Table13[[#This Row],[Age]]&lt;45,"35-44",IF(Table13[[#This Row],[Age]]&lt;55,"45-54","55-64"))))</f>
        <v>25-34</v>
      </c>
      <c r="H835" s="8" t="s">
        <v>19</v>
      </c>
      <c r="I835" s="8">
        <v>113.3</v>
      </c>
      <c r="J835" s="8">
        <v>1.75</v>
      </c>
      <c r="K835" s="8">
        <v>187</v>
      </c>
      <c r="L835" s="8">
        <v>155</v>
      </c>
      <c r="M835" s="8">
        <v>74</v>
      </c>
      <c r="N835" s="8">
        <v>1.44</v>
      </c>
      <c r="O835" s="8">
        <v>564</v>
      </c>
      <c r="P835" s="8" t="s">
        <v>18</v>
      </c>
      <c r="Q835" s="8" t="str">
        <f>_xlfn.IFS(AND(Table13[[#This Row],[Gender]]="female",R835&lt;20),"Athletes",AND(Table13[[#This Row],[Gender]]="female",R835&lt;24),"Fitnesss",AND(Table13[[#This Row],[Gender]]="female",R835&lt;31),"Acceptable",AND(Table13[[#This Row],[Gender]]="female",R835&lt;40),"Obese",AND(Table13[[#This Row],[Gender]]="male",R835&lt;13),"Athletes",AND(Table13[[#This Row],[Gender]]="male",R835&lt;17),"Fitnesss",AND(Table13[[#This Row],[Gender]]="male",R835&lt;24.9),"Acceptable",AND(Table13[[#This Row],[Gender]]="male",R835&lt;40),"Obese",AND(Table13[[#This Row],[Gender]]="others",R835&lt;20),"Athletes",AND(Table13[[#This Row],[Gender]]="others",R835&lt;24),"Fitnesss",AND(Table13[[#This Row],[Gender]]="others",R835&lt;31),"Acceptable",AND(Table13[[#This Row],[Gender]]="others",R835&lt;40),"Obese")</f>
        <v>Acceptable</v>
      </c>
      <c r="R835" s="8">
        <v>22.1</v>
      </c>
      <c r="S835" s="8">
        <v>1.6</v>
      </c>
      <c r="T835" s="8">
        <v>3</v>
      </c>
      <c r="U835" s="8">
        <v>2</v>
      </c>
      <c r="V835" s="8" t="str">
        <f>IF(Table13[[#This Row],[BMI]]&lt;=18.5,"Underweight",IF(Table13[[#This Row],[BMI]]&lt;=24.9,"Normal",IF(Table13[[#This Row],[BMI]]&lt;=29.9,"Overweight",IF(Table13[[#This Row],[BMI]]&lt;=39,"Obese","Severly Obese"))))</f>
        <v>Normal</v>
      </c>
      <c r="W835" s="18">
        <v>21.36</v>
      </c>
    </row>
    <row r="836" spans="6:23" x14ac:dyDescent="0.3">
      <c r="F836" s="17">
        <v>23</v>
      </c>
      <c r="G836" s="8" t="str">
        <f>IF(Table13[[#This Row],[Age]]&lt;25,"18-24",IF(Table13[[#This Row],[Age]]&lt;35,"25-34",IF(Table13[[#This Row],[Age]]&lt;45,"35-44",IF(Table13[[#This Row],[Age]]&lt;55,"45-54","55-64"))))</f>
        <v>18-24</v>
      </c>
      <c r="H836" s="8" t="s">
        <v>19</v>
      </c>
      <c r="I836" s="8">
        <v>56.8</v>
      </c>
      <c r="J836" s="8">
        <v>1.83</v>
      </c>
      <c r="K836" s="8">
        <v>197</v>
      </c>
      <c r="L836" s="8">
        <v>152</v>
      </c>
      <c r="M836" s="8">
        <v>56</v>
      </c>
      <c r="N836" s="8">
        <v>1.22</v>
      </c>
      <c r="O836" s="8">
        <v>1193</v>
      </c>
      <c r="P836" s="8" t="s">
        <v>20</v>
      </c>
      <c r="Q836" s="8" t="str">
        <f>_xlfn.IFS(AND(Table13[[#This Row],[Gender]]="female",R836&lt;20),"Athletes",AND(Table13[[#This Row],[Gender]]="female",R836&lt;24),"Fitnesss",AND(Table13[[#This Row],[Gender]]="female",R836&lt;31),"Acceptable",AND(Table13[[#This Row],[Gender]]="female",R836&lt;40),"Obese",AND(Table13[[#This Row],[Gender]]="male",R836&lt;13),"Athletes",AND(Table13[[#This Row],[Gender]]="male",R836&lt;17),"Fitnesss",AND(Table13[[#This Row],[Gender]]="male",R836&lt;24.9),"Acceptable",AND(Table13[[#This Row],[Gender]]="male",R836&lt;40),"Obese",AND(Table13[[#This Row],[Gender]]="others",R836&lt;20),"Athletes",AND(Table13[[#This Row],[Gender]]="others",R836&lt;24),"Fitnesss",AND(Table13[[#This Row],[Gender]]="others",R836&lt;31),"Acceptable",AND(Table13[[#This Row],[Gender]]="others",R836&lt;40),"Obese")</f>
        <v>Acceptable</v>
      </c>
      <c r="R836" s="8">
        <v>23.2</v>
      </c>
      <c r="S836" s="8">
        <v>1.6</v>
      </c>
      <c r="T836" s="8">
        <v>4</v>
      </c>
      <c r="U836" s="8">
        <v>2</v>
      </c>
      <c r="V836" s="8" t="str">
        <f>IF(Table13[[#This Row],[BMI]]&lt;=18.5,"Underweight",IF(Table13[[#This Row],[BMI]]&lt;=24.9,"Normal",IF(Table13[[#This Row],[BMI]]&lt;=29.9,"Overweight",IF(Table13[[#This Row],[BMI]]&lt;=39,"Obese","Severly Obese"))))</f>
        <v>Underweight</v>
      </c>
      <c r="W836" s="18"/>
    </row>
    <row r="837" spans="6:23" x14ac:dyDescent="0.3">
      <c r="F837" s="17">
        <v>23</v>
      </c>
      <c r="G837" s="8" t="str">
        <f>IF(Table13[[#This Row],[Age]]&lt;25,"18-24",IF(Table13[[#This Row],[Age]]&lt;35,"25-34",IF(Table13[[#This Row],[Age]]&lt;45,"35-44",IF(Table13[[#This Row],[Age]]&lt;55,"45-54","55-64"))))</f>
        <v>18-24</v>
      </c>
      <c r="H837" s="8" t="s">
        <v>17</v>
      </c>
      <c r="I837" s="8">
        <v>78.2</v>
      </c>
      <c r="J837" s="8">
        <v>1.9</v>
      </c>
      <c r="K837" s="8">
        <v>180</v>
      </c>
      <c r="L837" s="8">
        <v>131</v>
      </c>
      <c r="M837" s="8">
        <v>55</v>
      </c>
      <c r="N837" s="8">
        <v>0.85</v>
      </c>
      <c r="O837" s="8">
        <v>888</v>
      </c>
      <c r="P837" s="8" t="s">
        <v>18</v>
      </c>
      <c r="Q837" s="8" t="str">
        <f>_xlfn.IFS(AND(Table13[[#This Row],[Gender]]="female",R837&lt;20),"Athletes",AND(Table13[[#This Row],[Gender]]="female",R837&lt;24),"Fitnesss",AND(Table13[[#This Row],[Gender]]="female",R837&lt;31),"Acceptable",AND(Table13[[#This Row],[Gender]]="female",R837&lt;40),"Obese",AND(Table13[[#This Row],[Gender]]="male",R837&lt;13),"Athletes",AND(Table13[[#This Row],[Gender]]="male",R837&lt;17),"Fitnesss",AND(Table13[[#This Row],[Gender]]="male",R837&lt;24.9),"Acceptable",AND(Table13[[#This Row],[Gender]]="male",R837&lt;40),"Obese",AND(Table13[[#This Row],[Gender]]="others",R837&lt;20),"Athletes",AND(Table13[[#This Row],[Gender]]="others",R837&lt;24),"Fitnesss",AND(Table13[[#This Row],[Gender]]="others",R837&lt;31),"Acceptable",AND(Table13[[#This Row],[Gender]]="others",R837&lt;40),"Obese")</f>
        <v>Athletes</v>
      </c>
      <c r="R837" s="8">
        <v>16.2</v>
      </c>
      <c r="S837" s="8">
        <v>2.2999999999999998</v>
      </c>
      <c r="T837" s="8">
        <v>3</v>
      </c>
      <c r="U837" s="8">
        <v>1</v>
      </c>
      <c r="V837" s="8" t="str">
        <f>IF(Table13[[#This Row],[BMI]]&lt;=18.5,"Underweight",IF(Table13[[#This Row],[BMI]]&lt;=24.9,"Normal",IF(Table13[[#This Row],[BMI]]&lt;=29.9,"Overweight",IF(Table13[[#This Row],[BMI]]&lt;=39,"Obese","Severly Obese"))))</f>
        <v>Overweight</v>
      </c>
      <c r="W837" s="18">
        <v>29.89</v>
      </c>
    </row>
    <row r="838" spans="6:23" x14ac:dyDescent="0.3">
      <c r="F838" s="17">
        <v>25</v>
      </c>
      <c r="G838" s="8" t="str">
        <f>IF(Table13[[#This Row],[Age]]&lt;25,"18-24",IF(Table13[[#This Row],[Age]]&lt;35,"25-34",IF(Table13[[#This Row],[Age]]&lt;45,"35-44",IF(Table13[[#This Row],[Age]]&lt;55,"45-54","55-64"))))</f>
        <v>25-34</v>
      </c>
      <c r="H838" s="8" t="s">
        <v>19</v>
      </c>
      <c r="I838" s="8">
        <v>40</v>
      </c>
      <c r="J838" s="8">
        <v>1.68</v>
      </c>
      <c r="K838" s="8">
        <v>175</v>
      </c>
      <c r="L838" s="8">
        <v>123</v>
      </c>
      <c r="M838" s="8">
        <v>66</v>
      </c>
      <c r="N838" s="8">
        <v>0.74</v>
      </c>
      <c r="O838" s="8">
        <v>1783</v>
      </c>
      <c r="P838" s="8" t="s">
        <v>18</v>
      </c>
      <c r="Q838" s="8" t="str">
        <f>_xlfn.IFS(AND(Table13[[#This Row],[Gender]]="female",R838&lt;20),"Athletes",AND(Table13[[#This Row],[Gender]]="female",R838&lt;24),"Fitnesss",AND(Table13[[#This Row],[Gender]]="female",R838&lt;31),"Acceptable",AND(Table13[[#This Row],[Gender]]="female",R838&lt;40),"Obese",AND(Table13[[#This Row],[Gender]]="male",R838&lt;13),"Athletes",AND(Table13[[#This Row],[Gender]]="male",R838&lt;17),"Fitnesss",AND(Table13[[#This Row],[Gender]]="male",R838&lt;24.9),"Acceptable",AND(Table13[[#This Row],[Gender]]="male",R838&lt;40),"Obese",AND(Table13[[#This Row],[Gender]]="others",R838&lt;20),"Athletes",AND(Table13[[#This Row],[Gender]]="others",R838&lt;24),"Fitnesss",AND(Table13[[#This Row],[Gender]]="others",R838&lt;31),"Acceptable",AND(Table13[[#This Row],[Gender]]="others",R838&lt;40),"Obese")</f>
        <v>Obese</v>
      </c>
      <c r="R838" s="8">
        <v>27.9</v>
      </c>
      <c r="S838" s="8">
        <v>3.5</v>
      </c>
      <c r="T838" s="8">
        <v>3</v>
      </c>
      <c r="U838" s="8">
        <v>3</v>
      </c>
      <c r="V838" s="8" t="str">
        <f>IF(Table13[[#This Row],[BMI]]&lt;=18.5,"Underweight",IF(Table13[[#This Row],[BMI]]&lt;=24.9,"Normal",IF(Table13[[#This Row],[BMI]]&lt;=29.9,"Overweight",IF(Table13[[#This Row],[BMI]]&lt;=39,"Obese","Severly Obese"))))</f>
        <v>Underweight</v>
      </c>
      <c r="W838" s="18">
        <v>14.27</v>
      </c>
    </row>
    <row r="839" spans="6:23" x14ac:dyDescent="0.3">
      <c r="F839" s="17">
        <v>59</v>
      </c>
      <c r="G839" s="8" t="str">
        <f>IF(Table13[[#This Row],[Age]]&lt;25,"18-24",IF(Table13[[#This Row],[Age]]&lt;35,"25-34",IF(Table13[[#This Row],[Age]]&lt;45,"35-44",IF(Table13[[#This Row],[Age]]&lt;55,"45-54","55-64"))))</f>
        <v>55-64</v>
      </c>
      <c r="H839" s="8" t="s">
        <v>19</v>
      </c>
      <c r="I839" s="8">
        <v>40</v>
      </c>
      <c r="J839" s="8">
        <v>1.78</v>
      </c>
      <c r="K839" s="8">
        <v>179</v>
      </c>
      <c r="L839" s="8">
        <v>139</v>
      </c>
      <c r="M839" s="8">
        <v>59</v>
      </c>
      <c r="N839" s="8">
        <v>1.1599999999999999</v>
      </c>
      <c r="O839" s="8">
        <v>483</v>
      </c>
      <c r="P839" s="8" t="s">
        <v>21</v>
      </c>
      <c r="Q839" s="8" t="str">
        <f>_xlfn.IFS(AND(Table13[[#This Row],[Gender]]="female",R839&lt;20),"Athletes",AND(Table13[[#This Row],[Gender]]="female",R839&lt;24),"Fitnesss",AND(Table13[[#This Row],[Gender]]="female",R839&lt;31),"Acceptable",AND(Table13[[#This Row],[Gender]]="female",R839&lt;40),"Obese",AND(Table13[[#This Row],[Gender]]="male",R839&lt;13),"Athletes",AND(Table13[[#This Row],[Gender]]="male",R839&lt;17),"Fitnesss",AND(Table13[[#This Row],[Gender]]="male",R839&lt;24.9),"Acceptable",AND(Table13[[#This Row],[Gender]]="male",R839&lt;40),"Obese",AND(Table13[[#This Row],[Gender]]="others",R839&lt;20),"Athletes",AND(Table13[[#This Row],[Gender]]="others",R839&lt;24),"Fitnesss",AND(Table13[[#This Row],[Gender]]="others",R839&lt;31),"Acceptable",AND(Table13[[#This Row],[Gender]]="others",R839&lt;40),"Obese")</f>
        <v>Acceptable</v>
      </c>
      <c r="R839" s="8">
        <v>19.7</v>
      </c>
      <c r="S839" s="8">
        <v>3.7</v>
      </c>
      <c r="T839" s="8"/>
      <c r="U839" s="8">
        <v>1</v>
      </c>
      <c r="V839" s="8" t="str">
        <f>IF(Table13[[#This Row],[BMI]]&lt;=18.5,"Underweight",IF(Table13[[#This Row],[BMI]]&lt;=24.9,"Normal",IF(Table13[[#This Row],[BMI]]&lt;=29.9,"Overweight",IF(Table13[[#This Row],[BMI]]&lt;=39,"Obese","Severly Obese"))))</f>
        <v>Normal</v>
      </c>
      <c r="W839" s="18">
        <v>19.22</v>
      </c>
    </row>
    <row r="840" spans="6:23" x14ac:dyDescent="0.3">
      <c r="F840" s="17">
        <v>23</v>
      </c>
      <c r="G840" s="8" t="str">
        <f>IF(Table13[[#This Row],[Age]]&lt;25,"18-24",IF(Table13[[#This Row],[Age]]&lt;35,"25-34",IF(Table13[[#This Row],[Age]]&lt;45,"35-44",IF(Table13[[#This Row],[Age]]&lt;55,"45-54","55-64"))))</f>
        <v>18-24</v>
      </c>
      <c r="H840" s="8" t="s">
        <v>17</v>
      </c>
      <c r="I840" s="8">
        <v>69.2</v>
      </c>
      <c r="J840" s="8">
        <v>1.73</v>
      </c>
      <c r="K840" s="8">
        <v>180</v>
      </c>
      <c r="L840" s="8">
        <v>165</v>
      </c>
      <c r="M840" s="8">
        <v>70</v>
      </c>
      <c r="N840" s="8">
        <v>2</v>
      </c>
      <c r="O840" s="8">
        <v>765</v>
      </c>
      <c r="P840" s="8" t="s">
        <v>21</v>
      </c>
      <c r="Q840" s="8" t="str">
        <f>_xlfn.IFS(AND(Table13[[#This Row],[Gender]]="female",R840&lt;20),"Athletes",AND(Table13[[#This Row],[Gender]]="female",R840&lt;24),"Fitnesss",AND(Table13[[#This Row],[Gender]]="female",R840&lt;31),"Acceptable",AND(Table13[[#This Row],[Gender]]="female",R840&lt;40),"Obese",AND(Table13[[#This Row],[Gender]]="male",R840&lt;13),"Athletes",AND(Table13[[#This Row],[Gender]]="male",R840&lt;17),"Fitnesss",AND(Table13[[#This Row],[Gender]]="male",R840&lt;24.9),"Acceptable",AND(Table13[[#This Row],[Gender]]="male",R840&lt;40),"Obese",AND(Table13[[#This Row],[Gender]]="others",R840&lt;20),"Athletes",AND(Table13[[#This Row],[Gender]]="others",R840&lt;24),"Fitnesss",AND(Table13[[#This Row],[Gender]]="others",R840&lt;31),"Acceptable",AND(Table13[[#This Row],[Gender]]="others",R840&lt;40),"Obese")</f>
        <v>Fitnesss</v>
      </c>
      <c r="R840" s="8">
        <v>23.3</v>
      </c>
      <c r="S840" s="8">
        <v>1.8</v>
      </c>
      <c r="T840" s="8">
        <v>4</v>
      </c>
      <c r="U840" s="8">
        <v>2</v>
      </c>
      <c r="V840" s="8" t="str">
        <f>IF(Table13[[#This Row],[BMI]]&lt;=18.5,"Underweight",IF(Table13[[#This Row],[BMI]]&lt;=24.9,"Normal",IF(Table13[[#This Row],[BMI]]&lt;=29.9,"Overweight",IF(Table13[[#This Row],[BMI]]&lt;=39,"Obese","Severly Obese"))))</f>
        <v>Normal</v>
      </c>
      <c r="W840" s="18">
        <v>21.96</v>
      </c>
    </row>
    <row r="841" spans="6:23" x14ac:dyDescent="0.3">
      <c r="F841" s="17">
        <v>48</v>
      </c>
      <c r="G841" s="8" t="str">
        <f>IF(Table13[[#This Row],[Age]]&lt;25,"18-24",IF(Table13[[#This Row],[Age]]&lt;35,"25-34",IF(Table13[[#This Row],[Age]]&lt;45,"35-44",IF(Table13[[#This Row],[Age]]&lt;55,"45-54","55-64"))))</f>
        <v>45-54</v>
      </c>
      <c r="H841" s="8" t="s">
        <v>17</v>
      </c>
      <c r="I841" s="8">
        <v>91.3</v>
      </c>
      <c r="J841" s="8">
        <v>1.58</v>
      </c>
      <c r="K841" s="8">
        <v>175</v>
      </c>
      <c r="L841" s="8">
        <v>152</v>
      </c>
      <c r="M841" s="8">
        <v>72</v>
      </c>
      <c r="N841" s="8">
        <v>1.25</v>
      </c>
      <c r="O841" s="8">
        <v>1576</v>
      </c>
      <c r="P841" s="8" t="s">
        <v>22</v>
      </c>
      <c r="Q841" s="8" t="str">
        <f>_xlfn.IFS(AND(Table13[[#This Row],[Gender]]="female",R841&lt;20),"Athletes",AND(Table13[[#This Row],[Gender]]="female",R841&lt;24),"Fitnesss",AND(Table13[[#This Row],[Gender]]="female",R841&lt;31),"Acceptable",AND(Table13[[#This Row],[Gender]]="female",R841&lt;40),"Obese",AND(Table13[[#This Row],[Gender]]="male",R841&lt;13),"Athletes",AND(Table13[[#This Row],[Gender]]="male",R841&lt;17),"Fitnesss",AND(Table13[[#This Row],[Gender]]="male",R841&lt;24.9),"Acceptable",AND(Table13[[#This Row],[Gender]]="male",R841&lt;40),"Obese",AND(Table13[[#This Row],[Gender]]="others",R841&lt;20),"Athletes",AND(Table13[[#This Row],[Gender]]="others",R841&lt;24),"Fitnesss",AND(Table13[[#This Row],[Gender]]="others",R841&lt;31),"Acceptable",AND(Table13[[#This Row],[Gender]]="others",R841&lt;40),"Obese")</f>
        <v>Acceptable</v>
      </c>
      <c r="R841" s="8">
        <v>28.9</v>
      </c>
      <c r="S841" s="8">
        <v>3.4</v>
      </c>
      <c r="T841" s="8">
        <v>2</v>
      </c>
      <c r="U841" s="8">
        <v>2</v>
      </c>
      <c r="V841" s="8" t="str">
        <f>IF(Table13[[#This Row],[BMI]]&lt;=18.5,"Underweight",IF(Table13[[#This Row],[BMI]]&lt;=24.9,"Normal",IF(Table13[[#This Row],[BMI]]&lt;=29.9,"Overweight",IF(Table13[[#This Row],[BMI]]&lt;=39,"Obese","Severly Obese"))))</f>
        <v>Normal</v>
      </c>
      <c r="W841" s="18">
        <v>19.62</v>
      </c>
    </row>
    <row r="842" spans="6:23" x14ac:dyDescent="0.3">
      <c r="F842" s="17">
        <v>46</v>
      </c>
      <c r="G842" s="8" t="str">
        <f>IF(Table13[[#This Row],[Age]]&lt;25,"18-24",IF(Table13[[#This Row],[Age]]&lt;35,"25-34",IF(Table13[[#This Row],[Age]]&lt;45,"35-44",IF(Table13[[#This Row],[Age]]&lt;55,"45-54","55-64"))))</f>
        <v>45-54</v>
      </c>
      <c r="H842" s="8" t="s">
        <v>19</v>
      </c>
      <c r="I842" s="8">
        <v>68.2</v>
      </c>
      <c r="J842" s="8">
        <v>1.88</v>
      </c>
      <c r="K842" s="8">
        <v>172</v>
      </c>
      <c r="L842" s="8">
        <v>167</v>
      </c>
      <c r="M842" s="8">
        <v>70</v>
      </c>
      <c r="N842" s="8">
        <v>1.41</v>
      </c>
      <c r="O842" s="8">
        <v>723</v>
      </c>
      <c r="P842" s="8" t="s">
        <v>18</v>
      </c>
      <c r="Q842" s="8" t="str">
        <f>_xlfn.IFS(AND(Table13[[#This Row],[Gender]]="female",R842&lt;20),"Athletes",AND(Table13[[#This Row],[Gender]]="female",R842&lt;24),"Fitnesss",AND(Table13[[#This Row],[Gender]]="female",R842&lt;31),"Acceptable",AND(Table13[[#This Row],[Gender]]="female",R842&lt;40),"Obese",AND(Table13[[#This Row],[Gender]]="male",R842&lt;13),"Athletes",AND(Table13[[#This Row],[Gender]]="male",R842&lt;17),"Fitnesss",AND(Table13[[#This Row],[Gender]]="male",R842&lt;24.9),"Acceptable",AND(Table13[[#This Row],[Gender]]="male",R842&lt;40),"Obese",AND(Table13[[#This Row],[Gender]]="others",R842&lt;20),"Athletes",AND(Table13[[#This Row],[Gender]]="others",R842&lt;24),"Fitnesss",AND(Table13[[#This Row],[Gender]]="others",R842&lt;31),"Acceptable",AND(Table13[[#This Row],[Gender]]="others",R842&lt;40),"Obese")</f>
        <v>Acceptable</v>
      </c>
      <c r="R842" s="8">
        <v>17.2</v>
      </c>
      <c r="S842" s="8">
        <v>2.6</v>
      </c>
      <c r="T842" s="8">
        <v>5</v>
      </c>
      <c r="U842" s="8">
        <v>1</v>
      </c>
      <c r="V842" s="8" t="str">
        <f>IF(Table13[[#This Row],[BMI]]&lt;=18.5,"Underweight",IF(Table13[[#This Row],[BMI]]&lt;=24.9,"Normal",IF(Table13[[#This Row],[BMI]]&lt;=29.9,"Overweight",IF(Table13[[#This Row],[BMI]]&lt;=39,"Obese","Severly Obese"))))</f>
        <v>Obese</v>
      </c>
      <c r="W842" s="18">
        <v>32.75</v>
      </c>
    </row>
    <row r="843" spans="6:23" x14ac:dyDescent="0.3">
      <c r="F843" s="17">
        <v>18</v>
      </c>
      <c r="G843" s="8" t="str">
        <f>IF(Table13[[#This Row],[Age]]&lt;25,"18-24",IF(Table13[[#This Row],[Age]]&lt;35,"25-34",IF(Table13[[#This Row],[Age]]&lt;45,"35-44",IF(Table13[[#This Row],[Age]]&lt;55,"45-54","55-64"))))</f>
        <v>18-24</v>
      </c>
      <c r="H843" s="8" t="s">
        <v>17</v>
      </c>
      <c r="I843" s="8">
        <v>45.1</v>
      </c>
      <c r="J843" s="8">
        <v>1.86</v>
      </c>
      <c r="K843" s="8">
        <v>182</v>
      </c>
      <c r="L843" s="8">
        <v>169</v>
      </c>
      <c r="M843" s="8">
        <v>64</v>
      </c>
      <c r="N843" s="8">
        <v>0.92</v>
      </c>
      <c r="O843" s="8">
        <v>1482</v>
      </c>
      <c r="P843" s="8" t="s">
        <v>18</v>
      </c>
      <c r="Q843" s="8" t="str">
        <f>_xlfn.IFS(AND(Table13[[#This Row],[Gender]]="female",R843&lt;20),"Athletes",AND(Table13[[#This Row],[Gender]]="female",R843&lt;24),"Fitnesss",AND(Table13[[#This Row],[Gender]]="female",R843&lt;31),"Acceptable",AND(Table13[[#This Row],[Gender]]="female",R843&lt;40),"Obese",AND(Table13[[#This Row],[Gender]]="male",R843&lt;13),"Athletes",AND(Table13[[#This Row],[Gender]]="male",R843&lt;17),"Fitnesss",AND(Table13[[#This Row],[Gender]]="male",R843&lt;24.9),"Acceptable",AND(Table13[[#This Row],[Gender]]="male",R843&lt;40),"Obese",AND(Table13[[#This Row],[Gender]]="others",R843&lt;20),"Athletes",AND(Table13[[#This Row],[Gender]]="others",R843&lt;24),"Fitnesss",AND(Table13[[#This Row],[Gender]]="others",R843&lt;31),"Acceptable",AND(Table13[[#This Row],[Gender]]="others",R843&lt;40),"Obese")</f>
        <v>Acceptable</v>
      </c>
      <c r="R843" s="8">
        <v>25.5</v>
      </c>
      <c r="S843" s="8">
        <v>3.7</v>
      </c>
      <c r="T843" s="8">
        <v>2</v>
      </c>
      <c r="U843" s="8">
        <v>3</v>
      </c>
      <c r="V843" s="8" t="str">
        <f>IF(Table13[[#This Row],[BMI]]&lt;=18.5,"Underweight",IF(Table13[[#This Row],[BMI]]&lt;=24.9,"Normal",IF(Table13[[#This Row],[BMI]]&lt;=29.9,"Overweight",IF(Table13[[#This Row],[BMI]]&lt;=39,"Obese","Severly Obese"))))</f>
        <v>Normal</v>
      </c>
      <c r="W843" s="18">
        <v>18.989999999999998</v>
      </c>
    </row>
    <row r="844" spans="6:23" x14ac:dyDescent="0.3">
      <c r="F844" s="17">
        <v>20</v>
      </c>
      <c r="G844" s="8" t="str">
        <f>IF(Table13[[#This Row],[Age]]&lt;25,"18-24",IF(Table13[[#This Row],[Age]]&lt;35,"25-34",IF(Table13[[#This Row],[Age]]&lt;45,"35-44",IF(Table13[[#This Row],[Age]]&lt;55,"45-54","55-64"))))</f>
        <v>18-24</v>
      </c>
      <c r="H844" s="8" t="s">
        <v>19</v>
      </c>
      <c r="I844" s="8">
        <v>70.5</v>
      </c>
      <c r="J844" s="8">
        <v>1.65</v>
      </c>
      <c r="K844" s="8">
        <v>179</v>
      </c>
      <c r="L844" s="8">
        <v>144</v>
      </c>
      <c r="M844" s="8">
        <v>74</v>
      </c>
      <c r="N844" s="8">
        <v>0.6</v>
      </c>
      <c r="O844" s="8">
        <v>1151</v>
      </c>
      <c r="P844" s="8" t="s">
        <v>22</v>
      </c>
      <c r="Q844" s="8" t="str">
        <f>_xlfn.IFS(AND(Table13[[#This Row],[Gender]]="female",R844&lt;20),"Athletes",AND(Table13[[#This Row],[Gender]]="female",R844&lt;24),"Fitnesss",AND(Table13[[#This Row],[Gender]]="female",R844&lt;31),"Acceptable",AND(Table13[[#This Row],[Gender]]="female",R844&lt;40),"Obese",AND(Table13[[#This Row],[Gender]]="male",R844&lt;13),"Athletes",AND(Table13[[#This Row],[Gender]]="male",R844&lt;17),"Fitnesss",AND(Table13[[#This Row],[Gender]]="male",R844&lt;24.9),"Acceptable",AND(Table13[[#This Row],[Gender]]="male",R844&lt;40),"Obese",AND(Table13[[#This Row],[Gender]]="others",R844&lt;20),"Athletes",AND(Table13[[#This Row],[Gender]]="others",R844&lt;24),"Fitnesss",AND(Table13[[#This Row],[Gender]]="others",R844&lt;31),"Acceptable",AND(Table13[[#This Row],[Gender]]="others",R844&lt;40),"Obese")</f>
        <v>Fitnesss</v>
      </c>
      <c r="R844" s="8">
        <v>15.5</v>
      </c>
      <c r="S844" s="8">
        <v>3.5</v>
      </c>
      <c r="T844" s="8">
        <v>2</v>
      </c>
      <c r="U844" s="8">
        <v>2</v>
      </c>
      <c r="V844" s="8" t="str">
        <f>IF(Table13[[#This Row],[BMI]]&lt;=18.5,"Underweight",IF(Table13[[#This Row],[BMI]]&lt;=24.9,"Normal",IF(Table13[[#This Row],[BMI]]&lt;=29.9,"Overweight",IF(Table13[[#This Row],[BMI]]&lt;=39,"Obese","Severly Obese"))))</f>
        <v>Underweight</v>
      </c>
      <c r="W844" s="18">
        <v>12.32</v>
      </c>
    </row>
    <row r="845" spans="6:23" x14ac:dyDescent="0.3">
      <c r="F845" s="17">
        <v>18</v>
      </c>
      <c r="G845" s="8" t="str">
        <f>IF(Table13[[#This Row],[Age]]&lt;25,"18-24",IF(Table13[[#This Row],[Age]]&lt;35,"25-34",IF(Table13[[#This Row],[Age]]&lt;45,"35-44",IF(Table13[[#This Row],[Age]]&lt;55,"45-54","55-64"))))</f>
        <v>18-24</v>
      </c>
      <c r="H845" s="8" t="s">
        <v>17</v>
      </c>
      <c r="I845" s="8">
        <v>54.2</v>
      </c>
      <c r="J845" s="8">
        <v>1.68</v>
      </c>
      <c r="K845" s="8">
        <v>199</v>
      </c>
      <c r="L845" s="8">
        <v>137</v>
      </c>
      <c r="M845" s="8">
        <v>74</v>
      </c>
      <c r="N845" s="8">
        <v>1.67</v>
      </c>
      <c r="O845" s="8">
        <v>972</v>
      </c>
      <c r="P845" s="8" t="s">
        <v>21</v>
      </c>
      <c r="Q845" s="8" t="str">
        <f>_xlfn.IFS(AND(Table13[[#This Row],[Gender]]="female",R845&lt;20),"Athletes",AND(Table13[[#This Row],[Gender]]="female",R845&lt;24),"Fitnesss",AND(Table13[[#This Row],[Gender]]="female",R845&lt;31),"Acceptable",AND(Table13[[#This Row],[Gender]]="female",R845&lt;40),"Obese",AND(Table13[[#This Row],[Gender]]="male",R845&lt;13),"Athletes",AND(Table13[[#This Row],[Gender]]="male",R845&lt;17),"Fitnesss",AND(Table13[[#This Row],[Gender]]="male",R845&lt;24.9),"Acceptable",AND(Table13[[#This Row],[Gender]]="male",R845&lt;40),"Obese",AND(Table13[[#This Row],[Gender]]="others",R845&lt;20),"Athletes",AND(Table13[[#This Row],[Gender]]="others",R845&lt;24),"Fitnesss",AND(Table13[[#This Row],[Gender]]="others",R845&lt;31),"Acceptable",AND(Table13[[#This Row],[Gender]]="others",R845&lt;40),"Obese")</f>
        <v>Athletes</v>
      </c>
      <c r="R845" s="8">
        <v>14.1</v>
      </c>
      <c r="S845" s="8">
        <v>3.4</v>
      </c>
      <c r="T845" s="8">
        <v>2</v>
      </c>
      <c r="U845" s="8"/>
      <c r="V845" s="8" t="str">
        <f>IF(Table13[[#This Row],[BMI]]&lt;=18.5,"Underweight",IF(Table13[[#This Row],[BMI]]&lt;=24.9,"Normal",IF(Table13[[#This Row],[BMI]]&lt;=29.9,"Overweight",IF(Table13[[#This Row],[BMI]]&lt;=39,"Obese","Severly Obese"))))</f>
        <v>Underweight</v>
      </c>
      <c r="W845" s="18">
        <v>15.66</v>
      </c>
    </row>
    <row r="846" spans="6:23" x14ac:dyDescent="0.3">
      <c r="F846" s="17">
        <v>18</v>
      </c>
      <c r="G846" s="8" t="str">
        <f>IF(Table13[[#This Row],[Age]]&lt;25,"18-24",IF(Table13[[#This Row],[Age]]&lt;35,"25-34",IF(Table13[[#This Row],[Age]]&lt;45,"35-44",IF(Table13[[#This Row],[Age]]&lt;55,"45-54","55-64"))))</f>
        <v>18-24</v>
      </c>
      <c r="H846" s="8" t="s">
        <v>17</v>
      </c>
      <c r="I846" s="8">
        <v>83.6</v>
      </c>
      <c r="J846" s="8">
        <v>1.86</v>
      </c>
      <c r="K846" s="8">
        <v>170</v>
      </c>
      <c r="L846" s="8">
        <v>162</v>
      </c>
      <c r="M846" s="8">
        <v>74</v>
      </c>
      <c r="N846" s="8">
        <v>0.83</v>
      </c>
      <c r="O846" s="8">
        <v>732</v>
      </c>
      <c r="P846" s="8" t="s">
        <v>21</v>
      </c>
      <c r="Q846" s="8" t="str">
        <f>_xlfn.IFS(AND(Table13[[#This Row],[Gender]]="female",R846&lt;20),"Athletes",AND(Table13[[#This Row],[Gender]]="female",R846&lt;24),"Fitnesss",AND(Table13[[#This Row],[Gender]]="female",R846&lt;31),"Acceptable",AND(Table13[[#This Row],[Gender]]="female",R846&lt;40),"Obese",AND(Table13[[#This Row],[Gender]]="male",R846&lt;13),"Athletes",AND(Table13[[#This Row],[Gender]]="male",R846&lt;17),"Fitnesss",AND(Table13[[#This Row],[Gender]]="male",R846&lt;24.9),"Acceptable",AND(Table13[[#This Row],[Gender]]="male",R846&lt;40),"Obese",AND(Table13[[#This Row],[Gender]]="others",R846&lt;20),"Athletes",AND(Table13[[#This Row],[Gender]]="others",R846&lt;24),"Fitnesss",AND(Table13[[#This Row],[Gender]]="others",R846&lt;31),"Acceptable",AND(Table13[[#This Row],[Gender]]="others",R846&lt;40),"Obese")</f>
        <v>Fitnesss</v>
      </c>
      <c r="R846" s="8">
        <v>22.7</v>
      </c>
      <c r="S846" s="8">
        <v>2.8</v>
      </c>
      <c r="T846" s="8">
        <v>2</v>
      </c>
      <c r="U846" s="8">
        <v>3</v>
      </c>
      <c r="V846" s="8" t="str">
        <f>IF(Table13[[#This Row],[BMI]]&lt;=18.5,"Underweight",IF(Table13[[#This Row],[BMI]]&lt;=24.9,"Normal",IF(Table13[[#This Row],[BMI]]&lt;=29.9,"Overweight",IF(Table13[[#This Row],[BMI]]&lt;=39,"Obese","Severly Obese"))))</f>
        <v>Normal</v>
      </c>
      <c r="W846" s="18">
        <v>24.77</v>
      </c>
    </row>
    <row r="847" spans="6:23" x14ac:dyDescent="0.3">
      <c r="F847" s="17">
        <v>37</v>
      </c>
      <c r="G847" s="8" t="str">
        <f>IF(Table13[[#This Row],[Age]]&lt;25,"18-24",IF(Table13[[#This Row],[Age]]&lt;35,"25-34",IF(Table13[[#This Row],[Age]]&lt;45,"35-44",IF(Table13[[#This Row],[Age]]&lt;55,"45-54","55-64"))))</f>
        <v>35-44</v>
      </c>
      <c r="H847" s="8" t="s">
        <v>17</v>
      </c>
      <c r="I847" s="8">
        <v>58</v>
      </c>
      <c r="J847" s="8">
        <v>1.6</v>
      </c>
      <c r="K847" s="8">
        <v>168</v>
      </c>
      <c r="L847" s="8">
        <v>143</v>
      </c>
      <c r="M847" s="8">
        <v>52</v>
      </c>
      <c r="N847" s="8">
        <v>1.28</v>
      </c>
      <c r="O847" s="8">
        <v>834</v>
      </c>
      <c r="P847" s="8" t="s">
        <v>18</v>
      </c>
      <c r="Q847" s="8" t="str">
        <f>_xlfn.IFS(AND(Table13[[#This Row],[Gender]]="female",R847&lt;20),"Athletes",AND(Table13[[#This Row],[Gender]]="female",R847&lt;24),"Fitnesss",AND(Table13[[#This Row],[Gender]]="female",R847&lt;31),"Acceptable",AND(Table13[[#This Row],[Gender]]="female",R847&lt;40),"Obese",AND(Table13[[#This Row],[Gender]]="male",R847&lt;13),"Athletes",AND(Table13[[#This Row],[Gender]]="male",R847&lt;17),"Fitnesss",AND(Table13[[#This Row],[Gender]]="male",R847&lt;24.9),"Acceptable",AND(Table13[[#This Row],[Gender]]="male",R847&lt;40),"Obese",AND(Table13[[#This Row],[Gender]]="others",R847&lt;20),"Athletes",AND(Table13[[#This Row],[Gender]]="others",R847&lt;24),"Fitnesss",AND(Table13[[#This Row],[Gender]]="others",R847&lt;31),"Acceptable",AND(Table13[[#This Row],[Gender]]="others",R847&lt;40),"Obese")</f>
        <v>Fitnesss</v>
      </c>
      <c r="R847" s="8">
        <v>21</v>
      </c>
      <c r="S847" s="8">
        <v>3.6</v>
      </c>
      <c r="T847" s="8">
        <v>4</v>
      </c>
      <c r="U847" s="8">
        <v>2</v>
      </c>
      <c r="V847" s="8" t="str">
        <f>IF(Table13[[#This Row],[BMI]]&lt;=18.5,"Underweight",IF(Table13[[#This Row],[BMI]]&lt;=24.9,"Normal",IF(Table13[[#This Row],[BMI]]&lt;=29.9,"Overweight",IF(Table13[[#This Row],[BMI]]&lt;=39,"Obese","Severly Obese"))))</f>
        <v>Normal</v>
      </c>
      <c r="W847" s="18">
        <v>22.2</v>
      </c>
    </row>
    <row r="848" spans="6:23" x14ac:dyDescent="0.3">
      <c r="F848" s="17">
        <v>27</v>
      </c>
      <c r="G848" s="8" t="str">
        <f>IF(Table13[[#This Row],[Age]]&lt;25,"18-24",IF(Table13[[#This Row],[Age]]&lt;35,"25-34",IF(Table13[[#This Row],[Age]]&lt;45,"35-44",IF(Table13[[#This Row],[Age]]&lt;55,"45-54","55-64"))))</f>
        <v>25-34</v>
      </c>
      <c r="H848" s="8" t="s">
        <v>17</v>
      </c>
      <c r="I848" s="8">
        <v>45.6</v>
      </c>
      <c r="J848" s="8"/>
      <c r="K848" s="8">
        <v>177</v>
      </c>
      <c r="L848" s="8">
        <v>146</v>
      </c>
      <c r="M848" s="8">
        <v>74</v>
      </c>
      <c r="N848" s="8">
        <v>2</v>
      </c>
      <c r="O848" s="8">
        <v>1108</v>
      </c>
      <c r="P848" s="8" t="s">
        <v>22</v>
      </c>
      <c r="Q848" s="8" t="str">
        <f>_xlfn.IFS(AND(Table13[[#This Row],[Gender]]="female",R848&lt;20),"Athletes",AND(Table13[[#This Row],[Gender]]="female",R848&lt;24),"Fitnesss",AND(Table13[[#This Row],[Gender]]="female",R848&lt;31),"Acceptable",AND(Table13[[#This Row],[Gender]]="female",R848&lt;40),"Obese",AND(Table13[[#This Row],[Gender]]="male",R848&lt;13),"Athletes",AND(Table13[[#This Row],[Gender]]="male",R848&lt;17),"Fitnesss",AND(Table13[[#This Row],[Gender]]="male",R848&lt;24.9),"Acceptable",AND(Table13[[#This Row],[Gender]]="male",R848&lt;40),"Obese",AND(Table13[[#This Row],[Gender]]="others",R848&lt;20),"Athletes",AND(Table13[[#This Row],[Gender]]="others",R848&lt;24),"Fitnesss",AND(Table13[[#This Row],[Gender]]="others",R848&lt;31),"Acceptable",AND(Table13[[#This Row],[Gender]]="others",R848&lt;40),"Obese")</f>
        <v>Athletes</v>
      </c>
      <c r="R848" s="8">
        <v>18</v>
      </c>
      <c r="S848" s="8">
        <v>2.9</v>
      </c>
      <c r="T848" s="8">
        <v>4</v>
      </c>
      <c r="U848" s="8">
        <v>2</v>
      </c>
      <c r="V848" s="8" t="str">
        <f>IF(Table13[[#This Row],[BMI]]&lt;=18.5,"Underweight",IF(Table13[[#This Row],[BMI]]&lt;=24.9,"Normal",IF(Table13[[#This Row],[BMI]]&lt;=29.9,"Overweight",IF(Table13[[#This Row],[BMI]]&lt;=39,"Obese","Severly Obese"))))</f>
        <v>Overweight</v>
      </c>
      <c r="W848" s="18">
        <v>26.74</v>
      </c>
    </row>
    <row r="849" spans="6:23" x14ac:dyDescent="0.3">
      <c r="F849" s="17">
        <v>52</v>
      </c>
      <c r="G849" s="8" t="str">
        <f>IF(Table13[[#This Row],[Age]]&lt;25,"18-24",IF(Table13[[#This Row],[Age]]&lt;35,"25-34",IF(Table13[[#This Row],[Age]]&lt;45,"35-44",IF(Table13[[#This Row],[Age]]&lt;55,"45-54","55-64"))))</f>
        <v>45-54</v>
      </c>
      <c r="H849" s="8" t="s">
        <v>17</v>
      </c>
      <c r="I849" s="8">
        <v>40</v>
      </c>
      <c r="J849" s="8">
        <v>1.91</v>
      </c>
      <c r="K849" s="8">
        <v>194</v>
      </c>
      <c r="L849" s="8">
        <v>151</v>
      </c>
      <c r="M849" s="8">
        <v>59</v>
      </c>
      <c r="N849" s="8">
        <v>1.96</v>
      </c>
      <c r="O849" s="8">
        <v>535</v>
      </c>
      <c r="P849" s="8" t="s">
        <v>21</v>
      </c>
      <c r="Q849" s="8" t="str">
        <f>_xlfn.IFS(AND(Table13[[#This Row],[Gender]]="female",R849&lt;20),"Athletes",AND(Table13[[#This Row],[Gender]]="female",R849&lt;24),"Fitnesss",AND(Table13[[#This Row],[Gender]]="female",R849&lt;31),"Acceptable",AND(Table13[[#This Row],[Gender]]="female",R849&lt;40),"Obese",AND(Table13[[#This Row],[Gender]]="male",R849&lt;13),"Athletes",AND(Table13[[#This Row],[Gender]]="male",R849&lt;17),"Fitnesss",AND(Table13[[#This Row],[Gender]]="male",R849&lt;24.9),"Acceptable",AND(Table13[[#This Row],[Gender]]="male",R849&lt;40),"Obese",AND(Table13[[#This Row],[Gender]]="others",R849&lt;20),"Athletes",AND(Table13[[#This Row],[Gender]]="others",R849&lt;24),"Fitnesss",AND(Table13[[#This Row],[Gender]]="others",R849&lt;31),"Acceptable",AND(Table13[[#This Row],[Gender]]="others",R849&lt;40),"Obese")</f>
        <v>Fitnesss</v>
      </c>
      <c r="R849" s="8">
        <v>23.4</v>
      </c>
      <c r="S849" s="8">
        <v>1.5</v>
      </c>
      <c r="T849" s="8">
        <v>4</v>
      </c>
      <c r="U849" s="8">
        <v>2</v>
      </c>
      <c r="V849" s="8" t="str">
        <f>IF(Table13[[#This Row],[BMI]]&lt;=18.5,"Underweight",IF(Table13[[#This Row],[BMI]]&lt;=24.9,"Normal",IF(Table13[[#This Row],[BMI]]&lt;=29.9,"Overweight",IF(Table13[[#This Row],[BMI]]&lt;=39,"Obese","Severly Obese"))))</f>
        <v>Normal</v>
      </c>
      <c r="W849" s="18">
        <v>23.62</v>
      </c>
    </row>
    <row r="850" spans="6:23" x14ac:dyDescent="0.3">
      <c r="F850" s="17">
        <v>30</v>
      </c>
      <c r="G850" s="8" t="str">
        <f>IF(Table13[[#This Row],[Age]]&lt;25,"18-24",IF(Table13[[#This Row],[Age]]&lt;35,"25-34",IF(Table13[[#This Row],[Age]]&lt;45,"35-44",IF(Table13[[#This Row],[Age]]&lt;55,"45-54","55-64"))))</f>
        <v>25-34</v>
      </c>
      <c r="H850" s="8" t="s">
        <v>17</v>
      </c>
      <c r="I850" s="8">
        <v>40</v>
      </c>
      <c r="J850" s="8">
        <v>1.62</v>
      </c>
      <c r="K850" s="8">
        <v>166</v>
      </c>
      <c r="L850" s="8">
        <v>164</v>
      </c>
      <c r="M850" s="8">
        <v>73</v>
      </c>
      <c r="N850" s="8">
        <v>1.23</v>
      </c>
      <c r="O850" s="8">
        <v>1046</v>
      </c>
      <c r="P850" s="8" t="s">
        <v>22</v>
      </c>
      <c r="Q850" s="8" t="str">
        <f>_xlfn.IFS(AND(Table13[[#This Row],[Gender]]="female",R850&lt;20),"Athletes",AND(Table13[[#This Row],[Gender]]="female",R850&lt;24),"Fitnesss",AND(Table13[[#This Row],[Gender]]="female",R850&lt;31),"Acceptable",AND(Table13[[#This Row],[Gender]]="female",R850&lt;40),"Obese",AND(Table13[[#This Row],[Gender]]="male",R850&lt;13),"Athletes",AND(Table13[[#This Row],[Gender]]="male",R850&lt;17),"Fitnesss",AND(Table13[[#This Row],[Gender]]="male",R850&lt;24.9),"Acceptable",AND(Table13[[#This Row],[Gender]]="male",R850&lt;40),"Obese",AND(Table13[[#This Row],[Gender]]="others",R850&lt;20),"Athletes",AND(Table13[[#This Row],[Gender]]="others",R850&lt;24),"Fitnesss",AND(Table13[[#This Row],[Gender]]="others",R850&lt;31),"Acceptable",AND(Table13[[#This Row],[Gender]]="others",R850&lt;40),"Obese")</f>
        <v>Acceptable</v>
      </c>
      <c r="R850" s="8">
        <v>25.2</v>
      </c>
      <c r="S850" s="8">
        <v>3.7</v>
      </c>
      <c r="T850" s="8">
        <v>5</v>
      </c>
      <c r="U850" s="8">
        <v>3</v>
      </c>
      <c r="V850" s="8" t="str">
        <f>IF(Table13[[#This Row],[BMI]]&lt;=18.5,"Underweight",IF(Table13[[#This Row],[BMI]]&lt;=24.9,"Normal",IF(Table13[[#This Row],[BMI]]&lt;=29.9,"Overweight",IF(Table13[[#This Row],[BMI]]&lt;=39,"Obese","Severly Obese"))))</f>
        <v>Underweight</v>
      </c>
      <c r="W850" s="18">
        <v>14.53</v>
      </c>
    </row>
    <row r="851" spans="6:23" x14ac:dyDescent="0.3">
      <c r="F851" s="17">
        <v>23</v>
      </c>
      <c r="G851" s="8" t="str">
        <f>IF(Table13[[#This Row],[Age]]&lt;25,"18-24",IF(Table13[[#This Row],[Age]]&lt;35,"25-34",IF(Table13[[#This Row],[Age]]&lt;45,"35-44",IF(Table13[[#This Row],[Age]]&lt;55,"45-54","55-64"))))</f>
        <v>18-24</v>
      </c>
      <c r="H851" s="8" t="s">
        <v>17</v>
      </c>
      <c r="I851" s="8">
        <v>83.5</v>
      </c>
      <c r="J851" s="8">
        <v>1.5</v>
      </c>
      <c r="K851" s="8">
        <v>194</v>
      </c>
      <c r="L851" s="8">
        <v>142</v>
      </c>
      <c r="M851" s="8">
        <v>63</v>
      </c>
      <c r="N851" s="8">
        <v>2</v>
      </c>
      <c r="O851" s="8">
        <v>767</v>
      </c>
      <c r="P851" s="8" t="s">
        <v>22</v>
      </c>
      <c r="Q851" s="8" t="str">
        <f>_xlfn.IFS(AND(Table13[[#This Row],[Gender]]="female",R851&lt;20),"Athletes",AND(Table13[[#This Row],[Gender]]="female",R851&lt;24),"Fitnesss",AND(Table13[[#This Row],[Gender]]="female",R851&lt;31),"Acceptable",AND(Table13[[#This Row],[Gender]]="female",R851&lt;40),"Obese",AND(Table13[[#This Row],[Gender]]="male",R851&lt;13),"Athletes",AND(Table13[[#This Row],[Gender]]="male",R851&lt;17),"Fitnesss",AND(Table13[[#This Row],[Gender]]="male",R851&lt;24.9),"Acceptable",AND(Table13[[#This Row],[Gender]]="male",R851&lt;40),"Obese",AND(Table13[[#This Row],[Gender]]="others",R851&lt;20),"Athletes",AND(Table13[[#This Row],[Gender]]="others",R851&lt;24),"Fitnesss",AND(Table13[[#This Row],[Gender]]="others",R851&lt;31),"Acceptable",AND(Table13[[#This Row],[Gender]]="others",R851&lt;40),"Obese")</f>
        <v>Acceptable</v>
      </c>
      <c r="R851" s="8">
        <v>25.8</v>
      </c>
      <c r="S851" s="8">
        <v>2.9</v>
      </c>
      <c r="T851" s="8">
        <v>4</v>
      </c>
      <c r="U851" s="8">
        <v>2</v>
      </c>
      <c r="V851" s="8" t="str">
        <f>IF(Table13[[#This Row],[BMI]]&lt;=18.5,"Underweight",IF(Table13[[#This Row],[BMI]]&lt;=24.9,"Normal",IF(Table13[[#This Row],[BMI]]&lt;=29.9,"Overweight",IF(Table13[[#This Row],[BMI]]&lt;=39,"Obese","Severly Obese"))))</f>
        <v>Underweight</v>
      </c>
      <c r="W851" s="18">
        <v>12.32</v>
      </c>
    </row>
    <row r="852" spans="6:23" x14ac:dyDescent="0.3">
      <c r="F852" s="17">
        <v>22</v>
      </c>
      <c r="G852" s="8" t="str">
        <f>IF(Table13[[#This Row],[Age]]&lt;25,"18-24",IF(Table13[[#This Row],[Age]]&lt;35,"25-34",IF(Table13[[#This Row],[Age]]&lt;45,"35-44",IF(Table13[[#This Row],[Age]]&lt;55,"45-54","55-64"))))</f>
        <v>18-24</v>
      </c>
      <c r="H852" s="8" t="s">
        <v>17</v>
      </c>
      <c r="I852" s="8">
        <v>81.900000000000006</v>
      </c>
      <c r="J852" s="8">
        <v>1.8</v>
      </c>
      <c r="K852" s="8">
        <v>163</v>
      </c>
      <c r="L852" s="8">
        <v>146</v>
      </c>
      <c r="M852" s="8">
        <v>74</v>
      </c>
      <c r="N852" s="8">
        <v>1.1499999999999999</v>
      </c>
      <c r="O852" s="8">
        <v>971</v>
      </c>
      <c r="P852" s="8" t="s">
        <v>21</v>
      </c>
      <c r="Q852" s="8" t="str">
        <f>_xlfn.IFS(AND(Table13[[#This Row],[Gender]]="female",R852&lt;20),"Athletes",AND(Table13[[#This Row],[Gender]]="female",R852&lt;24),"Fitnesss",AND(Table13[[#This Row],[Gender]]="female",R852&lt;31),"Acceptable",AND(Table13[[#This Row],[Gender]]="female",R852&lt;40),"Obese",AND(Table13[[#This Row],[Gender]]="male",R852&lt;13),"Athletes",AND(Table13[[#This Row],[Gender]]="male",R852&lt;17),"Fitnesss",AND(Table13[[#This Row],[Gender]]="male",R852&lt;24.9),"Acceptable",AND(Table13[[#This Row],[Gender]]="male",R852&lt;40),"Obese",AND(Table13[[#This Row],[Gender]]="others",R852&lt;20),"Athletes",AND(Table13[[#This Row],[Gender]]="others",R852&lt;24),"Fitnesss",AND(Table13[[#This Row],[Gender]]="others",R852&lt;31),"Acceptable",AND(Table13[[#This Row],[Gender]]="others",R852&lt;40),"Obese")</f>
        <v>Fitnesss</v>
      </c>
      <c r="R852" s="8">
        <v>22.4</v>
      </c>
      <c r="S852" s="8">
        <v>2.5</v>
      </c>
      <c r="T852" s="8">
        <v>5</v>
      </c>
      <c r="U852" s="8"/>
      <c r="V852" s="8" t="str">
        <f>IF(Table13[[#This Row],[BMI]]&lt;=18.5,"Underweight",IF(Table13[[#This Row],[BMI]]&lt;=24.9,"Normal",IF(Table13[[#This Row],[BMI]]&lt;=29.9,"Overweight",IF(Table13[[#This Row],[BMI]]&lt;=39,"Obese","Severly Obese"))))</f>
        <v>Overweight</v>
      </c>
      <c r="W852" s="18">
        <v>28.26</v>
      </c>
    </row>
    <row r="853" spans="6:23" x14ac:dyDescent="0.3">
      <c r="F853" s="17">
        <v>40</v>
      </c>
      <c r="G853" s="8" t="str">
        <f>IF(Table13[[#This Row],[Age]]&lt;25,"18-24",IF(Table13[[#This Row],[Age]]&lt;35,"25-34",IF(Table13[[#This Row],[Age]]&lt;45,"35-44",IF(Table13[[#This Row],[Age]]&lt;55,"45-54","55-64"))))</f>
        <v>35-44</v>
      </c>
      <c r="H853" s="8" t="s">
        <v>19</v>
      </c>
      <c r="I853" s="8">
        <v>45.2</v>
      </c>
      <c r="J853" s="8">
        <v>1.74</v>
      </c>
      <c r="K853" s="8">
        <v>180</v>
      </c>
      <c r="L853" s="8">
        <v>136</v>
      </c>
      <c r="M853" s="8">
        <v>74</v>
      </c>
      <c r="N853" s="8">
        <v>1.08</v>
      </c>
      <c r="O853" s="8">
        <v>1058</v>
      </c>
      <c r="P853" s="8" t="s">
        <v>22</v>
      </c>
      <c r="Q853" s="8" t="str">
        <f>_xlfn.IFS(AND(Table13[[#This Row],[Gender]]="female",R853&lt;20),"Athletes",AND(Table13[[#This Row],[Gender]]="female",R853&lt;24),"Fitnesss",AND(Table13[[#This Row],[Gender]]="female",R853&lt;31),"Acceptable",AND(Table13[[#This Row],[Gender]]="female",R853&lt;40),"Obese",AND(Table13[[#This Row],[Gender]]="male",R853&lt;13),"Athletes",AND(Table13[[#This Row],[Gender]]="male",R853&lt;17),"Fitnesss",AND(Table13[[#This Row],[Gender]]="male",R853&lt;24.9),"Acceptable",AND(Table13[[#This Row],[Gender]]="male",R853&lt;40),"Obese",AND(Table13[[#This Row],[Gender]]="others",R853&lt;20),"Athletes",AND(Table13[[#This Row],[Gender]]="others",R853&lt;24),"Fitnesss",AND(Table13[[#This Row],[Gender]]="others",R853&lt;31),"Acceptable",AND(Table13[[#This Row],[Gender]]="others",R853&lt;40),"Obese")</f>
        <v>Obese</v>
      </c>
      <c r="R853" s="8">
        <v>26</v>
      </c>
      <c r="S853" s="8">
        <v>3.3</v>
      </c>
      <c r="T853" s="8"/>
      <c r="U853" s="8">
        <v>3</v>
      </c>
      <c r="V853" s="8" t="str">
        <f>IF(Table13[[#This Row],[BMI]]&lt;=18.5,"Underweight",IF(Table13[[#This Row],[BMI]]&lt;=24.9,"Normal",IF(Table13[[#This Row],[BMI]]&lt;=29.9,"Overweight",IF(Table13[[#This Row],[BMI]]&lt;=39,"Obese","Severly Obese"))))</f>
        <v>Underweight</v>
      </c>
      <c r="W853" s="18">
        <v>18.36</v>
      </c>
    </row>
    <row r="854" spans="6:23" x14ac:dyDescent="0.3">
      <c r="F854" s="17">
        <v>49</v>
      </c>
      <c r="G854" s="8" t="str">
        <f>IF(Table13[[#This Row],[Age]]&lt;25,"18-24",IF(Table13[[#This Row],[Age]]&lt;35,"25-34",IF(Table13[[#This Row],[Age]]&lt;45,"35-44",IF(Table13[[#This Row],[Age]]&lt;55,"45-54","55-64"))))</f>
        <v>45-54</v>
      </c>
      <c r="H854" s="8" t="s">
        <v>19</v>
      </c>
      <c r="I854" s="8">
        <v>60.2</v>
      </c>
      <c r="J854" s="8">
        <v>1.62</v>
      </c>
      <c r="K854" s="8">
        <v>162</v>
      </c>
      <c r="L854" s="8">
        <v>155</v>
      </c>
      <c r="M854" s="8">
        <v>72</v>
      </c>
      <c r="N854" s="8">
        <v>1.1100000000000001</v>
      </c>
      <c r="O854" s="8">
        <v>1105</v>
      </c>
      <c r="P854" s="8" t="s">
        <v>18</v>
      </c>
      <c r="Q854" s="8" t="str">
        <f>_xlfn.IFS(AND(Table13[[#This Row],[Gender]]="female",R854&lt;20),"Athletes",AND(Table13[[#This Row],[Gender]]="female",R854&lt;24),"Fitnesss",AND(Table13[[#This Row],[Gender]]="female",R854&lt;31),"Acceptable",AND(Table13[[#This Row],[Gender]]="female",R854&lt;40),"Obese",AND(Table13[[#This Row],[Gender]]="male",R854&lt;13),"Athletes",AND(Table13[[#This Row],[Gender]]="male",R854&lt;17),"Fitnesss",AND(Table13[[#This Row],[Gender]]="male",R854&lt;24.9),"Acceptable",AND(Table13[[#This Row],[Gender]]="male",R854&lt;40),"Obese",AND(Table13[[#This Row],[Gender]]="others",R854&lt;20),"Athletes",AND(Table13[[#This Row],[Gender]]="others",R854&lt;24),"Fitnesss",AND(Table13[[#This Row],[Gender]]="others",R854&lt;31),"Acceptable",AND(Table13[[#This Row],[Gender]]="others",R854&lt;40),"Obese")</f>
        <v>Acceptable</v>
      </c>
      <c r="R854" s="8">
        <v>23.4</v>
      </c>
      <c r="S854" s="8">
        <v>3.1</v>
      </c>
      <c r="T854" s="8">
        <v>3</v>
      </c>
      <c r="U854" s="8">
        <v>1</v>
      </c>
      <c r="V854" s="8" t="str">
        <f>IF(Table13[[#This Row],[BMI]]&lt;=18.5,"Underweight",IF(Table13[[#This Row],[BMI]]&lt;=24.9,"Normal",IF(Table13[[#This Row],[BMI]]&lt;=29.9,"Overweight",IF(Table13[[#This Row],[BMI]]&lt;=39,"Obese","Severly Obese"))))</f>
        <v>Underweight</v>
      </c>
      <c r="W854" s="18">
        <v>16.850000000000001</v>
      </c>
    </row>
    <row r="855" spans="6:23" x14ac:dyDescent="0.3">
      <c r="F855" s="17">
        <v>51</v>
      </c>
      <c r="G855" s="8" t="str">
        <f>IF(Table13[[#This Row],[Age]]&lt;25,"18-24",IF(Table13[[#This Row],[Age]]&lt;35,"25-34",IF(Table13[[#This Row],[Age]]&lt;45,"35-44",IF(Table13[[#This Row],[Age]]&lt;55,"45-54","55-64"))))</f>
        <v>45-54</v>
      </c>
      <c r="H855" s="8" t="s">
        <v>23</v>
      </c>
      <c r="I855" s="8">
        <v>47.3</v>
      </c>
      <c r="J855" s="8">
        <v>1.74</v>
      </c>
      <c r="K855" s="8">
        <v>194</v>
      </c>
      <c r="L855" s="8">
        <v>148</v>
      </c>
      <c r="M855" s="8">
        <v>55</v>
      </c>
      <c r="N855" s="8">
        <v>2</v>
      </c>
      <c r="O855" s="8">
        <v>1259</v>
      </c>
      <c r="P855" s="8" t="s">
        <v>18</v>
      </c>
      <c r="Q855" s="8" t="str">
        <f>_xlfn.IFS(AND(Table13[[#This Row],[Gender]]="female",R855&lt;20),"Athletes",AND(Table13[[#This Row],[Gender]]="female",R855&lt;24),"Fitnesss",AND(Table13[[#This Row],[Gender]]="female",R855&lt;31),"Acceptable",AND(Table13[[#This Row],[Gender]]="female",R855&lt;40),"Obese",AND(Table13[[#This Row],[Gender]]="male",R855&lt;13),"Athletes",AND(Table13[[#This Row],[Gender]]="male",R855&lt;17),"Fitnesss",AND(Table13[[#This Row],[Gender]]="male",R855&lt;24.9),"Acceptable",AND(Table13[[#This Row],[Gender]]="male",R855&lt;40),"Obese",AND(Table13[[#This Row],[Gender]]="others",R855&lt;20),"Athletes",AND(Table13[[#This Row],[Gender]]="others",R855&lt;24),"Fitnesss",AND(Table13[[#This Row],[Gender]]="others",R855&lt;31),"Acceptable",AND(Table13[[#This Row],[Gender]]="others",R855&lt;40),"Obese")</f>
        <v>Acceptable</v>
      </c>
      <c r="R855" s="8">
        <v>28.8</v>
      </c>
      <c r="S855" s="8">
        <v>3.1</v>
      </c>
      <c r="T855" s="8">
        <v>3</v>
      </c>
      <c r="U855" s="8">
        <v>1</v>
      </c>
      <c r="V855" s="8" t="str">
        <f>IF(Table13[[#This Row],[BMI]]&lt;=18.5,"Underweight",IF(Table13[[#This Row],[BMI]]&lt;=24.9,"Normal",IF(Table13[[#This Row],[BMI]]&lt;=29.9,"Overweight",IF(Table13[[#This Row],[BMI]]&lt;=39,"Obese","Severly Obese"))))</f>
        <v>Normal</v>
      </c>
      <c r="W855" s="18">
        <v>24.75</v>
      </c>
    </row>
    <row r="856" spans="6:23" x14ac:dyDescent="0.3">
      <c r="F856" s="17">
        <v>28</v>
      </c>
      <c r="G856" s="8" t="str">
        <f>IF(Table13[[#This Row],[Age]]&lt;25,"18-24",IF(Table13[[#This Row],[Age]]&lt;35,"25-34",IF(Table13[[#This Row],[Age]]&lt;45,"35-44",IF(Table13[[#This Row],[Age]]&lt;55,"45-54","55-64"))))</f>
        <v>25-34</v>
      </c>
      <c r="H856" s="8" t="s">
        <v>19</v>
      </c>
      <c r="I856" s="8">
        <v>69.3</v>
      </c>
      <c r="J856" s="8">
        <v>1.61</v>
      </c>
      <c r="K856" s="8">
        <v>187</v>
      </c>
      <c r="L856" s="8">
        <v>140</v>
      </c>
      <c r="M856" s="8">
        <v>53</v>
      </c>
      <c r="N856" s="8">
        <v>1.1200000000000001</v>
      </c>
      <c r="O856" s="8">
        <v>998</v>
      </c>
      <c r="P856" s="8" t="s">
        <v>21</v>
      </c>
      <c r="Q856" s="8" t="str">
        <f>_xlfn.IFS(AND(Table13[[#This Row],[Gender]]="female",R856&lt;20),"Athletes",AND(Table13[[#This Row],[Gender]]="female",R856&lt;24),"Fitnesss",AND(Table13[[#This Row],[Gender]]="female",R856&lt;31),"Acceptable",AND(Table13[[#This Row],[Gender]]="female",R856&lt;40),"Obese",AND(Table13[[#This Row],[Gender]]="male",R856&lt;13),"Athletes",AND(Table13[[#This Row],[Gender]]="male",R856&lt;17),"Fitnesss",AND(Table13[[#This Row],[Gender]]="male",R856&lt;24.9),"Acceptable",AND(Table13[[#This Row],[Gender]]="male",R856&lt;40),"Obese",AND(Table13[[#This Row],[Gender]]="others",R856&lt;20),"Athletes",AND(Table13[[#This Row],[Gender]]="others",R856&lt;24),"Fitnesss",AND(Table13[[#This Row],[Gender]]="others",R856&lt;31),"Acceptable",AND(Table13[[#This Row],[Gender]]="others",R856&lt;40),"Obese")</f>
        <v>Acceptable</v>
      </c>
      <c r="R856" s="8">
        <v>17.600000000000001</v>
      </c>
      <c r="S856" s="8">
        <v>2.8</v>
      </c>
      <c r="T856" s="8"/>
      <c r="U856" s="8">
        <v>3</v>
      </c>
      <c r="V856" s="8" t="str">
        <f>IF(Table13[[#This Row],[BMI]]&lt;=18.5,"Underweight",IF(Table13[[#This Row],[BMI]]&lt;=24.9,"Normal",IF(Table13[[#This Row],[BMI]]&lt;=29.9,"Overweight",IF(Table13[[#This Row],[BMI]]&lt;=39,"Obese","Severly Obese"))))</f>
        <v>Obese</v>
      </c>
      <c r="W856" s="18">
        <v>32.49</v>
      </c>
    </row>
    <row r="857" spans="6:23" x14ac:dyDescent="0.3">
      <c r="F857" s="17">
        <v>33</v>
      </c>
      <c r="G857" s="8" t="str">
        <f>IF(Table13[[#This Row],[Age]]&lt;25,"18-24",IF(Table13[[#This Row],[Age]]&lt;35,"25-34",IF(Table13[[#This Row],[Age]]&lt;45,"35-44",IF(Table13[[#This Row],[Age]]&lt;55,"45-54","55-64"))))</f>
        <v>25-34</v>
      </c>
      <c r="H857" s="8" t="s">
        <v>17</v>
      </c>
      <c r="I857" s="8">
        <v>40</v>
      </c>
      <c r="J857" s="8">
        <v>1.79</v>
      </c>
      <c r="K857" s="8">
        <v>189</v>
      </c>
      <c r="L857" s="8">
        <v>144</v>
      </c>
      <c r="M857" s="8">
        <v>67</v>
      </c>
      <c r="N857" s="8">
        <v>2</v>
      </c>
      <c r="O857" s="8">
        <v>1285</v>
      </c>
      <c r="P857" s="8" t="s">
        <v>21</v>
      </c>
      <c r="Q857" s="8" t="str">
        <f>_xlfn.IFS(AND(Table13[[#This Row],[Gender]]="female",R857&lt;20),"Athletes",AND(Table13[[#This Row],[Gender]]="female",R857&lt;24),"Fitnesss",AND(Table13[[#This Row],[Gender]]="female",R857&lt;31),"Acceptable",AND(Table13[[#This Row],[Gender]]="female",R857&lt;40),"Obese",AND(Table13[[#This Row],[Gender]]="male",R857&lt;13),"Athletes",AND(Table13[[#This Row],[Gender]]="male",R857&lt;17),"Fitnesss",AND(Table13[[#This Row],[Gender]]="male",R857&lt;24.9),"Acceptable",AND(Table13[[#This Row],[Gender]]="male",R857&lt;40),"Obese",AND(Table13[[#This Row],[Gender]]="others",R857&lt;20),"Athletes",AND(Table13[[#This Row],[Gender]]="others",R857&lt;24),"Fitnesss",AND(Table13[[#This Row],[Gender]]="others",R857&lt;31),"Acceptable",AND(Table13[[#This Row],[Gender]]="others",R857&lt;40),"Obese")</f>
        <v>Acceptable</v>
      </c>
      <c r="R857" s="8">
        <v>27.2</v>
      </c>
      <c r="S857" s="8">
        <v>2.6</v>
      </c>
      <c r="T857" s="8">
        <v>3</v>
      </c>
      <c r="U857" s="8">
        <v>2</v>
      </c>
      <c r="V857" s="8" t="str">
        <f>IF(Table13[[#This Row],[BMI]]&lt;=18.5,"Underweight",IF(Table13[[#This Row],[BMI]]&lt;=24.9,"Normal",IF(Table13[[#This Row],[BMI]]&lt;=29.9,"Overweight",IF(Table13[[#This Row],[BMI]]&lt;=39,"Obese","Severly Obese"))))</f>
        <v>Underweight</v>
      </c>
      <c r="W857" s="18">
        <v>15.69</v>
      </c>
    </row>
    <row r="858" spans="6:23" x14ac:dyDescent="0.3">
      <c r="F858" s="17">
        <v>48</v>
      </c>
      <c r="G858" s="8" t="str">
        <f>IF(Table13[[#This Row],[Age]]&lt;25,"18-24",IF(Table13[[#This Row],[Age]]&lt;35,"25-34",IF(Table13[[#This Row],[Age]]&lt;45,"35-44",IF(Table13[[#This Row],[Age]]&lt;55,"45-54","55-64"))))</f>
        <v>45-54</v>
      </c>
      <c r="H858" s="8" t="s">
        <v>19</v>
      </c>
      <c r="I858" s="8">
        <v>87.3</v>
      </c>
      <c r="J858" s="8">
        <v>2</v>
      </c>
      <c r="K858" s="8">
        <v>190</v>
      </c>
      <c r="L858" s="8">
        <v>159</v>
      </c>
      <c r="M858" s="8">
        <v>61</v>
      </c>
      <c r="N858" s="8">
        <v>1.97</v>
      </c>
      <c r="O858" s="8">
        <v>897</v>
      </c>
      <c r="P858" s="8" t="s">
        <v>22</v>
      </c>
      <c r="Q858" s="8" t="str">
        <f>_xlfn.IFS(AND(Table13[[#This Row],[Gender]]="female",R858&lt;20),"Athletes",AND(Table13[[#This Row],[Gender]]="female",R858&lt;24),"Fitnesss",AND(Table13[[#This Row],[Gender]]="female",R858&lt;31),"Acceptable",AND(Table13[[#This Row],[Gender]]="female",R858&lt;40),"Obese",AND(Table13[[#This Row],[Gender]]="male",R858&lt;13),"Athletes",AND(Table13[[#This Row],[Gender]]="male",R858&lt;17),"Fitnesss",AND(Table13[[#This Row],[Gender]]="male",R858&lt;24.9),"Acceptable",AND(Table13[[#This Row],[Gender]]="male",R858&lt;40),"Obese",AND(Table13[[#This Row],[Gender]]="others",R858&lt;20),"Athletes",AND(Table13[[#This Row],[Gender]]="others",R858&lt;24),"Fitnesss",AND(Table13[[#This Row],[Gender]]="others",R858&lt;31),"Acceptable",AND(Table13[[#This Row],[Gender]]="others",R858&lt;40),"Obese")</f>
        <v>Athletes</v>
      </c>
      <c r="R858" s="8">
        <v>10.7</v>
      </c>
      <c r="S858" s="8">
        <v>3.5</v>
      </c>
      <c r="T858" s="8">
        <v>5</v>
      </c>
      <c r="U858" s="8">
        <v>3</v>
      </c>
      <c r="V858" s="8" t="str">
        <f>IF(Table13[[#This Row],[BMI]]&lt;=18.5,"Underweight",IF(Table13[[#This Row],[BMI]]&lt;=24.9,"Normal",IF(Table13[[#This Row],[BMI]]&lt;=29.9,"Overweight",IF(Table13[[#This Row],[BMI]]&lt;=39,"Obese","Severly Obese"))))</f>
        <v>Underweight</v>
      </c>
      <c r="W858" s="18">
        <v>18.2</v>
      </c>
    </row>
    <row r="859" spans="6:23" x14ac:dyDescent="0.3">
      <c r="F859" s="17">
        <v>49</v>
      </c>
      <c r="G859" s="8" t="str">
        <f>IF(Table13[[#This Row],[Age]]&lt;25,"18-24",IF(Table13[[#This Row],[Age]]&lt;35,"25-34",IF(Table13[[#This Row],[Age]]&lt;45,"35-44",IF(Table13[[#This Row],[Age]]&lt;55,"45-54","55-64"))))</f>
        <v>45-54</v>
      </c>
      <c r="H859" s="8" t="s">
        <v>19</v>
      </c>
      <c r="I859" s="8">
        <v>40</v>
      </c>
      <c r="J859" s="8">
        <v>1.77</v>
      </c>
      <c r="K859" s="8">
        <v>175</v>
      </c>
      <c r="L859" s="8">
        <v>127</v>
      </c>
      <c r="M859" s="8">
        <v>73</v>
      </c>
      <c r="N859" s="8">
        <v>1.2</v>
      </c>
      <c r="O859" s="8">
        <v>1109</v>
      </c>
      <c r="P859" s="8" t="s">
        <v>22</v>
      </c>
      <c r="Q859" s="8" t="str">
        <f>_xlfn.IFS(AND(Table13[[#This Row],[Gender]]="female",R859&lt;20),"Athletes",AND(Table13[[#This Row],[Gender]]="female",R859&lt;24),"Fitnesss",AND(Table13[[#This Row],[Gender]]="female",R859&lt;31),"Acceptable",AND(Table13[[#This Row],[Gender]]="female",R859&lt;40),"Obese",AND(Table13[[#This Row],[Gender]]="male",R859&lt;13),"Athletes",AND(Table13[[#This Row],[Gender]]="male",R859&lt;17),"Fitnesss",AND(Table13[[#This Row],[Gender]]="male",R859&lt;24.9),"Acceptable",AND(Table13[[#This Row],[Gender]]="male",R859&lt;40),"Obese",AND(Table13[[#This Row],[Gender]]="others",R859&lt;20),"Athletes",AND(Table13[[#This Row],[Gender]]="others",R859&lt;24),"Fitnesss",AND(Table13[[#This Row],[Gender]]="others",R859&lt;31),"Acceptable",AND(Table13[[#This Row],[Gender]]="others",R859&lt;40),"Obese")</f>
        <v>Acceptable</v>
      </c>
      <c r="R859" s="8">
        <v>24.7</v>
      </c>
      <c r="S859" s="8">
        <v>2.4</v>
      </c>
      <c r="T859" s="8">
        <v>3</v>
      </c>
      <c r="U859" s="8">
        <v>3</v>
      </c>
      <c r="V859" s="8" t="str">
        <f>IF(Table13[[#This Row],[BMI]]&lt;=18.5,"Underweight",IF(Table13[[#This Row],[BMI]]&lt;=24.9,"Normal",IF(Table13[[#This Row],[BMI]]&lt;=29.9,"Overweight",IF(Table13[[#This Row],[BMI]]&lt;=39,"Obese","Severly Obese"))))</f>
        <v>Overweight</v>
      </c>
      <c r="W859" s="18">
        <v>25.41</v>
      </c>
    </row>
    <row r="860" spans="6:23" x14ac:dyDescent="0.3">
      <c r="F860" s="17">
        <v>26</v>
      </c>
      <c r="G860" s="8" t="str">
        <f>IF(Table13[[#This Row],[Age]]&lt;25,"18-24",IF(Table13[[#This Row],[Age]]&lt;35,"25-34",IF(Table13[[#This Row],[Age]]&lt;45,"35-44",IF(Table13[[#This Row],[Age]]&lt;55,"45-54","55-64"))))</f>
        <v>25-34</v>
      </c>
      <c r="H860" s="8" t="s">
        <v>17</v>
      </c>
      <c r="I860" s="8">
        <v>55.4</v>
      </c>
      <c r="J860" s="8">
        <v>2</v>
      </c>
      <c r="K860" s="8"/>
      <c r="L860" s="8">
        <v>124</v>
      </c>
      <c r="M860" s="8">
        <v>62</v>
      </c>
      <c r="N860" s="8">
        <v>1.22</v>
      </c>
      <c r="O860" s="8">
        <v>1292</v>
      </c>
      <c r="P860" s="8" t="s">
        <v>21</v>
      </c>
      <c r="Q860" s="8" t="str">
        <f>_xlfn.IFS(AND(Table13[[#This Row],[Gender]]="female",R860&lt;20),"Athletes",AND(Table13[[#This Row],[Gender]]="female",R860&lt;24),"Fitnesss",AND(Table13[[#This Row],[Gender]]="female",R860&lt;31),"Acceptable",AND(Table13[[#This Row],[Gender]]="female",R860&lt;40),"Obese",AND(Table13[[#This Row],[Gender]]="male",R860&lt;13),"Athletes",AND(Table13[[#This Row],[Gender]]="male",R860&lt;17),"Fitnesss",AND(Table13[[#This Row],[Gender]]="male",R860&lt;24.9),"Acceptable",AND(Table13[[#This Row],[Gender]]="male",R860&lt;40),"Obese",AND(Table13[[#This Row],[Gender]]="others",R860&lt;20),"Athletes",AND(Table13[[#This Row],[Gender]]="others",R860&lt;24),"Fitnesss",AND(Table13[[#This Row],[Gender]]="others",R860&lt;31),"Acceptable",AND(Table13[[#This Row],[Gender]]="others",R860&lt;40),"Obese")</f>
        <v>Acceptable</v>
      </c>
      <c r="R860" s="8">
        <v>26.8</v>
      </c>
      <c r="S860" s="8">
        <v>2.4</v>
      </c>
      <c r="T860" s="8">
        <v>3</v>
      </c>
      <c r="U860" s="8">
        <v>2</v>
      </c>
      <c r="V860" s="8" t="str">
        <f>IF(Table13[[#This Row],[BMI]]&lt;=18.5,"Underweight",IF(Table13[[#This Row],[BMI]]&lt;=24.9,"Normal",IF(Table13[[#This Row],[BMI]]&lt;=29.9,"Overweight",IF(Table13[[#This Row],[BMI]]&lt;=39,"Obese","Severly Obese"))))</f>
        <v>Normal</v>
      </c>
      <c r="W860" s="18">
        <v>19.350000000000001</v>
      </c>
    </row>
    <row r="861" spans="6:23" x14ac:dyDescent="0.3">
      <c r="F861" s="17">
        <v>18</v>
      </c>
      <c r="G861" s="8" t="str">
        <f>IF(Table13[[#This Row],[Age]]&lt;25,"18-24",IF(Table13[[#This Row],[Age]]&lt;35,"25-34",IF(Table13[[#This Row],[Age]]&lt;45,"35-44",IF(Table13[[#This Row],[Age]]&lt;55,"45-54","55-64"))))</f>
        <v>18-24</v>
      </c>
      <c r="H861" s="8" t="s">
        <v>19</v>
      </c>
      <c r="I861" s="8">
        <v>50.9</v>
      </c>
      <c r="J861" s="8">
        <v>1.73</v>
      </c>
      <c r="K861" s="8">
        <v>170</v>
      </c>
      <c r="L861" s="8">
        <v>137</v>
      </c>
      <c r="M861" s="8">
        <v>58</v>
      </c>
      <c r="N861" s="8">
        <v>1.43</v>
      </c>
      <c r="O861" s="8">
        <v>804</v>
      </c>
      <c r="P861" s="8" t="s">
        <v>18</v>
      </c>
      <c r="Q861" s="8" t="str">
        <f>_xlfn.IFS(AND(Table13[[#This Row],[Gender]]="female",R861&lt;20),"Athletes",AND(Table13[[#This Row],[Gender]]="female",R861&lt;24),"Fitnesss",AND(Table13[[#This Row],[Gender]]="female",R861&lt;31),"Acceptable",AND(Table13[[#This Row],[Gender]]="female",R861&lt;40),"Obese",AND(Table13[[#This Row],[Gender]]="male",R861&lt;13),"Athletes",AND(Table13[[#This Row],[Gender]]="male",R861&lt;17),"Fitnesss",AND(Table13[[#This Row],[Gender]]="male",R861&lt;24.9),"Acceptable",AND(Table13[[#This Row],[Gender]]="male",R861&lt;40),"Obese",AND(Table13[[#This Row],[Gender]]="others",R861&lt;20),"Athletes",AND(Table13[[#This Row],[Gender]]="others",R861&lt;24),"Fitnesss",AND(Table13[[#This Row],[Gender]]="others",R861&lt;31),"Acceptable",AND(Table13[[#This Row],[Gender]]="others",R861&lt;40),"Obese")</f>
        <v>Acceptable</v>
      </c>
      <c r="R861" s="8">
        <v>23.5</v>
      </c>
      <c r="S861" s="8">
        <v>3.7</v>
      </c>
      <c r="T861" s="8">
        <v>2</v>
      </c>
      <c r="U861" s="8">
        <v>2</v>
      </c>
      <c r="V861" s="8" t="str">
        <f>IF(Table13[[#This Row],[BMI]]&lt;=18.5,"Underweight",IF(Table13[[#This Row],[BMI]]&lt;=24.9,"Normal",IF(Table13[[#This Row],[BMI]]&lt;=29.9,"Overweight",IF(Table13[[#This Row],[BMI]]&lt;=39,"Obese","Severly Obese"))))</f>
        <v>Underweight</v>
      </c>
      <c r="W861" s="18">
        <v>17.61</v>
      </c>
    </row>
    <row r="862" spans="6:23" x14ac:dyDescent="0.3">
      <c r="F862" s="17">
        <v>55</v>
      </c>
      <c r="G862" s="8" t="str">
        <f>IF(Table13[[#This Row],[Age]]&lt;25,"18-24",IF(Table13[[#This Row],[Age]]&lt;35,"25-34",IF(Table13[[#This Row],[Age]]&lt;45,"35-44",IF(Table13[[#This Row],[Age]]&lt;55,"45-54","55-64"))))</f>
        <v>55-64</v>
      </c>
      <c r="H862" s="8" t="s">
        <v>17</v>
      </c>
      <c r="I862" s="8">
        <v>59.9</v>
      </c>
      <c r="J862" s="8">
        <v>1.53</v>
      </c>
      <c r="K862" s="8">
        <v>178</v>
      </c>
      <c r="L862" s="8">
        <v>157</v>
      </c>
      <c r="M862" s="8">
        <v>54</v>
      </c>
      <c r="N862" s="8">
        <v>1.23</v>
      </c>
      <c r="O862" s="8">
        <v>1044</v>
      </c>
      <c r="P862" s="8" t="s">
        <v>21</v>
      </c>
      <c r="Q862" s="8" t="str">
        <f>_xlfn.IFS(AND(Table13[[#This Row],[Gender]]="female",R862&lt;20),"Athletes",AND(Table13[[#This Row],[Gender]]="female",R862&lt;24),"Fitnesss",AND(Table13[[#This Row],[Gender]]="female",R862&lt;31),"Acceptable",AND(Table13[[#This Row],[Gender]]="female",R862&lt;40),"Obese",AND(Table13[[#This Row],[Gender]]="male",R862&lt;13),"Athletes",AND(Table13[[#This Row],[Gender]]="male",R862&lt;17),"Fitnesss",AND(Table13[[#This Row],[Gender]]="male",R862&lt;24.9),"Acceptable",AND(Table13[[#This Row],[Gender]]="male",R862&lt;40),"Obese",AND(Table13[[#This Row],[Gender]]="others",R862&lt;20),"Athletes",AND(Table13[[#This Row],[Gender]]="others",R862&lt;24),"Fitnesss",AND(Table13[[#This Row],[Gender]]="others",R862&lt;31),"Acceptable",AND(Table13[[#This Row],[Gender]]="others",R862&lt;40),"Obese")</f>
        <v>Acceptable</v>
      </c>
      <c r="R862" s="8">
        <v>26.9</v>
      </c>
      <c r="S862" s="8">
        <v>3.4</v>
      </c>
      <c r="T862" s="8">
        <v>4</v>
      </c>
      <c r="U862" s="8">
        <v>1</v>
      </c>
      <c r="V862" s="8" t="str">
        <f>IF(Table13[[#This Row],[BMI]]&lt;=18.5,"Underweight",IF(Table13[[#This Row],[BMI]]&lt;=24.9,"Normal",IF(Table13[[#This Row],[BMI]]&lt;=29.9,"Overweight",IF(Table13[[#This Row],[BMI]]&lt;=39,"Obese","Severly Obese"))))</f>
        <v>Obese</v>
      </c>
      <c r="W862" s="18">
        <v>31.33</v>
      </c>
    </row>
    <row r="863" spans="6:23" x14ac:dyDescent="0.3">
      <c r="F863" s="17">
        <v>44</v>
      </c>
      <c r="G863" s="8" t="str">
        <f>IF(Table13[[#This Row],[Age]]&lt;25,"18-24",IF(Table13[[#This Row],[Age]]&lt;35,"25-34",IF(Table13[[#This Row],[Age]]&lt;45,"35-44",IF(Table13[[#This Row],[Age]]&lt;55,"45-54","55-64"))))</f>
        <v>35-44</v>
      </c>
      <c r="H863" s="8" t="s">
        <v>19</v>
      </c>
      <c r="I863" s="8">
        <v>66.8</v>
      </c>
      <c r="J863" s="8">
        <v>1.97</v>
      </c>
      <c r="K863" s="8">
        <v>194</v>
      </c>
      <c r="L863" s="8">
        <v>126</v>
      </c>
      <c r="M863" s="8">
        <v>65</v>
      </c>
      <c r="N863" s="8">
        <v>1.66</v>
      </c>
      <c r="O863" s="8">
        <v>1382</v>
      </c>
      <c r="P863" s="8" t="s">
        <v>21</v>
      </c>
      <c r="Q863" s="8" t="str">
        <f>_xlfn.IFS(AND(Table13[[#This Row],[Gender]]="female",R863&lt;20),"Athletes",AND(Table13[[#This Row],[Gender]]="female",R863&lt;24),"Fitnesss",AND(Table13[[#This Row],[Gender]]="female",R863&lt;31),"Acceptable",AND(Table13[[#This Row],[Gender]]="female",R863&lt;40),"Obese",AND(Table13[[#This Row],[Gender]]="male",R863&lt;13),"Athletes",AND(Table13[[#This Row],[Gender]]="male",R863&lt;17),"Fitnesss",AND(Table13[[#This Row],[Gender]]="male",R863&lt;24.9),"Acceptable",AND(Table13[[#This Row],[Gender]]="male",R863&lt;40),"Obese",AND(Table13[[#This Row],[Gender]]="others",R863&lt;20),"Athletes",AND(Table13[[#This Row],[Gender]]="others",R863&lt;24),"Fitnesss",AND(Table13[[#This Row],[Gender]]="others",R863&lt;31),"Acceptable",AND(Table13[[#This Row],[Gender]]="others",R863&lt;40),"Obese")</f>
        <v>Acceptable</v>
      </c>
      <c r="R863" s="8">
        <v>18.5</v>
      </c>
      <c r="S863" s="8">
        <v>1.6</v>
      </c>
      <c r="T863" s="8">
        <v>4</v>
      </c>
      <c r="U863" s="8">
        <v>2</v>
      </c>
      <c r="V863" s="8" t="str">
        <f>IF(Table13[[#This Row],[BMI]]&lt;=18.5,"Underweight",IF(Table13[[#This Row],[BMI]]&lt;=24.9,"Normal",IF(Table13[[#This Row],[BMI]]&lt;=29.9,"Overweight",IF(Table13[[#This Row],[BMI]]&lt;=39,"Obese","Severly Obese"))))</f>
        <v>Normal</v>
      </c>
      <c r="W863" s="18">
        <v>23.14</v>
      </c>
    </row>
    <row r="864" spans="6:23" x14ac:dyDescent="0.3">
      <c r="F864" s="17">
        <v>50</v>
      </c>
      <c r="G864" s="8" t="str">
        <f>IF(Table13[[#This Row],[Age]]&lt;25,"18-24",IF(Table13[[#This Row],[Age]]&lt;35,"25-34",IF(Table13[[#This Row],[Age]]&lt;45,"35-44",IF(Table13[[#This Row],[Age]]&lt;55,"45-54","55-64"))))</f>
        <v>45-54</v>
      </c>
      <c r="H864" s="8" t="s">
        <v>19</v>
      </c>
      <c r="I864" s="8">
        <v>97</v>
      </c>
      <c r="J864" s="8">
        <v>1.65</v>
      </c>
      <c r="K864" s="8">
        <v>191</v>
      </c>
      <c r="L864" s="8">
        <v>133</v>
      </c>
      <c r="M864" s="8">
        <v>70</v>
      </c>
      <c r="N864" s="8">
        <v>1.43</v>
      </c>
      <c r="O864" s="8">
        <v>1256</v>
      </c>
      <c r="P864" s="8" t="s">
        <v>20</v>
      </c>
      <c r="Q864" s="8" t="str">
        <f>_xlfn.IFS(AND(Table13[[#This Row],[Gender]]="female",R864&lt;20),"Athletes",AND(Table13[[#This Row],[Gender]]="female",R864&lt;24),"Fitnesss",AND(Table13[[#This Row],[Gender]]="female",R864&lt;31),"Acceptable",AND(Table13[[#This Row],[Gender]]="female",R864&lt;40),"Obese",AND(Table13[[#This Row],[Gender]]="male",R864&lt;13),"Athletes",AND(Table13[[#This Row],[Gender]]="male",R864&lt;17),"Fitnesss",AND(Table13[[#This Row],[Gender]]="male",R864&lt;24.9),"Acceptable",AND(Table13[[#This Row],[Gender]]="male",R864&lt;40),"Obese",AND(Table13[[#This Row],[Gender]]="others",R864&lt;20),"Athletes",AND(Table13[[#This Row],[Gender]]="others",R864&lt;24),"Fitnesss",AND(Table13[[#This Row],[Gender]]="others",R864&lt;31),"Acceptable",AND(Table13[[#This Row],[Gender]]="others",R864&lt;40),"Obese")</f>
        <v>Obese</v>
      </c>
      <c r="R864" s="8">
        <v>27.1</v>
      </c>
      <c r="S864" s="8">
        <v>1.5</v>
      </c>
      <c r="T864" s="8">
        <v>5</v>
      </c>
      <c r="U864" s="8"/>
      <c r="V864" s="8" t="str">
        <f>IF(Table13[[#This Row],[BMI]]&lt;=18.5,"Underweight",IF(Table13[[#This Row],[BMI]]&lt;=24.9,"Normal",IF(Table13[[#This Row],[BMI]]&lt;=29.9,"Overweight",IF(Table13[[#This Row],[BMI]]&lt;=39,"Obese","Severly Obese"))))</f>
        <v>Overweight</v>
      </c>
      <c r="W864" s="18">
        <v>27.51</v>
      </c>
    </row>
    <row r="865" spans="6:23" x14ac:dyDescent="0.3">
      <c r="F865" s="17">
        <v>37</v>
      </c>
      <c r="G865" s="8" t="str">
        <f>IF(Table13[[#This Row],[Age]]&lt;25,"18-24",IF(Table13[[#This Row],[Age]]&lt;35,"25-34",IF(Table13[[#This Row],[Age]]&lt;45,"35-44",IF(Table13[[#This Row],[Age]]&lt;55,"45-54","55-64"))))</f>
        <v>35-44</v>
      </c>
      <c r="H865" s="8" t="s">
        <v>19</v>
      </c>
      <c r="I865" s="8">
        <v>75.8</v>
      </c>
      <c r="J865" s="8">
        <v>1.63</v>
      </c>
      <c r="K865" s="8">
        <v>192</v>
      </c>
      <c r="L865" s="8">
        <v>131</v>
      </c>
      <c r="M865" s="8">
        <v>64</v>
      </c>
      <c r="N865" s="8">
        <v>0.98</v>
      </c>
      <c r="O865" s="8">
        <v>921</v>
      </c>
      <c r="P865" s="8" t="s">
        <v>18</v>
      </c>
      <c r="Q865" s="8" t="str">
        <f>_xlfn.IFS(AND(Table13[[#This Row],[Gender]]="female",R865&lt;20),"Athletes",AND(Table13[[#This Row],[Gender]]="female",R865&lt;24),"Fitnesss",AND(Table13[[#This Row],[Gender]]="female",R865&lt;31),"Acceptable",AND(Table13[[#This Row],[Gender]]="female",R865&lt;40),"Obese",AND(Table13[[#This Row],[Gender]]="male",R865&lt;13),"Athletes",AND(Table13[[#This Row],[Gender]]="male",R865&lt;17),"Fitnesss",AND(Table13[[#This Row],[Gender]]="male",R865&lt;24.9),"Acceptable",AND(Table13[[#This Row],[Gender]]="male",R865&lt;40),"Obese",AND(Table13[[#This Row],[Gender]]="others",R865&lt;20),"Athletes",AND(Table13[[#This Row],[Gender]]="others",R865&lt;24),"Fitnesss",AND(Table13[[#This Row],[Gender]]="others",R865&lt;31),"Acceptable",AND(Table13[[#This Row],[Gender]]="others",R865&lt;40),"Obese")</f>
        <v>Obese</v>
      </c>
      <c r="R865" s="8">
        <v>26.5</v>
      </c>
      <c r="S865" s="8">
        <v>1.5</v>
      </c>
      <c r="T865" s="8">
        <v>4</v>
      </c>
      <c r="U865" s="8">
        <v>1</v>
      </c>
      <c r="V865" s="8" t="str">
        <f>IF(Table13[[#This Row],[BMI]]&lt;=18.5,"Underweight",IF(Table13[[#This Row],[BMI]]&lt;=24.9,"Normal",IF(Table13[[#This Row],[BMI]]&lt;=29.9,"Overweight",IF(Table13[[#This Row],[BMI]]&lt;=39,"Obese","Severly Obese"))))</f>
        <v>Underweight</v>
      </c>
      <c r="W865" s="18">
        <v>14</v>
      </c>
    </row>
    <row r="866" spans="6:23" x14ac:dyDescent="0.3">
      <c r="F866" s="17">
        <v>21</v>
      </c>
      <c r="G866" s="8" t="str">
        <f>IF(Table13[[#This Row],[Age]]&lt;25,"18-24",IF(Table13[[#This Row],[Age]]&lt;35,"25-34",IF(Table13[[#This Row],[Age]]&lt;45,"35-44",IF(Table13[[#This Row],[Age]]&lt;55,"45-54","55-64"))))</f>
        <v>18-24</v>
      </c>
      <c r="H866" s="8" t="s">
        <v>17</v>
      </c>
      <c r="I866" s="8">
        <v>51.6</v>
      </c>
      <c r="J866" s="8">
        <v>1.5</v>
      </c>
      <c r="K866" s="8">
        <v>175</v>
      </c>
      <c r="L866" s="8">
        <v>149</v>
      </c>
      <c r="M866" s="8">
        <v>66</v>
      </c>
      <c r="N866" s="8">
        <v>2</v>
      </c>
      <c r="O866" s="8">
        <v>863</v>
      </c>
      <c r="P866" s="8" t="s">
        <v>22</v>
      </c>
      <c r="Q866" s="8" t="str">
        <f>_xlfn.IFS(AND(Table13[[#This Row],[Gender]]="female",R866&lt;20),"Athletes",AND(Table13[[#This Row],[Gender]]="female",R866&lt;24),"Fitnesss",AND(Table13[[#This Row],[Gender]]="female",R866&lt;31),"Acceptable",AND(Table13[[#This Row],[Gender]]="female",R866&lt;40),"Obese",AND(Table13[[#This Row],[Gender]]="male",R866&lt;13),"Athletes",AND(Table13[[#This Row],[Gender]]="male",R866&lt;17),"Fitnesss",AND(Table13[[#This Row],[Gender]]="male",R866&lt;24.9),"Acceptable",AND(Table13[[#This Row],[Gender]]="male",R866&lt;40),"Obese",AND(Table13[[#This Row],[Gender]]="others",R866&lt;20),"Athletes",AND(Table13[[#This Row],[Gender]]="others",R866&lt;24),"Fitnesss",AND(Table13[[#This Row],[Gender]]="others",R866&lt;31),"Acceptable",AND(Table13[[#This Row],[Gender]]="others",R866&lt;40),"Obese")</f>
        <v>Acceptable</v>
      </c>
      <c r="R866" s="8">
        <v>25.2</v>
      </c>
      <c r="S866" s="8">
        <v>2</v>
      </c>
      <c r="T866" s="8">
        <v>3</v>
      </c>
      <c r="U866" s="8">
        <v>1</v>
      </c>
      <c r="V866" s="8" t="str">
        <f>IF(Table13[[#This Row],[BMI]]&lt;=18.5,"Underweight",IF(Table13[[#This Row],[BMI]]&lt;=24.9,"Normal",IF(Table13[[#This Row],[BMI]]&lt;=29.9,"Overweight",IF(Table13[[#This Row],[BMI]]&lt;=39,"Obese","Severly Obese"))))</f>
        <v>Normal</v>
      </c>
      <c r="W866" s="18">
        <v>24.7</v>
      </c>
    </row>
    <row r="867" spans="6:23" x14ac:dyDescent="0.3">
      <c r="F867" s="17">
        <v>27</v>
      </c>
      <c r="G867" s="8" t="str">
        <f>IF(Table13[[#This Row],[Age]]&lt;25,"18-24",IF(Table13[[#This Row],[Age]]&lt;35,"25-34",IF(Table13[[#This Row],[Age]]&lt;45,"35-44",IF(Table13[[#This Row],[Age]]&lt;55,"45-54","55-64"))))</f>
        <v>25-34</v>
      </c>
      <c r="H867" s="8" t="s">
        <v>17</v>
      </c>
      <c r="I867" s="8">
        <v>55.4</v>
      </c>
      <c r="J867" s="8">
        <v>1.88</v>
      </c>
      <c r="K867" s="8">
        <v>187</v>
      </c>
      <c r="L867" s="8">
        <v>134</v>
      </c>
      <c r="M867" s="8">
        <v>53</v>
      </c>
      <c r="N867" s="8">
        <v>2</v>
      </c>
      <c r="O867" s="8">
        <v>855</v>
      </c>
      <c r="P867" s="8" t="s">
        <v>18</v>
      </c>
      <c r="Q867" s="8" t="str">
        <f>_xlfn.IFS(AND(Table13[[#This Row],[Gender]]="female",R867&lt;20),"Athletes",AND(Table13[[#This Row],[Gender]]="female",R867&lt;24),"Fitnesss",AND(Table13[[#This Row],[Gender]]="female",R867&lt;31),"Acceptable",AND(Table13[[#This Row],[Gender]]="female",R867&lt;40),"Obese",AND(Table13[[#This Row],[Gender]]="male",R867&lt;13),"Athletes",AND(Table13[[#This Row],[Gender]]="male",R867&lt;17),"Fitnesss",AND(Table13[[#This Row],[Gender]]="male",R867&lt;24.9),"Acceptable",AND(Table13[[#This Row],[Gender]]="male",R867&lt;40),"Obese",AND(Table13[[#This Row],[Gender]]="others",R867&lt;20),"Athletes",AND(Table13[[#This Row],[Gender]]="others",R867&lt;24),"Fitnesss",AND(Table13[[#This Row],[Gender]]="others",R867&lt;31),"Acceptable",AND(Table13[[#This Row],[Gender]]="others",R867&lt;40),"Obese")</f>
        <v>Athletes</v>
      </c>
      <c r="R867" s="8">
        <v>16.3</v>
      </c>
      <c r="S867" s="8">
        <v>2.6</v>
      </c>
      <c r="T867" s="8">
        <v>5</v>
      </c>
      <c r="U867" s="8">
        <v>1</v>
      </c>
      <c r="V867" s="8" t="str">
        <f>IF(Table13[[#This Row],[BMI]]&lt;=18.5,"Underweight",IF(Table13[[#This Row],[BMI]]&lt;=24.9,"Normal",IF(Table13[[#This Row],[BMI]]&lt;=29.9,"Overweight",IF(Table13[[#This Row],[BMI]]&lt;=39,"Obese","Severly Obese"))))</f>
        <v>Underweight</v>
      </c>
      <c r="W867" s="18">
        <v>14.33</v>
      </c>
    </row>
    <row r="868" spans="6:23" x14ac:dyDescent="0.3">
      <c r="F868" s="17">
        <v>23</v>
      </c>
      <c r="G868" s="8" t="str">
        <f>IF(Table13[[#This Row],[Age]]&lt;25,"18-24",IF(Table13[[#This Row],[Age]]&lt;35,"25-34",IF(Table13[[#This Row],[Age]]&lt;45,"35-44",IF(Table13[[#This Row],[Age]]&lt;55,"45-54","55-64"))))</f>
        <v>18-24</v>
      </c>
      <c r="H868" s="8" t="s">
        <v>19</v>
      </c>
      <c r="I868" s="8">
        <v>72.900000000000006</v>
      </c>
      <c r="J868" s="8">
        <v>1.51</v>
      </c>
      <c r="K868" s="8">
        <v>190</v>
      </c>
      <c r="L868" s="8">
        <v>164</v>
      </c>
      <c r="M868" s="8">
        <v>57</v>
      </c>
      <c r="N868" s="8">
        <v>1.29</v>
      </c>
      <c r="O868" s="8">
        <v>925</v>
      </c>
      <c r="P868" s="8" t="s">
        <v>18</v>
      </c>
      <c r="Q868" s="8" t="str">
        <f>_xlfn.IFS(AND(Table13[[#This Row],[Gender]]="female",R868&lt;20),"Athletes",AND(Table13[[#This Row],[Gender]]="female",R868&lt;24),"Fitnesss",AND(Table13[[#This Row],[Gender]]="female",R868&lt;31),"Acceptable",AND(Table13[[#This Row],[Gender]]="female",R868&lt;40),"Obese",AND(Table13[[#This Row],[Gender]]="male",R868&lt;13),"Athletes",AND(Table13[[#This Row],[Gender]]="male",R868&lt;17),"Fitnesss",AND(Table13[[#This Row],[Gender]]="male",R868&lt;24.9),"Acceptable",AND(Table13[[#This Row],[Gender]]="male",R868&lt;40),"Obese",AND(Table13[[#This Row],[Gender]]="others",R868&lt;20),"Athletes",AND(Table13[[#This Row],[Gender]]="others",R868&lt;24),"Fitnesss",AND(Table13[[#This Row],[Gender]]="others",R868&lt;31),"Acceptable",AND(Table13[[#This Row],[Gender]]="others",R868&lt;40),"Obese")</f>
        <v>Acceptable</v>
      </c>
      <c r="R868" s="8">
        <v>22.3</v>
      </c>
      <c r="S868" s="8">
        <v>1.5</v>
      </c>
      <c r="T868" s="8">
        <v>2</v>
      </c>
      <c r="U868" s="8">
        <v>1</v>
      </c>
      <c r="V868" s="8" t="str">
        <f>IF(Table13[[#This Row],[BMI]]&lt;=18.5,"Underweight",IF(Table13[[#This Row],[BMI]]&lt;=24.9,"Normal",IF(Table13[[#This Row],[BMI]]&lt;=29.9,"Overweight",IF(Table13[[#This Row],[BMI]]&lt;=39,"Obese","Severly Obese"))))</f>
        <v>Severly Obese</v>
      </c>
      <c r="W868" s="18">
        <v>40.08</v>
      </c>
    </row>
    <row r="869" spans="6:23" x14ac:dyDescent="0.3">
      <c r="F869" s="17">
        <v>30</v>
      </c>
      <c r="G869" s="8" t="str">
        <f>IF(Table13[[#This Row],[Age]]&lt;25,"18-24",IF(Table13[[#This Row],[Age]]&lt;35,"25-34",IF(Table13[[#This Row],[Age]]&lt;45,"35-44",IF(Table13[[#This Row],[Age]]&lt;55,"45-54","55-64"))))</f>
        <v>25-34</v>
      </c>
      <c r="H869" s="8" t="s">
        <v>17</v>
      </c>
      <c r="I869" s="8">
        <v>80.2</v>
      </c>
      <c r="J869" s="8">
        <v>1.91</v>
      </c>
      <c r="K869" s="8">
        <v>192</v>
      </c>
      <c r="L869" s="8">
        <v>135</v>
      </c>
      <c r="M869" s="8">
        <v>62</v>
      </c>
      <c r="N869" s="8">
        <v>1.47</v>
      </c>
      <c r="O869" s="8">
        <v>1461</v>
      </c>
      <c r="P869" s="8" t="s">
        <v>18</v>
      </c>
      <c r="Q869" s="8" t="str">
        <f>_xlfn.IFS(AND(Table13[[#This Row],[Gender]]="female",R869&lt;20),"Athletes",AND(Table13[[#This Row],[Gender]]="female",R869&lt;24),"Fitnesss",AND(Table13[[#This Row],[Gender]]="female",R869&lt;31),"Acceptable",AND(Table13[[#This Row],[Gender]]="female",R869&lt;40),"Obese",AND(Table13[[#This Row],[Gender]]="male",R869&lt;13),"Athletes",AND(Table13[[#This Row],[Gender]]="male",R869&lt;17),"Fitnesss",AND(Table13[[#This Row],[Gender]]="male",R869&lt;24.9),"Acceptable",AND(Table13[[#This Row],[Gender]]="male",R869&lt;40),"Obese",AND(Table13[[#This Row],[Gender]]="others",R869&lt;20),"Athletes",AND(Table13[[#This Row],[Gender]]="others",R869&lt;24),"Fitnesss",AND(Table13[[#This Row],[Gender]]="others",R869&lt;31),"Acceptable",AND(Table13[[#This Row],[Gender]]="others",R869&lt;40),"Obese")</f>
        <v>Athletes</v>
      </c>
      <c r="R869" s="8">
        <v>16.5</v>
      </c>
      <c r="S869" s="8">
        <v>3.7</v>
      </c>
      <c r="T869" s="8">
        <v>2</v>
      </c>
      <c r="U869" s="8">
        <v>3</v>
      </c>
      <c r="V869" s="8" t="str">
        <f>IF(Table13[[#This Row],[BMI]]&lt;=18.5,"Underweight",IF(Table13[[#This Row],[BMI]]&lt;=24.9,"Normal",IF(Table13[[#This Row],[BMI]]&lt;=29.9,"Overweight",IF(Table13[[#This Row],[BMI]]&lt;=39,"Obese","Severly Obese"))))</f>
        <v>Overweight</v>
      </c>
      <c r="W869" s="18">
        <v>28.49</v>
      </c>
    </row>
    <row r="870" spans="6:23" x14ac:dyDescent="0.3">
      <c r="F870" s="17">
        <v>18</v>
      </c>
      <c r="G870" s="8" t="str">
        <f>IF(Table13[[#This Row],[Age]]&lt;25,"18-24",IF(Table13[[#This Row],[Age]]&lt;35,"25-34",IF(Table13[[#This Row],[Age]]&lt;45,"35-44",IF(Table13[[#This Row],[Age]]&lt;55,"45-54","55-64"))))</f>
        <v>18-24</v>
      </c>
      <c r="H870" s="8" t="s">
        <v>19</v>
      </c>
      <c r="I870" s="8">
        <v>97.2</v>
      </c>
      <c r="J870" s="8">
        <v>1.73</v>
      </c>
      <c r="K870" s="8">
        <v>175</v>
      </c>
      <c r="L870" s="8">
        <v>165</v>
      </c>
      <c r="M870" s="8">
        <v>72</v>
      </c>
      <c r="N870" s="8">
        <v>1.1499999999999999</v>
      </c>
      <c r="O870" s="8">
        <v>707</v>
      </c>
      <c r="P870" s="8" t="s">
        <v>18</v>
      </c>
      <c r="Q870" s="8" t="str">
        <f>_xlfn.IFS(AND(Table13[[#This Row],[Gender]]="female",R870&lt;20),"Athletes",AND(Table13[[#This Row],[Gender]]="female",R870&lt;24),"Fitnesss",AND(Table13[[#This Row],[Gender]]="female",R870&lt;31),"Acceptable",AND(Table13[[#This Row],[Gender]]="female",R870&lt;40),"Obese",AND(Table13[[#This Row],[Gender]]="male",R870&lt;13),"Athletes",AND(Table13[[#This Row],[Gender]]="male",R870&lt;17),"Fitnesss",AND(Table13[[#This Row],[Gender]]="male",R870&lt;24.9),"Acceptable",AND(Table13[[#This Row],[Gender]]="male",R870&lt;40),"Obese",AND(Table13[[#This Row],[Gender]]="others",R870&lt;20),"Athletes",AND(Table13[[#This Row],[Gender]]="others",R870&lt;24),"Fitnesss",AND(Table13[[#This Row],[Gender]]="others",R870&lt;31),"Acceptable",AND(Table13[[#This Row],[Gender]]="others",R870&lt;40),"Obese")</f>
        <v>Fitnesss</v>
      </c>
      <c r="R870" s="8">
        <v>14.3</v>
      </c>
      <c r="S870" s="8">
        <v>1.5</v>
      </c>
      <c r="T870" s="8"/>
      <c r="U870" s="8">
        <v>2</v>
      </c>
      <c r="V870" s="8" t="str">
        <f>IF(Table13[[#This Row],[BMI]]&lt;=18.5,"Underweight",IF(Table13[[#This Row],[BMI]]&lt;=24.9,"Normal",IF(Table13[[#This Row],[BMI]]&lt;=29.9,"Overweight",IF(Table13[[#This Row],[BMI]]&lt;=39,"Obese","Severly Obese"))))</f>
        <v>Underweight</v>
      </c>
      <c r="W870" s="18">
        <v>16.190000000000001</v>
      </c>
    </row>
    <row r="871" spans="6:23" x14ac:dyDescent="0.3">
      <c r="F871" s="17">
        <v>45</v>
      </c>
      <c r="G871" s="8" t="str">
        <f>IF(Table13[[#This Row],[Age]]&lt;25,"18-24",IF(Table13[[#This Row],[Age]]&lt;35,"25-34",IF(Table13[[#This Row],[Age]]&lt;45,"35-44",IF(Table13[[#This Row],[Age]]&lt;55,"45-54","55-64"))))</f>
        <v>45-54</v>
      </c>
      <c r="H871" s="8" t="s">
        <v>19</v>
      </c>
      <c r="I871" s="8">
        <v>121.2</v>
      </c>
      <c r="J871" s="8">
        <v>1.67</v>
      </c>
      <c r="K871" s="8">
        <v>186</v>
      </c>
      <c r="L871" s="8">
        <v>133</v>
      </c>
      <c r="M871" s="8">
        <v>55</v>
      </c>
      <c r="N871" s="8">
        <v>2</v>
      </c>
      <c r="O871" s="8">
        <v>466</v>
      </c>
      <c r="P871" s="8" t="s">
        <v>20</v>
      </c>
      <c r="Q871" s="8" t="str">
        <f>_xlfn.IFS(AND(Table13[[#This Row],[Gender]]="female",R871&lt;20),"Athletes",AND(Table13[[#This Row],[Gender]]="female",R871&lt;24),"Fitnesss",AND(Table13[[#This Row],[Gender]]="female",R871&lt;31),"Acceptable",AND(Table13[[#This Row],[Gender]]="female",R871&lt;40),"Obese",AND(Table13[[#This Row],[Gender]]="male",R871&lt;13),"Athletes",AND(Table13[[#This Row],[Gender]]="male",R871&lt;17),"Fitnesss",AND(Table13[[#This Row],[Gender]]="male",R871&lt;24.9),"Acceptable",AND(Table13[[#This Row],[Gender]]="male",R871&lt;40),"Obese",AND(Table13[[#This Row],[Gender]]="others",R871&lt;20),"Athletes",AND(Table13[[#This Row],[Gender]]="others",R871&lt;24),"Fitnesss",AND(Table13[[#This Row],[Gender]]="others",R871&lt;31),"Acceptable",AND(Table13[[#This Row],[Gender]]="others",R871&lt;40),"Obese")</f>
        <v>Fitnesss</v>
      </c>
      <c r="R871" s="8">
        <v>16.7</v>
      </c>
      <c r="S871" s="8">
        <v>3.4</v>
      </c>
      <c r="T871" s="8">
        <v>4</v>
      </c>
      <c r="U871" s="8">
        <v>1</v>
      </c>
      <c r="V871" s="8" t="str">
        <f>IF(Table13[[#This Row],[BMI]]&lt;=18.5,"Underweight",IF(Table13[[#This Row],[BMI]]&lt;=24.9,"Normal",IF(Table13[[#This Row],[BMI]]&lt;=29.9,"Overweight",IF(Table13[[#This Row],[BMI]]&lt;=39,"Obese","Severly Obese"))))</f>
        <v>Obese</v>
      </c>
      <c r="W871" s="18">
        <v>30.69</v>
      </c>
    </row>
    <row r="872" spans="6:23" x14ac:dyDescent="0.3">
      <c r="F872" s="17">
        <v>36</v>
      </c>
      <c r="G872" s="8" t="str">
        <f>IF(Table13[[#This Row],[Age]]&lt;25,"18-24",IF(Table13[[#This Row],[Age]]&lt;35,"25-34",IF(Table13[[#This Row],[Age]]&lt;45,"35-44",IF(Table13[[#This Row],[Age]]&lt;55,"45-54","55-64"))))</f>
        <v>35-44</v>
      </c>
      <c r="H872" s="8" t="s">
        <v>17</v>
      </c>
      <c r="I872" s="8">
        <v>100.2</v>
      </c>
      <c r="J872" s="8">
        <v>1.93</v>
      </c>
      <c r="K872" s="8">
        <v>199</v>
      </c>
      <c r="L872" s="8">
        <v>166</v>
      </c>
      <c r="M872" s="8">
        <v>60</v>
      </c>
      <c r="N872" s="8">
        <v>0.98</v>
      </c>
      <c r="O872" s="8">
        <v>1076</v>
      </c>
      <c r="P872" s="8" t="s">
        <v>21</v>
      </c>
      <c r="Q872" s="8" t="str">
        <f>_xlfn.IFS(AND(Table13[[#This Row],[Gender]]="female",R872&lt;20),"Athletes",AND(Table13[[#This Row],[Gender]]="female",R872&lt;24),"Fitnesss",AND(Table13[[#This Row],[Gender]]="female",R872&lt;31),"Acceptable",AND(Table13[[#This Row],[Gender]]="female",R872&lt;40),"Obese",AND(Table13[[#This Row],[Gender]]="male",R872&lt;13),"Athletes",AND(Table13[[#This Row],[Gender]]="male",R872&lt;17),"Fitnesss",AND(Table13[[#This Row],[Gender]]="male",R872&lt;24.9),"Acceptable",AND(Table13[[#This Row],[Gender]]="male",R872&lt;40),"Obese",AND(Table13[[#This Row],[Gender]]="others",R872&lt;20),"Athletes",AND(Table13[[#This Row],[Gender]]="others",R872&lt;24),"Fitnesss",AND(Table13[[#This Row],[Gender]]="others",R872&lt;31),"Acceptable",AND(Table13[[#This Row],[Gender]]="others",R872&lt;40),"Obese")</f>
        <v>Acceptable</v>
      </c>
      <c r="R872" s="8">
        <v>24.6</v>
      </c>
      <c r="S872" s="8">
        <v>2.7</v>
      </c>
      <c r="T872" s="8">
        <v>4</v>
      </c>
      <c r="U872" s="8">
        <v>2</v>
      </c>
      <c r="V872" s="8" t="str">
        <f>IF(Table13[[#This Row],[BMI]]&lt;=18.5,"Underweight",IF(Table13[[#This Row],[BMI]]&lt;=24.9,"Normal",IF(Table13[[#This Row],[BMI]]&lt;=29.9,"Overweight",IF(Table13[[#This Row],[BMI]]&lt;=39,"Obese","Severly Obese"))))</f>
        <v>Underweight</v>
      </c>
      <c r="W872" s="18">
        <v>16.489999999999998</v>
      </c>
    </row>
    <row r="873" spans="6:23" x14ac:dyDescent="0.3">
      <c r="F873" s="17">
        <v>54</v>
      </c>
      <c r="G873" s="8" t="str">
        <f>IF(Table13[[#This Row],[Age]]&lt;25,"18-24",IF(Table13[[#This Row],[Age]]&lt;35,"25-34",IF(Table13[[#This Row],[Age]]&lt;45,"35-44",IF(Table13[[#This Row],[Age]]&lt;55,"45-54","55-64"))))</f>
        <v>45-54</v>
      </c>
      <c r="H873" s="8" t="s">
        <v>19</v>
      </c>
      <c r="I873" s="8">
        <v>56.4</v>
      </c>
      <c r="J873" s="8">
        <v>1.55</v>
      </c>
      <c r="K873" s="8">
        <v>186</v>
      </c>
      <c r="L873" s="8">
        <v>135</v>
      </c>
      <c r="M873" s="8">
        <v>74</v>
      </c>
      <c r="N873" s="8">
        <v>1.73</v>
      </c>
      <c r="O873" s="8"/>
      <c r="P873" s="8" t="s">
        <v>22</v>
      </c>
      <c r="Q873" s="8" t="str">
        <f>_xlfn.IFS(AND(Table13[[#This Row],[Gender]]="female",R873&lt;20),"Athletes",AND(Table13[[#This Row],[Gender]]="female",R873&lt;24),"Fitnesss",AND(Table13[[#This Row],[Gender]]="female",R873&lt;31),"Acceptable",AND(Table13[[#This Row],[Gender]]="female",R873&lt;40),"Obese",AND(Table13[[#This Row],[Gender]]="male",R873&lt;13),"Athletes",AND(Table13[[#This Row],[Gender]]="male",R873&lt;17),"Fitnesss",AND(Table13[[#This Row],[Gender]]="male",R873&lt;24.9),"Acceptable",AND(Table13[[#This Row],[Gender]]="male",R873&lt;40),"Obese",AND(Table13[[#This Row],[Gender]]="others",R873&lt;20),"Athletes",AND(Table13[[#This Row],[Gender]]="others",R873&lt;24),"Fitnesss",AND(Table13[[#This Row],[Gender]]="others",R873&lt;31),"Acceptable",AND(Table13[[#This Row],[Gender]]="others",R873&lt;40),"Obese")</f>
        <v>Acceptable</v>
      </c>
      <c r="R873" s="8">
        <v>19.7</v>
      </c>
      <c r="S873" s="8">
        <v>2.6</v>
      </c>
      <c r="T873" s="8">
        <v>3</v>
      </c>
      <c r="U873" s="8">
        <v>1</v>
      </c>
      <c r="V873" s="8" t="str">
        <f>IF(Table13[[#This Row],[BMI]]&lt;=18.5,"Underweight",IF(Table13[[#This Row],[BMI]]&lt;=24.9,"Normal",IF(Table13[[#This Row],[BMI]]&lt;=29.9,"Overweight",IF(Table13[[#This Row],[BMI]]&lt;=39,"Obese","Severly Obese"))))</f>
        <v>Normal</v>
      </c>
      <c r="W873" s="18">
        <v>20.190000000000001</v>
      </c>
    </row>
    <row r="874" spans="6:23" x14ac:dyDescent="0.3">
      <c r="F874" s="17">
        <v>45</v>
      </c>
      <c r="G874" s="8" t="str">
        <f>IF(Table13[[#This Row],[Age]]&lt;25,"18-24",IF(Table13[[#This Row],[Age]]&lt;35,"25-34",IF(Table13[[#This Row],[Age]]&lt;45,"35-44",IF(Table13[[#This Row],[Age]]&lt;55,"45-54","55-64"))))</f>
        <v>45-54</v>
      </c>
      <c r="H874" s="8" t="s">
        <v>19</v>
      </c>
      <c r="I874" s="8">
        <v>84.1</v>
      </c>
      <c r="J874" s="8">
        <v>1.71</v>
      </c>
      <c r="K874" s="8">
        <v>161</v>
      </c>
      <c r="L874" s="8">
        <v>169</v>
      </c>
      <c r="M874" s="8">
        <v>56</v>
      </c>
      <c r="N874" s="8">
        <v>1.38</v>
      </c>
      <c r="O874" s="8">
        <v>480</v>
      </c>
      <c r="P874" s="8" t="s">
        <v>22</v>
      </c>
      <c r="Q874" s="8" t="str">
        <f>_xlfn.IFS(AND(Table13[[#This Row],[Gender]]="female",R874&lt;20),"Athletes",AND(Table13[[#This Row],[Gender]]="female",R874&lt;24),"Fitnesss",AND(Table13[[#This Row],[Gender]]="female",R874&lt;31),"Acceptable",AND(Table13[[#This Row],[Gender]]="female",R874&lt;40),"Obese",AND(Table13[[#This Row],[Gender]]="male",R874&lt;13),"Athletes",AND(Table13[[#This Row],[Gender]]="male",R874&lt;17),"Fitnesss",AND(Table13[[#This Row],[Gender]]="male",R874&lt;24.9),"Acceptable",AND(Table13[[#This Row],[Gender]]="male",R874&lt;40),"Obese",AND(Table13[[#This Row],[Gender]]="others",R874&lt;20),"Athletes",AND(Table13[[#This Row],[Gender]]="others",R874&lt;24),"Fitnesss",AND(Table13[[#This Row],[Gender]]="others",R874&lt;31),"Acceptable",AND(Table13[[#This Row],[Gender]]="others",R874&lt;40),"Obese")</f>
        <v>Acceptable</v>
      </c>
      <c r="R874" s="8">
        <v>22.4</v>
      </c>
      <c r="S874" s="8">
        <v>3.4</v>
      </c>
      <c r="T874" s="8">
        <v>3</v>
      </c>
      <c r="U874" s="8">
        <v>3</v>
      </c>
      <c r="V874" s="8" t="str">
        <f>IF(Table13[[#This Row],[BMI]]&lt;=18.5,"Underweight",IF(Table13[[#This Row],[BMI]]&lt;=24.9,"Normal",IF(Table13[[#This Row],[BMI]]&lt;=29.9,"Overweight",IF(Table13[[#This Row],[BMI]]&lt;=39,"Obese","Severly Obese"))))</f>
        <v>Obese</v>
      </c>
      <c r="W874" s="18">
        <v>38.83</v>
      </c>
    </row>
    <row r="875" spans="6:23" x14ac:dyDescent="0.3">
      <c r="F875" s="17">
        <v>51</v>
      </c>
      <c r="G875" s="8" t="str">
        <f>IF(Table13[[#This Row],[Age]]&lt;25,"18-24",IF(Table13[[#This Row],[Age]]&lt;35,"25-34",IF(Table13[[#This Row],[Age]]&lt;45,"35-44",IF(Table13[[#This Row],[Age]]&lt;55,"45-54","55-64"))))</f>
        <v>45-54</v>
      </c>
      <c r="H875" s="8" t="s">
        <v>19</v>
      </c>
      <c r="I875" s="8">
        <v>52</v>
      </c>
      <c r="J875" s="8">
        <v>1.92</v>
      </c>
      <c r="K875" s="8">
        <v>173</v>
      </c>
      <c r="L875" s="8">
        <v>164</v>
      </c>
      <c r="M875" s="8">
        <v>74</v>
      </c>
      <c r="N875" s="8">
        <v>1.31</v>
      </c>
      <c r="O875" s="8">
        <v>706</v>
      </c>
      <c r="P875" s="8" t="s">
        <v>20</v>
      </c>
      <c r="Q875" s="8" t="str">
        <f>_xlfn.IFS(AND(Table13[[#This Row],[Gender]]="female",R875&lt;20),"Athletes",AND(Table13[[#This Row],[Gender]]="female",R875&lt;24),"Fitnesss",AND(Table13[[#This Row],[Gender]]="female",R875&lt;31),"Acceptable",AND(Table13[[#This Row],[Gender]]="female",R875&lt;40),"Obese",AND(Table13[[#This Row],[Gender]]="male",R875&lt;13),"Athletes",AND(Table13[[#This Row],[Gender]]="male",R875&lt;17),"Fitnesss",AND(Table13[[#This Row],[Gender]]="male",R875&lt;24.9),"Acceptable",AND(Table13[[#This Row],[Gender]]="male",R875&lt;40),"Obese",AND(Table13[[#This Row],[Gender]]="others",R875&lt;20),"Athletes",AND(Table13[[#This Row],[Gender]]="others",R875&lt;24),"Fitnesss",AND(Table13[[#This Row],[Gender]]="others",R875&lt;31),"Acceptable",AND(Table13[[#This Row],[Gender]]="others",R875&lt;40),"Obese")</f>
        <v>Obese</v>
      </c>
      <c r="R875" s="8">
        <v>25.7</v>
      </c>
      <c r="S875" s="8">
        <v>1.5</v>
      </c>
      <c r="T875" s="8">
        <v>2</v>
      </c>
      <c r="U875" s="8">
        <v>1</v>
      </c>
      <c r="V875" s="8" t="str">
        <f>IF(Table13[[#This Row],[BMI]]&lt;=18.5,"Underweight",IF(Table13[[#This Row],[BMI]]&lt;=24.9,"Normal",IF(Table13[[#This Row],[BMI]]&lt;=29.9,"Overweight",IF(Table13[[#This Row],[BMI]]&lt;=39,"Obese","Severly Obese"))))</f>
        <v>Underweight</v>
      </c>
      <c r="W875" s="18">
        <v>14.05</v>
      </c>
    </row>
    <row r="876" spans="6:23" x14ac:dyDescent="0.3">
      <c r="F876" s="17">
        <v>25</v>
      </c>
      <c r="G876" s="8" t="str">
        <f>IF(Table13[[#This Row],[Age]]&lt;25,"18-24",IF(Table13[[#This Row],[Age]]&lt;35,"25-34",IF(Table13[[#This Row],[Age]]&lt;45,"35-44",IF(Table13[[#This Row],[Age]]&lt;55,"45-54","55-64"))))</f>
        <v>25-34</v>
      </c>
      <c r="H876" s="8" t="s">
        <v>19</v>
      </c>
      <c r="I876" s="8">
        <v>70.7</v>
      </c>
      <c r="J876" s="8">
        <v>1.7</v>
      </c>
      <c r="K876" s="8">
        <v>165</v>
      </c>
      <c r="L876" s="8">
        <v>160</v>
      </c>
      <c r="M876" s="8">
        <v>53</v>
      </c>
      <c r="N876" s="8">
        <v>0.99</v>
      </c>
      <c r="O876" s="8">
        <v>808</v>
      </c>
      <c r="P876" s="8" t="s">
        <v>21</v>
      </c>
      <c r="Q876" s="8" t="str">
        <f>_xlfn.IFS(AND(Table13[[#This Row],[Gender]]="female",R876&lt;20),"Athletes",AND(Table13[[#This Row],[Gender]]="female",R876&lt;24),"Fitnesss",AND(Table13[[#This Row],[Gender]]="female",R876&lt;31),"Acceptable",AND(Table13[[#This Row],[Gender]]="female",R876&lt;40),"Obese",AND(Table13[[#This Row],[Gender]]="male",R876&lt;13),"Athletes",AND(Table13[[#This Row],[Gender]]="male",R876&lt;17),"Fitnesss",AND(Table13[[#This Row],[Gender]]="male",R876&lt;24.9),"Acceptable",AND(Table13[[#This Row],[Gender]]="male",R876&lt;40),"Obese",AND(Table13[[#This Row],[Gender]]="others",R876&lt;20),"Athletes",AND(Table13[[#This Row],[Gender]]="others",R876&lt;24),"Fitnesss",AND(Table13[[#This Row],[Gender]]="others",R876&lt;31),"Acceptable",AND(Table13[[#This Row],[Gender]]="others",R876&lt;40),"Obese")</f>
        <v>Acceptable</v>
      </c>
      <c r="R876" s="8">
        <v>23.5</v>
      </c>
      <c r="S876" s="8">
        <v>2.1</v>
      </c>
      <c r="T876" s="8">
        <v>3</v>
      </c>
      <c r="U876" s="8">
        <v>1</v>
      </c>
      <c r="V876" s="8" t="str">
        <f>IF(Table13[[#This Row],[BMI]]&lt;=18.5,"Underweight",IF(Table13[[#This Row],[BMI]]&lt;=24.9,"Normal",IF(Table13[[#This Row],[BMI]]&lt;=29.9,"Overweight",IF(Table13[[#This Row],[BMI]]&lt;=39,"Obese","Severly Obese"))))</f>
        <v>Underweight</v>
      </c>
      <c r="W876" s="18">
        <v>18.29</v>
      </c>
    </row>
    <row r="877" spans="6:23" x14ac:dyDescent="0.3">
      <c r="F877" s="17">
        <v>52</v>
      </c>
      <c r="G877" s="8" t="str">
        <f>IF(Table13[[#This Row],[Age]]&lt;25,"18-24",IF(Table13[[#This Row],[Age]]&lt;35,"25-34",IF(Table13[[#This Row],[Age]]&lt;45,"35-44",IF(Table13[[#This Row],[Age]]&lt;55,"45-54","55-64"))))</f>
        <v>45-54</v>
      </c>
      <c r="H877" s="8" t="s">
        <v>17</v>
      </c>
      <c r="I877" s="8">
        <v>50.8</v>
      </c>
      <c r="J877" s="8">
        <v>1.8</v>
      </c>
      <c r="K877" s="8">
        <v>199</v>
      </c>
      <c r="L877" s="8">
        <v>159</v>
      </c>
      <c r="M877" s="8">
        <v>63</v>
      </c>
      <c r="N877" s="8">
        <v>1.51</v>
      </c>
      <c r="O877" s="8">
        <v>1153</v>
      </c>
      <c r="P877" s="8" t="s">
        <v>21</v>
      </c>
      <c r="Q877" s="8" t="str">
        <f>_xlfn.IFS(AND(Table13[[#This Row],[Gender]]="female",R877&lt;20),"Athletes",AND(Table13[[#This Row],[Gender]]="female",R877&lt;24),"Fitnesss",AND(Table13[[#This Row],[Gender]]="female",R877&lt;31),"Acceptable",AND(Table13[[#This Row],[Gender]]="female",R877&lt;40),"Obese",AND(Table13[[#This Row],[Gender]]="male",R877&lt;13),"Athletes",AND(Table13[[#This Row],[Gender]]="male",R877&lt;17),"Fitnesss",AND(Table13[[#This Row],[Gender]]="male",R877&lt;24.9),"Acceptable",AND(Table13[[#This Row],[Gender]]="male",R877&lt;40),"Obese",AND(Table13[[#This Row],[Gender]]="others",R877&lt;20),"Athletes",AND(Table13[[#This Row],[Gender]]="others",R877&lt;24),"Fitnesss",AND(Table13[[#This Row],[Gender]]="others",R877&lt;31),"Acceptable",AND(Table13[[#This Row],[Gender]]="others",R877&lt;40),"Obese")</f>
        <v>Acceptable</v>
      </c>
      <c r="R877" s="8">
        <v>24.9</v>
      </c>
      <c r="S877" s="8">
        <v>2.4</v>
      </c>
      <c r="T877" s="8">
        <v>4</v>
      </c>
      <c r="U877" s="8">
        <v>2</v>
      </c>
      <c r="V877" s="8" t="str">
        <f>IF(Table13[[#This Row],[BMI]]&lt;=18.5,"Underweight",IF(Table13[[#This Row],[BMI]]&lt;=24.9,"Normal",IF(Table13[[#This Row],[BMI]]&lt;=29.9,"Overweight",IF(Table13[[#This Row],[BMI]]&lt;=39,"Obese","Severly Obese"))))</f>
        <v>Underweight</v>
      </c>
      <c r="W877" s="18">
        <v>16.16</v>
      </c>
    </row>
    <row r="878" spans="6:23" x14ac:dyDescent="0.3">
      <c r="F878" s="17">
        <v>28</v>
      </c>
      <c r="G878" s="8" t="str">
        <f>IF(Table13[[#This Row],[Age]]&lt;25,"18-24",IF(Table13[[#This Row],[Age]]&lt;35,"25-34",IF(Table13[[#This Row],[Age]]&lt;45,"35-44",IF(Table13[[#This Row],[Age]]&lt;55,"45-54","55-64"))))</f>
        <v>25-34</v>
      </c>
      <c r="H878" s="8" t="s">
        <v>23</v>
      </c>
      <c r="I878" s="8">
        <v>48.7</v>
      </c>
      <c r="J878" s="8">
        <v>1.6</v>
      </c>
      <c r="K878" s="8">
        <v>175</v>
      </c>
      <c r="L878" s="8">
        <v>133</v>
      </c>
      <c r="M878" s="8">
        <v>59</v>
      </c>
      <c r="N878" s="8">
        <v>1.38</v>
      </c>
      <c r="O878" s="8">
        <v>996</v>
      </c>
      <c r="P878" s="8" t="s">
        <v>21</v>
      </c>
      <c r="Q878" s="8" t="str">
        <f>_xlfn.IFS(AND(Table13[[#This Row],[Gender]]="female",R878&lt;20),"Athletes",AND(Table13[[#This Row],[Gender]]="female",R878&lt;24),"Fitnesss",AND(Table13[[#This Row],[Gender]]="female",R878&lt;31),"Acceptable",AND(Table13[[#This Row],[Gender]]="female",R878&lt;40),"Obese",AND(Table13[[#This Row],[Gender]]="male",R878&lt;13),"Athletes",AND(Table13[[#This Row],[Gender]]="male",R878&lt;17),"Fitnesss",AND(Table13[[#This Row],[Gender]]="male",R878&lt;24.9),"Acceptable",AND(Table13[[#This Row],[Gender]]="male",R878&lt;40),"Obese",AND(Table13[[#This Row],[Gender]]="others",R878&lt;20),"Athletes",AND(Table13[[#This Row],[Gender]]="others",R878&lt;24),"Fitnesss",AND(Table13[[#This Row],[Gender]]="others",R878&lt;31),"Acceptable",AND(Table13[[#This Row],[Gender]]="others",R878&lt;40),"Obese")</f>
        <v>Fitnesss</v>
      </c>
      <c r="R878" s="8">
        <v>23.5</v>
      </c>
      <c r="S878" s="8">
        <v>1.5</v>
      </c>
      <c r="T878" s="8">
        <v>2</v>
      </c>
      <c r="U878" s="8">
        <v>2</v>
      </c>
      <c r="V878" s="8" t="str">
        <f>IF(Table13[[#This Row],[BMI]]&lt;=18.5,"Underweight",IF(Table13[[#This Row],[BMI]]&lt;=24.9,"Normal",IF(Table13[[#This Row],[BMI]]&lt;=29.9,"Overweight",IF(Table13[[#This Row],[BMI]]&lt;=39,"Obese","Severly Obese"))))</f>
        <v>Normal</v>
      </c>
      <c r="W878" s="18">
        <v>21.98</v>
      </c>
    </row>
    <row r="879" spans="6:23" x14ac:dyDescent="0.3">
      <c r="F879" s="17">
        <v>24</v>
      </c>
      <c r="G879" s="8" t="str">
        <f>IF(Table13[[#This Row],[Age]]&lt;25,"18-24",IF(Table13[[#This Row],[Age]]&lt;35,"25-34",IF(Table13[[#This Row],[Age]]&lt;45,"35-44",IF(Table13[[#This Row],[Age]]&lt;55,"45-54","55-64"))))</f>
        <v>18-24</v>
      </c>
      <c r="H879" s="8" t="s">
        <v>23</v>
      </c>
      <c r="I879" s="8">
        <v>51.3</v>
      </c>
      <c r="J879" s="8">
        <v>1.69</v>
      </c>
      <c r="K879" s="8">
        <v>174</v>
      </c>
      <c r="L879" s="8">
        <v>153</v>
      </c>
      <c r="M879" s="8">
        <v>74</v>
      </c>
      <c r="N879" s="8">
        <v>1.18</v>
      </c>
      <c r="O879" s="8">
        <v>828</v>
      </c>
      <c r="P879" s="8" t="s">
        <v>22</v>
      </c>
      <c r="Q879" s="8" t="str">
        <f>_xlfn.IFS(AND(Table13[[#This Row],[Gender]]="female",R879&lt;20),"Athletes",AND(Table13[[#This Row],[Gender]]="female",R879&lt;24),"Fitnesss",AND(Table13[[#This Row],[Gender]]="female",R879&lt;31),"Acceptable",AND(Table13[[#This Row],[Gender]]="female",R879&lt;40),"Obese",AND(Table13[[#This Row],[Gender]]="male",R879&lt;13),"Athletes",AND(Table13[[#This Row],[Gender]]="male",R879&lt;17),"Fitnesss",AND(Table13[[#This Row],[Gender]]="male",R879&lt;24.9),"Acceptable",AND(Table13[[#This Row],[Gender]]="male",R879&lt;40),"Obese",AND(Table13[[#This Row],[Gender]]="others",R879&lt;20),"Athletes",AND(Table13[[#This Row],[Gender]]="others",R879&lt;24),"Fitnesss",AND(Table13[[#This Row],[Gender]]="others",R879&lt;31),"Acceptable",AND(Table13[[#This Row],[Gender]]="others",R879&lt;40),"Obese")</f>
        <v>Athletes</v>
      </c>
      <c r="R879" s="8">
        <v>16.100000000000001</v>
      </c>
      <c r="S879" s="8">
        <v>2.6</v>
      </c>
      <c r="T879" s="8">
        <v>3</v>
      </c>
      <c r="U879" s="8">
        <v>2</v>
      </c>
      <c r="V879" s="8" t="str">
        <f>IF(Table13[[#This Row],[BMI]]&lt;=18.5,"Underweight",IF(Table13[[#This Row],[BMI]]&lt;=24.9,"Normal",IF(Table13[[#This Row],[BMI]]&lt;=29.9,"Overweight",IF(Table13[[#This Row],[BMI]]&lt;=39,"Obese","Severly Obese"))))</f>
        <v>Normal</v>
      </c>
      <c r="W879" s="18">
        <v>21.88</v>
      </c>
    </row>
    <row r="880" spans="6:23" x14ac:dyDescent="0.3">
      <c r="F880" s="17">
        <v>42</v>
      </c>
      <c r="G880" s="8" t="str">
        <f>IF(Table13[[#This Row],[Age]]&lt;25,"18-24",IF(Table13[[#This Row],[Age]]&lt;35,"25-34",IF(Table13[[#This Row],[Age]]&lt;45,"35-44",IF(Table13[[#This Row],[Age]]&lt;55,"45-54","55-64"))))</f>
        <v>35-44</v>
      </c>
      <c r="H880" s="8" t="s">
        <v>17</v>
      </c>
      <c r="I880" s="8">
        <v>77</v>
      </c>
      <c r="J880" s="8">
        <v>1.63</v>
      </c>
      <c r="K880" s="8">
        <v>185</v>
      </c>
      <c r="L880" s="8">
        <v>136</v>
      </c>
      <c r="M880" s="8">
        <v>68</v>
      </c>
      <c r="N880" s="8">
        <v>1.07</v>
      </c>
      <c r="O880" s="8">
        <v>1029</v>
      </c>
      <c r="P880" s="8" t="s">
        <v>20</v>
      </c>
      <c r="Q880" s="8" t="str">
        <f>_xlfn.IFS(AND(Table13[[#This Row],[Gender]]="female",R880&lt;20),"Athletes",AND(Table13[[#This Row],[Gender]]="female",R880&lt;24),"Fitnesss",AND(Table13[[#This Row],[Gender]]="female",R880&lt;31),"Acceptable",AND(Table13[[#This Row],[Gender]]="female",R880&lt;40),"Obese",AND(Table13[[#This Row],[Gender]]="male",R880&lt;13),"Athletes",AND(Table13[[#This Row],[Gender]]="male",R880&lt;17),"Fitnesss",AND(Table13[[#This Row],[Gender]]="male",R880&lt;24.9),"Acceptable",AND(Table13[[#This Row],[Gender]]="male",R880&lt;40),"Obese",AND(Table13[[#This Row],[Gender]]="others",R880&lt;20),"Athletes",AND(Table13[[#This Row],[Gender]]="others",R880&lt;24),"Fitnesss",AND(Table13[[#This Row],[Gender]]="others",R880&lt;31),"Acceptable",AND(Table13[[#This Row],[Gender]]="others",R880&lt;40),"Obese")</f>
        <v>Acceptable</v>
      </c>
      <c r="R880" s="8">
        <v>29.2</v>
      </c>
      <c r="S880" s="8">
        <v>1.5</v>
      </c>
      <c r="T880" s="8">
        <v>5</v>
      </c>
      <c r="U880" s="8">
        <v>1</v>
      </c>
      <c r="V880" s="8" t="str">
        <f>IF(Table13[[#This Row],[BMI]]&lt;=18.5,"Underweight",IF(Table13[[#This Row],[BMI]]&lt;=24.9,"Normal",IF(Table13[[#This Row],[BMI]]&lt;=29.9,"Overweight",IF(Table13[[#This Row],[BMI]]&lt;=39,"Obese","Severly Obese"))))</f>
        <v>Underweight</v>
      </c>
      <c r="W880" s="18">
        <v>15.93</v>
      </c>
    </row>
    <row r="881" spans="6:23" x14ac:dyDescent="0.3">
      <c r="F881" s="17">
        <v>31</v>
      </c>
      <c r="G881" s="8" t="str">
        <f>IF(Table13[[#This Row],[Age]]&lt;25,"18-24",IF(Table13[[#This Row],[Age]]&lt;35,"25-34",IF(Table13[[#This Row],[Age]]&lt;45,"35-44",IF(Table13[[#This Row],[Age]]&lt;55,"45-54","55-64"))))</f>
        <v>25-34</v>
      </c>
      <c r="H881" s="8" t="s">
        <v>17</v>
      </c>
      <c r="I881" s="8">
        <v>50.1</v>
      </c>
      <c r="J881" s="8">
        <v>1.69</v>
      </c>
      <c r="K881" s="8">
        <v>185</v>
      </c>
      <c r="L881" s="8">
        <v>169</v>
      </c>
      <c r="M881" s="8">
        <v>64</v>
      </c>
      <c r="N881" s="8">
        <v>1.68</v>
      </c>
      <c r="O881" s="8">
        <v>1001</v>
      </c>
      <c r="P881" s="8" t="s">
        <v>18</v>
      </c>
      <c r="Q881" s="8" t="str">
        <f>_xlfn.IFS(AND(Table13[[#This Row],[Gender]]="female",R881&lt;20),"Athletes",AND(Table13[[#This Row],[Gender]]="female",R881&lt;24),"Fitnesss",AND(Table13[[#This Row],[Gender]]="female",R881&lt;31),"Acceptable",AND(Table13[[#This Row],[Gender]]="female",R881&lt;40),"Obese",AND(Table13[[#This Row],[Gender]]="male",R881&lt;13),"Athletes",AND(Table13[[#This Row],[Gender]]="male",R881&lt;17),"Fitnesss",AND(Table13[[#This Row],[Gender]]="male",R881&lt;24.9),"Acceptable",AND(Table13[[#This Row],[Gender]]="male",R881&lt;40),"Obese",AND(Table13[[#This Row],[Gender]]="others",R881&lt;20),"Athletes",AND(Table13[[#This Row],[Gender]]="others",R881&lt;24),"Fitnesss",AND(Table13[[#This Row],[Gender]]="others",R881&lt;31),"Acceptable",AND(Table13[[#This Row],[Gender]]="others",R881&lt;40),"Obese")</f>
        <v>Acceptable</v>
      </c>
      <c r="R881" s="8">
        <v>27.4</v>
      </c>
      <c r="S881" s="8">
        <v>1.6</v>
      </c>
      <c r="T881" s="8">
        <v>4</v>
      </c>
      <c r="U881" s="8">
        <v>1</v>
      </c>
      <c r="V881" s="8" t="str">
        <f>IF(Table13[[#This Row],[BMI]]&lt;=18.5,"Underweight",IF(Table13[[#This Row],[BMI]]&lt;=24.9,"Normal",IF(Table13[[#This Row],[BMI]]&lt;=29.9,"Overweight",IF(Table13[[#This Row],[BMI]]&lt;=39,"Obese","Severly Obese"))))</f>
        <v>Normal</v>
      </c>
      <c r="W881" s="18">
        <v>22.3</v>
      </c>
    </row>
    <row r="882" spans="6:23" x14ac:dyDescent="0.3">
      <c r="F882" s="17">
        <v>45</v>
      </c>
      <c r="G882" s="8" t="str">
        <f>IF(Table13[[#This Row],[Age]]&lt;25,"18-24",IF(Table13[[#This Row],[Age]]&lt;35,"25-34",IF(Table13[[#This Row],[Age]]&lt;45,"35-44",IF(Table13[[#This Row],[Age]]&lt;55,"45-54","55-64"))))</f>
        <v>45-54</v>
      </c>
      <c r="H882" s="8" t="s">
        <v>17</v>
      </c>
      <c r="I882" s="8">
        <v>99.3</v>
      </c>
      <c r="J882" s="8">
        <v>1.93</v>
      </c>
      <c r="K882" s="8">
        <v>182</v>
      </c>
      <c r="L882" s="8">
        <v>137</v>
      </c>
      <c r="M882" s="8">
        <v>50</v>
      </c>
      <c r="N882" s="8">
        <v>1.23</v>
      </c>
      <c r="O882" s="8">
        <v>686</v>
      </c>
      <c r="P882" s="8" t="s">
        <v>18</v>
      </c>
      <c r="Q882" s="8" t="str">
        <f>_xlfn.IFS(AND(Table13[[#This Row],[Gender]]="female",R882&lt;20),"Athletes",AND(Table13[[#This Row],[Gender]]="female",R882&lt;24),"Fitnesss",AND(Table13[[#This Row],[Gender]]="female",R882&lt;31),"Acceptable",AND(Table13[[#This Row],[Gender]]="female",R882&lt;40),"Obese",AND(Table13[[#This Row],[Gender]]="male",R882&lt;13),"Athletes",AND(Table13[[#This Row],[Gender]]="male",R882&lt;17),"Fitnesss",AND(Table13[[#This Row],[Gender]]="male",R882&lt;24.9),"Acceptable",AND(Table13[[#This Row],[Gender]]="male",R882&lt;40),"Obese",AND(Table13[[#This Row],[Gender]]="others",R882&lt;20),"Athletes",AND(Table13[[#This Row],[Gender]]="others",R882&lt;24),"Fitnesss",AND(Table13[[#This Row],[Gender]]="others",R882&lt;31),"Acceptable",AND(Table13[[#This Row],[Gender]]="others",R882&lt;40),"Obese")</f>
        <v>Athletes</v>
      </c>
      <c r="R882" s="8"/>
      <c r="S882" s="8">
        <v>2.4</v>
      </c>
      <c r="T882" s="8">
        <v>3</v>
      </c>
      <c r="U882" s="8">
        <v>3</v>
      </c>
      <c r="V882" s="8" t="str">
        <f>IF(Table13[[#This Row],[BMI]]&lt;=18.5,"Underweight",IF(Table13[[#This Row],[BMI]]&lt;=24.9,"Normal",IF(Table13[[#This Row],[BMI]]&lt;=29.9,"Overweight",IF(Table13[[#This Row],[BMI]]&lt;=39,"Obese","Severly Obese"))))</f>
        <v>Obese</v>
      </c>
      <c r="W882" s="18">
        <v>33.26</v>
      </c>
    </row>
    <row r="883" spans="6:23" x14ac:dyDescent="0.3">
      <c r="F883" s="17">
        <v>18</v>
      </c>
      <c r="G883" s="8" t="str">
        <f>IF(Table13[[#This Row],[Age]]&lt;25,"18-24",IF(Table13[[#This Row],[Age]]&lt;35,"25-34",IF(Table13[[#This Row],[Age]]&lt;45,"35-44",IF(Table13[[#This Row],[Age]]&lt;55,"45-54","55-64"))))</f>
        <v>18-24</v>
      </c>
      <c r="H883" s="8" t="s">
        <v>19</v>
      </c>
      <c r="I883" s="8">
        <v>89.2</v>
      </c>
      <c r="J883" s="8">
        <v>1.88</v>
      </c>
      <c r="K883" s="8">
        <v>189</v>
      </c>
      <c r="L883" s="8">
        <v>167</v>
      </c>
      <c r="M883" s="8">
        <v>58</v>
      </c>
      <c r="N883" s="8">
        <v>2</v>
      </c>
      <c r="O883" s="8">
        <v>1126</v>
      </c>
      <c r="P883" s="8" t="s">
        <v>20</v>
      </c>
      <c r="Q883" s="8" t="str">
        <f>_xlfn.IFS(AND(Table13[[#This Row],[Gender]]="female",R883&lt;20),"Athletes",AND(Table13[[#This Row],[Gender]]="female",R883&lt;24),"Fitnesss",AND(Table13[[#This Row],[Gender]]="female",R883&lt;31),"Acceptable",AND(Table13[[#This Row],[Gender]]="female",R883&lt;40),"Obese",AND(Table13[[#This Row],[Gender]]="male",R883&lt;13),"Athletes",AND(Table13[[#This Row],[Gender]]="male",R883&lt;17),"Fitnesss",AND(Table13[[#This Row],[Gender]]="male",R883&lt;24.9),"Acceptable",AND(Table13[[#This Row],[Gender]]="male",R883&lt;40),"Obese",AND(Table13[[#This Row],[Gender]]="others",R883&lt;20),"Athletes",AND(Table13[[#This Row],[Gender]]="others",R883&lt;24),"Fitnesss",AND(Table13[[#This Row],[Gender]]="others",R883&lt;31),"Acceptable",AND(Table13[[#This Row],[Gender]]="others",R883&lt;40),"Obese")</f>
        <v>Obese</v>
      </c>
      <c r="R883" s="8">
        <v>29.7</v>
      </c>
      <c r="S883" s="8">
        <v>3.5</v>
      </c>
      <c r="T883" s="8">
        <v>4</v>
      </c>
      <c r="U883" s="8">
        <v>2</v>
      </c>
      <c r="V883" s="8" t="str">
        <f>IF(Table13[[#This Row],[BMI]]&lt;=18.5,"Underweight",IF(Table13[[#This Row],[BMI]]&lt;=24.9,"Normal",IF(Table13[[#This Row],[BMI]]&lt;=29.9,"Overweight",IF(Table13[[#This Row],[BMI]]&lt;=39,"Obese","Severly Obese"))))</f>
        <v>Underweight</v>
      </c>
      <c r="W883" s="18">
        <v>13.63</v>
      </c>
    </row>
    <row r="884" spans="6:23" x14ac:dyDescent="0.3">
      <c r="F884" s="17">
        <v>18</v>
      </c>
      <c r="G884" s="8" t="str">
        <f>IF(Table13[[#This Row],[Age]]&lt;25,"18-24",IF(Table13[[#This Row],[Age]]&lt;35,"25-34",IF(Table13[[#This Row],[Age]]&lt;45,"35-44",IF(Table13[[#This Row],[Age]]&lt;55,"45-54","55-64"))))</f>
        <v>18-24</v>
      </c>
      <c r="H884" s="8" t="s">
        <v>17</v>
      </c>
      <c r="I884" s="8">
        <v>70.8</v>
      </c>
      <c r="J884" s="8">
        <v>1.96</v>
      </c>
      <c r="K884" s="8">
        <v>196</v>
      </c>
      <c r="L884" s="8">
        <v>130</v>
      </c>
      <c r="M884" s="8">
        <v>61</v>
      </c>
      <c r="N884" s="8">
        <v>1.46</v>
      </c>
      <c r="O884" s="8">
        <v>708</v>
      </c>
      <c r="P884" s="8" t="s">
        <v>23</v>
      </c>
      <c r="Q884" s="8" t="str">
        <f>_xlfn.IFS(AND(Table13[[#This Row],[Gender]]="female",R884&lt;20),"Athletes",AND(Table13[[#This Row],[Gender]]="female",R884&lt;24),"Fitnesss",AND(Table13[[#This Row],[Gender]]="female",R884&lt;31),"Acceptable",AND(Table13[[#This Row],[Gender]]="female",R884&lt;40),"Obese",AND(Table13[[#This Row],[Gender]]="male",R884&lt;13),"Athletes",AND(Table13[[#This Row],[Gender]]="male",R884&lt;17),"Fitnesss",AND(Table13[[#This Row],[Gender]]="male",R884&lt;24.9),"Acceptable",AND(Table13[[#This Row],[Gender]]="male",R884&lt;40),"Obese",AND(Table13[[#This Row],[Gender]]="others",R884&lt;20),"Athletes",AND(Table13[[#This Row],[Gender]]="others",R884&lt;24),"Fitnesss",AND(Table13[[#This Row],[Gender]]="others",R884&lt;31),"Acceptable",AND(Table13[[#This Row],[Gender]]="others",R884&lt;40),"Obese")</f>
        <v>Acceptable</v>
      </c>
      <c r="R884" s="8">
        <v>25.2</v>
      </c>
      <c r="S884" s="8">
        <v>2.2000000000000002</v>
      </c>
      <c r="T884" s="8">
        <v>3</v>
      </c>
      <c r="U884" s="8">
        <v>2</v>
      </c>
      <c r="V884" s="8" t="str">
        <f>IF(Table13[[#This Row],[BMI]]&lt;=18.5,"Underweight",IF(Table13[[#This Row],[BMI]]&lt;=24.9,"Normal",IF(Table13[[#This Row],[BMI]]&lt;=29.9,"Overweight",IF(Table13[[#This Row],[BMI]]&lt;=39,"Obese","Severly Obese"))))</f>
        <v>Underweight</v>
      </c>
      <c r="W884" s="18">
        <v>12.32</v>
      </c>
    </row>
    <row r="885" spans="6:23" x14ac:dyDescent="0.3">
      <c r="F885" s="17">
        <v>50</v>
      </c>
      <c r="G885" s="8" t="str">
        <f>IF(Table13[[#This Row],[Age]]&lt;25,"18-24",IF(Table13[[#This Row],[Age]]&lt;35,"25-34",IF(Table13[[#This Row],[Age]]&lt;45,"35-44",IF(Table13[[#This Row],[Age]]&lt;55,"45-54","55-64"))))</f>
        <v>45-54</v>
      </c>
      <c r="H885" s="8" t="s">
        <v>19</v>
      </c>
      <c r="I885" s="8">
        <v>59.1</v>
      </c>
      <c r="J885" s="8">
        <v>1.74</v>
      </c>
      <c r="K885" s="8">
        <v>181</v>
      </c>
      <c r="L885" s="8">
        <v>156</v>
      </c>
      <c r="M885" s="8">
        <v>51</v>
      </c>
      <c r="N885" s="8">
        <v>1.01</v>
      </c>
      <c r="O885" s="8">
        <v>985</v>
      </c>
      <c r="P885" s="8" t="s">
        <v>22</v>
      </c>
      <c r="Q885" s="8" t="str">
        <f>_xlfn.IFS(AND(Table13[[#This Row],[Gender]]="female",R885&lt;20),"Athletes",AND(Table13[[#This Row],[Gender]]="female",R885&lt;24),"Fitnesss",AND(Table13[[#This Row],[Gender]]="female",R885&lt;31),"Acceptable",AND(Table13[[#This Row],[Gender]]="female",R885&lt;40),"Obese",AND(Table13[[#This Row],[Gender]]="male",R885&lt;13),"Athletes",AND(Table13[[#This Row],[Gender]]="male",R885&lt;17),"Fitnesss",AND(Table13[[#This Row],[Gender]]="male",R885&lt;24.9),"Acceptable",AND(Table13[[#This Row],[Gender]]="male",R885&lt;40),"Obese",AND(Table13[[#This Row],[Gender]]="others",R885&lt;20),"Athletes",AND(Table13[[#This Row],[Gender]]="others",R885&lt;24),"Fitnesss",AND(Table13[[#This Row],[Gender]]="others",R885&lt;31),"Acceptable",AND(Table13[[#This Row],[Gender]]="others",R885&lt;40),"Obese")</f>
        <v>Obese</v>
      </c>
      <c r="R885" s="8">
        <v>30.1</v>
      </c>
      <c r="S885" s="8">
        <v>3.5</v>
      </c>
      <c r="T885" s="8">
        <v>2</v>
      </c>
      <c r="U885" s="8">
        <v>3</v>
      </c>
      <c r="V885" s="8" t="str">
        <f>IF(Table13[[#This Row],[BMI]]&lt;=18.5,"Underweight",IF(Table13[[#This Row],[BMI]]&lt;=24.9,"Normal",IF(Table13[[#This Row],[BMI]]&lt;=29.9,"Overweight",IF(Table13[[#This Row],[BMI]]&lt;=39,"Obese","Severly Obese"))))</f>
        <v>Normal</v>
      </c>
      <c r="W885" s="18">
        <v>24.07</v>
      </c>
    </row>
    <row r="886" spans="6:23" x14ac:dyDescent="0.3">
      <c r="F886" s="17">
        <v>46</v>
      </c>
      <c r="G886" s="8" t="str">
        <f>IF(Table13[[#This Row],[Age]]&lt;25,"18-24",IF(Table13[[#This Row],[Age]]&lt;35,"25-34",IF(Table13[[#This Row],[Age]]&lt;45,"35-44",IF(Table13[[#This Row],[Age]]&lt;55,"45-54","55-64"))))</f>
        <v>45-54</v>
      </c>
      <c r="H886" s="8" t="s">
        <v>17</v>
      </c>
      <c r="I886" s="8">
        <v>67.5</v>
      </c>
      <c r="J886" s="8">
        <v>1.76</v>
      </c>
      <c r="K886" s="8">
        <v>160</v>
      </c>
      <c r="L886" s="8">
        <v>150</v>
      </c>
      <c r="M886" s="8">
        <v>74</v>
      </c>
      <c r="N886" s="8">
        <v>1.43</v>
      </c>
      <c r="O886" s="8">
        <v>577</v>
      </c>
      <c r="P886" s="8" t="s">
        <v>22</v>
      </c>
      <c r="Q886" s="8" t="str">
        <f>_xlfn.IFS(AND(Table13[[#This Row],[Gender]]="female",R886&lt;20),"Athletes",AND(Table13[[#This Row],[Gender]]="female",R886&lt;24),"Fitnesss",AND(Table13[[#This Row],[Gender]]="female",R886&lt;31),"Acceptable",AND(Table13[[#This Row],[Gender]]="female",R886&lt;40),"Obese",AND(Table13[[#This Row],[Gender]]="male",R886&lt;13),"Athletes",AND(Table13[[#This Row],[Gender]]="male",R886&lt;17),"Fitnesss",AND(Table13[[#This Row],[Gender]]="male",R886&lt;24.9),"Acceptable",AND(Table13[[#This Row],[Gender]]="male",R886&lt;40),"Obese",AND(Table13[[#This Row],[Gender]]="others",R886&lt;20),"Athletes",AND(Table13[[#This Row],[Gender]]="others",R886&lt;24),"Fitnesss",AND(Table13[[#This Row],[Gender]]="others",R886&lt;31),"Acceptable",AND(Table13[[#This Row],[Gender]]="others",R886&lt;40),"Obese")</f>
        <v>Fitnesss</v>
      </c>
      <c r="R886" s="8">
        <v>20</v>
      </c>
      <c r="S886" s="8">
        <v>2.6</v>
      </c>
      <c r="T886" s="8">
        <v>4</v>
      </c>
      <c r="U886" s="8">
        <v>2</v>
      </c>
      <c r="V886" s="8" t="str">
        <f>IF(Table13[[#This Row],[BMI]]&lt;=18.5,"Underweight",IF(Table13[[#This Row],[BMI]]&lt;=24.9,"Normal",IF(Table13[[#This Row],[BMI]]&lt;=29.9,"Overweight",IF(Table13[[#This Row],[BMI]]&lt;=39,"Obese","Severly Obese"))))</f>
        <v>Underweight</v>
      </c>
      <c r="W886" s="18">
        <v>17.39</v>
      </c>
    </row>
    <row r="887" spans="6:23" x14ac:dyDescent="0.3">
      <c r="F887" s="17">
        <v>46</v>
      </c>
      <c r="G887" s="8" t="str">
        <f>IF(Table13[[#This Row],[Age]]&lt;25,"18-24",IF(Table13[[#This Row],[Age]]&lt;35,"25-34",IF(Table13[[#This Row],[Age]]&lt;45,"35-44",IF(Table13[[#This Row],[Age]]&lt;55,"45-54","55-64"))))</f>
        <v>45-54</v>
      </c>
      <c r="H887" s="8" t="s">
        <v>19</v>
      </c>
      <c r="I887" s="8">
        <v>91.4</v>
      </c>
      <c r="J887" s="8">
        <v>1.71</v>
      </c>
      <c r="K887" s="8">
        <v>183</v>
      </c>
      <c r="L887" s="8">
        <v>136</v>
      </c>
      <c r="M887" s="8">
        <v>58</v>
      </c>
      <c r="N887" s="8">
        <v>0.93</v>
      </c>
      <c r="O887" s="8"/>
      <c r="P887" s="8" t="s">
        <v>20</v>
      </c>
      <c r="Q887" s="8" t="str">
        <f>_xlfn.IFS(AND(Table13[[#This Row],[Gender]]="female",R887&lt;20),"Athletes",AND(Table13[[#This Row],[Gender]]="female",R887&lt;24),"Fitnesss",AND(Table13[[#This Row],[Gender]]="female",R887&lt;31),"Acceptable",AND(Table13[[#This Row],[Gender]]="female",R887&lt;40),"Obese",AND(Table13[[#This Row],[Gender]]="male",R887&lt;13),"Athletes",AND(Table13[[#This Row],[Gender]]="male",R887&lt;17),"Fitnesss",AND(Table13[[#This Row],[Gender]]="male",R887&lt;24.9),"Acceptable",AND(Table13[[#This Row],[Gender]]="male",R887&lt;40),"Obese",AND(Table13[[#This Row],[Gender]]="others",R887&lt;20),"Athletes",AND(Table13[[#This Row],[Gender]]="others",R887&lt;24),"Fitnesss",AND(Table13[[#This Row],[Gender]]="others",R887&lt;31),"Acceptable",AND(Table13[[#This Row],[Gender]]="others",R887&lt;40),"Obese")</f>
        <v>Obese</v>
      </c>
      <c r="R887" s="8">
        <v>30.8</v>
      </c>
      <c r="S887" s="8">
        <v>3.4</v>
      </c>
      <c r="T887" s="8">
        <v>4</v>
      </c>
      <c r="U887" s="8">
        <v>1</v>
      </c>
      <c r="V887" s="8" t="str">
        <f>IF(Table13[[#This Row],[BMI]]&lt;=18.5,"Underweight",IF(Table13[[#This Row],[BMI]]&lt;=24.9,"Normal",IF(Table13[[#This Row],[BMI]]&lt;=29.9,"Overweight",IF(Table13[[#This Row],[BMI]]&lt;=39,"Obese","Severly Obese"))))</f>
        <v>Underweight</v>
      </c>
      <c r="W887" s="18"/>
    </row>
    <row r="888" spans="6:23" x14ac:dyDescent="0.3">
      <c r="F888" s="17">
        <v>27</v>
      </c>
      <c r="G888" s="8" t="str">
        <f>IF(Table13[[#This Row],[Age]]&lt;25,"18-24",IF(Table13[[#This Row],[Age]]&lt;35,"25-34",IF(Table13[[#This Row],[Age]]&lt;45,"35-44",IF(Table13[[#This Row],[Age]]&lt;55,"45-54","55-64"))))</f>
        <v>25-34</v>
      </c>
      <c r="H888" s="8" t="s">
        <v>17</v>
      </c>
      <c r="I888" s="8">
        <v>41.4</v>
      </c>
      <c r="J888" s="8">
        <v>1.69</v>
      </c>
      <c r="K888" s="8">
        <v>191</v>
      </c>
      <c r="L888" s="8">
        <v>169</v>
      </c>
      <c r="M888" s="8">
        <v>56</v>
      </c>
      <c r="N888" s="8">
        <v>1.99</v>
      </c>
      <c r="O888" s="8">
        <v>647</v>
      </c>
      <c r="P888" s="8" t="s">
        <v>22</v>
      </c>
      <c r="Q888" s="8" t="str">
        <f>_xlfn.IFS(AND(Table13[[#This Row],[Gender]]="female",R888&lt;20),"Athletes",AND(Table13[[#This Row],[Gender]]="female",R888&lt;24),"Fitnesss",AND(Table13[[#This Row],[Gender]]="female",R888&lt;31),"Acceptable",AND(Table13[[#This Row],[Gender]]="female",R888&lt;40),"Obese",AND(Table13[[#This Row],[Gender]]="male",R888&lt;13),"Athletes",AND(Table13[[#This Row],[Gender]]="male",R888&lt;17),"Fitnesss",AND(Table13[[#This Row],[Gender]]="male",R888&lt;24.9),"Acceptable",AND(Table13[[#This Row],[Gender]]="male",R888&lt;40),"Obese",AND(Table13[[#This Row],[Gender]]="others",R888&lt;20),"Athletes",AND(Table13[[#This Row],[Gender]]="others",R888&lt;24),"Fitnesss",AND(Table13[[#This Row],[Gender]]="others",R888&lt;31),"Acceptable",AND(Table13[[#This Row],[Gender]]="others",R888&lt;40),"Obese")</f>
        <v>Fitnesss</v>
      </c>
      <c r="R888" s="8">
        <v>23.2</v>
      </c>
      <c r="S888" s="8">
        <v>2.8</v>
      </c>
      <c r="T888" s="8">
        <v>5</v>
      </c>
      <c r="U888" s="8">
        <v>2</v>
      </c>
      <c r="V888" s="8" t="str">
        <f>IF(Table13[[#This Row],[BMI]]&lt;=18.5,"Underweight",IF(Table13[[#This Row],[BMI]]&lt;=24.9,"Normal",IF(Table13[[#This Row],[BMI]]&lt;=29.9,"Overweight",IF(Table13[[#This Row],[BMI]]&lt;=39,"Obese","Severly Obese"))))</f>
        <v>Underweight</v>
      </c>
      <c r="W888" s="18">
        <v>16.260000000000002</v>
      </c>
    </row>
    <row r="889" spans="6:23" x14ac:dyDescent="0.3">
      <c r="F889" s="17">
        <v>24</v>
      </c>
      <c r="G889" s="8" t="str">
        <f>IF(Table13[[#This Row],[Age]]&lt;25,"18-24",IF(Table13[[#This Row],[Age]]&lt;35,"25-34",IF(Table13[[#This Row],[Age]]&lt;45,"35-44",IF(Table13[[#This Row],[Age]]&lt;55,"45-54","55-64"))))</f>
        <v>18-24</v>
      </c>
      <c r="H889" s="8" t="s">
        <v>17</v>
      </c>
      <c r="I889" s="8">
        <v>80</v>
      </c>
      <c r="J889" s="8">
        <v>1.59</v>
      </c>
      <c r="K889" s="8">
        <v>198</v>
      </c>
      <c r="L889" s="8">
        <v>125</v>
      </c>
      <c r="M889" s="8">
        <v>70</v>
      </c>
      <c r="N889" s="8">
        <v>1.68</v>
      </c>
      <c r="O889" s="8">
        <v>1263</v>
      </c>
      <c r="P889" s="8" t="s">
        <v>23</v>
      </c>
      <c r="Q889" s="8" t="str">
        <f>_xlfn.IFS(AND(Table13[[#This Row],[Gender]]="female",R889&lt;20),"Athletes",AND(Table13[[#This Row],[Gender]]="female",R889&lt;24),"Fitnesss",AND(Table13[[#This Row],[Gender]]="female",R889&lt;31),"Acceptable",AND(Table13[[#This Row],[Gender]]="female",R889&lt;40),"Obese",AND(Table13[[#This Row],[Gender]]="male",R889&lt;13),"Athletes",AND(Table13[[#This Row],[Gender]]="male",R889&lt;17),"Fitnesss",AND(Table13[[#This Row],[Gender]]="male",R889&lt;24.9),"Acceptable",AND(Table13[[#This Row],[Gender]]="male",R889&lt;40),"Obese",AND(Table13[[#This Row],[Gender]]="others",R889&lt;20),"Athletes",AND(Table13[[#This Row],[Gender]]="others",R889&lt;24),"Fitnesss",AND(Table13[[#This Row],[Gender]]="others",R889&lt;31),"Acceptable",AND(Table13[[#This Row],[Gender]]="others",R889&lt;40),"Obese")</f>
        <v>Athletes</v>
      </c>
      <c r="R889" s="8">
        <v>15.3</v>
      </c>
      <c r="S889" s="8">
        <v>3.6</v>
      </c>
      <c r="T889" s="8">
        <v>3</v>
      </c>
      <c r="U889" s="8">
        <v>2</v>
      </c>
      <c r="V889" s="8" t="str">
        <f>IF(Table13[[#This Row],[BMI]]&lt;=18.5,"Underweight",IF(Table13[[#This Row],[BMI]]&lt;=24.9,"Normal",IF(Table13[[#This Row],[BMI]]&lt;=29.9,"Overweight",IF(Table13[[#This Row],[BMI]]&lt;=39,"Obese","Severly Obese"))))</f>
        <v>Underweight</v>
      </c>
      <c r="W889" s="18">
        <v>14.62</v>
      </c>
    </row>
    <row r="890" spans="6:23" x14ac:dyDescent="0.3">
      <c r="F890" s="17">
        <v>24</v>
      </c>
      <c r="G890" s="8" t="str">
        <f>IF(Table13[[#This Row],[Age]]&lt;25,"18-24",IF(Table13[[#This Row],[Age]]&lt;35,"25-34",IF(Table13[[#This Row],[Age]]&lt;45,"35-44",IF(Table13[[#This Row],[Age]]&lt;55,"45-54","55-64"))))</f>
        <v>18-24</v>
      </c>
      <c r="H890" s="8" t="s">
        <v>19</v>
      </c>
      <c r="I890" s="8">
        <v>95.5</v>
      </c>
      <c r="J890" s="8">
        <v>1.57</v>
      </c>
      <c r="K890" s="8">
        <v>181</v>
      </c>
      <c r="L890" s="8">
        <v>158</v>
      </c>
      <c r="M890" s="8">
        <v>67</v>
      </c>
      <c r="N890" s="8">
        <v>1.47</v>
      </c>
      <c r="O890" s="8">
        <v>1609</v>
      </c>
      <c r="P890" s="8" t="s">
        <v>20</v>
      </c>
      <c r="Q890" s="8" t="str">
        <f>_xlfn.IFS(AND(Table13[[#This Row],[Gender]]="female",R890&lt;20),"Athletes",AND(Table13[[#This Row],[Gender]]="female",R890&lt;24),"Fitnesss",AND(Table13[[#This Row],[Gender]]="female",R890&lt;31),"Acceptable",AND(Table13[[#This Row],[Gender]]="female",R890&lt;40),"Obese",AND(Table13[[#This Row],[Gender]]="male",R890&lt;13),"Athletes",AND(Table13[[#This Row],[Gender]]="male",R890&lt;17),"Fitnesss",AND(Table13[[#This Row],[Gender]]="male",R890&lt;24.9),"Acceptable",AND(Table13[[#This Row],[Gender]]="male",R890&lt;40),"Obese",AND(Table13[[#This Row],[Gender]]="others",R890&lt;20),"Athletes",AND(Table13[[#This Row],[Gender]]="others",R890&lt;24),"Fitnesss",AND(Table13[[#This Row],[Gender]]="others",R890&lt;31),"Acceptable",AND(Table13[[#This Row],[Gender]]="others",R890&lt;40),"Obese")</f>
        <v>Obese</v>
      </c>
      <c r="R890" s="8">
        <v>32.5</v>
      </c>
      <c r="S890" s="8">
        <v>2</v>
      </c>
      <c r="T890" s="8">
        <v>4</v>
      </c>
      <c r="U890" s="8">
        <v>2</v>
      </c>
      <c r="V890" s="8" t="str">
        <f>IF(Table13[[#This Row],[BMI]]&lt;=18.5,"Underweight",IF(Table13[[#This Row],[BMI]]&lt;=24.9,"Normal",IF(Table13[[#This Row],[BMI]]&lt;=29.9,"Overweight",IF(Table13[[#This Row],[BMI]]&lt;=39,"Obese","Severly Obese"))))</f>
        <v>Overweight</v>
      </c>
      <c r="W890" s="18">
        <v>26.3</v>
      </c>
    </row>
    <row r="891" spans="6:23" x14ac:dyDescent="0.3">
      <c r="F891" s="17">
        <v>18</v>
      </c>
      <c r="G891" s="8" t="str">
        <f>IF(Table13[[#This Row],[Age]]&lt;25,"18-24",IF(Table13[[#This Row],[Age]]&lt;35,"25-34",IF(Table13[[#This Row],[Age]]&lt;45,"35-44",IF(Table13[[#This Row],[Age]]&lt;55,"45-54","55-64"))))</f>
        <v>18-24</v>
      </c>
      <c r="H891" s="8" t="s">
        <v>19</v>
      </c>
      <c r="I891" s="8">
        <v>66.900000000000006</v>
      </c>
      <c r="J891" s="8">
        <v>1.76</v>
      </c>
      <c r="K891" s="8">
        <v>163</v>
      </c>
      <c r="L891" s="8">
        <v>169</v>
      </c>
      <c r="M891" s="8">
        <v>55</v>
      </c>
      <c r="N891" s="8">
        <v>1.1499999999999999</v>
      </c>
      <c r="O891" s="8">
        <v>1018</v>
      </c>
      <c r="P891" s="8" t="s">
        <v>22</v>
      </c>
      <c r="Q891" s="8" t="str">
        <f>_xlfn.IFS(AND(Table13[[#This Row],[Gender]]="female",R891&lt;20),"Athletes",AND(Table13[[#This Row],[Gender]]="female",R891&lt;24),"Fitnesss",AND(Table13[[#This Row],[Gender]]="female",R891&lt;31),"Acceptable",AND(Table13[[#This Row],[Gender]]="female",R891&lt;40),"Obese",AND(Table13[[#This Row],[Gender]]="male",R891&lt;13),"Athletes",AND(Table13[[#This Row],[Gender]]="male",R891&lt;17),"Fitnesss",AND(Table13[[#This Row],[Gender]]="male",R891&lt;24.9),"Acceptable",AND(Table13[[#This Row],[Gender]]="male",R891&lt;40),"Obese",AND(Table13[[#This Row],[Gender]]="others",R891&lt;20),"Athletes",AND(Table13[[#This Row],[Gender]]="others",R891&lt;24),"Fitnesss",AND(Table13[[#This Row],[Gender]]="others",R891&lt;31),"Acceptable",AND(Table13[[#This Row],[Gender]]="others",R891&lt;40),"Obese")</f>
        <v>Acceptable</v>
      </c>
      <c r="R891" s="8">
        <v>24.2</v>
      </c>
      <c r="S891" s="8">
        <v>3</v>
      </c>
      <c r="T891" s="8">
        <v>3</v>
      </c>
      <c r="U891" s="8">
        <v>1</v>
      </c>
      <c r="V891" s="8" t="str">
        <f>IF(Table13[[#This Row],[BMI]]&lt;=18.5,"Underweight",IF(Table13[[#This Row],[BMI]]&lt;=24.9,"Normal",IF(Table13[[#This Row],[BMI]]&lt;=29.9,"Overweight",IF(Table13[[#This Row],[BMI]]&lt;=39,"Obese","Severly Obese"))))</f>
        <v>Underweight</v>
      </c>
      <c r="W891" s="18">
        <v>16.52</v>
      </c>
    </row>
    <row r="892" spans="6:23" x14ac:dyDescent="0.3">
      <c r="F892" s="17">
        <v>18</v>
      </c>
      <c r="G892" s="8" t="str">
        <f>IF(Table13[[#This Row],[Age]]&lt;25,"18-24",IF(Table13[[#This Row],[Age]]&lt;35,"25-34",IF(Table13[[#This Row],[Age]]&lt;45,"35-44",IF(Table13[[#This Row],[Age]]&lt;55,"45-54","55-64"))))</f>
        <v>18-24</v>
      </c>
      <c r="H892" s="8" t="s">
        <v>19</v>
      </c>
      <c r="I892" s="8">
        <v>82.8</v>
      </c>
      <c r="J892" s="8">
        <v>1.5</v>
      </c>
      <c r="K892" s="8">
        <v>197</v>
      </c>
      <c r="L892" s="8">
        <v>134</v>
      </c>
      <c r="M892" s="8">
        <v>74</v>
      </c>
      <c r="N892" s="8">
        <v>1.79</v>
      </c>
      <c r="O892" s="8">
        <v>1009</v>
      </c>
      <c r="P892" s="8" t="s">
        <v>20</v>
      </c>
      <c r="Q892" s="8" t="str">
        <f>_xlfn.IFS(AND(Table13[[#This Row],[Gender]]="female",R892&lt;20),"Athletes",AND(Table13[[#This Row],[Gender]]="female",R892&lt;24),"Fitnesss",AND(Table13[[#This Row],[Gender]]="female",R892&lt;31),"Acceptable",AND(Table13[[#This Row],[Gender]]="female",R892&lt;40),"Obese",AND(Table13[[#This Row],[Gender]]="male",R892&lt;13),"Athletes",AND(Table13[[#This Row],[Gender]]="male",R892&lt;17),"Fitnesss",AND(Table13[[#This Row],[Gender]]="male",R892&lt;24.9),"Acceptable",AND(Table13[[#This Row],[Gender]]="male",R892&lt;40),"Obese",AND(Table13[[#This Row],[Gender]]="others",R892&lt;20),"Athletes",AND(Table13[[#This Row],[Gender]]="others",R892&lt;24),"Fitnesss",AND(Table13[[#This Row],[Gender]]="others",R892&lt;31),"Acceptable",AND(Table13[[#This Row],[Gender]]="others",R892&lt;40),"Obese")</f>
        <v>Obese</v>
      </c>
      <c r="R892" s="8">
        <v>30.5</v>
      </c>
      <c r="S892" s="8">
        <v>3.3</v>
      </c>
      <c r="T892" s="8">
        <v>3</v>
      </c>
      <c r="U892" s="8">
        <v>3</v>
      </c>
      <c r="V892" s="8" t="str">
        <f>IF(Table13[[#This Row],[BMI]]&lt;=18.5,"Underweight",IF(Table13[[#This Row],[BMI]]&lt;=24.9,"Normal",IF(Table13[[#This Row],[BMI]]&lt;=29.9,"Overweight",IF(Table13[[#This Row],[BMI]]&lt;=39,"Obese","Severly Obese"))))</f>
        <v>Normal</v>
      </c>
      <c r="W892" s="18">
        <v>19.41</v>
      </c>
    </row>
    <row r="893" spans="6:23" x14ac:dyDescent="0.3">
      <c r="F893" s="17">
        <v>26</v>
      </c>
      <c r="G893" s="8" t="str">
        <f>IF(Table13[[#This Row],[Age]]&lt;25,"18-24",IF(Table13[[#This Row],[Age]]&lt;35,"25-34",IF(Table13[[#This Row],[Age]]&lt;45,"35-44",IF(Table13[[#This Row],[Age]]&lt;55,"45-54","55-64"))))</f>
        <v>25-34</v>
      </c>
      <c r="H893" s="8" t="s">
        <v>19</v>
      </c>
      <c r="I893" s="8">
        <v>79.7</v>
      </c>
      <c r="J893" s="8">
        <v>1.64</v>
      </c>
      <c r="K893" s="8">
        <v>194</v>
      </c>
      <c r="L893" s="8">
        <v>148</v>
      </c>
      <c r="M893" s="8">
        <v>55</v>
      </c>
      <c r="N893" s="8">
        <v>2</v>
      </c>
      <c r="O893" s="8">
        <v>1462</v>
      </c>
      <c r="P893" s="8" t="s">
        <v>22</v>
      </c>
      <c r="Q893" s="8" t="str">
        <f>_xlfn.IFS(AND(Table13[[#This Row],[Gender]]="female",R893&lt;20),"Athletes",AND(Table13[[#This Row],[Gender]]="female",R893&lt;24),"Fitnesss",AND(Table13[[#This Row],[Gender]]="female",R893&lt;31),"Acceptable",AND(Table13[[#This Row],[Gender]]="female",R893&lt;40),"Obese",AND(Table13[[#This Row],[Gender]]="male",R893&lt;13),"Athletes",AND(Table13[[#This Row],[Gender]]="male",R893&lt;17),"Fitnesss",AND(Table13[[#This Row],[Gender]]="male",R893&lt;24.9),"Acceptable",AND(Table13[[#This Row],[Gender]]="male",R893&lt;40),"Obese",AND(Table13[[#This Row],[Gender]]="others",R893&lt;20),"Athletes",AND(Table13[[#This Row],[Gender]]="others",R893&lt;24),"Fitnesss",AND(Table13[[#This Row],[Gender]]="others",R893&lt;31),"Acceptable",AND(Table13[[#This Row],[Gender]]="others",R893&lt;40),"Obese")</f>
        <v>Acceptable</v>
      </c>
      <c r="R893" s="8">
        <v>21.8</v>
      </c>
      <c r="S893" s="8">
        <v>3.2</v>
      </c>
      <c r="T893" s="8">
        <v>4</v>
      </c>
      <c r="U893" s="8">
        <v>2</v>
      </c>
      <c r="V893" s="8" t="str">
        <f>IF(Table13[[#This Row],[BMI]]&lt;=18.5,"Underweight",IF(Table13[[#This Row],[BMI]]&lt;=24.9,"Normal",IF(Table13[[#This Row],[BMI]]&lt;=29.9,"Overweight",IF(Table13[[#This Row],[BMI]]&lt;=39,"Obese","Severly Obese"))))</f>
        <v>Overweight</v>
      </c>
      <c r="W893" s="18">
        <v>26.9</v>
      </c>
    </row>
    <row r="894" spans="6:23" x14ac:dyDescent="0.3">
      <c r="F894" s="17">
        <v>18</v>
      </c>
      <c r="G894" s="8" t="str">
        <f>IF(Table13[[#This Row],[Age]]&lt;25,"18-24",IF(Table13[[#This Row],[Age]]&lt;35,"25-34",IF(Table13[[#This Row],[Age]]&lt;45,"35-44",IF(Table13[[#This Row],[Age]]&lt;55,"45-54","55-64"))))</f>
        <v>18-24</v>
      </c>
      <c r="H894" s="8" t="s">
        <v>17</v>
      </c>
      <c r="I894" s="8">
        <v>80.400000000000006</v>
      </c>
      <c r="J894" s="8">
        <v>1.79</v>
      </c>
      <c r="K894" s="8">
        <v>171</v>
      </c>
      <c r="L894" s="8">
        <v>169</v>
      </c>
      <c r="M894" s="8">
        <v>74</v>
      </c>
      <c r="N894" s="8">
        <v>1.43</v>
      </c>
      <c r="O894" s="8"/>
      <c r="P894" s="8" t="s">
        <v>21</v>
      </c>
      <c r="Q894" s="8" t="str">
        <f>_xlfn.IFS(AND(Table13[[#This Row],[Gender]]="female",R894&lt;20),"Athletes",AND(Table13[[#This Row],[Gender]]="female",R894&lt;24),"Fitnesss",AND(Table13[[#This Row],[Gender]]="female",R894&lt;31),"Acceptable",AND(Table13[[#This Row],[Gender]]="female",R894&lt;40),"Obese",AND(Table13[[#This Row],[Gender]]="male",R894&lt;13),"Athletes",AND(Table13[[#This Row],[Gender]]="male",R894&lt;17),"Fitnesss",AND(Table13[[#This Row],[Gender]]="male",R894&lt;24.9),"Acceptable",AND(Table13[[#This Row],[Gender]]="male",R894&lt;40),"Obese",AND(Table13[[#This Row],[Gender]]="others",R894&lt;20),"Athletes",AND(Table13[[#This Row],[Gender]]="others",R894&lt;24),"Fitnesss",AND(Table13[[#This Row],[Gender]]="others",R894&lt;31),"Acceptable",AND(Table13[[#This Row],[Gender]]="others",R894&lt;40),"Obese")</f>
        <v>Athletes</v>
      </c>
      <c r="R894" s="8">
        <v>16.3</v>
      </c>
      <c r="S894" s="8">
        <v>3.6</v>
      </c>
      <c r="T894" s="8">
        <v>3</v>
      </c>
      <c r="U894" s="8">
        <v>2</v>
      </c>
      <c r="V894" s="8" t="str">
        <f>IF(Table13[[#This Row],[BMI]]&lt;=18.5,"Underweight",IF(Table13[[#This Row],[BMI]]&lt;=24.9,"Normal",IF(Table13[[#This Row],[BMI]]&lt;=29.9,"Overweight",IF(Table13[[#This Row],[BMI]]&lt;=39,"Obese","Severly Obese"))))</f>
        <v>Underweight</v>
      </c>
      <c r="W894" s="18">
        <v>15.03</v>
      </c>
    </row>
    <row r="895" spans="6:23" x14ac:dyDescent="0.3">
      <c r="F895" s="17">
        <v>33</v>
      </c>
      <c r="G895" s="8" t="str">
        <f>IF(Table13[[#This Row],[Age]]&lt;25,"18-24",IF(Table13[[#This Row],[Age]]&lt;35,"25-34",IF(Table13[[#This Row],[Age]]&lt;45,"35-44",IF(Table13[[#This Row],[Age]]&lt;55,"45-54","55-64"))))</f>
        <v>25-34</v>
      </c>
      <c r="H895" s="8" t="s">
        <v>17</v>
      </c>
      <c r="I895" s="8">
        <v>71.8</v>
      </c>
      <c r="J895" s="8">
        <v>1.51</v>
      </c>
      <c r="K895" s="8">
        <v>190</v>
      </c>
      <c r="L895" s="8">
        <v>167</v>
      </c>
      <c r="M895" s="8">
        <v>59</v>
      </c>
      <c r="N895" s="8">
        <v>1.84</v>
      </c>
      <c r="O895" s="8">
        <v>1321</v>
      </c>
      <c r="P895" s="8" t="s">
        <v>21</v>
      </c>
      <c r="Q895" s="8" t="str">
        <f>_xlfn.IFS(AND(Table13[[#This Row],[Gender]]="female",R895&lt;20),"Athletes",AND(Table13[[#This Row],[Gender]]="female",R895&lt;24),"Fitnesss",AND(Table13[[#This Row],[Gender]]="female",R895&lt;31),"Acceptable",AND(Table13[[#This Row],[Gender]]="female",R895&lt;40),"Obese",AND(Table13[[#This Row],[Gender]]="male",R895&lt;13),"Athletes",AND(Table13[[#This Row],[Gender]]="male",R895&lt;17),"Fitnesss",AND(Table13[[#This Row],[Gender]]="male",R895&lt;24.9),"Acceptable",AND(Table13[[#This Row],[Gender]]="male",R895&lt;40),"Obese",AND(Table13[[#This Row],[Gender]]="others",R895&lt;20),"Athletes",AND(Table13[[#This Row],[Gender]]="others",R895&lt;24),"Fitnesss",AND(Table13[[#This Row],[Gender]]="others",R895&lt;31),"Acceptable",AND(Table13[[#This Row],[Gender]]="others",R895&lt;40),"Obese")</f>
        <v>Acceptable</v>
      </c>
      <c r="R895" s="8">
        <v>26.6</v>
      </c>
      <c r="S895" s="8">
        <v>3.2</v>
      </c>
      <c r="T895" s="8">
        <v>4</v>
      </c>
      <c r="U895" s="8">
        <v>3</v>
      </c>
      <c r="V895" s="8" t="str">
        <f>IF(Table13[[#This Row],[BMI]]&lt;=18.5,"Underweight",IF(Table13[[#This Row],[BMI]]&lt;=24.9,"Normal",IF(Table13[[#This Row],[BMI]]&lt;=29.9,"Overweight",IF(Table13[[#This Row],[BMI]]&lt;=39,"Obese","Severly Obese"))))</f>
        <v>Underweight</v>
      </c>
      <c r="W895" s="18">
        <v>12.97</v>
      </c>
    </row>
    <row r="896" spans="6:23" x14ac:dyDescent="0.3">
      <c r="F896" s="17">
        <v>35</v>
      </c>
      <c r="G896" s="8" t="str">
        <f>IF(Table13[[#This Row],[Age]]&lt;25,"18-24",IF(Table13[[#This Row],[Age]]&lt;35,"25-34",IF(Table13[[#This Row],[Age]]&lt;45,"35-44",IF(Table13[[#This Row],[Age]]&lt;55,"45-54","55-64"))))</f>
        <v>35-44</v>
      </c>
      <c r="H896" s="8" t="s">
        <v>19</v>
      </c>
      <c r="I896" s="8">
        <v>73.400000000000006</v>
      </c>
      <c r="J896" s="8">
        <v>1.57</v>
      </c>
      <c r="K896" s="8">
        <v>169</v>
      </c>
      <c r="L896" s="8">
        <v>138</v>
      </c>
      <c r="M896" s="8">
        <v>67</v>
      </c>
      <c r="N896" s="8">
        <v>1.1399999999999999</v>
      </c>
      <c r="O896" s="8">
        <v>977</v>
      </c>
      <c r="P896" s="8" t="s">
        <v>18</v>
      </c>
      <c r="Q896" s="8" t="str">
        <f>_xlfn.IFS(AND(Table13[[#This Row],[Gender]]="female",R896&lt;20),"Athletes",AND(Table13[[#This Row],[Gender]]="female",R896&lt;24),"Fitnesss",AND(Table13[[#This Row],[Gender]]="female",R896&lt;31),"Acceptable",AND(Table13[[#This Row],[Gender]]="female",R896&lt;40),"Obese",AND(Table13[[#This Row],[Gender]]="male",R896&lt;13),"Athletes",AND(Table13[[#This Row],[Gender]]="male",R896&lt;17),"Fitnesss",AND(Table13[[#This Row],[Gender]]="male",R896&lt;24.9),"Acceptable",AND(Table13[[#This Row],[Gender]]="male",R896&lt;40),"Obese",AND(Table13[[#This Row],[Gender]]="others",R896&lt;20),"Athletes",AND(Table13[[#This Row],[Gender]]="others",R896&lt;24),"Fitnesss",AND(Table13[[#This Row],[Gender]]="others",R896&lt;31),"Acceptable",AND(Table13[[#This Row],[Gender]]="others",R896&lt;40),"Obese")</f>
        <v>Obese</v>
      </c>
      <c r="R896" s="8">
        <v>32.4</v>
      </c>
      <c r="S896" s="8">
        <v>3</v>
      </c>
      <c r="T896" s="8">
        <v>4</v>
      </c>
      <c r="U896" s="8">
        <v>3</v>
      </c>
      <c r="V896" s="8" t="str">
        <f>IF(Table13[[#This Row],[BMI]]&lt;=18.5,"Underweight",IF(Table13[[#This Row],[BMI]]&lt;=24.9,"Normal",IF(Table13[[#This Row],[BMI]]&lt;=29.9,"Overweight",IF(Table13[[#This Row],[BMI]]&lt;=39,"Obese","Severly Obese"))))</f>
        <v>Overweight</v>
      </c>
      <c r="W896" s="18">
        <v>25.05</v>
      </c>
    </row>
    <row r="897" spans="6:23" x14ac:dyDescent="0.3">
      <c r="F897" s="17">
        <v>54</v>
      </c>
      <c r="G897" s="8" t="str">
        <f>IF(Table13[[#This Row],[Age]]&lt;25,"18-24",IF(Table13[[#This Row],[Age]]&lt;35,"25-34",IF(Table13[[#This Row],[Age]]&lt;45,"35-44",IF(Table13[[#This Row],[Age]]&lt;55,"45-54","55-64"))))</f>
        <v>45-54</v>
      </c>
      <c r="H897" s="8" t="s">
        <v>17</v>
      </c>
      <c r="I897" s="8">
        <v>45.8</v>
      </c>
      <c r="J897" s="8">
        <v>1.62</v>
      </c>
      <c r="K897" s="8">
        <v>163</v>
      </c>
      <c r="L897" s="8">
        <v>135</v>
      </c>
      <c r="M897" s="8">
        <v>66</v>
      </c>
      <c r="N897" s="8">
        <v>1.26</v>
      </c>
      <c r="O897" s="8">
        <v>1703</v>
      </c>
      <c r="P897" s="8" t="s">
        <v>18</v>
      </c>
      <c r="Q897" s="8" t="str">
        <f>_xlfn.IFS(AND(Table13[[#This Row],[Gender]]="female",R897&lt;20),"Athletes",AND(Table13[[#This Row],[Gender]]="female",R897&lt;24),"Fitnesss",AND(Table13[[#This Row],[Gender]]="female",R897&lt;31),"Acceptable",AND(Table13[[#This Row],[Gender]]="female",R897&lt;40),"Obese",AND(Table13[[#This Row],[Gender]]="male",R897&lt;13),"Athletes",AND(Table13[[#This Row],[Gender]]="male",R897&lt;17),"Fitnesss",AND(Table13[[#This Row],[Gender]]="male",R897&lt;24.9),"Acceptable",AND(Table13[[#This Row],[Gender]]="male",R897&lt;40),"Obese",AND(Table13[[#This Row],[Gender]]="others",R897&lt;20),"Athletes",AND(Table13[[#This Row],[Gender]]="others",R897&lt;24),"Fitnesss",AND(Table13[[#This Row],[Gender]]="others",R897&lt;31),"Acceptable",AND(Table13[[#This Row],[Gender]]="others",R897&lt;40),"Obese")</f>
        <v>Athletes</v>
      </c>
      <c r="R897" s="8">
        <v>15.2</v>
      </c>
      <c r="S897" s="8">
        <v>1.6</v>
      </c>
      <c r="T897" s="8">
        <v>4</v>
      </c>
      <c r="U897" s="8">
        <v>2</v>
      </c>
      <c r="V897" s="8" t="str">
        <f>IF(Table13[[#This Row],[BMI]]&lt;=18.5,"Underweight",IF(Table13[[#This Row],[BMI]]&lt;=24.9,"Normal",IF(Table13[[#This Row],[BMI]]&lt;=29.9,"Overweight",IF(Table13[[#This Row],[BMI]]&lt;=39,"Obese","Severly Obese"))))</f>
        <v>Underweight</v>
      </c>
      <c r="W897" s="18">
        <v>17.989999999999998</v>
      </c>
    </row>
    <row r="898" spans="6:23" x14ac:dyDescent="0.3">
      <c r="F898" s="17">
        <v>44</v>
      </c>
      <c r="G898" s="8" t="str">
        <f>IF(Table13[[#This Row],[Age]]&lt;25,"18-24",IF(Table13[[#This Row],[Age]]&lt;35,"25-34",IF(Table13[[#This Row],[Age]]&lt;45,"35-44",IF(Table13[[#This Row],[Age]]&lt;55,"45-54","55-64"))))</f>
        <v>35-44</v>
      </c>
      <c r="H898" s="8" t="s">
        <v>17</v>
      </c>
      <c r="I898" s="8">
        <v>106.8</v>
      </c>
      <c r="J898" s="8">
        <v>1.65</v>
      </c>
      <c r="K898" s="8">
        <v>171</v>
      </c>
      <c r="L898" s="8">
        <v>143</v>
      </c>
      <c r="M898" s="8">
        <v>71</v>
      </c>
      <c r="N898" s="8">
        <v>1.54</v>
      </c>
      <c r="O898" s="8">
        <v>1295</v>
      </c>
      <c r="P898" s="8" t="s">
        <v>20</v>
      </c>
      <c r="Q898" s="8" t="str">
        <f>_xlfn.IFS(AND(Table13[[#This Row],[Gender]]="female",R898&lt;20),"Athletes",AND(Table13[[#This Row],[Gender]]="female",R898&lt;24),"Fitnesss",AND(Table13[[#This Row],[Gender]]="female",R898&lt;31),"Acceptable",AND(Table13[[#This Row],[Gender]]="female",R898&lt;40),"Obese",AND(Table13[[#This Row],[Gender]]="male",R898&lt;13),"Athletes",AND(Table13[[#This Row],[Gender]]="male",R898&lt;17),"Fitnesss",AND(Table13[[#This Row],[Gender]]="male",R898&lt;24.9),"Acceptable",AND(Table13[[#This Row],[Gender]]="male",R898&lt;40),"Obese",AND(Table13[[#This Row],[Gender]]="others",R898&lt;20),"Athletes",AND(Table13[[#This Row],[Gender]]="others",R898&lt;24),"Fitnesss",AND(Table13[[#This Row],[Gender]]="others",R898&lt;31),"Acceptable",AND(Table13[[#This Row],[Gender]]="others",R898&lt;40),"Obese")</f>
        <v>Athletes</v>
      </c>
      <c r="R898" s="8">
        <v>17.100000000000001</v>
      </c>
      <c r="S898" s="8">
        <v>3.5</v>
      </c>
      <c r="T898" s="8">
        <v>3</v>
      </c>
      <c r="U898" s="8">
        <v>3</v>
      </c>
      <c r="V898" s="8" t="str">
        <f>IF(Table13[[#This Row],[BMI]]&lt;=18.5,"Underweight",IF(Table13[[#This Row],[BMI]]&lt;=24.9,"Normal",IF(Table13[[#This Row],[BMI]]&lt;=29.9,"Overweight",IF(Table13[[#This Row],[BMI]]&lt;=39,"Obese","Severly Obese"))))</f>
        <v>Overweight</v>
      </c>
      <c r="W898" s="18">
        <v>25.4</v>
      </c>
    </row>
    <row r="899" spans="6:23" x14ac:dyDescent="0.3">
      <c r="F899" s="17">
        <v>19</v>
      </c>
      <c r="G899" s="8" t="str">
        <f>IF(Table13[[#This Row],[Age]]&lt;25,"18-24",IF(Table13[[#This Row],[Age]]&lt;35,"25-34",IF(Table13[[#This Row],[Age]]&lt;45,"35-44",IF(Table13[[#This Row],[Age]]&lt;55,"45-54","55-64"))))</f>
        <v>18-24</v>
      </c>
      <c r="H899" s="8" t="s">
        <v>19</v>
      </c>
      <c r="I899" s="8">
        <v>59.8</v>
      </c>
      <c r="J899" s="8">
        <v>1.7</v>
      </c>
      <c r="K899" s="8">
        <v>181</v>
      </c>
      <c r="L899" s="8">
        <v>120</v>
      </c>
      <c r="M899" s="8">
        <v>73</v>
      </c>
      <c r="N899" s="8">
        <v>1.54</v>
      </c>
      <c r="O899" s="8">
        <v>1130</v>
      </c>
      <c r="P899" s="8" t="s">
        <v>20</v>
      </c>
      <c r="Q899" s="8" t="str">
        <f>_xlfn.IFS(AND(Table13[[#This Row],[Gender]]="female",R899&lt;20),"Athletes",AND(Table13[[#This Row],[Gender]]="female",R899&lt;24),"Fitnesss",AND(Table13[[#This Row],[Gender]]="female",R899&lt;31),"Acceptable",AND(Table13[[#This Row],[Gender]]="female",R899&lt;40),"Obese",AND(Table13[[#This Row],[Gender]]="male",R899&lt;13),"Athletes",AND(Table13[[#This Row],[Gender]]="male",R899&lt;17),"Fitnesss",AND(Table13[[#This Row],[Gender]]="male",R899&lt;24.9),"Acceptable",AND(Table13[[#This Row],[Gender]]="male",R899&lt;40),"Obese",AND(Table13[[#This Row],[Gender]]="others",R899&lt;20),"Athletes",AND(Table13[[#This Row],[Gender]]="others",R899&lt;24),"Fitnesss",AND(Table13[[#This Row],[Gender]]="others",R899&lt;31),"Acceptable",AND(Table13[[#This Row],[Gender]]="others",R899&lt;40),"Obese")</f>
        <v>Obese</v>
      </c>
      <c r="R899" s="8">
        <v>29.6</v>
      </c>
      <c r="S899" s="8">
        <v>3.5</v>
      </c>
      <c r="T899" s="8">
        <v>3</v>
      </c>
      <c r="U899" s="8">
        <v>1</v>
      </c>
      <c r="V899" s="8" t="str">
        <f>IF(Table13[[#This Row],[BMI]]&lt;=18.5,"Underweight",IF(Table13[[#This Row],[BMI]]&lt;=24.9,"Normal",IF(Table13[[#This Row],[BMI]]&lt;=29.9,"Overweight",IF(Table13[[#This Row],[BMI]]&lt;=39,"Obese","Severly Obese"))))</f>
        <v>Normal</v>
      </c>
      <c r="W899" s="18">
        <v>22.56</v>
      </c>
    </row>
    <row r="900" spans="6:23" x14ac:dyDescent="0.3">
      <c r="F900" s="17">
        <v>45</v>
      </c>
      <c r="G900" s="8" t="str">
        <f>IF(Table13[[#This Row],[Age]]&lt;25,"18-24",IF(Table13[[#This Row],[Age]]&lt;35,"25-34",IF(Table13[[#This Row],[Age]]&lt;45,"35-44",IF(Table13[[#This Row],[Age]]&lt;55,"45-54","55-64"))))</f>
        <v>45-54</v>
      </c>
      <c r="H900" s="8" t="s">
        <v>17</v>
      </c>
      <c r="I900" s="8">
        <v>88.4</v>
      </c>
      <c r="J900" s="8">
        <v>1.5</v>
      </c>
      <c r="K900" s="8">
        <v>181</v>
      </c>
      <c r="L900" s="8">
        <v>132</v>
      </c>
      <c r="M900" s="8">
        <v>66</v>
      </c>
      <c r="N900" s="8">
        <v>2</v>
      </c>
      <c r="O900" s="8"/>
      <c r="P900" s="8" t="s">
        <v>20</v>
      </c>
      <c r="Q900" s="8" t="str">
        <f>_xlfn.IFS(AND(Table13[[#This Row],[Gender]]="female",R900&lt;20),"Athletes",AND(Table13[[#This Row],[Gender]]="female",R900&lt;24),"Fitnesss",AND(Table13[[#This Row],[Gender]]="female",R900&lt;31),"Acceptable",AND(Table13[[#This Row],[Gender]]="female",R900&lt;40),"Obese",AND(Table13[[#This Row],[Gender]]="male",R900&lt;13),"Athletes",AND(Table13[[#This Row],[Gender]]="male",R900&lt;17),"Fitnesss",AND(Table13[[#This Row],[Gender]]="male",R900&lt;24.9),"Acceptable",AND(Table13[[#This Row],[Gender]]="male",R900&lt;40),"Obese",AND(Table13[[#This Row],[Gender]]="others",R900&lt;20),"Athletes",AND(Table13[[#This Row],[Gender]]="others",R900&lt;24),"Fitnesss",AND(Table13[[#This Row],[Gender]]="others",R900&lt;31),"Acceptable",AND(Table13[[#This Row],[Gender]]="others",R900&lt;40),"Obese")</f>
        <v>Fitnesss</v>
      </c>
      <c r="R900" s="8">
        <v>23</v>
      </c>
      <c r="S900" s="8">
        <v>2.4</v>
      </c>
      <c r="T900" s="8">
        <v>3</v>
      </c>
      <c r="U900" s="8">
        <v>1</v>
      </c>
      <c r="V900" s="8" t="str">
        <f>IF(Table13[[#This Row],[BMI]]&lt;=18.5,"Underweight",IF(Table13[[#This Row],[BMI]]&lt;=24.9,"Normal",IF(Table13[[#This Row],[BMI]]&lt;=29.9,"Overweight",IF(Table13[[#This Row],[BMI]]&lt;=39,"Obese","Severly Obese"))))</f>
        <v>Overweight</v>
      </c>
      <c r="W900" s="18">
        <v>28.39</v>
      </c>
    </row>
    <row r="901" spans="6:23" x14ac:dyDescent="0.3">
      <c r="F901" s="17">
        <v>44</v>
      </c>
      <c r="G901" s="8" t="str">
        <f>IF(Table13[[#This Row],[Age]]&lt;25,"18-24",IF(Table13[[#This Row],[Age]]&lt;35,"25-34",IF(Table13[[#This Row],[Age]]&lt;45,"35-44",IF(Table13[[#This Row],[Age]]&lt;55,"45-54","55-64"))))</f>
        <v>35-44</v>
      </c>
      <c r="H901" s="8" t="s">
        <v>19</v>
      </c>
      <c r="I901" s="8">
        <v>52.5</v>
      </c>
      <c r="J901" s="8">
        <v>1.65</v>
      </c>
      <c r="K901" s="8">
        <v>174</v>
      </c>
      <c r="L901" s="8">
        <v>169</v>
      </c>
      <c r="M901" s="8">
        <v>51</v>
      </c>
      <c r="N901" s="8">
        <v>1.95</v>
      </c>
      <c r="O901" s="8">
        <v>1783</v>
      </c>
      <c r="P901" s="8" t="s">
        <v>20</v>
      </c>
      <c r="Q901" s="8" t="str">
        <f>_xlfn.IFS(AND(Table13[[#This Row],[Gender]]="female",R901&lt;20),"Athletes",AND(Table13[[#This Row],[Gender]]="female",R901&lt;24),"Fitnesss",AND(Table13[[#This Row],[Gender]]="female",R901&lt;31),"Acceptable",AND(Table13[[#This Row],[Gender]]="female",R901&lt;40),"Obese",AND(Table13[[#This Row],[Gender]]="male",R901&lt;13),"Athletes",AND(Table13[[#This Row],[Gender]]="male",R901&lt;17),"Fitnesss",AND(Table13[[#This Row],[Gender]]="male",R901&lt;24.9),"Acceptable",AND(Table13[[#This Row],[Gender]]="male",R901&lt;40),"Obese",AND(Table13[[#This Row],[Gender]]="others",R901&lt;20),"Athletes",AND(Table13[[#This Row],[Gender]]="others",R901&lt;24),"Fitnesss",AND(Table13[[#This Row],[Gender]]="others",R901&lt;31),"Acceptable",AND(Table13[[#This Row],[Gender]]="others",R901&lt;40),"Obese")</f>
        <v>Obese</v>
      </c>
      <c r="R901" s="8">
        <v>29.4</v>
      </c>
      <c r="S901" s="8">
        <v>2</v>
      </c>
      <c r="T901" s="8">
        <v>2</v>
      </c>
      <c r="U901" s="8">
        <v>1</v>
      </c>
      <c r="V901" s="8" t="str">
        <f>IF(Table13[[#This Row],[BMI]]&lt;=18.5,"Underweight",IF(Table13[[#This Row],[BMI]]&lt;=24.9,"Normal",IF(Table13[[#This Row],[BMI]]&lt;=29.9,"Overweight",IF(Table13[[#This Row],[BMI]]&lt;=39,"Obese","Severly Obese"))))</f>
        <v>Underweight</v>
      </c>
      <c r="W901" s="18">
        <v>16.41</v>
      </c>
    </row>
    <row r="902" spans="6:23" x14ac:dyDescent="0.3">
      <c r="F902" s="17">
        <v>58</v>
      </c>
      <c r="G902" s="8" t="str">
        <f>IF(Table13[[#This Row],[Age]]&lt;25,"18-24",IF(Table13[[#This Row],[Age]]&lt;35,"25-34",IF(Table13[[#This Row],[Age]]&lt;45,"35-44",IF(Table13[[#This Row],[Age]]&lt;55,"45-54","55-64"))))</f>
        <v>55-64</v>
      </c>
      <c r="H902" s="8" t="s">
        <v>19</v>
      </c>
      <c r="I902" s="8">
        <v>56.5</v>
      </c>
      <c r="J902" s="8">
        <v>1.76</v>
      </c>
      <c r="K902" s="8">
        <v>180</v>
      </c>
      <c r="L902" s="8">
        <v>139</v>
      </c>
      <c r="M902" s="8">
        <v>74</v>
      </c>
      <c r="N902" s="8">
        <v>2</v>
      </c>
      <c r="O902" s="8">
        <v>1396</v>
      </c>
      <c r="P902" s="8" t="s">
        <v>22</v>
      </c>
      <c r="Q902" s="8" t="str">
        <f>_xlfn.IFS(AND(Table13[[#This Row],[Gender]]="female",R902&lt;20),"Athletes",AND(Table13[[#This Row],[Gender]]="female",R902&lt;24),"Fitnesss",AND(Table13[[#This Row],[Gender]]="female",R902&lt;31),"Acceptable",AND(Table13[[#This Row],[Gender]]="female",R902&lt;40),"Obese",AND(Table13[[#This Row],[Gender]]="male",R902&lt;13),"Athletes",AND(Table13[[#This Row],[Gender]]="male",R902&lt;17),"Fitnesss",AND(Table13[[#This Row],[Gender]]="male",R902&lt;24.9),"Acceptable",AND(Table13[[#This Row],[Gender]]="male",R902&lt;40),"Obese",AND(Table13[[#This Row],[Gender]]="others",R902&lt;20),"Athletes",AND(Table13[[#This Row],[Gender]]="others",R902&lt;24),"Fitnesss",AND(Table13[[#This Row],[Gender]]="others",R902&lt;31),"Acceptable",AND(Table13[[#This Row],[Gender]]="others",R902&lt;40),"Obese")</f>
        <v>Acceptable</v>
      </c>
      <c r="R902" s="8">
        <v>24.1</v>
      </c>
      <c r="S902" s="8">
        <v>3.4</v>
      </c>
      <c r="T902" s="8">
        <v>2</v>
      </c>
      <c r="U902" s="8">
        <v>2</v>
      </c>
      <c r="V902" s="8" t="str">
        <f>IF(Table13[[#This Row],[BMI]]&lt;=18.5,"Underweight",IF(Table13[[#This Row],[BMI]]&lt;=24.9,"Normal",IF(Table13[[#This Row],[BMI]]&lt;=29.9,"Overweight",IF(Table13[[#This Row],[BMI]]&lt;=39,"Obese","Severly Obese"))))</f>
        <v>Overweight</v>
      </c>
      <c r="W902" s="18">
        <v>28.26</v>
      </c>
    </row>
    <row r="903" spans="6:23" x14ac:dyDescent="0.3">
      <c r="F903" s="17">
        <v>18</v>
      </c>
      <c r="G903" s="8" t="str">
        <f>IF(Table13[[#This Row],[Age]]&lt;25,"18-24",IF(Table13[[#This Row],[Age]]&lt;35,"25-34",IF(Table13[[#This Row],[Age]]&lt;45,"35-44",IF(Table13[[#This Row],[Age]]&lt;55,"45-54","55-64"))))</f>
        <v>18-24</v>
      </c>
      <c r="H903" s="8" t="s">
        <v>19</v>
      </c>
      <c r="I903" s="8">
        <v>49.9</v>
      </c>
      <c r="J903" s="8">
        <v>1.74</v>
      </c>
      <c r="K903" s="8">
        <v>177</v>
      </c>
      <c r="L903" s="8">
        <v>161</v>
      </c>
      <c r="M903" s="8">
        <v>70</v>
      </c>
      <c r="N903" s="8">
        <v>2</v>
      </c>
      <c r="O903" s="8">
        <v>950</v>
      </c>
      <c r="P903" s="8" t="s">
        <v>21</v>
      </c>
      <c r="Q903" s="8" t="str">
        <f>_xlfn.IFS(AND(Table13[[#This Row],[Gender]]="female",R903&lt;20),"Athletes",AND(Table13[[#This Row],[Gender]]="female",R903&lt;24),"Fitnesss",AND(Table13[[#This Row],[Gender]]="female",R903&lt;31),"Acceptable",AND(Table13[[#This Row],[Gender]]="female",R903&lt;40),"Obese",AND(Table13[[#This Row],[Gender]]="male",R903&lt;13),"Athletes",AND(Table13[[#This Row],[Gender]]="male",R903&lt;17),"Fitnesss",AND(Table13[[#This Row],[Gender]]="male",R903&lt;24.9),"Acceptable",AND(Table13[[#This Row],[Gender]]="male",R903&lt;40),"Obese",AND(Table13[[#This Row],[Gender]]="others",R903&lt;20),"Athletes",AND(Table13[[#This Row],[Gender]]="others",R903&lt;24),"Fitnesss",AND(Table13[[#This Row],[Gender]]="others",R903&lt;31),"Acceptable",AND(Table13[[#This Row],[Gender]]="others",R903&lt;40),"Obese")</f>
        <v>Acceptable</v>
      </c>
      <c r="R903" s="8">
        <v>23</v>
      </c>
      <c r="S903" s="8">
        <v>3.4</v>
      </c>
      <c r="T903" s="8">
        <v>4</v>
      </c>
      <c r="U903" s="8">
        <v>2</v>
      </c>
      <c r="V903" s="8" t="str">
        <f>IF(Table13[[#This Row],[BMI]]&lt;=18.5,"Underweight",IF(Table13[[#This Row],[BMI]]&lt;=24.9,"Normal",IF(Table13[[#This Row],[BMI]]&lt;=29.9,"Overweight",IF(Table13[[#This Row],[BMI]]&lt;=39,"Obese","Severly Obese"))))</f>
        <v>Underweight</v>
      </c>
      <c r="W903" s="18">
        <v>17.53</v>
      </c>
    </row>
    <row r="904" spans="6:23" x14ac:dyDescent="0.3">
      <c r="F904" s="17">
        <v>30</v>
      </c>
      <c r="G904" s="8" t="str">
        <f>IF(Table13[[#This Row],[Age]]&lt;25,"18-24",IF(Table13[[#This Row],[Age]]&lt;35,"25-34",IF(Table13[[#This Row],[Age]]&lt;45,"35-44",IF(Table13[[#This Row],[Age]]&lt;55,"45-54","55-64"))))</f>
        <v>25-34</v>
      </c>
      <c r="H904" s="8" t="s">
        <v>23</v>
      </c>
      <c r="I904" s="8">
        <v>62.3</v>
      </c>
      <c r="J904" s="8">
        <v>1.82</v>
      </c>
      <c r="K904" s="8">
        <v>174</v>
      </c>
      <c r="L904" s="8">
        <v>160</v>
      </c>
      <c r="M904" s="8">
        <v>64</v>
      </c>
      <c r="N904" s="8">
        <v>1.23</v>
      </c>
      <c r="O904" s="8">
        <v>1080</v>
      </c>
      <c r="P904" s="8" t="s">
        <v>20</v>
      </c>
      <c r="Q904" s="8" t="str">
        <f>_xlfn.IFS(AND(Table13[[#This Row],[Gender]]="female",R904&lt;20),"Athletes",AND(Table13[[#This Row],[Gender]]="female",R904&lt;24),"Fitnesss",AND(Table13[[#This Row],[Gender]]="female",R904&lt;31),"Acceptable",AND(Table13[[#This Row],[Gender]]="female",R904&lt;40),"Obese",AND(Table13[[#This Row],[Gender]]="male",R904&lt;13),"Athletes",AND(Table13[[#This Row],[Gender]]="male",R904&lt;17),"Fitnesss",AND(Table13[[#This Row],[Gender]]="male",R904&lt;24.9),"Acceptable",AND(Table13[[#This Row],[Gender]]="male",R904&lt;40),"Obese",AND(Table13[[#This Row],[Gender]]="others",R904&lt;20),"Athletes",AND(Table13[[#This Row],[Gender]]="others",R904&lt;24),"Fitnesss",AND(Table13[[#This Row],[Gender]]="others",R904&lt;31),"Acceptable",AND(Table13[[#This Row],[Gender]]="others",R904&lt;40),"Obese")</f>
        <v>Athletes</v>
      </c>
      <c r="R904" s="8">
        <v>15.9</v>
      </c>
      <c r="S904" s="8">
        <v>2.5</v>
      </c>
      <c r="T904" s="8">
        <v>3</v>
      </c>
      <c r="U904" s="8">
        <v>3</v>
      </c>
      <c r="V904" s="8" t="str">
        <f>IF(Table13[[#This Row],[BMI]]&lt;=18.5,"Underweight",IF(Table13[[#This Row],[BMI]]&lt;=24.9,"Normal",IF(Table13[[#This Row],[BMI]]&lt;=29.9,"Overweight",IF(Table13[[#This Row],[BMI]]&lt;=39,"Obese","Severly Obese"))))</f>
        <v>Normal</v>
      </c>
      <c r="W904" s="18">
        <v>22.26</v>
      </c>
    </row>
    <row r="905" spans="6:23" x14ac:dyDescent="0.3">
      <c r="F905" s="17">
        <v>18</v>
      </c>
      <c r="G905" s="8" t="str">
        <f>IF(Table13[[#This Row],[Age]]&lt;25,"18-24",IF(Table13[[#This Row],[Age]]&lt;35,"25-34",IF(Table13[[#This Row],[Age]]&lt;45,"35-44",IF(Table13[[#This Row],[Age]]&lt;55,"45-54","55-64"))))</f>
        <v>18-24</v>
      </c>
      <c r="H905" s="8" t="s">
        <v>17</v>
      </c>
      <c r="I905" s="8">
        <v>76.099999999999994</v>
      </c>
      <c r="J905" s="8">
        <v>1.64</v>
      </c>
      <c r="K905" s="8">
        <v>196</v>
      </c>
      <c r="L905" s="8">
        <v>169</v>
      </c>
      <c r="M905" s="8">
        <v>63</v>
      </c>
      <c r="N905" s="8">
        <v>1.43</v>
      </c>
      <c r="O905" s="8">
        <v>686</v>
      </c>
      <c r="P905" s="8" t="s">
        <v>20</v>
      </c>
      <c r="Q905" s="8" t="str">
        <f>_xlfn.IFS(AND(Table13[[#This Row],[Gender]]="female",R905&lt;20),"Athletes",AND(Table13[[#This Row],[Gender]]="female",R905&lt;24),"Fitnesss",AND(Table13[[#This Row],[Gender]]="female",R905&lt;31),"Acceptable",AND(Table13[[#This Row],[Gender]]="female",R905&lt;40),"Obese",AND(Table13[[#This Row],[Gender]]="male",R905&lt;13),"Athletes",AND(Table13[[#This Row],[Gender]]="male",R905&lt;17),"Fitnesss",AND(Table13[[#This Row],[Gender]]="male",R905&lt;24.9),"Acceptable",AND(Table13[[#This Row],[Gender]]="male",R905&lt;40),"Obese",AND(Table13[[#This Row],[Gender]]="others",R905&lt;20),"Athletes",AND(Table13[[#This Row],[Gender]]="others",R905&lt;24),"Fitnesss",AND(Table13[[#This Row],[Gender]]="others",R905&lt;31),"Acceptable",AND(Table13[[#This Row],[Gender]]="others",R905&lt;40),"Obese")</f>
        <v>Obese</v>
      </c>
      <c r="R905" s="8">
        <v>34.799999999999997</v>
      </c>
      <c r="S905" s="8">
        <v>1.5</v>
      </c>
      <c r="T905" s="8">
        <v>3</v>
      </c>
      <c r="U905" s="8">
        <v>3</v>
      </c>
      <c r="V905" s="8" t="str">
        <f>IF(Table13[[#This Row],[BMI]]&lt;=18.5,"Underweight",IF(Table13[[#This Row],[BMI]]&lt;=24.9,"Normal",IF(Table13[[#This Row],[BMI]]&lt;=29.9,"Overweight",IF(Table13[[#This Row],[BMI]]&lt;=39,"Obese","Severly Obese"))))</f>
        <v>Obese</v>
      </c>
      <c r="W905" s="18">
        <v>33.24</v>
      </c>
    </row>
    <row r="906" spans="6:23" x14ac:dyDescent="0.3">
      <c r="F906" s="17">
        <v>18</v>
      </c>
      <c r="G906" s="8" t="str">
        <f>IF(Table13[[#This Row],[Age]]&lt;25,"18-24",IF(Table13[[#This Row],[Age]]&lt;35,"25-34",IF(Table13[[#This Row],[Age]]&lt;45,"35-44",IF(Table13[[#This Row],[Age]]&lt;55,"45-54","55-64"))))</f>
        <v>18-24</v>
      </c>
      <c r="H906" s="8" t="s">
        <v>17</v>
      </c>
      <c r="I906" s="8">
        <v>40</v>
      </c>
      <c r="J906" s="8">
        <v>1.74</v>
      </c>
      <c r="K906" s="8">
        <v>160</v>
      </c>
      <c r="L906" s="8">
        <v>145</v>
      </c>
      <c r="M906" s="8">
        <v>74</v>
      </c>
      <c r="N906" s="8">
        <v>0.53</v>
      </c>
      <c r="O906" s="8">
        <v>907</v>
      </c>
      <c r="P906" s="8" t="s">
        <v>18</v>
      </c>
      <c r="Q906" s="8" t="str">
        <f>_xlfn.IFS(AND(Table13[[#This Row],[Gender]]="female",R906&lt;20),"Athletes",AND(Table13[[#This Row],[Gender]]="female",R906&lt;24),"Fitnesss",AND(Table13[[#This Row],[Gender]]="female",R906&lt;31),"Acceptable",AND(Table13[[#This Row],[Gender]]="female",R906&lt;40),"Obese",AND(Table13[[#This Row],[Gender]]="male",R906&lt;13),"Athletes",AND(Table13[[#This Row],[Gender]]="male",R906&lt;17),"Fitnesss",AND(Table13[[#This Row],[Gender]]="male",R906&lt;24.9),"Acceptable",AND(Table13[[#This Row],[Gender]]="male",R906&lt;40),"Obese",AND(Table13[[#This Row],[Gender]]="others",R906&lt;20),"Athletes",AND(Table13[[#This Row],[Gender]]="others",R906&lt;24),"Fitnesss",AND(Table13[[#This Row],[Gender]]="others",R906&lt;31),"Acceptable",AND(Table13[[#This Row],[Gender]]="others",R906&lt;40),"Obese")</f>
        <v>Acceptable</v>
      </c>
      <c r="R906" s="8">
        <v>24.8</v>
      </c>
      <c r="S906" s="8">
        <v>3.6</v>
      </c>
      <c r="T906" s="8"/>
      <c r="U906" s="8">
        <v>3</v>
      </c>
      <c r="V906" s="8" t="str">
        <f>IF(Table13[[#This Row],[BMI]]&lt;=18.5,"Underweight",IF(Table13[[#This Row],[BMI]]&lt;=24.9,"Normal",IF(Table13[[#This Row],[BMI]]&lt;=29.9,"Overweight",IF(Table13[[#This Row],[BMI]]&lt;=39,"Obese","Severly Obese"))))</f>
        <v>Normal</v>
      </c>
      <c r="W906" s="18">
        <v>24.44</v>
      </c>
    </row>
    <row r="907" spans="6:23" x14ac:dyDescent="0.3">
      <c r="F907" s="17">
        <v>18</v>
      </c>
      <c r="G907" s="8" t="str">
        <f>IF(Table13[[#This Row],[Age]]&lt;25,"18-24",IF(Table13[[#This Row],[Age]]&lt;35,"25-34",IF(Table13[[#This Row],[Age]]&lt;45,"35-44",IF(Table13[[#This Row],[Age]]&lt;55,"45-54","55-64"))))</f>
        <v>18-24</v>
      </c>
      <c r="H907" s="8" t="s">
        <v>19</v>
      </c>
      <c r="I907" s="8">
        <v>91.1</v>
      </c>
      <c r="J907" s="8">
        <v>1.7</v>
      </c>
      <c r="K907" s="8"/>
      <c r="L907" s="8">
        <v>137</v>
      </c>
      <c r="M907" s="8">
        <v>68</v>
      </c>
      <c r="N907" s="8">
        <v>1.03</v>
      </c>
      <c r="O907" s="8">
        <v>826</v>
      </c>
      <c r="P907" s="8" t="s">
        <v>20</v>
      </c>
      <c r="Q907" s="8" t="str">
        <f>_xlfn.IFS(AND(Table13[[#This Row],[Gender]]="female",R907&lt;20),"Athletes",AND(Table13[[#This Row],[Gender]]="female",R907&lt;24),"Fitnesss",AND(Table13[[#This Row],[Gender]]="female",R907&lt;31),"Acceptable",AND(Table13[[#This Row],[Gender]]="female",R907&lt;40),"Obese",AND(Table13[[#This Row],[Gender]]="male",R907&lt;13),"Athletes",AND(Table13[[#This Row],[Gender]]="male",R907&lt;17),"Fitnesss",AND(Table13[[#This Row],[Gender]]="male",R907&lt;24.9),"Acceptable",AND(Table13[[#This Row],[Gender]]="male",R907&lt;40),"Obese",AND(Table13[[#This Row],[Gender]]="others",R907&lt;20),"Athletes",AND(Table13[[#This Row],[Gender]]="others",R907&lt;24),"Fitnesss",AND(Table13[[#This Row],[Gender]]="others",R907&lt;31),"Acceptable",AND(Table13[[#This Row],[Gender]]="others",R907&lt;40),"Obese")</f>
        <v>Obese</v>
      </c>
      <c r="R907" s="8">
        <v>33.700000000000003</v>
      </c>
      <c r="S907" s="8">
        <v>3.5</v>
      </c>
      <c r="T907" s="8">
        <v>2</v>
      </c>
      <c r="U907" s="8">
        <v>2</v>
      </c>
      <c r="V907" s="8" t="str">
        <f>IF(Table13[[#This Row],[BMI]]&lt;=18.5,"Underweight",IF(Table13[[#This Row],[BMI]]&lt;=24.9,"Normal",IF(Table13[[#This Row],[BMI]]&lt;=29.9,"Overweight",IF(Table13[[#This Row],[BMI]]&lt;=39,"Obese","Severly Obese"))))</f>
        <v>Underweight</v>
      </c>
      <c r="W907" s="18">
        <v>18.239999999999998</v>
      </c>
    </row>
    <row r="908" spans="6:23" x14ac:dyDescent="0.3">
      <c r="F908" s="17">
        <v>28</v>
      </c>
      <c r="G908" s="8" t="str">
        <f>IF(Table13[[#This Row],[Age]]&lt;25,"18-24",IF(Table13[[#This Row],[Age]]&lt;35,"25-34",IF(Table13[[#This Row],[Age]]&lt;45,"35-44",IF(Table13[[#This Row],[Age]]&lt;55,"45-54","55-64"))))</f>
        <v>25-34</v>
      </c>
      <c r="H908" s="8" t="s">
        <v>17</v>
      </c>
      <c r="I908" s="8">
        <v>67.099999999999994</v>
      </c>
      <c r="J908" s="8">
        <v>1.9</v>
      </c>
      <c r="K908" s="8">
        <v>184</v>
      </c>
      <c r="L908" s="8">
        <v>169</v>
      </c>
      <c r="M908" s="8">
        <v>59</v>
      </c>
      <c r="N908" s="8">
        <v>1.61</v>
      </c>
      <c r="O908" s="8">
        <v>587</v>
      </c>
      <c r="P908" s="8" t="s">
        <v>22</v>
      </c>
      <c r="Q908" s="8" t="str">
        <f>_xlfn.IFS(AND(Table13[[#This Row],[Gender]]="female",R908&lt;20),"Athletes",AND(Table13[[#This Row],[Gender]]="female",R908&lt;24),"Fitnesss",AND(Table13[[#This Row],[Gender]]="female",R908&lt;31),"Acceptable",AND(Table13[[#This Row],[Gender]]="female",R908&lt;40),"Obese",AND(Table13[[#This Row],[Gender]]="male",R908&lt;13),"Athletes",AND(Table13[[#This Row],[Gender]]="male",R908&lt;17),"Fitnesss",AND(Table13[[#This Row],[Gender]]="male",R908&lt;24.9),"Acceptable",AND(Table13[[#This Row],[Gender]]="male",R908&lt;40),"Obese",AND(Table13[[#This Row],[Gender]]="others",R908&lt;20),"Athletes",AND(Table13[[#This Row],[Gender]]="others",R908&lt;24),"Fitnesss",AND(Table13[[#This Row],[Gender]]="others",R908&lt;31),"Acceptable",AND(Table13[[#This Row],[Gender]]="others",R908&lt;40),"Obese")</f>
        <v>Fitnesss</v>
      </c>
      <c r="R908" s="8">
        <v>20.8</v>
      </c>
      <c r="S908" s="8">
        <v>2.7</v>
      </c>
      <c r="T908" s="8">
        <v>3</v>
      </c>
      <c r="U908" s="8">
        <v>1</v>
      </c>
      <c r="V908" s="8" t="str">
        <f>IF(Table13[[#This Row],[BMI]]&lt;=18.5,"Underweight",IF(Table13[[#This Row],[BMI]]&lt;=24.9,"Normal",IF(Table13[[#This Row],[BMI]]&lt;=29.9,"Overweight",IF(Table13[[#This Row],[BMI]]&lt;=39,"Obese","Severly Obese"))))</f>
        <v>Underweight</v>
      </c>
      <c r="W908" s="18">
        <v>12.32</v>
      </c>
    </row>
    <row r="909" spans="6:23" x14ac:dyDescent="0.3">
      <c r="F909" s="17">
        <v>18</v>
      </c>
      <c r="G909" s="8" t="str">
        <f>IF(Table13[[#This Row],[Age]]&lt;25,"18-24",IF(Table13[[#This Row],[Age]]&lt;35,"25-34",IF(Table13[[#This Row],[Age]]&lt;45,"35-44",IF(Table13[[#This Row],[Age]]&lt;55,"45-54","55-64"))))</f>
        <v>18-24</v>
      </c>
      <c r="H909" s="8" t="s">
        <v>17</v>
      </c>
      <c r="I909" s="8">
        <v>53.9</v>
      </c>
      <c r="J909" s="8">
        <v>1.69</v>
      </c>
      <c r="K909" s="8">
        <v>187</v>
      </c>
      <c r="L909" s="8">
        <v>169</v>
      </c>
      <c r="M909" s="8">
        <v>56</v>
      </c>
      <c r="N909" s="8">
        <v>1.34</v>
      </c>
      <c r="O909" s="8">
        <v>752</v>
      </c>
      <c r="P909" s="8" t="s">
        <v>22</v>
      </c>
      <c r="Q909" s="8" t="str">
        <f>_xlfn.IFS(AND(Table13[[#This Row],[Gender]]="female",R909&lt;20),"Athletes",AND(Table13[[#This Row],[Gender]]="female",R909&lt;24),"Fitnesss",AND(Table13[[#This Row],[Gender]]="female",R909&lt;31),"Acceptable",AND(Table13[[#This Row],[Gender]]="female",R909&lt;40),"Obese",AND(Table13[[#This Row],[Gender]]="male",R909&lt;13),"Athletes",AND(Table13[[#This Row],[Gender]]="male",R909&lt;17),"Fitnesss",AND(Table13[[#This Row],[Gender]]="male",R909&lt;24.9),"Acceptable",AND(Table13[[#This Row],[Gender]]="male",R909&lt;40),"Obese",AND(Table13[[#This Row],[Gender]]="others",R909&lt;20),"Athletes",AND(Table13[[#This Row],[Gender]]="others",R909&lt;24),"Fitnesss",AND(Table13[[#This Row],[Gender]]="others",R909&lt;31),"Acceptable",AND(Table13[[#This Row],[Gender]]="others",R909&lt;40),"Obese")</f>
        <v>Athletes</v>
      </c>
      <c r="R909" s="8">
        <v>13.6</v>
      </c>
      <c r="S909" s="8">
        <v>3.3</v>
      </c>
      <c r="T909" s="8">
        <v>3</v>
      </c>
      <c r="U909" s="8">
        <v>2</v>
      </c>
      <c r="V909" s="8" t="str">
        <f>IF(Table13[[#This Row],[BMI]]&lt;=18.5,"Underweight",IF(Table13[[#This Row],[BMI]]&lt;=24.9,"Normal",IF(Table13[[#This Row],[BMI]]&lt;=29.9,"Overweight",IF(Table13[[#This Row],[BMI]]&lt;=39,"Obese","Severly Obese"))))</f>
        <v>Underweight</v>
      </c>
      <c r="W909" s="18">
        <v>15.23</v>
      </c>
    </row>
    <row r="910" spans="6:23" x14ac:dyDescent="0.3">
      <c r="F910" s="17">
        <v>34</v>
      </c>
      <c r="G910" s="8" t="str">
        <f>IF(Table13[[#This Row],[Age]]&lt;25,"18-24",IF(Table13[[#This Row],[Age]]&lt;35,"25-34",IF(Table13[[#This Row],[Age]]&lt;45,"35-44",IF(Table13[[#This Row],[Age]]&lt;55,"45-54","55-64"))))</f>
        <v>25-34</v>
      </c>
      <c r="H910" s="8" t="s">
        <v>17</v>
      </c>
      <c r="I910" s="8">
        <v>79.3</v>
      </c>
      <c r="J910" s="8">
        <v>1.65</v>
      </c>
      <c r="K910" s="8">
        <v>181</v>
      </c>
      <c r="L910" s="8">
        <v>149</v>
      </c>
      <c r="M910" s="8">
        <v>64</v>
      </c>
      <c r="N910" s="8">
        <v>1.4</v>
      </c>
      <c r="O910" s="8">
        <v>501</v>
      </c>
      <c r="P910" s="8" t="s">
        <v>21</v>
      </c>
      <c r="Q910" s="8" t="str">
        <f>_xlfn.IFS(AND(Table13[[#This Row],[Gender]]="female",R910&lt;20),"Athletes",AND(Table13[[#This Row],[Gender]]="female",R910&lt;24),"Fitnesss",AND(Table13[[#This Row],[Gender]]="female",R910&lt;31),"Acceptable",AND(Table13[[#This Row],[Gender]]="female",R910&lt;40),"Obese",AND(Table13[[#This Row],[Gender]]="male",R910&lt;13),"Athletes",AND(Table13[[#This Row],[Gender]]="male",R910&lt;17),"Fitnesss",AND(Table13[[#This Row],[Gender]]="male",R910&lt;24.9),"Acceptable",AND(Table13[[#This Row],[Gender]]="male",R910&lt;40),"Obese",AND(Table13[[#This Row],[Gender]]="others",R910&lt;20),"Athletes",AND(Table13[[#This Row],[Gender]]="others",R910&lt;24),"Fitnesss",AND(Table13[[#This Row],[Gender]]="others",R910&lt;31),"Acceptable",AND(Table13[[#This Row],[Gender]]="others",R910&lt;40),"Obese")</f>
        <v>Athletes</v>
      </c>
      <c r="R910" s="8">
        <v>12</v>
      </c>
      <c r="S910" s="8">
        <v>2.2999999999999998</v>
      </c>
      <c r="T910" s="8">
        <v>2</v>
      </c>
      <c r="U910" s="8">
        <v>1</v>
      </c>
      <c r="V910" s="8" t="str">
        <f>IF(Table13[[#This Row],[BMI]]&lt;=18.5,"Underweight",IF(Table13[[#This Row],[BMI]]&lt;=24.9,"Normal",IF(Table13[[#This Row],[BMI]]&lt;=29.9,"Overweight",IF(Table13[[#This Row],[BMI]]&lt;=39,"Obese","Severly Obese"))))</f>
        <v>Normal</v>
      </c>
      <c r="W910" s="18">
        <v>24.84</v>
      </c>
    </row>
    <row r="911" spans="6:23" x14ac:dyDescent="0.3">
      <c r="F911" s="17">
        <v>18</v>
      </c>
      <c r="G911" s="8" t="str">
        <f>IF(Table13[[#This Row],[Age]]&lt;25,"18-24",IF(Table13[[#This Row],[Age]]&lt;35,"25-34",IF(Table13[[#This Row],[Age]]&lt;45,"35-44",IF(Table13[[#This Row],[Age]]&lt;55,"45-54","55-64"))))</f>
        <v>18-24</v>
      </c>
      <c r="H911" s="8" t="s">
        <v>17</v>
      </c>
      <c r="I911" s="8">
        <v>40</v>
      </c>
      <c r="J911" s="8">
        <v>1.88</v>
      </c>
      <c r="K911" s="8">
        <v>165</v>
      </c>
      <c r="L911" s="8">
        <v>145</v>
      </c>
      <c r="M911" s="8">
        <v>71</v>
      </c>
      <c r="N911" s="8">
        <v>1.59</v>
      </c>
      <c r="O911" s="8">
        <v>1121</v>
      </c>
      <c r="P911" s="8" t="s">
        <v>18</v>
      </c>
      <c r="Q911" s="8" t="str">
        <f>_xlfn.IFS(AND(Table13[[#This Row],[Gender]]="female",R911&lt;20),"Athletes",AND(Table13[[#This Row],[Gender]]="female",R911&lt;24),"Fitnesss",AND(Table13[[#This Row],[Gender]]="female",R911&lt;31),"Acceptable",AND(Table13[[#This Row],[Gender]]="female",R911&lt;40),"Obese",AND(Table13[[#This Row],[Gender]]="male",R911&lt;13),"Athletes",AND(Table13[[#This Row],[Gender]]="male",R911&lt;17),"Fitnesss",AND(Table13[[#This Row],[Gender]]="male",R911&lt;24.9),"Acceptable",AND(Table13[[#This Row],[Gender]]="male",R911&lt;40),"Obese",AND(Table13[[#This Row],[Gender]]="others",R911&lt;20),"Athletes",AND(Table13[[#This Row],[Gender]]="others",R911&lt;24),"Fitnesss",AND(Table13[[#This Row],[Gender]]="others",R911&lt;31),"Acceptable",AND(Table13[[#This Row],[Gender]]="others",R911&lt;40),"Obese")</f>
        <v>Fitnesss</v>
      </c>
      <c r="R911" s="8">
        <v>22.6</v>
      </c>
      <c r="S911" s="8">
        <v>3.4</v>
      </c>
      <c r="T911" s="8">
        <v>2</v>
      </c>
      <c r="U911" s="8">
        <v>1</v>
      </c>
      <c r="V911" s="8" t="str">
        <f>IF(Table13[[#This Row],[BMI]]&lt;=18.5,"Underweight",IF(Table13[[#This Row],[BMI]]&lt;=24.9,"Normal",IF(Table13[[#This Row],[BMI]]&lt;=29.9,"Overweight",IF(Table13[[#This Row],[BMI]]&lt;=39,"Obese","Severly Obese"))))</f>
        <v>Underweight</v>
      </c>
      <c r="W911" s="18">
        <v>14.1</v>
      </c>
    </row>
    <row r="912" spans="6:23" x14ac:dyDescent="0.3">
      <c r="F912" s="17">
        <v>35</v>
      </c>
      <c r="G912" s="8" t="str">
        <f>IF(Table13[[#This Row],[Age]]&lt;25,"18-24",IF(Table13[[#This Row],[Age]]&lt;35,"25-34",IF(Table13[[#This Row],[Age]]&lt;45,"35-44",IF(Table13[[#This Row],[Age]]&lt;55,"45-54","55-64"))))</f>
        <v>35-44</v>
      </c>
      <c r="H912" s="8" t="s">
        <v>19</v>
      </c>
      <c r="I912" s="8">
        <v>75.7</v>
      </c>
      <c r="J912" s="8">
        <v>1.74</v>
      </c>
      <c r="K912" s="8">
        <v>189</v>
      </c>
      <c r="L912" s="8">
        <v>136</v>
      </c>
      <c r="M912" s="8">
        <v>74</v>
      </c>
      <c r="N912" s="8">
        <v>1.7</v>
      </c>
      <c r="O912" s="8">
        <v>854</v>
      </c>
      <c r="P912" s="8" t="s">
        <v>21</v>
      </c>
      <c r="Q912" s="8" t="str">
        <f>_xlfn.IFS(AND(Table13[[#This Row],[Gender]]="female",R912&lt;20),"Athletes",AND(Table13[[#This Row],[Gender]]="female",R912&lt;24),"Fitnesss",AND(Table13[[#This Row],[Gender]]="female",R912&lt;31),"Acceptable",AND(Table13[[#This Row],[Gender]]="female",R912&lt;40),"Obese",AND(Table13[[#This Row],[Gender]]="male",R912&lt;13),"Athletes",AND(Table13[[#This Row],[Gender]]="male",R912&lt;17),"Fitnesss",AND(Table13[[#This Row],[Gender]]="male",R912&lt;24.9),"Acceptable",AND(Table13[[#This Row],[Gender]]="male",R912&lt;40),"Obese",AND(Table13[[#This Row],[Gender]]="others",R912&lt;20),"Athletes",AND(Table13[[#This Row],[Gender]]="others",R912&lt;24),"Fitnesss",AND(Table13[[#This Row],[Gender]]="others",R912&lt;31),"Acceptable",AND(Table13[[#This Row],[Gender]]="others",R912&lt;40),"Obese")</f>
        <v>Acceptable</v>
      </c>
      <c r="R912" s="8">
        <v>24</v>
      </c>
      <c r="S912" s="8">
        <v>1.5</v>
      </c>
      <c r="T912" s="8">
        <v>2</v>
      </c>
      <c r="U912" s="8">
        <v>2</v>
      </c>
      <c r="V912" s="8" t="str">
        <f>IF(Table13[[#This Row],[BMI]]&lt;=18.5,"Underweight",IF(Table13[[#This Row],[BMI]]&lt;=24.9,"Normal",IF(Table13[[#This Row],[BMI]]&lt;=29.9,"Overweight",IF(Table13[[#This Row],[BMI]]&lt;=39,"Obese","Severly Obese"))))</f>
        <v>Underweight</v>
      </c>
      <c r="W912" s="18">
        <v>12.47</v>
      </c>
    </row>
    <row r="913" spans="6:23" x14ac:dyDescent="0.3">
      <c r="F913" s="17">
        <v>29</v>
      </c>
      <c r="G913" s="8" t="str">
        <f>IF(Table13[[#This Row],[Age]]&lt;25,"18-24",IF(Table13[[#This Row],[Age]]&lt;35,"25-34",IF(Table13[[#This Row],[Age]]&lt;45,"35-44",IF(Table13[[#This Row],[Age]]&lt;55,"45-54","55-64"))))</f>
        <v>25-34</v>
      </c>
      <c r="H913" s="8" t="s">
        <v>19</v>
      </c>
      <c r="I913" s="8">
        <v>82.5</v>
      </c>
      <c r="J913" s="8">
        <v>1.79</v>
      </c>
      <c r="K913" s="8">
        <v>190</v>
      </c>
      <c r="L913" s="8">
        <v>132</v>
      </c>
      <c r="M913" s="8">
        <v>69</v>
      </c>
      <c r="N913" s="8">
        <v>0.9</v>
      </c>
      <c r="O913" s="8">
        <v>664</v>
      </c>
      <c r="P913" s="8" t="s">
        <v>22</v>
      </c>
      <c r="Q913" s="8" t="str">
        <f>_xlfn.IFS(AND(Table13[[#This Row],[Gender]]="female",R913&lt;20),"Athletes",AND(Table13[[#This Row],[Gender]]="female",R913&lt;24),"Fitnesss",AND(Table13[[#This Row],[Gender]]="female",R913&lt;31),"Acceptable",AND(Table13[[#This Row],[Gender]]="female",R913&lt;40),"Obese",AND(Table13[[#This Row],[Gender]]="male",R913&lt;13),"Athletes",AND(Table13[[#This Row],[Gender]]="male",R913&lt;17),"Fitnesss",AND(Table13[[#This Row],[Gender]]="male",R913&lt;24.9),"Acceptable",AND(Table13[[#This Row],[Gender]]="male",R913&lt;40),"Obese",AND(Table13[[#This Row],[Gender]]="others",R913&lt;20),"Athletes",AND(Table13[[#This Row],[Gender]]="others",R913&lt;24),"Fitnesss",AND(Table13[[#This Row],[Gender]]="others",R913&lt;31),"Acceptable",AND(Table13[[#This Row],[Gender]]="others",R913&lt;40),"Obese")</f>
        <v>Athletes</v>
      </c>
      <c r="R913" s="8">
        <v>10</v>
      </c>
      <c r="S913" s="8">
        <v>2.2999999999999998</v>
      </c>
      <c r="T913" s="8">
        <v>2</v>
      </c>
      <c r="U913" s="8">
        <v>1</v>
      </c>
      <c r="V913" s="8" t="str">
        <f>IF(Table13[[#This Row],[BMI]]&lt;=18.5,"Underweight",IF(Table13[[#This Row],[BMI]]&lt;=24.9,"Normal",IF(Table13[[#This Row],[BMI]]&lt;=29.9,"Overweight",IF(Table13[[#This Row],[BMI]]&lt;=39,"Obese","Severly Obese"))))</f>
        <v>Obese</v>
      </c>
      <c r="W913" s="18">
        <v>34.85</v>
      </c>
    </row>
    <row r="914" spans="6:23" x14ac:dyDescent="0.3">
      <c r="F914" s="17">
        <v>19</v>
      </c>
      <c r="G914" s="8" t="str">
        <f>IF(Table13[[#This Row],[Age]]&lt;25,"18-24",IF(Table13[[#This Row],[Age]]&lt;35,"25-34",IF(Table13[[#This Row],[Age]]&lt;45,"35-44",IF(Table13[[#This Row],[Age]]&lt;55,"45-54","55-64"))))</f>
        <v>18-24</v>
      </c>
      <c r="H914" s="8" t="s">
        <v>19</v>
      </c>
      <c r="I914" s="8">
        <v>40</v>
      </c>
      <c r="J914" s="8">
        <v>1.84</v>
      </c>
      <c r="K914" s="8">
        <v>199</v>
      </c>
      <c r="L914" s="8">
        <v>123</v>
      </c>
      <c r="M914" s="8">
        <v>74</v>
      </c>
      <c r="N914" s="8">
        <v>1.34</v>
      </c>
      <c r="O914" s="8">
        <v>904</v>
      </c>
      <c r="P914" s="8" t="s">
        <v>23</v>
      </c>
      <c r="Q914" s="8" t="str">
        <f>_xlfn.IFS(AND(Table13[[#This Row],[Gender]]="female",R914&lt;20),"Athletes",AND(Table13[[#This Row],[Gender]]="female",R914&lt;24),"Fitnesss",AND(Table13[[#This Row],[Gender]]="female",R914&lt;31),"Acceptable",AND(Table13[[#This Row],[Gender]]="female",R914&lt;40),"Obese",AND(Table13[[#This Row],[Gender]]="male",R914&lt;13),"Athletes",AND(Table13[[#This Row],[Gender]]="male",R914&lt;17),"Fitnesss",AND(Table13[[#This Row],[Gender]]="male",R914&lt;24.9),"Acceptable",AND(Table13[[#This Row],[Gender]]="male",R914&lt;40),"Obese",AND(Table13[[#This Row],[Gender]]="others",R914&lt;20),"Athletes",AND(Table13[[#This Row],[Gender]]="others",R914&lt;24),"Fitnesss",AND(Table13[[#This Row],[Gender]]="others",R914&lt;31),"Acceptable",AND(Table13[[#This Row],[Gender]]="others",R914&lt;40),"Obese")</f>
        <v>Obese</v>
      </c>
      <c r="R914" s="8">
        <v>30.2</v>
      </c>
      <c r="S914" s="8">
        <v>3.1</v>
      </c>
      <c r="T914" s="8">
        <v>3</v>
      </c>
      <c r="U914" s="8">
        <v>1</v>
      </c>
      <c r="V914" s="8" t="str">
        <f>IF(Table13[[#This Row],[BMI]]&lt;=18.5,"Underweight",IF(Table13[[#This Row],[BMI]]&lt;=24.9,"Normal",IF(Table13[[#This Row],[BMI]]&lt;=29.9,"Overweight",IF(Table13[[#This Row],[BMI]]&lt;=39,"Obese","Severly Obese"))))</f>
        <v>Underweight</v>
      </c>
      <c r="W914" s="18">
        <v>16.34</v>
      </c>
    </row>
    <row r="915" spans="6:23" x14ac:dyDescent="0.3">
      <c r="F915" s="17">
        <v>20</v>
      </c>
      <c r="G915" s="8" t="str">
        <f>IF(Table13[[#This Row],[Age]]&lt;25,"18-24",IF(Table13[[#This Row],[Age]]&lt;35,"25-34",IF(Table13[[#This Row],[Age]]&lt;45,"35-44",IF(Table13[[#This Row],[Age]]&lt;55,"45-54","55-64"))))</f>
        <v>18-24</v>
      </c>
      <c r="H915" s="8" t="s">
        <v>17</v>
      </c>
      <c r="I915" s="8">
        <v>73</v>
      </c>
      <c r="J915" s="8">
        <v>1.59</v>
      </c>
      <c r="K915" s="8">
        <v>175</v>
      </c>
      <c r="L915" s="8">
        <v>165</v>
      </c>
      <c r="M915" s="8">
        <v>70</v>
      </c>
      <c r="N915" s="8">
        <v>0.96</v>
      </c>
      <c r="O915" s="8">
        <v>869</v>
      </c>
      <c r="P915" s="8" t="s">
        <v>23</v>
      </c>
      <c r="Q915" s="8" t="str">
        <f>_xlfn.IFS(AND(Table13[[#This Row],[Gender]]="female",R915&lt;20),"Athletes",AND(Table13[[#This Row],[Gender]]="female",R915&lt;24),"Fitnesss",AND(Table13[[#This Row],[Gender]]="female",R915&lt;31),"Acceptable",AND(Table13[[#This Row],[Gender]]="female",R915&lt;40),"Obese",AND(Table13[[#This Row],[Gender]]="male",R915&lt;13),"Athletes",AND(Table13[[#This Row],[Gender]]="male",R915&lt;17),"Fitnesss",AND(Table13[[#This Row],[Gender]]="male",R915&lt;24.9),"Acceptable",AND(Table13[[#This Row],[Gender]]="male",R915&lt;40),"Obese",AND(Table13[[#This Row],[Gender]]="others",R915&lt;20),"Athletes",AND(Table13[[#This Row],[Gender]]="others",R915&lt;24),"Fitnesss",AND(Table13[[#This Row],[Gender]]="others",R915&lt;31),"Acceptable",AND(Table13[[#This Row],[Gender]]="others",R915&lt;40),"Obese")</f>
        <v>Acceptable</v>
      </c>
      <c r="R915" s="8">
        <v>30.1</v>
      </c>
      <c r="S915" s="8">
        <v>3</v>
      </c>
      <c r="T915" s="8">
        <v>5</v>
      </c>
      <c r="U915" s="8">
        <v>1</v>
      </c>
      <c r="V915" s="8" t="str">
        <f>IF(Table13[[#This Row],[BMI]]&lt;=18.5,"Underweight",IF(Table13[[#This Row],[BMI]]&lt;=24.9,"Normal",IF(Table13[[#This Row],[BMI]]&lt;=29.9,"Overweight",IF(Table13[[#This Row],[BMI]]&lt;=39,"Obese","Severly Obese"))))</f>
        <v>Underweight</v>
      </c>
      <c r="W915" s="18">
        <v>15.01</v>
      </c>
    </row>
    <row r="916" spans="6:23" x14ac:dyDescent="0.3">
      <c r="F916" s="17">
        <v>23</v>
      </c>
      <c r="G916" s="8" t="str">
        <f>IF(Table13[[#This Row],[Age]]&lt;25,"18-24",IF(Table13[[#This Row],[Age]]&lt;35,"25-34",IF(Table13[[#This Row],[Age]]&lt;45,"35-44",IF(Table13[[#This Row],[Age]]&lt;55,"45-54","55-64"))))</f>
        <v>18-24</v>
      </c>
      <c r="H916" s="8" t="s">
        <v>17</v>
      </c>
      <c r="I916" s="8">
        <v>56.5</v>
      </c>
      <c r="J916" s="8">
        <v>1.97</v>
      </c>
      <c r="K916" s="8">
        <v>169</v>
      </c>
      <c r="L916" s="8">
        <v>151</v>
      </c>
      <c r="M916" s="8">
        <v>56</v>
      </c>
      <c r="N916" s="8">
        <v>2</v>
      </c>
      <c r="O916" s="8">
        <v>1380</v>
      </c>
      <c r="P916" s="8" t="s">
        <v>18</v>
      </c>
      <c r="Q916" s="8" t="str">
        <f>_xlfn.IFS(AND(Table13[[#This Row],[Gender]]="female",R916&lt;20),"Athletes",AND(Table13[[#This Row],[Gender]]="female",R916&lt;24),"Fitnesss",AND(Table13[[#This Row],[Gender]]="female",R916&lt;31),"Acceptable",AND(Table13[[#This Row],[Gender]]="female",R916&lt;40),"Obese",AND(Table13[[#This Row],[Gender]]="male",R916&lt;13),"Athletes",AND(Table13[[#This Row],[Gender]]="male",R916&lt;17),"Fitnesss",AND(Table13[[#This Row],[Gender]]="male",R916&lt;24.9),"Acceptable",AND(Table13[[#This Row],[Gender]]="male",R916&lt;40),"Obese",AND(Table13[[#This Row],[Gender]]="others",R916&lt;20),"Athletes",AND(Table13[[#This Row],[Gender]]="others",R916&lt;24),"Fitnesss",AND(Table13[[#This Row],[Gender]]="others",R916&lt;31),"Acceptable",AND(Table13[[#This Row],[Gender]]="others",R916&lt;40),"Obese")</f>
        <v>Acceptable</v>
      </c>
      <c r="R916" s="8">
        <v>28.6</v>
      </c>
      <c r="S916" s="8">
        <v>2.6</v>
      </c>
      <c r="T916" s="8">
        <v>3</v>
      </c>
      <c r="U916" s="8">
        <v>2</v>
      </c>
      <c r="V916" s="8" t="str">
        <f>IF(Table13[[#This Row],[BMI]]&lt;=18.5,"Underweight",IF(Table13[[#This Row],[BMI]]&lt;=24.9,"Normal",IF(Table13[[#This Row],[BMI]]&lt;=29.9,"Overweight",IF(Table13[[#This Row],[BMI]]&lt;=39,"Obese","Severly Obese"))))</f>
        <v>Underweight</v>
      </c>
      <c r="W916" s="18">
        <v>13.2</v>
      </c>
    </row>
    <row r="917" spans="6:23" x14ac:dyDescent="0.3">
      <c r="F917" s="17">
        <v>33</v>
      </c>
      <c r="G917" s="8" t="str">
        <f>IF(Table13[[#This Row],[Age]]&lt;25,"18-24",IF(Table13[[#This Row],[Age]]&lt;35,"25-34",IF(Table13[[#This Row],[Age]]&lt;45,"35-44",IF(Table13[[#This Row],[Age]]&lt;55,"45-54","55-64"))))</f>
        <v>25-34</v>
      </c>
      <c r="H917" s="8" t="s">
        <v>19</v>
      </c>
      <c r="I917" s="8">
        <v>78.7</v>
      </c>
      <c r="J917" s="8">
        <v>1.61</v>
      </c>
      <c r="K917" s="8">
        <v>193</v>
      </c>
      <c r="L917" s="8">
        <v>137</v>
      </c>
      <c r="M917" s="8">
        <v>55</v>
      </c>
      <c r="N917" s="8">
        <v>0.93</v>
      </c>
      <c r="O917" s="8">
        <v>1668</v>
      </c>
      <c r="P917" s="8" t="s">
        <v>18</v>
      </c>
      <c r="Q917" s="8" t="str">
        <f>_xlfn.IFS(AND(Table13[[#This Row],[Gender]]="female",R917&lt;20),"Athletes",AND(Table13[[#This Row],[Gender]]="female",R917&lt;24),"Fitnesss",AND(Table13[[#This Row],[Gender]]="female",R917&lt;31),"Acceptable",AND(Table13[[#This Row],[Gender]]="female",R917&lt;40),"Obese",AND(Table13[[#This Row],[Gender]]="male",R917&lt;13),"Athletes",AND(Table13[[#This Row],[Gender]]="male",R917&lt;17),"Fitnesss",AND(Table13[[#This Row],[Gender]]="male",R917&lt;24.9),"Acceptable",AND(Table13[[#This Row],[Gender]]="male",R917&lt;40),"Obese",AND(Table13[[#This Row],[Gender]]="others",R917&lt;20),"Athletes",AND(Table13[[#This Row],[Gender]]="others",R917&lt;24),"Fitnesss",AND(Table13[[#This Row],[Gender]]="others",R917&lt;31),"Acceptable",AND(Table13[[#This Row],[Gender]]="others",R917&lt;40),"Obese")</f>
        <v>Acceptable</v>
      </c>
      <c r="R917" s="8">
        <v>24.5</v>
      </c>
      <c r="S917" s="8">
        <v>2.2999999999999998</v>
      </c>
      <c r="T917" s="8"/>
      <c r="U917" s="8">
        <v>2</v>
      </c>
      <c r="V917" s="8" t="str">
        <f>IF(Table13[[#This Row],[BMI]]&lt;=18.5,"Underweight",IF(Table13[[#This Row],[BMI]]&lt;=24.9,"Normal",IF(Table13[[#This Row],[BMI]]&lt;=29.9,"Overweight",IF(Table13[[#This Row],[BMI]]&lt;=39,"Obese","Severly Obese"))))</f>
        <v>Normal</v>
      </c>
      <c r="W917" s="18">
        <v>19.47</v>
      </c>
    </row>
    <row r="918" spans="6:23" x14ac:dyDescent="0.3">
      <c r="F918" s="17">
        <v>27</v>
      </c>
      <c r="G918" s="8" t="str">
        <f>IF(Table13[[#This Row],[Age]]&lt;25,"18-24",IF(Table13[[#This Row],[Age]]&lt;35,"25-34",IF(Table13[[#This Row],[Age]]&lt;45,"35-44",IF(Table13[[#This Row],[Age]]&lt;55,"45-54","55-64"))))</f>
        <v>25-34</v>
      </c>
      <c r="H918" s="8" t="s">
        <v>19</v>
      </c>
      <c r="I918" s="8">
        <v>75.400000000000006</v>
      </c>
      <c r="J918" s="8">
        <v>1.58</v>
      </c>
      <c r="K918" s="8">
        <v>192</v>
      </c>
      <c r="L918" s="8">
        <v>169</v>
      </c>
      <c r="M918" s="8">
        <v>63</v>
      </c>
      <c r="N918" s="8">
        <v>1.3</v>
      </c>
      <c r="O918" s="8">
        <v>1386</v>
      </c>
      <c r="P918" s="8" t="s">
        <v>18</v>
      </c>
      <c r="Q918" s="8" t="str">
        <f>_xlfn.IFS(AND(Table13[[#This Row],[Gender]]="female",R918&lt;20),"Athletes",AND(Table13[[#This Row],[Gender]]="female",R918&lt;24),"Fitnesss",AND(Table13[[#This Row],[Gender]]="female",R918&lt;31),"Acceptable",AND(Table13[[#This Row],[Gender]]="female",R918&lt;40),"Obese",AND(Table13[[#This Row],[Gender]]="male",R918&lt;13),"Athletes",AND(Table13[[#This Row],[Gender]]="male",R918&lt;17),"Fitnesss",AND(Table13[[#This Row],[Gender]]="male",R918&lt;24.9),"Acceptable",AND(Table13[[#This Row],[Gender]]="male",R918&lt;40),"Obese",AND(Table13[[#This Row],[Gender]]="others",R918&lt;20),"Athletes",AND(Table13[[#This Row],[Gender]]="others",R918&lt;24),"Fitnesss",AND(Table13[[#This Row],[Gender]]="others",R918&lt;31),"Acceptable",AND(Table13[[#This Row],[Gender]]="others",R918&lt;40),"Obese")</f>
        <v>Fitnesss</v>
      </c>
      <c r="R918" s="8">
        <v>16.899999999999999</v>
      </c>
      <c r="S918" s="8">
        <v>3.6</v>
      </c>
      <c r="T918" s="8">
        <v>3</v>
      </c>
      <c r="U918" s="8">
        <v>1</v>
      </c>
      <c r="V918" s="8" t="str">
        <f>IF(Table13[[#This Row],[BMI]]&lt;=18.5,"Underweight",IF(Table13[[#This Row],[BMI]]&lt;=24.9,"Normal",IF(Table13[[#This Row],[BMI]]&lt;=29.9,"Overweight",IF(Table13[[#This Row],[BMI]]&lt;=39,"Obese","Severly Obese"))))</f>
        <v>Underweight</v>
      </c>
      <c r="W918" s="18">
        <v>15.63</v>
      </c>
    </row>
    <row r="919" spans="6:23" x14ac:dyDescent="0.3">
      <c r="F919" s="17">
        <v>48</v>
      </c>
      <c r="G919" s="8" t="str">
        <f>IF(Table13[[#This Row],[Age]]&lt;25,"18-24",IF(Table13[[#This Row],[Age]]&lt;35,"25-34",IF(Table13[[#This Row],[Age]]&lt;45,"35-44",IF(Table13[[#This Row],[Age]]&lt;55,"45-54","55-64"))))</f>
        <v>45-54</v>
      </c>
      <c r="H919" s="8" t="s">
        <v>19</v>
      </c>
      <c r="I919" s="8">
        <v>59.6</v>
      </c>
      <c r="J919" s="8">
        <v>1.78</v>
      </c>
      <c r="K919" s="8">
        <v>181</v>
      </c>
      <c r="L919" s="8">
        <v>152</v>
      </c>
      <c r="M919" s="8">
        <v>53</v>
      </c>
      <c r="N919" s="8">
        <v>1.65</v>
      </c>
      <c r="O919" s="8">
        <v>1741</v>
      </c>
      <c r="P919" s="8" t="s">
        <v>18</v>
      </c>
      <c r="Q919" s="8" t="str">
        <f>_xlfn.IFS(AND(Table13[[#This Row],[Gender]]="female",R919&lt;20),"Athletes",AND(Table13[[#This Row],[Gender]]="female",R919&lt;24),"Fitnesss",AND(Table13[[#This Row],[Gender]]="female",R919&lt;31),"Acceptable",AND(Table13[[#This Row],[Gender]]="female",R919&lt;40),"Obese",AND(Table13[[#This Row],[Gender]]="male",R919&lt;13),"Athletes",AND(Table13[[#This Row],[Gender]]="male",R919&lt;17),"Fitnesss",AND(Table13[[#This Row],[Gender]]="male",R919&lt;24.9),"Acceptable",AND(Table13[[#This Row],[Gender]]="male",R919&lt;40),"Obese",AND(Table13[[#This Row],[Gender]]="others",R919&lt;20),"Athletes",AND(Table13[[#This Row],[Gender]]="others",R919&lt;24),"Fitnesss",AND(Table13[[#This Row],[Gender]]="others",R919&lt;31),"Acceptable",AND(Table13[[#This Row],[Gender]]="others",R919&lt;40),"Obese")</f>
        <v>Acceptable</v>
      </c>
      <c r="R919" s="8">
        <v>23.2</v>
      </c>
      <c r="S919" s="8">
        <v>3.3</v>
      </c>
      <c r="T919" s="8">
        <v>4</v>
      </c>
      <c r="U919" s="8">
        <v>1</v>
      </c>
      <c r="V919" s="8" t="str">
        <f>IF(Table13[[#This Row],[BMI]]&lt;=18.5,"Underweight",IF(Table13[[#This Row],[BMI]]&lt;=24.9,"Normal",IF(Table13[[#This Row],[BMI]]&lt;=29.9,"Overweight",IF(Table13[[#This Row],[BMI]]&lt;=39,"Obese","Severly Obese"))))</f>
        <v>Underweight</v>
      </c>
      <c r="W919" s="18">
        <v>12.32</v>
      </c>
    </row>
    <row r="920" spans="6:23" x14ac:dyDescent="0.3">
      <c r="F920" s="17">
        <v>29</v>
      </c>
      <c r="G920" s="8" t="str">
        <f>IF(Table13[[#This Row],[Age]]&lt;25,"18-24",IF(Table13[[#This Row],[Age]]&lt;35,"25-34",IF(Table13[[#This Row],[Age]]&lt;45,"35-44",IF(Table13[[#This Row],[Age]]&lt;55,"45-54","55-64"))))</f>
        <v>25-34</v>
      </c>
      <c r="H920" s="8" t="s">
        <v>17</v>
      </c>
      <c r="I920" s="8">
        <v>57.2</v>
      </c>
      <c r="J920" s="8">
        <v>1.84</v>
      </c>
      <c r="K920" s="8">
        <v>168</v>
      </c>
      <c r="L920" s="8">
        <v>141</v>
      </c>
      <c r="M920" s="8">
        <v>74</v>
      </c>
      <c r="N920" s="8">
        <v>1.56</v>
      </c>
      <c r="O920" s="8">
        <v>303</v>
      </c>
      <c r="P920" s="8" t="s">
        <v>22</v>
      </c>
      <c r="Q920" s="8" t="str">
        <f>_xlfn.IFS(AND(Table13[[#This Row],[Gender]]="female",R920&lt;20),"Athletes",AND(Table13[[#This Row],[Gender]]="female",R920&lt;24),"Fitnesss",AND(Table13[[#This Row],[Gender]]="female",R920&lt;31),"Acceptable",AND(Table13[[#This Row],[Gender]]="female",R920&lt;40),"Obese",AND(Table13[[#This Row],[Gender]]="male",R920&lt;13),"Athletes",AND(Table13[[#This Row],[Gender]]="male",R920&lt;17),"Fitnesss",AND(Table13[[#This Row],[Gender]]="male",R920&lt;24.9),"Acceptable",AND(Table13[[#This Row],[Gender]]="male",R920&lt;40),"Obese",AND(Table13[[#This Row],[Gender]]="others",R920&lt;20),"Athletes",AND(Table13[[#This Row],[Gender]]="others",R920&lt;24),"Fitnesss",AND(Table13[[#This Row],[Gender]]="others",R920&lt;31),"Acceptable",AND(Table13[[#This Row],[Gender]]="others",R920&lt;40),"Obese")</f>
        <v>Athletes</v>
      </c>
      <c r="R920" s="8">
        <v>16.8</v>
      </c>
      <c r="S920" s="8">
        <v>2.4</v>
      </c>
      <c r="T920" s="8">
        <v>5</v>
      </c>
      <c r="U920" s="8">
        <v>3</v>
      </c>
      <c r="V920" s="8" t="str">
        <f>IF(Table13[[#This Row],[BMI]]&lt;=18.5,"Underweight",IF(Table13[[#This Row],[BMI]]&lt;=24.9,"Normal",IF(Table13[[#This Row],[BMI]]&lt;=29.9,"Overweight",IF(Table13[[#This Row],[BMI]]&lt;=39,"Obese","Severly Obese"))))</f>
        <v>Overweight</v>
      </c>
      <c r="W920" s="18">
        <v>29.68</v>
      </c>
    </row>
    <row r="921" spans="6:23" x14ac:dyDescent="0.3">
      <c r="F921" s="17">
        <v>39</v>
      </c>
      <c r="G921" s="8" t="str">
        <f>IF(Table13[[#This Row],[Age]]&lt;25,"18-24",IF(Table13[[#This Row],[Age]]&lt;35,"25-34",IF(Table13[[#This Row],[Age]]&lt;45,"35-44",IF(Table13[[#This Row],[Age]]&lt;55,"45-54","55-64"))))</f>
        <v>35-44</v>
      </c>
      <c r="H921" s="8" t="s">
        <v>17</v>
      </c>
      <c r="I921" s="8">
        <v>74.3</v>
      </c>
      <c r="J921" s="8">
        <v>1.63</v>
      </c>
      <c r="K921" s="8">
        <v>178</v>
      </c>
      <c r="L921" s="8">
        <v>169</v>
      </c>
      <c r="M921" s="8">
        <v>57</v>
      </c>
      <c r="N921" s="8">
        <v>1.35</v>
      </c>
      <c r="O921" s="8">
        <v>1376</v>
      </c>
      <c r="P921" s="8" t="s">
        <v>22</v>
      </c>
      <c r="Q921" s="8" t="str">
        <f>_xlfn.IFS(AND(Table13[[#This Row],[Gender]]="female",R921&lt;20),"Athletes",AND(Table13[[#This Row],[Gender]]="female",R921&lt;24),"Fitnesss",AND(Table13[[#This Row],[Gender]]="female",R921&lt;31),"Acceptable",AND(Table13[[#This Row],[Gender]]="female",R921&lt;40),"Obese",AND(Table13[[#This Row],[Gender]]="male",R921&lt;13),"Athletes",AND(Table13[[#This Row],[Gender]]="male",R921&lt;17),"Fitnesss",AND(Table13[[#This Row],[Gender]]="male",R921&lt;24.9),"Acceptable",AND(Table13[[#This Row],[Gender]]="male",R921&lt;40),"Obese",AND(Table13[[#This Row],[Gender]]="others",R921&lt;20),"Athletes",AND(Table13[[#This Row],[Gender]]="others",R921&lt;24),"Fitnesss",AND(Table13[[#This Row],[Gender]]="others",R921&lt;31),"Acceptable",AND(Table13[[#This Row],[Gender]]="others",R921&lt;40),"Obese")</f>
        <v>Acceptable</v>
      </c>
      <c r="R921" s="8">
        <v>25.9</v>
      </c>
      <c r="S921" s="8">
        <v>3.2</v>
      </c>
      <c r="T921" s="8">
        <v>3</v>
      </c>
      <c r="U921" s="8">
        <v>3</v>
      </c>
      <c r="V921" s="8" t="str">
        <f>IF(Table13[[#This Row],[BMI]]&lt;=18.5,"Underweight",IF(Table13[[#This Row],[BMI]]&lt;=24.9,"Normal",IF(Table13[[#This Row],[BMI]]&lt;=29.9,"Overweight",IF(Table13[[#This Row],[BMI]]&lt;=39,"Obese","Severly Obese"))))</f>
        <v>Normal</v>
      </c>
      <c r="W921" s="18">
        <v>20.29</v>
      </c>
    </row>
    <row r="922" spans="6:23" x14ac:dyDescent="0.3">
      <c r="F922" s="17">
        <v>46</v>
      </c>
      <c r="G922" s="8" t="str">
        <f>IF(Table13[[#This Row],[Age]]&lt;25,"18-24",IF(Table13[[#This Row],[Age]]&lt;35,"25-34",IF(Table13[[#This Row],[Age]]&lt;45,"35-44",IF(Table13[[#This Row],[Age]]&lt;55,"45-54","55-64"))))</f>
        <v>45-54</v>
      </c>
      <c r="H922" s="8" t="s">
        <v>19</v>
      </c>
      <c r="I922" s="8">
        <v>64.400000000000006</v>
      </c>
      <c r="J922" s="8">
        <v>1.82</v>
      </c>
      <c r="K922" s="8">
        <v>186</v>
      </c>
      <c r="L922" s="8">
        <v>121</v>
      </c>
      <c r="M922" s="8">
        <v>72</v>
      </c>
      <c r="N922" s="8">
        <v>1.96</v>
      </c>
      <c r="O922" s="8">
        <v>582</v>
      </c>
      <c r="P922" s="8" t="s">
        <v>20</v>
      </c>
      <c r="Q922" s="8" t="str">
        <f>_xlfn.IFS(AND(Table13[[#This Row],[Gender]]="female",R922&lt;20),"Athletes",AND(Table13[[#This Row],[Gender]]="female",R922&lt;24),"Fitnesss",AND(Table13[[#This Row],[Gender]]="female",R922&lt;31),"Acceptable",AND(Table13[[#This Row],[Gender]]="female",R922&lt;40),"Obese",AND(Table13[[#This Row],[Gender]]="male",R922&lt;13),"Athletes",AND(Table13[[#This Row],[Gender]]="male",R922&lt;17),"Fitnesss",AND(Table13[[#This Row],[Gender]]="male",R922&lt;24.9),"Acceptable",AND(Table13[[#This Row],[Gender]]="male",R922&lt;40),"Obese",AND(Table13[[#This Row],[Gender]]="others",R922&lt;20),"Athletes",AND(Table13[[#This Row],[Gender]]="others",R922&lt;24),"Fitnesss",AND(Table13[[#This Row],[Gender]]="others",R922&lt;31),"Acceptable",AND(Table13[[#This Row],[Gender]]="others",R922&lt;40),"Obese")</f>
        <v>Obese</v>
      </c>
      <c r="R922" s="8">
        <v>26.2</v>
      </c>
      <c r="S922" s="8"/>
      <c r="T922" s="8">
        <v>3</v>
      </c>
      <c r="U922" s="8">
        <v>3</v>
      </c>
      <c r="V922" s="8" t="str">
        <f>IF(Table13[[#This Row],[BMI]]&lt;=18.5,"Underweight",IF(Table13[[#This Row],[BMI]]&lt;=24.9,"Normal",IF(Table13[[#This Row],[BMI]]&lt;=29.9,"Overweight",IF(Table13[[#This Row],[BMI]]&lt;=39,"Obese","Severly Obese"))))</f>
        <v>Overweight</v>
      </c>
      <c r="W922" s="18">
        <v>28.07</v>
      </c>
    </row>
    <row r="923" spans="6:23" x14ac:dyDescent="0.3">
      <c r="F923" s="17">
        <v>42</v>
      </c>
      <c r="G923" s="8" t="str">
        <f>IF(Table13[[#This Row],[Age]]&lt;25,"18-24",IF(Table13[[#This Row],[Age]]&lt;35,"25-34",IF(Table13[[#This Row],[Age]]&lt;45,"35-44",IF(Table13[[#This Row],[Age]]&lt;55,"45-54","55-64"))))</f>
        <v>35-44</v>
      </c>
      <c r="H923" s="8" t="s">
        <v>19</v>
      </c>
      <c r="I923" s="8"/>
      <c r="J923" s="8"/>
      <c r="K923" s="8">
        <v>182</v>
      </c>
      <c r="L923" s="8">
        <v>140</v>
      </c>
      <c r="M923" s="8">
        <v>60</v>
      </c>
      <c r="N923" s="8">
        <v>2</v>
      </c>
      <c r="O923" s="8">
        <v>786</v>
      </c>
      <c r="P923" s="8" t="s">
        <v>21</v>
      </c>
      <c r="Q923" s="8" t="str">
        <f>_xlfn.IFS(AND(Table13[[#This Row],[Gender]]="female",R923&lt;20),"Athletes",AND(Table13[[#This Row],[Gender]]="female",R923&lt;24),"Fitnesss",AND(Table13[[#This Row],[Gender]]="female",R923&lt;31),"Acceptable",AND(Table13[[#This Row],[Gender]]="female",R923&lt;40),"Obese",AND(Table13[[#This Row],[Gender]]="male",R923&lt;13),"Athletes",AND(Table13[[#This Row],[Gender]]="male",R923&lt;17),"Fitnesss",AND(Table13[[#This Row],[Gender]]="male",R923&lt;24.9),"Acceptable",AND(Table13[[#This Row],[Gender]]="male",R923&lt;40),"Obese",AND(Table13[[#This Row],[Gender]]="others",R923&lt;20),"Athletes",AND(Table13[[#This Row],[Gender]]="others",R923&lt;24),"Fitnesss",AND(Table13[[#This Row],[Gender]]="others",R923&lt;31),"Acceptable",AND(Table13[[#This Row],[Gender]]="others",R923&lt;40),"Obese")</f>
        <v>Obese</v>
      </c>
      <c r="R923" s="8">
        <v>27.5</v>
      </c>
      <c r="S923" s="8">
        <v>1.5</v>
      </c>
      <c r="T923" s="8">
        <v>2</v>
      </c>
      <c r="U923" s="8">
        <v>1</v>
      </c>
      <c r="V923" s="8" t="str">
        <f>IF(Table13[[#This Row],[BMI]]&lt;=18.5,"Underweight",IF(Table13[[#This Row],[BMI]]&lt;=24.9,"Normal",IF(Table13[[#This Row],[BMI]]&lt;=29.9,"Overweight",IF(Table13[[#This Row],[BMI]]&lt;=39,"Obese","Severly Obese"))))</f>
        <v>Normal</v>
      </c>
      <c r="W923" s="18">
        <v>22.4</v>
      </c>
    </row>
    <row r="924" spans="6:23" x14ac:dyDescent="0.3">
      <c r="F924" s="17">
        <v>54</v>
      </c>
      <c r="G924" s="8" t="str">
        <f>IF(Table13[[#This Row],[Age]]&lt;25,"18-24",IF(Table13[[#This Row],[Age]]&lt;35,"25-34",IF(Table13[[#This Row],[Age]]&lt;45,"35-44",IF(Table13[[#This Row],[Age]]&lt;55,"45-54","55-64"))))</f>
        <v>45-54</v>
      </c>
      <c r="H924" s="8" t="s">
        <v>19</v>
      </c>
      <c r="I924" s="8">
        <v>63.8</v>
      </c>
      <c r="J924" s="8">
        <v>1.92</v>
      </c>
      <c r="K924" s="8">
        <v>188</v>
      </c>
      <c r="L924" s="8">
        <v>131</v>
      </c>
      <c r="M924" s="8">
        <v>57</v>
      </c>
      <c r="N924" s="8">
        <v>0.98</v>
      </c>
      <c r="O924" s="8">
        <v>1117</v>
      </c>
      <c r="P924" s="8" t="s">
        <v>21</v>
      </c>
      <c r="Q924" s="8" t="str">
        <f>_xlfn.IFS(AND(Table13[[#This Row],[Gender]]="female",R924&lt;20),"Athletes",AND(Table13[[#This Row],[Gender]]="female",R924&lt;24),"Fitnesss",AND(Table13[[#This Row],[Gender]]="female",R924&lt;31),"Acceptable",AND(Table13[[#This Row],[Gender]]="female",R924&lt;40),"Obese",AND(Table13[[#This Row],[Gender]]="male",R924&lt;13),"Athletes",AND(Table13[[#This Row],[Gender]]="male",R924&lt;17),"Fitnesss",AND(Table13[[#This Row],[Gender]]="male",R924&lt;24.9),"Acceptable",AND(Table13[[#This Row],[Gender]]="male",R924&lt;40),"Obese",AND(Table13[[#This Row],[Gender]]="others",R924&lt;20),"Athletes",AND(Table13[[#This Row],[Gender]]="others",R924&lt;24),"Fitnesss",AND(Table13[[#This Row],[Gender]]="others",R924&lt;31),"Acceptable",AND(Table13[[#This Row],[Gender]]="others",R924&lt;40),"Obese")</f>
        <v>Acceptable</v>
      </c>
      <c r="R924" s="8">
        <v>20.7</v>
      </c>
      <c r="S924" s="8">
        <v>1.6</v>
      </c>
      <c r="T924" s="8">
        <v>5</v>
      </c>
      <c r="U924" s="8">
        <v>2</v>
      </c>
      <c r="V924" s="8" t="str">
        <f>IF(Table13[[#This Row],[BMI]]&lt;=18.5,"Underweight",IF(Table13[[#This Row],[BMI]]&lt;=24.9,"Normal",IF(Table13[[#This Row],[BMI]]&lt;=29.9,"Overweight",IF(Table13[[#This Row],[BMI]]&lt;=39,"Obese","Severly Obese"))))</f>
        <v>Overweight</v>
      </c>
      <c r="W924" s="18">
        <v>26.75</v>
      </c>
    </row>
    <row r="925" spans="6:23" x14ac:dyDescent="0.3">
      <c r="F925" s="17">
        <v>21</v>
      </c>
      <c r="G925" s="8" t="str">
        <f>IF(Table13[[#This Row],[Age]]&lt;25,"18-24",IF(Table13[[#This Row],[Age]]&lt;35,"25-34",IF(Table13[[#This Row],[Age]]&lt;45,"35-44",IF(Table13[[#This Row],[Age]]&lt;55,"45-54","55-64"))))</f>
        <v>18-24</v>
      </c>
      <c r="H925" s="8" t="s">
        <v>17</v>
      </c>
      <c r="I925" s="8">
        <v>45.1</v>
      </c>
      <c r="J925" s="8">
        <v>1.87</v>
      </c>
      <c r="K925" s="8">
        <v>192</v>
      </c>
      <c r="L925" s="8">
        <v>138</v>
      </c>
      <c r="M925" s="8">
        <v>69</v>
      </c>
      <c r="N925" s="8">
        <v>1.89</v>
      </c>
      <c r="O925" s="8">
        <v>1071</v>
      </c>
      <c r="P925" s="8" t="s">
        <v>23</v>
      </c>
      <c r="Q925" s="8" t="str">
        <f>_xlfn.IFS(AND(Table13[[#This Row],[Gender]]="female",R925&lt;20),"Athletes",AND(Table13[[#This Row],[Gender]]="female",R925&lt;24),"Fitnesss",AND(Table13[[#This Row],[Gender]]="female",R925&lt;31),"Acceptable",AND(Table13[[#This Row],[Gender]]="female",R925&lt;40),"Obese",AND(Table13[[#This Row],[Gender]]="male",R925&lt;13),"Athletes",AND(Table13[[#This Row],[Gender]]="male",R925&lt;17),"Fitnesss",AND(Table13[[#This Row],[Gender]]="male",R925&lt;24.9),"Acceptable",AND(Table13[[#This Row],[Gender]]="male",R925&lt;40),"Obese",AND(Table13[[#This Row],[Gender]]="others",R925&lt;20),"Athletes",AND(Table13[[#This Row],[Gender]]="others",R925&lt;24),"Fitnesss",AND(Table13[[#This Row],[Gender]]="others",R925&lt;31),"Acceptable",AND(Table13[[#This Row],[Gender]]="others",R925&lt;40),"Obese")</f>
        <v>Acceptable</v>
      </c>
      <c r="R925" s="8">
        <v>25.8</v>
      </c>
      <c r="S925" s="8">
        <v>2.2999999999999998</v>
      </c>
      <c r="T925" s="8">
        <v>5</v>
      </c>
      <c r="U925" s="8">
        <v>2</v>
      </c>
      <c r="V925" s="8" t="str">
        <f>IF(Table13[[#This Row],[BMI]]&lt;=18.5,"Underweight",IF(Table13[[#This Row],[BMI]]&lt;=24.9,"Normal",IF(Table13[[#This Row],[BMI]]&lt;=29.9,"Overweight",IF(Table13[[#This Row],[BMI]]&lt;=39,"Obese","Severly Obese"))))</f>
        <v>Normal</v>
      </c>
      <c r="W925" s="18">
        <v>19.64</v>
      </c>
    </row>
    <row r="926" spans="6:23" x14ac:dyDescent="0.3">
      <c r="F926" s="17">
        <v>27</v>
      </c>
      <c r="G926" s="8" t="str">
        <f>IF(Table13[[#This Row],[Age]]&lt;25,"18-24",IF(Table13[[#This Row],[Age]]&lt;35,"25-34",IF(Table13[[#This Row],[Age]]&lt;45,"35-44",IF(Table13[[#This Row],[Age]]&lt;55,"45-54","55-64"))))</f>
        <v>25-34</v>
      </c>
      <c r="H926" s="8" t="s">
        <v>19</v>
      </c>
      <c r="I926" s="8">
        <v>63.7</v>
      </c>
      <c r="J926" s="8">
        <v>1.86</v>
      </c>
      <c r="K926" s="8">
        <v>183</v>
      </c>
      <c r="L926" s="8"/>
      <c r="M926" s="8">
        <v>70</v>
      </c>
      <c r="N926" s="8">
        <v>0.91</v>
      </c>
      <c r="O926" s="8">
        <v>759</v>
      </c>
      <c r="P926" s="8" t="s">
        <v>18</v>
      </c>
      <c r="Q926" s="8" t="str">
        <f>_xlfn.IFS(AND(Table13[[#This Row],[Gender]]="female",R926&lt;20),"Athletes",AND(Table13[[#This Row],[Gender]]="female",R926&lt;24),"Fitnesss",AND(Table13[[#This Row],[Gender]]="female",R926&lt;31),"Acceptable",AND(Table13[[#This Row],[Gender]]="female",R926&lt;40),"Obese",AND(Table13[[#This Row],[Gender]]="male",R926&lt;13),"Athletes",AND(Table13[[#This Row],[Gender]]="male",R926&lt;17),"Fitnesss",AND(Table13[[#This Row],[Gender]]="male",R926&lt;24.9),"Acceptable",AND(Table13[[#This Row],[Gender]]="male",R926&lt;40),"Obese",AND(Table13[[#This Row],[Gender]]="others",R926&lt;20),"Athletes",AND(Table13[[#This Row],[Gender]]="others",R926&lt;24),"Fitnesss",AND(Table13[[#This Row],[Gender]]="others",R926&lt;31),"Acceptable",AND(Table13[[#This Row],[Gender]]="others",R926&lt;40),"Obese")</f>
        <v>Acceptable</v>
      </c>
      <c r="R926" s="8">
        <v>24.5</v>
      </c>
      <c r="S926" s="8">
        <v>3.5</v>
      </c>
      <c r="T926" s="8">
        <v>3</v>
      </c>
      <c r="U926" s="8">
        <v>3</v>
      </c>
      <c r="V926" s="8" t="str">
        <f>IF(Table13[[#This Row],[BMI]]&lt;=18.5,"Underweight",IF(Table13[[#This Row],[BMI]]&lt;=24.9,"Normal",IF(Table13[[#This Row],[BMI]]&lt;=29.9,"Overweight",IF(Table13[[#This Row],[BMI]]&lt;=39,"Obese","Severly Obese"))))</f>
        <v>Normal</v>
      </c>
      <c r="W926" s="18">
        <v>18.88</v>
      </c>
    </row>
    <row r="927" spans="6:23" x14ac:dyDescent="0.3">
      <c r="F927" s="17">
        <v>30</v>
      </c>
      <c r="G927" s="8" t="str">
        <f>IF(Table13[[#This Row],[Age]]&lt;25,"18-24",IF(Table13[[#This Row],[Age]]&lt;35,"25-34",IF(Table13[[#This Row],[Age]]&lt;45,"35-44",IF(Table13[[#This Row],[Age]]&lt;55,"45-54","55-64"))))</f>
        <v>25-34</v>
      </c>
      <c r="H927" s="8" t="s">
        <v>17</v>
      </c>
      <c r="I927" s="8"/>
      <c r="J927" s="8">
        <v>1.81</v>
      </c>
      <c r="K927" s="8">
        <v>179</v>
      </c>
      <c r="L927" s="8">
        <v>144</v>
      </c>
      <c r="M927" s="8">
        <v>50</v>
      </c>
      <c r="N927" s="8">
        <v>1.52</v>
      </c>
      <c r="O927" s="8">
        <v>1144</v>
      </c>
      <c r="P927" s="8" t="s">
        <v>21</v>
      </c>
      <c r="Q927" s="8" t="str">
        <f>_xlfn.IFS(AND(Table13[[#This Row],[Gender]]="female",R927&lt;20),"Athletes",AND(Table13[[#This Row],[Gender]]="female",R927&lt;24),"Fitnesss",AND(Table13[[#This Row],[Gender]]="female",R927&lt;31),"Acceptable",AND(Table13[[#This Row],[Gender]]="female",R927&lt;40),"Obese",AND(Table13[[#This Row],[Gender]]="male",R927&lt;13),"Athletes",AND(Table13[[#This Row],[Gender]]="male",R927&lt;17),"Fitnesss",AND(Table13[[#This Row],[Gender]]="male",R927&lt;24.9),"Acceptable",AND(Table13[[#This Row],[Gender]]="male",R927&lt;40),"Obese",AND(Table13[[#This Row],[Gender]]="others",R927&lt;20),"Athletes",AND(Table13[[#This Row],[Gender]]="others",R927&lt;24),"Fitnesss",AND(Table13[[#This Row],[Gender]]="others",R927&lt;31),"Acceptable",AND(Table13[[#This Row],[Gender]]="others",R927&lt;40),"Obese")</f>
        <v>Fitnesss</v>
      </c>
      <c r="R927" s="8">
        <v>22</v>
      </c>
      <c r="S927" s="8">
        <v>1.5</v>
      </c>
      <c r="T927" s="8">
        <v>2</v>
      </c>
      <c r="U927" s="8">
        <v>2</v>
      </c>
      <c r="V927" s="8" t="str">
        <f>IF(Table13[[#This Row],[BMI]]&lt;=18.5,"Underweight",IF(Table13[[#This Row],[BMI]]&lt;=24.9,"Normal",IF(Table13[[#This Row],[BMI]]&lt;=29.9,"Overweight",IF(Table13[[#This Row],[BMI]]&lt;=39,"Obese","Severly Obese"))))</f>
        <v>Underweight</v>
      </c>
      <c r="W927" s="18">
        <v>14.43</v>
      </c>
    </row>
    <row r="928" spans="6:23" x14ac:dyDescent="0.3">
      <c r="F928" s="17">
        <v>58</v>
      </c>
      <c r="G928" s="8" t="str">
        <f>IF(Table13[[#This Row],[Age]]&lt;25,"18-24",IF(Table13[[#This Row],[Age]]&lt;35,"25-34",IF(Table13[[#This Row],[Age]]&lt;45,"35-44",IF(Table13[[#This Row],[Age]]&lt;55,"45-54","55-64"))))</f>
        <v>55-64</v>
      </c>
      <c r="H928" s="8" t="s">
        <v>23</v>
      </c>
      <c r="I928" s="8">
        <v>59</v>
      </c>
      <c r="J928" s="8">
        <v>1.78</v>
      </c>
      <c r="K928" s="8">
        <v>166</v>
      </c>
      <c r="L928" s="8">
        <v>144</v>
      </c>
      <c r="M928" s="8">
        <v>74</v>
      </c>
      <c r="N928" s="8">
        <v>1.47</v>
      </c>
      <c r="O928" s="8">
        <v>1152</v>
      </c>
      <c r="P928" s="8" t="s">
        <v>18</v>
      </c>
      <c r="Q928" s="8" t="str">
        <f>_xlfn.IFS(AND(Table13[[#This Row],[Gender]]="female",R928&lt;20),"Athletes",AND(Table13[[#This Row],[Gender]]="female",R928&lt;24),"Fitnesss",AND(Table13[[#This Row],[Gender]]="female",R928&lt;31),"Acceptable",AND(Table13[[#This Row],[Gender]]="female",R928&lt;40),"Obese",AND(Table13[[#This Row],[Gender]]="male",R928&lt;13),"Athletes",AND(Table13[[#This Row],[Gender]]="male",R928&lt;17),"Fitnesss",AND(Table13[[#This Row],[Gender]]="male",R928&lt;24.9),"Acceptable",AND(Table13[[#This Row],[Gender]]="male",R928&lt;40),"Obese",AND(Table13[[#This Row],[Gender]]="others",R928&lt;20),"Athletes",AND(Table13[[#This Row],[Gender]]="others",R928&lt;24),"Fitnesss",AND(Table13[[#This Row],[Gender]]="others",R928&lt;31),"Acceptable",AND(Table13[[#This Row],[Gender]]="others",R928&lt;40),"Obese")</f>
        <v>Acceptable</v>
      </c>
      <c r="R928" s="8">
        <v>28.9</v>
      </c>
      <c r="S928" s="8">
        <v>3.4</v>
      </c>
      <c r="T928" s="8">
        <v>5</v>
      </c>
      <c r="U928" s="8">
        <v>2</v>
      </c>
      <c r="V928" s="8" t="str">
        <f>IF(Table13[[#This Row],[BMI]]&lt;=18.5,"Underweight",IF(Table13[[#This Row],[BMI]]&lt;=24.9,"Normal",IF(Table13[[#This Row],[BMI]]&lt;=29.9,"Overweight",IF(Table13[[#This Row],[BMI]]&lt;=39,"Obese","Severly Obese"))))</f>
        <v>Normal</v>
      </c>
      <c r="W928" s="18">
        <v>22.67</v>
      </c>
    </row>
    <row r="929" spans="6:23" x14ac:dyDescent="0.3">
      <c r="F929" s="17">
        <v>20</v>
      </c>
      <c r="G929" s="8" t="str">
        <f>IF(Table13[[#This Row],[Age]]&lt;25,"18-24",IF(Table13[[#This Row],[Age]]&lt;35,"25-34",IF(Table13[[#This Row],[Age]]&lt;45,"35-44",IF(Table13[[#This Row],[Age]]&lt;55,"45-54","55-64"))))</f>
        <v>18-24</v>
      </c>
      <c r="H929" s="8" t="s">
        <v>19</v>
      </c>
      <c r="I929" s="8">
        <v>57.1</v>
      </c>
      <c r="J929" s="8">
        <v>1.66</v>
      </c>
      <c r="K929" s="8">
        <v>168</v>
      </c>
      <c r="L929" s="8">
        <v>146</v>
      </c>
      <c r="M929" s="8">
        <v>74</v>
      </c>
      <c r="N929" s="8">
        <v>1.17</v>
      </c>
      <c r="O929" s="8">
        <v>1040</v>
      </c>
      <c r="P929" s="8" t="s">
        <v>20</v>
      </c>
      <c r="Q929" s="8" t="str">
        <f>_xlfn.IFS(AND(Table13[[#This Row],[Gender]]="female",R929&lt;20),"Athletes",AND(Table13[[#This Row],[Gender]]="female",R929&lt;24),"Fitnesss",AND(Table13[[#This Row],[Gender]]="female",R929&lt;31),"Acceptable",AND(Table13[[#This Row],[Gender]]="female",R929&lt;40),"Obese",AND(Table13[[#This Row],[Gender]]="male",R929&lt;13),"Athletes",AND(Table13[[#This Row],[Gender]]="male",R929&lt;17),"Fitnesss",AND(Table13[[#This Row],[Gender]]="male",R929&lt;24.9),"Acceptable",AND(Table13[[#This Row],[Gender]]="male",R929&lt;40),"Obese",AND(Table13[[#This Row],[Gender]]="others",R929&lt;20),"Athletes",AND(Table13[[#This Row],[Gender]]="others",R929&lt;24),"Fitnesss",AND(Table13[[#This Row],[Gender]]="others",R929&lt;31),"Acceptable",AND(Table13[[#This Row],[Gender]]="others",R929&lt;40),"Obese")</f>
        <v>Acceptable</v>
      </c>
      <c r="R929" s="8">
        <v>24.6</v>
      </c>
      <c r="S929" s="8">
        <v>3.5</v>
      </c>
      <c r="T929" s="8">
        <v>2</v>
      </c>
      <c r="U929" s="8">
        <v>2</v>
      </c>
      <c r="V929" s="8" t="str">
        <f>IF(Table13[[#This Row],[BMI]]&lt;=18.5,"Underweight",IF(Table13[[#This Row],[BMI]]&lt;=24.9,"Normal",IF(Table13[[#This Row],[BMI]]&lt;=29.9,"Overweight",IF(Table13[[#This Row],[BMI]]&lt;=39,"Obese","Severly Obese"))))</f>
        <v>Underweight</v>
      </c>
      <c r="W929" s="18">
        <v>17.57</v>
      </c>
    </row>
    <row r="930" spans="6:23" x14ac:dyDescent="0.3">
      <c r="F930" s="17">
        <v>43</v>
      </c>
      <c r="G930" s="8" t="str">
        <f>IF(Table13[[#This Row],[Age]]&lt;25,"18-24",IF(Table13[[#This Row],[Age]]&lt;35,"25-34",IF(Table13[[#This Row],[Age]]&lt;45,"35-44",IF(Table13[[#This Row],[Age]]&lt;55,"45-54","55-64"))))</f>
        <v>35-44</v>
      </c>
      <c r="H930" s="8" t="s">
        <v>19</v>
      </c>
      <c r="I930" s="8">
        <v>68.8</v>
      </c>
      <c r="J930" s="8">
        <v>1.79</v>
      </c>
      <c r="K930" s="8">
        <v>188</v>
      </c>
      <c r="L930" s="8">
        <v>122</v>
      </c>
      <c r="M930" s="8">
        <v>73</v>
      </c>
      <c r="N930" s="8">
        <v>1.56</v>
      </c>
      <c r="O930" s="8">
        <v>350</v>
      </c>
      <c r="P930" s="8" t="s">
        <v>21</v>
      </c>
      <c r="Q930" s="8" t="str">
        <f>_xlfn.IFS(AND(Table13[[#This Row],[Gender]]="female",R930&lt;20),"Athletes",AND(Table13[[#This Row],[Gender]]="female",R930&lt;24),"Fitnesss",AND(Table13[[#This Row],[Gender]]="female",R930&lt;31),"Acceptable",AND(Table13[[#This Row],[Gender]]="female",R930&lt;40),"Obese",AND(Table13[[#This Row],[Gender]]="male",R930&lt;13),"Athletes",AND(Table13[[#This Row],[Gender]]="male",R930&lt;17),"Fitnesss",AND(Table13[[#This Row],[Gender]]="male",R930&lt;24.9),"Acceptable",AND(Table13[[#This Row],[Gender]]="male",R930&lt;40),"Obese",AND(Table13[[#This Row],[Gender]]="others",R930&lt;20),"Athletes",AND(Table13[[#This Row],[Gender]]="others",R930&lt;24),"Fitnesss",AND(Table13[[#This Row],[Gender]]="others",R930&lt;31),"Acceptable",AND(Table13[[#This Row],[Gender]]="others",R930&lt;40),"Obese")</f>
        <v>Acceptable</v>
      </c>
      <c r="R930" s="8">
        <v>23.4</v>
      </c>
      <c r="S930" s="8">
        <v>1.5</v>
      </c>
      <c r="T930" s="8">
        <v>4</v>
      </c>
      <c r="U930" s="8">
        <v>1</v>
      </c>
      <c r="V930" s="8" t="str">
        <f>IF(Table13[[#This Row],[BMI]]&lt;=18.5,"Underweight",IF(Table13[[#This Row],[BMI]]&lt;=24.9,"Normal",IF(Table13[[#This Row],[BMI]]&lt;=29.9,"Overweight",IF(Table13[[#This Row],[BMI]]&lt;=39,"Obese","Severly Obese"))))</f>
        <v>Underweight</v>
      </c>
      <c r="W930" s="18">
        <v>14.27</v>
      </c>
    </row>
    <row r="931" spans="6:23" x14ac:dyDescent="0.3">
      <c r="F931" s="17">
        <v>26</v>
      </c>
      <c r="G931" s="8" t="str">
        <f>IF(Table13[[#This Row],[Age]]&lt;25,"18-24",IF(Table13[[#This Row],[Age]]&lt;35,"25-34",IF(Table13[[#This Row],[Age]]&lt;45,"35-44",IF(Table13[[#This Row],[Age]]&lt;55,"45-54","55-64"))))</f>
        <v>25-34</v>
      </c>
      <c r="H931" s="8" t="s">
        <v>17</v>
      </c>
      <c r="I931" s="8">
        <v>62.9</v>
      </c>
      <c r="J931" s="8">
        <v>1.69</v>
      </c>
      <c r="K931" s="8">
        <v>192</v>
      </c>
      <c r="L931" s="8">
        <v>139</v>
      </c>
      <c r="M931" s="8">
        <v>69</v>
      </c>
      <c r="N931" s="8">
        <v>1.77</v>
      </c>
      <c r="O931" s="8"/>
      <c r="P931" s="8" t="s">
        <v>18</v>
      </c>
      <c r="Q931" s="8" t="str">
        <f>_xlfn.IFS(AND(Table13[[#This Row],[Gender]]="female",R931&lt;20),"Athletes",AND(Table13[[#This Row],[Gender]]="female",R931&lt;24),"Fitnesss",AND(Table13[[#This Row],[Gender]]="female",R931&lt;31),"Acceptable",AND(Table13[[#This Row],[Gender]]="female",R931&lt;40),"Obese",AND(Table13[[#This Row],[Gender]]="male",R931&lt;13),"Athletes",AND(Table13[[#This Row],[Gender]]="male",R931&lt;17),"Fitnesss",AND(Table13[[#This Row],[Gender]]="male",R931&lt;24.9),"Acceptable",AND(Table13[[#This Row],[Gender]]="male",R931&lt;40),"Obese",AND(Table13[[#This Row],[Gender]]="others",R931&lt;20),"Athletes",AND(Table13[[#This Row],[Gender]]="others",R931&lt;24),"Fitnesss",AND(Table13[[#This Row],[Gender]]="others",R931&lt;31),"Acceptable",AND(Table13[[#This Row],[Gender]]="others",R931&lt;40),"Obese")</f>
        <v>Acceptable</v>
      </c>
      <c r="R931" s="8">
        <v>28.8</v>
      </c>
      <c r="S931" s="8">
        <v>3.4</v>
      </c>
      <c r="T931" s="8">
        <v>4</v>
      </c>
      <c r="U931" s="8">
        <v>2</v>
      </c>
      <c r="V931" s="8" t="str">
        <f>IF(Table13[[#This Row],[BMI]]&lt;=18.5,"Underweight",IF(Table13[[#This Row],[BMI]]&lt;=24.9,"Normal",IF(Table13[[#This Row],[BMI]]&lt;=29.9,"Overweight",IF(Table13[[#This Row],[BMI]]&lt;=39,"Obese","Severly Obese"))))</f>
        <v>Underweight</v>
      </c>
      <c r="W931" s="18">
        <v>12.32</v>
      </c>
    </row>
    <row r="932" spans="6:23" x14ac:dyDescent="0.3">
      <c r="F932" s="17">
        <v>55</v>
      </c>
      <c r="G932" s="8" t="str">
        <f>IF(Table13[[#This Row],[Age]]&lt;25,"18-24",IF(Table13[[#This Row],[Age]]&lt;35,"25-34",IF(Table13[[#This Row],[Age]]&lt;45,"35-44",IF(Table13[[#This Row],[Age]]&lt;55,"45-54","55-64"))))</f>
        <v>55-64</v>
      </c>
      <c r="H932" s="8" t="s">
        <v>17</v>
      </c>
      <c r="I932" s="8">
        <v>98.6</v>
      </c>
      <c r="J932" s="8">
        <v>1.6</v>
      </c>
      <c r="K932" s="8">
        <v>197</v>
      </c>
      <c r="L932" s="8">
        <v>167</v>
      </c>
      <c r="M932" s="8">
        <v>74</v>
      </c>
      <c r="N932" s="8">
        <v>1.1599999999999999</v>
      </c>
      <c r="O932" s="8">
        <v>802</v>
      </c>
      <c r="P932" s="8" t="s">
        <v>21</v>
      </c>
      <c r="Q932" s="8" t="str">
        <f>_xlfn.IFS(AND(Table13[[#This Row],[Gender]]="female",R932&lt;20),"Athletes",AND(Table13[[#This Row],[Gender]]="female",R932&lt;24),"Fitnesss",AND(Table13[[#This Row],[Gender]]="female",R932&lt;31),"Acceptable",AND(Table13[[#This Row],[Gender]]="female",R932&lt;40),"Obese",AND(Table13[[#This Row],[Gender]]="male",R932&lt;13),"Athletes",AND(Table13[[#This Row],[Gender]]="male",R932&lt;17),"Fitnesss",AND(Table13[[#This Row],[Gender]]="male",R932&lt;24.9),"Acceptable",AND(Table13[[#This Row],[Gender]]="male",R932&lt;40),"Obese",AND(Table13[[#This Row],[Gender]]="others",R932&lt;20),"Athletes",AND(Table13[[#This Row],[Gender]]="others",R932&lt;24),"Fitnesss",AND(Table13[[#This Row],[Gender]]="others",R932&lt;31),"Acceptable",AND(Table13[[#This Row],[Gender]]="others",R932&lt;40),"Obese")</f>
        <v>Fitnesss</v>
      </c>
      <c r="R932" s="8">
        <v>22.1</v>
      </c>
      <c r="S932" s="8">
        <v>2.9</v>
      </c>
      <c r="T932" s="8">
        <v>4</v>
      </c>
      <c r="U932" s="8">
        <v>2</v>
      </c>
      <c r="V932" s="8" t="str">
        <f>IF(Table13[[#This Row],[BMI]]&lt;=18.5,"Underweight",IF(Table13[[#This Row],[BMI]]&lt;=24.9,"Normal",IF(Table13[[#This Row],[BMI]]&lt;=29.9,"Overweight",IF(Table13[[#This Row],[BMI]]&lt;=39,"Obese","Severly Obese"))))</f>
        <v>Underweight</v>
      </c>
      <c r="W932" s="18">
        <v>14.29</v>
      </c>
    </row>
    <row r="933" spans="6:23" x14ac:dyDescent="0.3">
      <c r="F933" s="17">
        <v>25</v>
      </c>
      <c r="G933" s="8" t="str">
        <f>IF(Table13[[#This Row],[Age]]&lt;25,"18-24",IF(Table13[[#This Row],[Age]]&lt;35,"25-34",IF(Table13[[#This Row],[Age]]&lt;45,"35-44",IF(Table13[[#This Row],[Age]]&lt;55,"45-54","55-64"))))</f>
        <v>25-34</v>
      </c>
      <c r="H933" s="8" t="s">
        <v>17</v>
      </c>
      <c r="I933" s="8">
        <v>102.8</v>
      </c>
      <c r="J933" s="8">
        <v>2</v>
      </c>
      <c r="K933" s="8">
        <v>166</v>
      </c>
      <c r="L933" s="8">
        <v>131</v>
      </c>
      <c r="M933" s="8">
        <v>73</v>
      </c>
      <c r="N933" s="8">
        <v>1.28</v>
      </c>
      <c r="O933" s="8">
        <v>1783</v>
      </c>
      <c r="P933" s="8" t="s">
        <v>20</v>
      </c>
      <c r="Q933" s="8" t="str">
        <f>_xlfn.IFS(AND(Table13[[#This Row],[Gender]]="female",R933&lt;20),"Athletes",AND(Table13[[#This Row],[Gender]]="female",R933&lt;24),"Fitnesss",AND(Table13[[#This Row],[Gender]]="female",R933&lt;31),"Acceptable",AND(Table13[[#This Row],[Gender]]="female",R933&lt;40),"Obese",AND(Table13[[#This Row],[Gender]]="male",R933&lt;13),"Athletes",AND(Table13[[#This Row],[Gender]]="male",R933&lt;17),"Fitnesss",AND(Table13[[#This Row],[Gender]]="male",R933&lt;24.9),"Acceptable",AND(Table13[[#This Row],[Gender]]="male",R933&lt;40),"Obese",AND(Table13[[#This Row],[Gender]]="others",R933&lt;20),"Athletes",AND(Table13[[#This Row],[Gender]]="others",R933&lt;24),"Fitnesss",AND(Table13[[#This Row],[Gender]]="others",R933&lt;31),"Acceptable",AND(Table13[[#This Row],[Gender]]="others",R933&lt;40),"Obese")</f>
        <v>Acceptable</v>
      </c>
      <c r="R933" s="8">
        <v>27.1</v>
      </c>
      <c r="S933" s="8">
        <v>3.2</v>
      </c>
      <c r="T933" s="8"/>
      <c r="U933" s="8">
        <v>1</v>
      </c>
      <c r="V933" s="8" t="str">
        <f>IF(Table13[[#This Row],[BMI]]&lt;=18.5,"Underweight",IF(Table13[[#This Row],[BMI]]&lt;=24.9,"Normal",IF(Table13[[#This Row],[BMI]]&lt;=29.9,"Overweight",IF(Table13[[#This Row],[BMI]]&lt;=39,"Obese","Severly Obese"))))</f>
        <v>Underweight</v>
      </c>
      <c r="W933" s="18">
        <v>14.05</v>
      </c>
    </row>
    <row r="934" spans="6:23" x14ac:dyDescent="0.3">
      <c r="F934" s="17">
        <v>36</v>
      </c>
      <c r="G934" s="8" t="str">
        <f>IF(Table13[[#This Row],[Age]]&lt;25,"18-24",IF(Table13[[#This Row],[Age]]&lt;35,"25-34",IF(Table13[[#This Row],[Age]]&lt;45,"35-44",IF(Table13[[#This Row],[Age]]&lt;55,"45-54","55-64"))))</f>
        <v>35-44</v>
      </c>
      <c r="H934" s="8" t="s">
        <v>19</v>
      </c>
      <c r="I934" s="8">
        <v>45.8</v>
      </c>
      <c r="J934" s="8">
        <v>1.59</v>
      </c>
      <c r="K934" s="8">
        <v>177</v>
      </c>
      <c r="L934" s="8">
        <v>126</v>
      </c>
      <c r="M934" s="8">
        <v>74</v>
      </c>
      <c r="N934" s="8">
        <v>0.92</v>
      </c>
      <c r="O934" s="8">
        <v>1221</v>
      </c>
      <c r="P934" s="8" t="s">
        <v>18</v>
      </c>
      <c r="Q934" s="8" t="str">
        <f>_xlfn.IFS(AND(Table13[[#This Row],[Gender]]="female",R934&lt;20),"Athletes",AND(Table13[[#This Row],[Gender]]="female",R934&lt;24),"Fitnesss",AND(Table13[[#This Row],[Gender]]="female",R934&lt;31),"Acceptable",AND(Table13[[#This Row],[Gender]]="female",R934&lt;40),"Obese",AND(Table13[[#This Row],[Gender]]="male",R934&lt;13),"Athletes",AND(Table13[[#This Row],[Gender]]="male",R934&lt;17),"Fitnesss",AND(Table13[[#This Row],[Gender]]="male",R934&lt;24.9),"Acceptable",AND(Table13[[#This Row],[Gender]]="male",R934&lt;40),"Obese",AND(Table13[[#This Row],[Gender]]="others",R934&lt;20),"Athletes",AND(Table13[[#This Row],[Gender]]="others",R934&lt;24),"Fitnesss",AND(Table13[[#This Row],[Gender]]="others",R934&lt;31),"Acceptable",AND(Table13[[#This Row],[Gender]]="others",R934&lt;40),"Obese")</f>
        <v>Obese</v>
      </c>
      <c r="R934" s="8">
        <v>32.9</v>
      </c>
      <c r="S934" s="8">
        <v>3</v>
      </c>
      <c r="T934" s="8">
        <v>3</v>
      </c>
      <c r="U934" s="8">
        <v>3</v>
      </c>
      <c r="V934" s="8" t="str">
        <f>IF(Table13[[#This Row],[BMI]]&lt;=18.5,"Underweight",IF(Table13[[#This Row],[BMI]]&lt;=24.9,"Normal",IF(Table13[[#This Row],[BMI]]&lt;=29.9,"Overweight",IF(Table13[[#This Row],[BMI]]&lt;=39,"Obese","Severly Obese"))))</f>
        <v>Obese</v>
      </c>
      <c r="W934" s="18">
        <v>30.03</v>
      </c>
    </row>
    <row r="935" spans="6:23" x14ac:dyDescent="0.3">
      <c r="F935" s="17">
        <v>53</v>
      </c>
      <c r="G935" s="8" t="str">
        <f>IF(Table13[[#This Row],[Age]]&lt;25,"18-24",IF(Table13[[#This Row],[Age]]&lt;35,"25-34",IF(Table13[[#This Row],[Age]]&lt;45,"35-44",IF(Table13[[#This Row],[Age]]&lt;55,"45-54","55-64"))))</f>
        <v>45-54</v>
      </c>
      <c r="H935" s="8" t="s">
        <v>17</v>
      </c>
      <c r="I935" s="8">
        <v>47.5</v>
      </c>
      <c r="J935" s="8">
        <v>1.66</v>
      </c>
      <c r="K935" s="8">
        <v>166</v>
      </c>
      <c r="L935" s="8">
        <v>156</v>
      </c>
      <c r="M935" s="8">
        <v>55</v>
      </c>
      <c r="N935" s="8">
        <v>1.1000000000000001</v>
      </c>
      <c r="O935" s="8">
        <v>1766</v>
      </c>
      <c r="P935" s="8" t="s">
        <v>21</v>
      </c>
      <c r="Q935" s="8" t="str">
        <f>_xlfn.IFS(AND(Table13[[#This Row],[Gender]]="female",R935&lt;20),"Athletes",AND(Table13[[#This Row],[Gender]]="female",R935&lt;24),"Fitnesss",AND(Table13[[#This Row],[Gender]]="female",R935&lt;31),"Acceptable",AND(Table13[[#This Row],[Gender]]="female",R935&lt;40),"Obese",AND(Table13[[#This Row],[Gender]]="male",R935&lt;13),"Athletes",AND(Table13[[#This Row],[Gender]]="male",R935&lt;17),"Fitnesss",AND(Table13[[#This Row],[Gender]]="male",R935&lt;24.9),"Acceptable",AND(Table13[[#This Row],[Gender]]="male",R935&lt;40),"Obese",AND(Table13[[#This Row],[Gender]]="others",R935&lt;20),"Athletes",AND(Table13[[#This Row],[Gender]]="others",R935&lt;24),"Fitnesss",AND(Table13[[#This Row],[Gender]]="others",R935&lt;31),"Acceptable",AND(Table13[[#This Row],[Gender]]="others",R935&lt;40),"Obese")</f>
        <v>Fitnesss</v>
      </c>
      <c r="R935" s="8">
        <v>22.5</v>
      </c>
      <c r="S935" s="8">
        <v>1.6</v>
      </c>
      <c r="T935" s="8">
        <v>3</v>
      </c>
      <c r="U935" s="8">
        <v>1</v>
      </c>
      <c r="V935" s="8" t="str">
        <f>IF(Table13[[#This Row],[BMI]]&lt;=18.5,"Underweight",IF(Table13[[#This Row],[BMI]]&lt;=24.9,"Normal",IF(Table13[[#This Row],[BMI]]&lt;=29.9,"Overweight",IF(Table13[[#This Row],[BMI]]&lt;=39,"Obese","Severly Obese"))))</f>
        <v>Obese</v>
      </c>
      <c r="W935" s="18">
        <v>32.14</v>
      </c>
    </row>
    <row r="936" spans="6:23" x14ac:dyDescent="0.3">
      <c r="F936" s="17">
        <v>52</v>
      </c>
      <c r="G936" s="8" t="str">
        <f>IF(Table13[[#This Row],[Age]]&lt;25,"18-24",IF(Table13[[#This Row],[Age]]&lt;35,"25-34",IF(Table13[[#This Row],[Age]]&lt;45,"35-44",IF(Table13[[#This Row],[Age]]&lt;55,"45-54","55-64"))))</f>
        <v>45-54</v>
      </c>
      <c r="H936" s="8" t="s">
        <v>19</v>
      </c>
      <c r="I936" s="8">
        <v>88</v>
      </c>
      <c r="J936" s="8">
        <v>1.87</v>
      </c>
      <c r="K936" s="8">
        <v>180</v>
      </c>
      <c r="L936" s="8">
        <v>128</v>
      </c>
      <c r="M936" s="8">
        <v>74</v>
      </c>
      <c r="N936" s="8">
        <v>1.44</v>
      </c>
      <c r="O936" s="8">
        <v>1058</v>
      </c>
      <c r="P936" s="8" t="s">
        <v>18</v>
      </c>
      <c r="Q936" s="8" t="str">
        <f>_xlfn.IFS(AND(Table13[[#This Row],[Gender]]="female",R936&lt;20),"Athletes",AND(Table13[[#This Row],[Gender]]="female",R936&lt;24),"Fitnesss",AND(Table13[[#This Row],[Gender]]="female",R936&lt;31),"Acceptable",AND(Table13[[#This Row],[Gender]]="female",R936&lt;40),"Obese",AND(Table13[[#This Row],[Gender]]="male",R936&lt;13),"Athletes",AND(Table13[[#This Row],[Gender]]="male",R936&lt;17),"Fitnesss",AND(Table13[[#This Row],[Gender]]="male",R936&lt;24.9),"Acceptable",AND(Table13[[#This Row],[Gender]]="male",R936&lt;40),"Obese",AND(Table13[[#This Row],[Gender]]="others",R936&lt;20),"Athletes",AND(Table13[[#This Row],[Gender]]="others",R936&lt;24),"Fitnesss",AND(Table13[[#This Row],[Gender]]="others",R936&lt;31),"Acceptable",AND(Table13[[#This Row],[Gender]]="others",R936&lt;40),"Obese")</f>
        <v>Obese</v>
      </c>
      <c r="R936" s="8">
        <v>32.200000000000003</v>
      </c>
      <c r="S936" s="8">
        <v>1.7</v>
      </c>
      <c r="T936" s="8">
        <v>4</v>
      </c>
      <c r="U936" s="8">
        <v>2</v>
      </c>
      <c r="V936" s="8" t="str">
        <f>IF(Table13[[#This Row],[BMI]]&lt;=18.5,"Underweight",IF(Table13[[#This Row],[BMI]]&lt;=24.9,"Normal",IF(Table13[[#This Row],[BMI]]&lt;=29.9,"Overweight",IF(Table13[[#This Row],[BMI]]&lt;=39,"Obese","Severly Obese"))))</f>
        <v>Overweight</v>
      </c>
      <c r="W936" s="18">
        <v>27.54</v>
      </c>
    </row>
    <row r="937" spans="6:23" x14ac:dyDescent="0.3">
      <c r="F937" s="17">
        <v>43</v>
      </c>
      <c r="G937" s="8" t="str">
        <f>IF(Table13[[#This Row],[Age]]&lt;25,"18-24",IF(Table13[[#This Row],[Age]]&lt;35,"25-34",IF(Table13[[#This Row],[Age]]&lt;45,"35-44",IF(Table13[[#This Row],[Age]]&lt;55,"45-54","55-64"))))</f>
        <v>35-44</v>
      </c>
      <c r="H937" s="8" t="s">
        <v>19</v>
      </c>
      <c r="I937" s="8">
        <v>76.3</v>
      </c>
      <c r="J937" s="8">
        <v>1.66</v>
      </c>
      <c r="K937" s="8">
        <v>188</v>
      </c>
      <c r="L937" s="8">
        <v>164</v>
      </c>
      <c r="M937" s="8">
        <v>58</v>
      </c>
      <c r="N937" s="8">
        <v>0.84</v>
      </c>
      <c r="O937" s="8">
        <v>606</v>
      </c>
      <c r="P937" s="8" t="s">
        <v>18</v>
      </c>
      <c r="Q937" s="8" t="str">
        <f>_xlfn.IFS(AND(Table13[[#This Row],[Gender]]="female",R937&lt;20),"Athletes",AND(Table13[[#This Row],[Gender]]="female",R937&lt;24),"Fitnesss",AND(Table13[[#This Row],[Gender]]="female",R937&lt;31),"Acceptable",AND(Table13[[#This Row],[Gender]]="female",R937&lt;40),"Obese",AND(Table13[[#This Row],[Gender]]="male",R937&lt;13),"Athletes",AND(Table13[[#This Row],[Gender]]="male",R937&lt;17),"Fitnesss",AND(Table13[[#This Row],[Gender]]="male",R937&lt;24.9),"Acceptable",AND(Table13[[#This Row],[Gender]]="male",R937&lt;40),"Obese",AND(Table13[[#This Row],[Gender]]="others",R937&lt;20),"Athletes",AND(Table13[[#This Row],[Gender]]="others",R937&lt;24),"Fitnesss",AND(Table13[[#This Row],[Gender]]="others",R937&lt;31),"Acceptable",AND(Table13[[#This Row],[Gender]]="others",R937&lt;40),"Obese")</f>
        <v>Obese</v>
      </c>
      <c r="R937" s="8">
        <v>25.7</v>
      </c>
      <c r="S937" s="8">
        <v>1.8</v>
      </c>
      <c r="T937" s="8">
        <v>3</v>
      </c>
      <c r="U937" s="8">
        <v>1</v>
      </c>
      <c r="V937" s="8" t="str">
        <f>IF(Table13[[#This Row],[BMI]]&lt;=18.5,"Underweight",IF(Table13[[#This Row],[BMI]]&lt;=24.9,"Normal",IF(Table13[[#This Row],[BMI]]&lt;=29.9,"Overweight",IF(Table13[[#This Row],[BMI]]&lt;=39,"Obese","Severly Obese"))))</f>
        <v>Overweight</v>
      </c>
      <c r="W937" s="18">
        <v>28.19</v>
      </c>
    </row>
    <row r="938" spans="6:23" x14ac:dyDescent="0.3">
      <c r="F938" s="17">
        <v>31</v>
      </c>
      <c r="G938" s="8" t="str">
        <f>IF(Table13[[#This Row],[Age]]&lt;25,"18-24",IF(Table13[[#This Row],[Age]]&lt;35,"25-34",IF(Table13[[#This Row],[Age]]&lt;45,"35-44",IF(Table13[[#This Row],[Age]]&lt;55,"45-54","55-64"))))</f>
        <v>25-34</v>
      </c>
      <c r="H938" s="8" t="s">
        <v>17</v>
      </c>
      <c r="I938" s="8">
        <v>85.9</v>
      </c>
      <c r="J938" s="8">
        <v>1.7</v>
      </c>
      <c r="K938" s="8">
        <v>162</v>
      </c>
      <c r="L938" s="8">
        <v>143</v>
      </c>
      <c r="M938" s="8">
        <v>56</v>
      </c>
      <c r="N938" s="8">
        <v>2</v>
      </c>
      <c r="O938" s="8">
        <v>1455</v>
      </c>
      <c r="P938" s="8" t="s">
        <v>22</v>
      </c>
      <c r="Q938" s="8" t="str">
        <f>_xlfn.IFS(AND(Table13[[#This Row],[Gender]]="female",R938&lt;20),"Athletes",AND(Table13[[#This Row],[Gender]]="female",R938&lt;24),"Fitnesss",AND(Table13[[#This Row],[Gender]]="female",R938&lt;31),"Acceptable",AND(Table13[[#This Row],[Gender]]="female",R938&lt;40),"Obese",AND(Table13[[#This Row],[Gender]]="male",R938&lt;13),"Athletes",AND(Table13[[#This Row],[Gender]]="male",R938&lt;17),"Fitnesss",AND(Table13[[#This Row],[Gender]]="male",R938&lt;24.9),"Acceptable",AND(Table13[[#This Row],[Gender]]="male",R938&lt;40),"Obese",AND(Table13[[#This Row],[Gender]]="others",R938&lt;20),"Athletes",AND(Table13[[#This Row],[Gender]]="others",R938&lt;24),"Fitnesss",AND(Table13[[#This Row],[Gender]]="others",R938&lt;31),"Acceptable",AND(Table13[[#This Row],[Gender]]="others",R938&lt;40),"Obese")</f>
        <v>Acceptable</v>
      </c>
      <c r="R938" s="8">
        <v>28</v>
      </c>
      <c r="S938" s="8">
        <v>3.3</v>
      </c>
      <c r="T938" s="8">
        <v>3</v>
      </c>
      <c r="U938" s="8">
        <v>3</v>
      </c>
      <c r="V938" s="8" t="str">
        <f>IF(Table13[[#This Row],[BMI]]&lt;=18.5,"Underweight",IF(Table13[[#This Row],[BMI]]&lt;=24.9,"Normal",IF(Table13[[#This Row],[BMI]]&lt;=29.9,"Overweight",IF(Table13[[#This Row],[BMI]]&lt;=39,"Obese","Severly Obese"))))</f>
        <v>Underweight</v>
      </c>
      <c r="W938" s="18">
        <v>12.78</v>
      </c>
    </row>
    <row r="939" spans="6:23" x14ac:dyDescent="0.3">
      <c r="F939" s="17">
        <v>28</v>
      </c>
      <c r="G939" s="8" t="str">
        <f>IF(Table13[[#This Row],[Age]]&lt;25,"18-24",IF(Table13[[#This Row],[Age]]&lt;35,"25-34",IF(Table13[[#This Row],[Age]]&lt;45,"35-44",IF(Table13[[#This Row],[Age]]&lt;55,"45-54","55-64"))))</f>
        <v>25-34</v>
      </c>
      <c r="H939" s="8" t="s">
        <v>19</v>
      </c>
      <c r="I939" s="8">
        <v>93.7</v>
      </c>
      <c r="J939" s="8">
        <v>1.77</v>
      </c>
      <c r="K939" s="8">
        <v>192</v>
      </c>
      <c r="L939" s="8">
        <v>142</v>
      </c>
      <c r="M939" s="8">
        <v>57</v>
      </c>
      <c r="N939" s="8">
        <v>1.45</v>
      </c>
      <c r="O939" s="8">
        <v>1230</v>
      </c>
      <c r="P939" s="8" t="s">
        <v>20</v>
      </c>
      <c r="Q939" s="8" t="str">
        <f>_xlfn.IFS(AND(Table13[[#This Row],[Gender]]="female",R939&lt;20),"Athletes",AND(Table13[[#This Row],[Gender]]="female",R939&lt;24),"Fitnesss",AND(Table13[[#This Row],[Gender]]="female",R939&lt;31),"Acceptable",AND(Table13[[#This Row],[Gender]]="female",R939&lt;40),"Obese",AND(Table13[[#This Row],[Gender]]="male",R939&lt;13),"Athletes",AND(Table13[[#This Row],[Gender]]="male",R939&lt;17),"Fitnesss",AND(Table13[[#This Row],[Gender]]="male",R939&lt;24.9),"Acceptable",AND(Table13[[#This Row],[Gender]]="male",R939&lt;40),"Obese",AND(Table13[[#This Row],[Gender]]="others",R939&lt;20),"Athletes",AND(Table13[[#This Row],[Gender]]="others",R939&lt;24),"Fitnesss",AND(Table13[[#This Row],[Gender]]="others",R939&lt;31),"Acceptable",AND(Table13[[#This Row],[Gender]]="others",R939&lt;40),"Obese")</f>
        <v>Fitnesss</v>
      </c>
      <c r="R939" s="8">
        <v>14.8</v>
      </c>
      <c r="S939" s="8">
        <v>3.6</v>
      </c>
      <c r="T939" s="8">
        <v>2</v>
      </c>
      <c r="U939" s="8">
        <v>2</v>
      </c>
      <c r="V939" s="8" t="str">
        <f>IF(Table13[[#This Row],[BMI]]&lt;=18.5,"Underweight",IF(Table13[[#This Row],[BMI]]&lt;=24.9,"Normal",IF(Table13[[#This Row],[BMI]]&lt;=29.9,"Overweight",IF(Table13[[#This Row],[BMI]]&lt;=39,"Obese","Severly Obese"))))</f>
        <v>Normal</v>
      </c>
      <c r="W939" s="18">
        <v>23.62</v>
      </c>
    </row>
    <row r="940" spans="6:23" x14ac:dyDescent="0.3">
      <c r="F940" s="17">
        <v>26</v>
      </c>
      <c r="G940" s="8" t="str">
        <f>IF(Table13[[#This Row],[Age]]&lt;25,"18-24",IF(Table13[[#This Row],[Age]]&lt;35,"25-34",IF(Table13[[#This Row],[Age]]&lt;45,"35-44",IF(Table13[[#This Row],[Age]]&lt;55,"45-54","55-64"))))</f>
        <v>25-34</v>
      </c>
      <c r="H940" s="8" t="s">
        <v>19</v>
      </c>
      <c r="I940" s="8">
        <v>83.6</v>
      </c>
      <c r="J940" s="8">
        <v>1.79</v>
      </c>
      <c r="K940" s="8">
        <v>171</v>
      </c>
      <c r="L940" s="8">
        <v>128</v>
      </c>
      <c r="M940" s="8">
        <v>72</v>
      </c>
      <c r="N940" s="8">
        <v>0.7</v>
      </c>
      <c r="O940" s="8">
        <v>1247</v>
      </c>
      <c r="P940" s="8" t="s">
        <v>18</v>
      </c>
      <c r="Q940" s="8" t="str">
        <f>_xlfn.IFS(AND(Table13[[#This Row],[Gender]]="female",R940&lt;20),"Athletes",AND(Table13[[#This Row],[Gender]]="female",R940&lt;24),"Fitnesss",AND(Table13[[#This Row],[Gender]]="female",R940&lt;31),"Acceptable",AND(Table13[[#This Row],[Gender]]="female",R940&lt;40),"Obese",AND(Table13[[#This Row],[Gender]]="male",R940&lt;13),"Athletes",AND(Table13[[#This Row],[Gender]]="male",R940&lt;17),"Fitnesss",AND(Table13[[#This Row],[Gender]]="male",R940&lt;24.9),"Acceptable",AND(Table13[[#This Row],[Gender]]="male",R940&lt;40),"Obese",AND(Table13[[#This Row],[Gender]]="others",R940&lt;20),"Athletes",AND(Table13[[#This Row],[Gender]]="others",R940&lt;24),"Fitnesss",AND(Table13[[#This Row],[Gender]]="others",R940&lt;31),"Acceptable",AND(Table13[[#This Row],[Gender]]="others",R940&lt;40),"Obese")</f>
        <v>Obese</v>
      </c>
      <c r="R940" s="8">
        <v>25.4</v>
      </c>
      <c r="S940" s="8">
        <v>3.2</v>
      </c>
      <c r="T940" s="8">
        <v>3</v>
      </c>
      <c r="U940" s="8">
        <v>1</v>
      </c>
      <c r="V940" s="8" t="str">
        <f>IF(Table13[[#This Row],[BMI]]&lt;=18.5,"Underweight",IF(Table13[[#This Row],[BMI]]&lt;=24.9,"Normal",IF(Table13[[#This Row],[BMI]]&lt;=29.9,"Overweight",IF(Table13[[#This Row],[BMI]]&lt;=39,"Obese","Severly Obese"))))</f>
        <v>Overweight</v>
      </c>
      <c r="W940" s="18">
        <v>27.91</v>
      </c>
    </row>
    <row r="941" spans="6:23" x14ac:dyDescent="0.3">
      <c r="F941" s="17">
        <v>38</v>
      </c>
      <c r="G941" s="8" t="str">
        <f>IF(Table13[[#This Row],[Age]]&lt;25,"18-24",IF(Table13[[#This Row],[Age]]&lt;35,"25-34",IF(Table13[[#This Row],[Age]]&lt;45,"35-44",IF(Table13[[#This Row],[Age]]&lt;55,"45-54","55-64"))))</f>
        <v>35-44</v>
      </c>
      <c r="H941" s="8" t="s">
        <v>19</v>
      </c>
      <c r="I941" s="8">
        <v>101.4</v>
      </c>
      <c r="J941" s="8">
        <v>2</v>
      </c>
      <c r="K941" s="8">
        <v>190</v>
      </c>
      <c r="L941" s="8">
        <v>169</v>
      </c>
      <c r="M941" s="8">
        <v>63</v>
      </c>
      <c r="N941" s="8"/>
      <c r="O941" s="8">
        <v>1772</v>
      </c>
      <c r="P941" s="8" t="s">
        <v>20</v>
      </c>
      <c r="Q941" s="8" t="str">
        <f>_xlfn.IFS(AND(Table13[[#This Row],[Gender]]="female",R941&lt;20),"Athletes",AND(Table13[[#This Row],[Gender]]="female",R941&lt;24),"Fitnesss",AND(Table13[[#This Row],[Gender]]="female",R941&lt;31),"Acceptable",AND(Table13[[#This Row],[Gender]]="female",R941&lt;40),"Obese",AND(Table13[[#This Row],[Gender]]="male",R941&lt;13),"Athletes",AND(Table13[[#This Row],[Gender]]="male",R941&lt;17),"Fitnesss",AND(Table13[[#This Row],[Gender]]="male",R941&lt;24.9),"Acceptable",AND(Table13[[#This Row],[Gender]]="male",R941&lt;40),"Obese",AND(Table13[[#This Row],[Gender]]="others",R941&lt;20),"Athletes",AND(Table13[[#This Row],[Gender]]="others",R941&lt;24),"Fitnesss",AND(Table13[[#This Row],[Gender]]="others",R941&lt;31),"Acceptable",AND(Table13[[#This Row],[Gender]]="others",R941&lt;40),"Obese")</f>
        <v>Acceptable</v>
      </c>
      <c r="R941" s="8">
        <v>20.7</v>
      </c>
      <c r="S941" s="8">
        <v>2.6</v>
      </c>
      <c r="T941" s="8">
        <v>4</v>
      </c>
      <c r="U941" s="8">
        <v>1</v>
      </c>
      <c r="V941" s="8" t="str">
        <f>IF(Table13[[#This Row],[BMI]]&lt;=18.5,"Underweight",IF(Table13[[#This Row],[BMI]]&lt;=24.9,"Normal",IF(Table13[[#This Row],[BMI]]&lt;=29.9,"Overweight",IF(Table13[[#This Row],[BMI]]&lt;=39,"Obese","Severly Obese"))))</f>
        <v>Obese</v>
      </c>
      <c r="W941" s="18">
        <v>38.99</v>
      </c>
    </row>
    <row r="942" spans="6:23" x14ac:dyDescent="0.3">
      <c r="F942" s="17">
        <v>36</v>
      </c>
      <c r="G942" s="8" t="str">
        <f>IF(Table13[[#This Row],[Age]]&lt;25,"18-24",IF(Table13[[#This Row],[Age]]&lt;35,"25-34",IF(Table13[[#This Row],[Age]]&lt;45,"35-44",IF(Table13[[#This Row],[Age]]&lt;55,"45-54","55-64"))))</f>
        <v>35-44</v>
      </c>
      <c r="H942" s="8" t="s">
        <v>23</v>
      </c>
      <c r="I942" s="8">
        <v>77.599999999999994</v>
      </c>
      <c r="J942" s="8">
        <v>1.6</v>
      </c>
      <c r="K942" s="8">
        <v>183</v>
      </c>
      <c r="L942" s="8">
        <v>165</v>
      </c>
      <c r="M942" s="8">
        <v>72</v>
      </c>
      <c r="N942" s="8">
        <v>0.66</v>
      </c>
      <c r="O942" s="8">
        <v>1208</v>
      </c>
      <c r="P942" s="8" t="s">
        <v>20</v>
      </c>
      <c r="Q942" s="8" t="str">
        <f>_xlfn.IFS(AND(Table13[[#This Row],[Gender]]="female",R942&lt;20),"Athletes",AND(Table13[[#This Row],[Gender]]="female",R942&lt;24),"Fitnesss",AND(Table13[[#This Row],[Gender]]="female",R942&lt;31),"Acceptable",AND(Table13[[#This Row],[Gender]]="female",R942&lt;40),"Obese",AND(Table13[[#This Row],[Gender]]="male",R942&lt;13),"Athletes",AND(Table13[[#This Row],[Gender]]="male",R942&lt;17),"Fitnesss",AND(Table13[[#This Row],[Gender]]="male",R942&lt;24.9),"Acceptable",AND(Table13[[#This Row],[Gender]]="male",R942&lt;40),"Obese",AND(Table13[[#This Row],[Gender]]="others",R942&lt;20),"Athletes",AND(Table13[[#This Row],[Gender]]="others",R942&lt;24),"Fitnesss",AND(Table13[[#This Row],[Gender]]="others",R942&lt;31),"Acceptable",AND(Table13[[#This Row],[Gender]]="others",R942&lt;40),"Obese")</f>
        <v>Acceptable</v>
      </c>
      <c r="R942" s="8">
        <v>25.6</v>
      </c>
      <c r="S942" s="8">
        <v>1.7</v>
      </c>
      <c r="T942" s="8">
        <v>3</v>
      </c>
      <c r="U942" s="8">
        <v>1</v>
      </c>
      <c r="V942" s="8" t="str">
        <f>IF(Table13[[#This Row],[BMI]]&lt;=18.5,"Underweight",IF(Table13[[#This Row],[BMI]]&lt;=24.9,"Normal",IF(Table13[[#This Row],[BMI]]&lt;=29.9,"Overweight",IF(Table13[[#This Row],[BMI]]&lt;=39,"Obese","Severly Obese"))))</f>
        <v>Underweight</v>
      </c>
      <c r="W942" s="18">
        <v>12.44</v>
      </c>
    </row>
    <row r="943" spans="6:23" x14ac:dyDescent="0.3">
      <c r="F943" s="17">
        <v>28</v>
      </c>
      <c r="G943" s="8" t="str">
        <f>IF(Table13[[#This Row],[Age]]&lt;25,"18-24",IF(Table13[[#This Row],[Age]]&lt;35,"25-34",IF(Table13[[#This Row],[Age]]&lt;45,"35-44",IF(Table13[[#This Row],[Age]]&lt;55,"45-54","55-64"))))</f>
        <v>25-34</v>
      </c>
      <c r="H943" s="8" t="s">
        <v>23</v>
      </c>
      <c r="I943" s="8">
        <v>44.7</v>
      </c>
      <c r="J943" s="8">
        <v>1.68</v>
      </c>
      <c r="K943" s="8">
        <v>166</v>
      </c>
      <c r="L943" s="8">
        <v>160</v>
      </c>
      <c r="M943" s="8">
        <v>62</v>
      </c>
      <c r="N943" s="8">
        <v>0.99</v>
      </c>
      <c r="O943" s="8">
        <v>1672</v>
      </c>
      <c r="P943" s="8" t="s">
        <v>22</v>
      </c>
      <c r="Q943" s="8" t="str">
        <f>_xlfn.IFS(AND(Table13[[#This Row],[Gender]]="female",R943&lt;20),"Athletes",AND(Table13[[#This Row],[Gender]]="female",R943&lt;24),"Fitnesss",AND(Table13[[#This Row],[Gender]]="female",R943&lt;31),"Acceptable",AND(Table13[[#This Row],[Gender]]="female",R943&lt;40),"Obese",AND(Table13[[#This Row],[Gender]]="male",R943&lt;13),"Athletes",AND(Table13[[#This Row],[Gender]]="male",R943&lt;17),"Fitnesss",AND(Table13[[#This Row],[Gender]]="male",R943&lt;24.9),"Acceptable",AND(Table13[[#This Row],[Gender]]="male",R943&lt;40),"Obese",AND(Table13[[#This Row],[Gender]]="others",R943&lt;20),"Athletes",AND(Table13[[#This Row],[Gender]]="others",R943&lt;24),"Fitnesss",AND(Table13[[#This Row],[Gender]]="others",R943&lt;31),"Acceptable",AND(Table13[[#This Row],[Gender]]="others",R943&lt;40),"Obese")</f>
        <v>Acceptable</v>
      </c>
      <c r="R943" s="8">
        <v>28.6</v>
      </c>
      <c r="S943" s="8">
        <v>1.5</v>
      </c>
      <c r="T943" s="8">
        <v>2</v>
      </c>
      <c r="U943" s="8">
        <v>3</v>
      </c>
      <c r="V943" s="8" t="str">
        <f>IF(Table13[[#This Row],[BMI]]&lt;=18.5,"Underweight",IF(Table13[[#This Row],[BMI]]&lt;=24.9,"Normal",IF(Table13[[#This Row],[BMI]]&lt;=29.9,"Overweight",IF(Table13[[#This Row],[BMI]]&lt;=39,"Obese","Severly Obese"))))</f>
        <v>Underweight</v>
      </c>
      <c r="W943" s="18">
        <v>17.59</v>
      </c>
    </row>
    <row r="944" spans="6:23" x14ac:dyDescent="0.3">
      <c r="F944" s="17">
        <v>40</v>
      </c>
      <c r="G944" s="8" t="str">
        <f>IF(Table13[[#This Row],[Age]]&lt;25,"18-24",IF(Table13[[#This Row],[Age]]&lt;35,"25-34",IF(Table13[[#This Row],[Age]]&lt;45,"35-44",IF(Table13[[#This Row],[Age]]&lt;55,"45-54","55-64"))))</f>
        <v>35-44</v>
      </c>
      <c r="H944" s="8" t="s">
        <v>19</v>
      </c>
      <c r="I944" s="8">
        <v>79.900000000000006</v>
      </c>
      <c r="J944" s="8">
        <v>1.51</v>
      </c>
      <c r="K944" s="8">
        <v>175</v>
      </c>
      <c r="L944" s="8">
        <v>169</v>
      </c>
      <c r="M944" s="8">
        <v>64</v>
      </c>
      <c r="N944" s="8">
        <v>1.44</v>
      </c>
      <c r="O944" s="8">
        <v>1277</v>
      </c>
      <c r="P944" s="8" t="s">
        <v>22</v>
      </c>
      <c r="Q944" s="8" t="str">
        <f>_xlfn.IFS(AND(Table13[[#This Row],[Gender]]="female",R944&lt;20),"Athletes",AND(Table13[[#This Row],[Gender]]="female",R944&lt;24),"Fitnesss",AND(Table13[[#This Row],[Gender]]="female",R944&lt;31),"Acceptable",AND(Table13[[#This Row],[Gender]]="female",R944&lt;40),"Obese",AND(Table13[[#This Row],[Gender]]="male",R944&lt;13),"Athletes",AND(Table13[[#This Row],[Gender]]="male",R944&lt;17),"Fitnesss",AND(Table13[[#This Row],[Gender]]="male",R944&lt;24.9),"Acceptable",AND(Table13[[#This Row],[Gender]]="male",R944&lt;40),"Obese",AND(Table13[[#This Row],[Gender]]="others",R944&lt;20),"Athletes",AND(Table13[[#This Row],[Gender]]="others",R944&lt;24),"Fitnesss",AND(Table13[[#This Row],[Gender]]="others",R944&lt;31),"Acceptable",AND(Table13[[#This Row],[Gender]]="others",R944&lt;40),"Obese")</f>
        <v>Obese</v>
      </c>
      <c r="R944" s="8">
        <v>26.2</v>
      </c>
      <c r="S944" s="8">
        <v>1.5</v>
      </c>
      <c r="T944" s="8">
        <v>5</v>
      </c>
      <c r="U944" s="8">
        <v>3</v>
      </c>
      <c r="V944" s="8" t="str">
        <f>IF(Table13[[#This Row],[BMI]]&lt;=18.5,"Underweight",IF(Table13[[#This Row],[BMI]]&lt;=24.9,"Normal",IF(Table13[[#This Row],[BMI]]&lt;=29.9,"Overweight",IF(Table13[[#This Row],[BMI]]&lt;=39,"Obese","Severly Obese"))))</f>
        <v>Underweight</v>
      </c>
      <c r="W944" s="18">
        <v>14.09</v>
      </c>
    </row>
    <row r="945" spans="6:23" x14ac:dyDescent="0.3">
      <c r="F945" s="17">
        <v>45</v>
      </c>
      <c r="G945" s="8" t="str">
        <f>IF(Table13[[#This Row],[Age]]&lt;25,"18-24",IF(Table13[[#This Row],[Age]]&lt;35,"25-34",IF(Table13[[#This Row],[Age]]&lt;45,"35-44",IF(Table13[[#This Row],[Age]]&lt;55,"45-54","55-64"))))</f>
        <v>45-54</v>
      </c>
      <c r="H945" s="8" t="s">
        <v>17</v>
      </c>
      <c r="I945" s="8">
        <v>70.2</v>
      </c>
      <c r="J945" s="8">
        <v>1.82</v>
      </c>
      <c r="K945" s="8">
        <v>167</v>
      </c>
      <c r="L945" s="8">
        <v>139</v>
      </c>
      <c r="M945" s="8">
        <v>67</v>
      </c>
      <c r="N945" s="8">
        <v>1.32</v>
      </c>
      <c r="O945" s="8">
        <v>953</v>
      </c>
      <c r="P945" s="8" t="s">
        <v>18</v>
      </c>
      <c r="Q945" s="8" t="str">
        <f>_xlfn.IFS(AND(Table13[[#This Row],[Gender]]="female",R945&lt;20),"Athletes",AND(Table13[[#This Row],[Gender]]="female",R945&lt;24),"Fitnesss",AND(Table13[[#This Row],[Gender]]="female",R945&lt;31),"Acceptable",AND(Table13[[#This Row],[Gender]]="female",R945&lt;40),"Obese",AND(Table13[[#This Row],[Gender]]="male",R945&lt;13),"Athletes",AND(Table13[[#This Row],[Gender]]="male",R945&lt;17),"Fitnesss",AND(Table13[[#This Row],[Gender]]="male",R945&lt;24.9),"Acceptable",AND(Table13[[#This Row],[Gender]]="male",R945&lt;40),"Obese",AND(Table13[[#This Row],[Gender]]="others",R945&lt;20),"Athletes",AND(Table13[[#This Row],[Gender]]="others",R945&lt;24),"Fitnesss",AND(Table13[[#This Row],[Gender]]="others",R945&lt;31),"Acceptable",AND(Table13[[#This Row],[Gender]]="others",R945&lt;40),"Obese")</f>
        <v>Athletes</v>
      </c>
      <c r="R945" s="8">
        <v>10</v>
      </c>
      <c r="S945" s="8">
        <v>1.5</v>
      </c>
      <c r="T945" s="8">
        <v>4</v>
      </c>
      <c r="U945" s="8">
        <v>2</v>
      </c>
      <c r="V945" s="8" t="str">
        <f>IF(Table13[[#This Row],[BMI]]&lt;=18.5,"Underweight",IF(Table13[[#This Row],[BMI]]&lt;=24.9,"Normal",IF(Table13[[#This Row],[BMI]]&lt;=29.9,"Overweight",IF(Table13[[#This Row],[BMI]]&lt;=39,"Obese","Severly Obese"))))</f>
        <v>Underweight</v>
      </c>
      <c r="W945" s="18">
        <v>13.6</v>
      </c>
    </row>
    <row r="946" spans="6:23" x14ac:dyDescent="0.3">
      <c r="F946" s="17">
        <v>40</v>
      </c>
      <c r="G946" s="8" t="str">
        <f>IF(Table13[[#This Row],[Age]]&lt;25,"18-24",IF(Table13[[#This Row],[Age]]&lt;35,"25-34",IF(Table13[[#This Row],[Age]]&lt;45,"35-44",IF(Table13[[#This Row],[Age]]&lt;55,"45-54","55-64"))))</f>
        <v>35-44</v>
      </c>
      <c r="H946" s="8" t="s">
        <v>17</v>
      </c>
      <c r="I946" s="8">
        <v>44.2</v>
      </c>
      <c r="J946" s="8">
        <v>1.7</v>
      </c>
      <c r="K946" s="8">
        <v>161</v>
      </c>
      <c r="L946" s="8">
        <v>160</v>
      </c>
      <c r="M946" s="8">
        <v>64</v>
      </c>
      <c r="N946" s="8">
        <v>1.71</v>
      </c>
      <c r="O946" s="8">
        <v>979</v>
      </c>
      <c r="P946" s="8" t="s">
        <v>22</v>
      </c>
      <c r="Q946" s="8" t="str">
        <f>_xlfn.IFS(AND(Table13[[#This Row],[Gender]]="female",R946&lt;20),"Athletes",AND(Table13[[#This Row],[Gender]]="female",R946&lt;24),"Fitnesss",AND(Table13[[#This Row],[Gender]]="female",R946&lt;31),"Acceptable",AND(Table13[[#This Row],[Gender]]="female",R946&lt;40),"Obese",AND(Table13[[#This Row],[Gender]]="male",R946&lt;13),"Athletes",AND(Table13[[#This Row],[Gender]]="male",R946&lt;17),"Fitnesss",AND(Table13[[#This Row],[Gender]]="male",R946&lt;24.9),"Acceptable",AND(Table13[[#This Row],[Gender]]="male",R946&lt;40),"Obese",AND(Table13[[#This Row],[Gender]]="others",R946&lt;20),"Athletes",AND(Table13[[#This Row],[Gender]]="others",R946&lt;24),"Fitnesss",AND(Table13[[#This Row],[Gender]]="others",R946&lt;31),"Acceptable",AND(Table13[[#This Row],[Gender]]="others",R946&lt;40),"Obese")</f>
        <v>Fitnesss</v>
      </c>
      <c r="R946" s="8">
        <v>23.7</v>
      </c>
      <c r="S946" s="8">
        <v>3.4</v>
      </c>
      <c r="T946" s="8">
        <v>3</v>
      </c>
      <c r="U946" s="8">
        <v>2</v>
      </c>
      <c r="V946" s="8" t="str">
        <f>IF(Table13[[#This Row],[BMI]]&lt;=18.5,"Underweight",IF(Table13[[#This Row],[BMI]]&lt;=24.9,"Normal",IF(Table13[[#This Row],[BMI]]&lt;=29.9,"Overweight",IF(Table13[[#This Row],[BMI]]&lt;=39,"Obese","Severly Obese"))))</f>
        <v>Normal</v>
      </c>
      <c r="W946" s="18">
        <v>24.1</v>
      </c>
    </row>
    <row r="947" spans="6:23" x14ac:dyDescent="0.3">
      <c r="F947" s="17">
        <v>49</v>
      </c>
      <c r="G947" s="8" t="str">
        <f>IF(Table13[[#This Row],[Age]]&lt;25,"18-24",IF(Table13[[#This Row],[Age]]&lt;35,"25-34",IF(Table13[[#This Row],[Age]]&lt;45,"35-44",IF(Table13[[#This Row],[Age]]&lt;55,"45-54","55-64"))))</f>
        <v>45-54</v>
      </c>
      <c r="H947" s="8" t="s">
        <v>19</v>
      </c>
      <c r="I947" s="8">
        <v>90.6</v>
      </c>
      <c r="J947" s="8">
        <v>1.78</v>
      </c>
      <c r="K947" s="8">
        <v>181</v>
      </c>
      <c r="L947" s="8">
        <v>130</v>
      </c>
      <c r="M947" s="8">
        <v>63</v>
      </c>
      <c r="N947" s="8">
        <v>1.27</v>
      </c>
      <c r="O947" s="8">
        <v>1002</v>
      </c>
      <c r="P947" s="8" t="s">
        <v>18</v>
      </c>
      <c r="Q947" s="8" t="str">
        <f>_xlfn.IFS(AND(Table13[[#This Row],[Gender]]="female",R947&lt;20),"Athletes",AND(Table13[[#This Row],[Gender]]="female",R947&lt;24),"Fitnesss",AND(Table13[[#This Row],[Gender]]="female",R947&lt;31),"Acceptable",AND(Table13[[#This Row],[Gender]]="female",R947&lt;40),"Obese",AND(Table13[[#This Row],[Gender]]="male",R947&lt;13),"Athletes",AND(Table13[[#This Row],[Gender]]="male",R947&lt;17),"Fitnesss",AND(Table13[[#This Row],[Gender]]="male",R947&lt;24.9),"Acceptable",AND(Table13[[#This Row],[Gender]]="male",R947&lt;40),"Obese",AND(Table13[[#This Row],[Gender]]="others",R947&lt;20),"Athletes",AND(Table13[[#This Row],[Gender]]="others",R947&lt;24),"Fitnesss",AND(Table13[[#This Row],[Gender]]="others",R947&lt;31),"Acceptable",AND(Table13[[#This Row],[Gender]]="others",R947&lt;40),"Obese")</f>
        <v>Obese</v>
      </c>
      <c r="R947" s="8">
        <v>28.2</v>
      </c>
      <c r="S947" s="8">
        <v>2.2999999999999998</v>
      </c>
      <c r="T947" s="8">
        <v>3</v>
      </c>
      <c r="U947" s="8">
        <v>2</v>
      </c>
      <c r="V947" s="8" t="str">
        <f>IF(Table13[[#This Row],[BMI]]&lt;=18.5,"Underweight",IF(Table13[[#This Row],[BMI]]&lt;=24.9,"Normal",IF(Table13[[#This Row],[BMI]]&lt;=29.9,"Overweight",IF(Table13[[#This Row],[BMI]]&lt;=39,"Obese","Severly Obese"))))</f>
        <v>Underweight</v>
      </c>
      <c r="W947" s="18">
        <v>15.66</v>
      </c>
    </row>
    <row r="948" spans="6:23" x14ac:dyDescent="0.3">
      <c r="F948" s="17">
        <v>40</v>
      </c>
      <c r="G948" s="8" t="str">
        <f>IF(Table13[[#This Row],[Age]]&lt;25,"18-24",IF(Table13[[#This Row],[Age]]&lt;35,"25-34",IF(Table13[[#This Row],[Age]]&lt;45,"35-44",IF(Table13[[#This Row],[Age]]&lt;55,"45-54","55-64"))))</f>
        <v>35-44</v>
      </c>
      <c r="H948" s="8" t="s">
        <v>17</v>
      </c>
      <c r="I948" s="8">
        <v>56.8</v>
      </c>
      <c r="J948" s="8">
        <v>1.54</v>
      </c>
      <c r="K948" s="8">
        <v>166</v>
      </c>
      <c r="L948" s="8">
        <v>167</v>
      </c>
      <c r="M948" s="8">
        <v>71</v>
      </c>
      <c r="N948" s="8">
        <v>1.06</v>
      </c>
      <c r="O948" s="8">
        <v>1225</v>
      </c>
      <c r="P948" s="8" t="s">
        <v>22</v>
      </c>
      <c r="Q948" s="8" t="str">
        <f>_xlfn.IFS(AND(Table13[[#This Row],[Gender]]="female",R948&lt;20),"Athletes",AND(Table13[[#This Row],[Gender]]="female",R948&lt;24),"Fitnesss",AND(Table13[[#This Row],[Gender]]="female",R948&lt;31),"Acceptable",AND(Table13[[#This Row],[Gender]]="female",R948&lt;40),"Obese",AND(Table13[[#This Row],[Gender]]="male",R948&lt;13),"Athletes",AND(Table13[[#This Row],[Gender]]="male",R948&lt;17),"Fitnesss",AND(Table13[[#This Row],[Gender]]="male",R948&lt;24.9),"Acceptable",AND(Table13[[#This Row],[Gender]]="male",R948&lt;40),"Obese",AND(Table13[[#This Row],[Gender]]="others",R948&lt;20),"Athletes",AND(Table13[[#This Row],[Gender]]="others",R948&lt;24),"Fitnesss",AND(Table13[[#This Row],[Gender]]="others",R948&lt;31),"Acceptable",AND(Table13[[#This Row],[Gender]]="others",R948&lt;40),"Obese")</f>
        <v>Acceptable</v>
      </c>
      <c r="R948" s="8">
        <v>27.6</v>
      </c>
      <c r="S948" s="8">
        <v>1.7</v>
      </c>
      <c r="T948" s="8">
        <v>4</v>
      </c>
      <c r="U948" s="8">
        <v>1</v>
      </c>
      <c r="V948" s="8" t="str">
        <f>IF(Table13[[#This Row],[BMI]]&lt;=18.5,"Underweight",IF(Table13[[#This Row],[BMI]]&lt;=24.9,"Normal",IF(Table13[[#This Row],[BMI]]&lt;=29.9,"Overweight",IF(Table13[[#This Row],[BMI]]&lt;=39,"Obese","Severly Obese"))))</f>
        <v>Underweight</v>
      </c>
      <c r="W948" s="18">
        <v>12.32</v>
      </c>
    </row>
    <row r="949" spans="6:23" x14ac:dyDescent="0.3">
      <c r="F949" s="17">
        <v>51</v>
      </c>
      <c r="G949" s="8" t="str">
        <f>IF(Table13[[#This Row],[Age]]&lt;25,"18-24",IF(Table13[[#This Row],[Age]]&lt;35,"25-34",IF(Table13[[#This Row],[Age]]&lt;45,"35-44",IF(Table13[[#This Row],[Age]]&lt;55,"45-54","55-64"))))</f>
        <v>45-54</v>
      </c>
      <c r="H949" s="8" t="s">
        <v>17</v>
      </c>
      <c r="I949" s="8">
        <v>48.7</v>
      </c>
      <c r="J949" s="8">
        <v>1.5</v>
      </c>
      <c r="K949" s="8">
        <v>168</v>
      </c>
      <c r="L949" s="8">
        <v>140</v>
      </c>
      <c r="M949" s="8">
        <v>58</v>
      </c>
      <c r="N949" s="8">
        <v>0.93</v>
      </c>
      <c r="O949" s="8">
        <v>1108</v>
      </c>
      <c r="P949" s="8" t="s">
        <v>20</v>
      </c>
      <c r="Q949" s="8" t="str">
        <f>_xlfn.IFS(AND(Table13[[#This Row],[Gender]]="female",R949&lt;20),"Athletes",AND(Table13[[#This Row],[Gender]]="female",R949&lt;24),"Fitnesss",AND(Table13[[#This Row],[Gender]]="female",R949&lt;31),"Acceptable",AND(Table13[[#This Row],[Gender]]="female",R949&lt;40),"Obese",AND(Table13[[#This Row],[Gender]]="male",R949&lt;13),"Athletes",AND(Table13[[#This Row],[Gender]]="male",R949&lt;17),"Fitnesss",AND(Table13[[#This Row],[Gender]]="male",R949&lt;24.9),"Acceptable",AND(Table13[[#This Row],[Gender]]="male",R949&lt;40),"Obese",AND(Table13[[#This Row],[Gender]]="others",R949&lt;20),"Athletes",AND(Table13[[#This Row],[Gender]]="others",R949&lt;24),"Fitnesss",AND(Table13[[#This Row],[Gender]]="others",R949&lt;31),"Acceptable",AND(Table13[[#This Row],[Gender]]="others",R949&lt;40),"Obese")</f>
        <v>Acceptable</v>
      </c>
      <c r="R949" s="8">
        <v>27.3</v>
      </c>
      <c r="S949" s="8">
        <v>3.2</v>
      </c>
      <c r="T949" s="8">
        <v>2</v>
      </c>
      <c r="U949" s="8">
        <v>2</v>
      </c>
      <c r="V949" s="8" t="str">
        <f>IF(Table13[[#This Row],[BMI]]&lt;=18.5,"Underweight",IF(Table13[[#This Row],[BMI]]&lt;=24.9,"Normal",IF(Table13[[#This Row],[BMI]]&lt;=29.9,"Overweight",IF(Table13[[#This Row],[BMI]]&lt;=39,"Obese","Severly Obese"))))</f>
        <v>Underweight</v>
      </c>
      <c r="W949" s="18">
        <v>12.32</v>
      </c>
    </row>
    <row r="950" spans="6:23" x14ac:dyDescent="0.3">
      <c r="F950" s="17">
        <v>41</v>
      </c>
      <c r="G950" s="8" t="str">
        <f>IF(Table13[[#This Row],[Age]]&lt;25,"18-24",IF(Table13[[#This Row],[Age]]&lt;35,"25-34",IF(Table13[[#This Row],[Age]]&lt;45,"35-44",IF(Table13[[#This Row],[Age]]&lt;55,"45-54","55-64"))))</f>
        <v>35-44</v>
      </c>
      <c r="H950" s="8" t="s">
        <v>17</v>
      </c>
      <c r="I950" s="8">
        <v>72.3</v>
      </c>
      <c r="J950" s="8">
        <v>1.66</v>
      </c>
      <c r="K950" s="8">
        <v>165</v>
      </c>
      <c r="L950" s="8">
        <v>142</v>
      </c>
      <c r="M950" s="8">
        <v>74</v>
      </c>
      <c r="N950" s="8">
        <v>1.4</v>
      </c>
      <c r="O950" s="8">
        <v>758</v>
      </c>
      <c r="P950" s="8" t="s">
        <v>20</v>
      </c>
      <c r="Q950" s="8" t="str">
        <f>_xlfn.IFS(AND(Table13[[#This Row],[Gender]]="female",R950&lt;20),"Athletes",AND(Table13[[#This Row],[Gender]]="female",R950&lt;24),"Fitnesss",AND(Table13[[#This Row],[Gender]]="female",R950&lt;31),"Acceptable",AND(Table13[[#This Row],[Gender]]="female",R950&lt;40),"Obese",AND(Table13[[#This Row],[Gender]]="male",R950&lt;13),"Athletes",AND(Table13[[#This Row],[Gender]]="male",R950&lt;17),"Fitnesss",AND(Table13[[#This Row],[Gender]]="male",R950&lt;24.9),"Acceptable",AND(Table13[[#This Row],[Gender]]="male",R950&lt;40),"Obese",AND(Table13[[#This Row],[Gender]]="others",R950&lt;20),"Athletes",AND(Table13[[#This Row],[Gender]]="others",R950&lt;24),"Fitnesss",AND(Table13[[#This Row],[Gender]]="others",R950&lt;31),"Acceptable",AND(Table13[[#This Row],[Gender]]="others",R950&lt;40),"Obese")</f>
        <v>Acceptable</v>
      </c>
      <c r="R950" s="8">
        <v>25.6</v>
      </c>
      <c r="S950" s="8">
        <v>3.6</v>
      </c>
      <c r="T950" s="8">
        <v>4</v>
      </c>
      <c r="U950" s="8">
        <v>1</v>
      </c>
      <c r="V950" s="8" t="str">
        <f>IF(Table13[[#This Row],[BMI]]&lt;=18.5,"Underweight",IF(Table13[[#This Row],[BMI]]&lt;=24.9,"Normal",IF(Table13[[#This Row],[BMI]]&lt;=29.9,"Overweight",IF(Table13[[#This Row],[BMI]]&lt;=39,"Obese","Severly Obese"))))</f>
        <v>Normal</v>
      </c>
      <c r="W950" s="18">
        <v>23.85</v>
      </c>
    </row>
    <row r="951" spans="6:23" x14ac:dyDescent="0.3">
      <c r="F951" s="17">
        <v>43</v>
      </c>
      <c r="G951" s="8" t="str">
        <f>IF(Table13[[#This Row],[Age]]&lt;25,"18-24",IF(Table13[[#This Row],[Age]]&lt;35,"25-34",IF(Table13[[#This Row],[Age]]&lt;45,"35-44",IF(Table13[[#This Row],[Age]]&lt;55,"45-54","55-64"))))</f>
        <v>35-44</v>
      </c>
      <c r="H951" s="8" t="s">
        <v>17</v>
      </c>
      <c r="I951" s="8">
        <v>68</v>
      </c>
      <c r="J951" s="8">
        <v>1.78</v>
      </c>
      <c r="K951" s="8">
        <v>183</v>
      </c>
      <c r="L951" s="8">
        <v>120</v>
      </c>
      <c r="M951" s="8">
        <v>58</v>
      </c>
      <c r="N951" s="8">
        <v>2</v>
      </c>
      <c r="O951" s="8">
        <v>1030</v>
      </c>
      <c r="P951" s="8" t="s">
        <v>21</v>
      </c>
      <c r="Q951" s="8" t="str">
        <f>_xlfn.IFS(AND(Table13[[#This Row],[Gender]]="female",R951&lt;20),"Athletes",AND(Table13[[#This Row],[Gender]]="female",R951&lt;24),"Fitnesss",AND(Table13[[#This Row],[Gender]]="female",R951&lt;31),"Acceptable",AND(Table13[[#This Row],[Gender]]="female",R951&lt;40),"Obese",AND(Table13[[#This Row],[Gender]]="male",R951&lt;13),"Athletes",AND(Table13[[#This Row],[Gender]]="male",R951&lt;17),"Fitnesss",AND(Table13[[#This Row],[Gender]]="male",R951&lt;24.9),"Acceptable",AND(Table13[[#This Row],[Gender]]="male",R951&lt;40),"Obese",AND(Table13[[#This Row],[Gender]]="others",R951&lt;20),"Athletes",AND(Table13[[#This Row],[Gender]]="others",R951&lt;24),"Fitnesss",AND(Table13[[#This Row],[Gender]]="others",R951&lt;31),"Acceptable",AND(Table13[[#This Row],[Gender]]="others",R951&lt;40),"Obese")</f>
        <v>Fitnesss</v>
      </c>
      <c r="R951" s="8">
        <v>22.8</v>
      </c>
      <c r="S951" s="8">
        <v>1.5</v>
      </c>
      <c r="T951" s="8">
        <v>4</v>
      </c>
      <c r="U951" s="8">
        <v>2</v>
      </c>
      <c r="V951" s="8" t="str">
        <f>IF(Table13[[#This Row],[BMI]]&lt;=18.5,"Underweight",IF(Table13[[#This Row],[BMI]]&lt;=24.9,"Normal",IF(Table13[[#This Row],[BMI]]&lt;=29.9,"Overweight",IF(Table13[[#This Row],[BMI]]&lt;=39,"Obese","Severly Obese"))))</f>
        <v>Underweight</v>
      </c>
      <c r="W951" s="18">
        <v>17.25</v>
      </c>
    </row>
    <row r="952" spans="6:23" x14ac:dyDescent="0.3">
      <c r="F952" s="17">
        <v>44</v>
      </c>
      <c r="G952" s="8" t="str">
        <f>IF(Table13[[#This Row],[Age]]&lt;25,"18-24",IF(Table13[[#This Row],[Age]]&lt;35,"25-34",IF(Table13[[#This Row],[Age]]&lt;45,"35-44",IF(Table13[[#This Row],[Age]]&lt;55,"45-54","55-64"))))</f>
        <v>35-44</v>
      </c>
      <c r="H952" s="8" t="s">
        <v>19</v>
      </c>
      <c r="I952" s="8">
        <v>46.7</v>
      </c>
      <c r="J952" s="8">
        <v>1.81</v>
      </c>
      <c r="K952" s="8">
        <v>191</v>
      </c>
      <c r="L952" s="8">
        <v>132</v>
      </c>
      <c r="M952" s="8">
        <v>58</v>
      </c>
      <c r="N952" s="8">
        <v>1.45</v>
      </c>
      <c r="O952" s="8">
        <v>1113</v>
      </c>
      <c r="P952" s="8" t="s">
        <v>20</v>
      </c>
      <c r="Q952" s="8" t="str">
        <f>_xlfn.IFS(AND(Table13[[#This Row],[Gender]]="female",R952&lt;20),"Athletes",AND(Table13[[#This Row],[Gender]]="female",R952&lt;24),"Fitnesss",AND(Table13[[#This Row],[Gender]]="female",R952&lt;31),"Acceptable",AND(Table13[[#This Row],[Gender]]="female",R952&lt;40),"Obese",AND(Table13[[#This Row],[Gender]]="male",R952&lt;13),"Athletes",AND(Table13[[#This Row],[Gender]]="male",R952&lt;17),"Fitnesss",AND(Table13[[#This Row],[Gender]]="male",R952&lt;24.9),"Acceptable",AND(Table13[[#This Row],[Gender]]="male",R952&lt;40),"Obese",AND(Table13[[#This Row],[Gender]]="others",R952&lt;20),"Athletes",AND(Table13[[#This Row],[Gender]]="others",R952&lt;24),"Fitnesss",AND(Table13[[#This Row],[Gender]]="others",R952&lt;31),"Acceptable",AND(Table13[[#This Row],[Gender]]="others",R952&lt;40),"Obese")</f>
        <v>Athletes</v>
      </c>
      <c r="R952" s="8">
        <v>10</v>
      </c>
      <c r="S952" s="8">
        <v>3.5</v>
      </c>
      <c r="T952" s="8">
        <v>4</v>
      </c>
      <c r="U952" s="8">
        <v>3</v>
      </c>
      <c r="V952" s="8" t="str">
        <f>IF(Table13[[#This Row],[BMI]]&lt;=18.5,"Underweight",IF(Table13[[#This Row],[BMI]]&lt;=24.9,"Normal",IF(Table13[[#This Row],[BMI]]&lt;=29.9,"Overweight",IF(Table13[[#This Row],[BMI]]&lt;=39,"Obese","Severly Obese"))))</f>
        <v>Normal</v>
      </c>
      <c r="W952" s="18">
        <v>23.21</v>
      </c>
    </row>
    <row r="953" spans="6:23" x14ac:dyDescent="0.3">
      <c r="F953" s="17">
        <v>30</v>
      </c>
      <c r="G953" s="8" t="str">
        <f>IF(Table13[[#This Row],[Age]]&lt;25,"18-24",IF(Table13[[#This Row],[Age]]&lt;35,"25-34",IF(Table13[[#This Row],[Age]]&lt;45,"35-44",IF(Table13[[#This Row],[Age]]&lt;55,"45-54","55-64"))))</f>
        <v>25-34</v>
      </c>
      <c r="H953" s="8" t="s">
        <v>19</v>
      </c>
      <c r="I953" s="8">
        <v>59.4</v>
      </c>
      <c r="J953" s="8">
        <v>1.87</v>
      </c>
      <c r="K953" s="8">
        <v>190</v>
      </c>
      <c r="L953" s="8">
        <v>122</v>
      </c>
      <c r="M953" s="8">
        <v>50</v>
      </c>
      <c r="N953" s="8">
        <v>1.77</v>
      </c>
      <c r="O953" s="8">
        <v>1337</v>
      </c>
      <c r="P953" s="8" t="s">
        <v>22</v>
      </c>
      <c r="Q953" s="8" t="str">
        <f>_xlfn.IFS(AND(Table13[[#This Row],[Gender]]="female",R953&lt;20),"Athletes",AND(Table13[[#This Row],[Gender]]="female",R953&lt;24),"Fitnesss",AND(Table13[[#This Row],[Gender]]="female",R953&lt;31),"Acceptable",AND(Table13[[#This Row],[Gender]]="female",R953&lt;40),"Obese",AND(Table13[[#This Row],[Gender]]="male",R953&lt;13),"Athletes",AND(Table13[[#This Row],[Gender]]="male",R953&lt;17),"Fitnesss",AND(Table13[[#This Row],[Gender]]="male",R953&lt;24.9),"Acceptable",AND(Table13[[#This Row],[Gender]]="male",R953&lt;40),"Obese",AND(Table13[[#This Row],[Gender]]="others",R953&lt;20),"Athletes",AND(Table13[[#This Row],[Gender]]="others",R953&lt;24),"Fitnesss",AND(Table13[[#This Row],[Gender]]="others",R953&lt;31),"Acceptable",AND(Table13[[#This Row],[Gender]]="others",R953&lt;40),"Obese")</f>
        <v>Obese</v>
      </c>
      <c r="R953" s="8">
        <v>25.5</v>
      </c>
      <c r="S953" s="8">
        <v>2.8</v>
      </c>
      <c r="T953" s="8">
        <v>4</v>
      </c>
      <c r="U953" s="8">
        <v>1</v>
      </c>
      <c r="V953" s="8" t="str">
        <f>IF(Table13[[#This Row],[BMI]]&lt;=18.5,"Underweight",IF(Table13[[#This Row],[BMI]]&lt;=24.9,"Normal",IF(Table13[[#This Row],[BMI]]&lt;=29.9,"Overweight",IF(Table13[[#This Row],[BMI]]&lt;=39,"Obese","Severly Obese"))))</f>
        <v>Normal</v>
      </c>
      <c r="W953" s="18">
        <v>23.2</v>
      </c>
    </row>
    <row r="954" spans="6:23" x14ac:dyDescent="0.3">
      <c r="F954" s="17">
        <v>18</v>
      </c>
      <c r="G954" s="8" t="str">
        <f>IF(Table13[[#This Row],[Age]]&lt;25,"18-24",IF(Table13[[#This Row],[Age]]&lt;35,"25-34",IF(Table13[[#This Row],[Age]]&lt;45,"35-44",IF(Table13[[#This Row],[Age]]&lt;55,"45-54","55-64"))))</f>
        <v>18-24</v>
      </c>
      <c r="H954" s="8" t="s">
        <v>17</v>
      </c>
      <c r="I954" s="8">
        <v>75.900000000000006</v>
      </c>
      <c r="J954" s="8">
        <v>1.7</v>
      </c>
      <c r="K954" s="8">
        <v>183</v>
      </c>
      <c r="L954" s="8">
        <v>151</v>
      </c>
      <c r="M954" s="8">
        <v>51</v>
      </c>
      <c r="N954" s="8">
        <v>1.01</v>
      </c>
      <c r="O954" s="8">
        <v>1289</v>
      </c>
      <c r="P954" s="8" t="s">
        <v>21</v>
      </c>
      <c r="Q954" s="8" t="str">
        <f>_xlfn.IFS(AND(Table13[[#This Row],[Gender]]="female",R954&lt;20),"Athletes",AND(Table13[[#This Row],[Gender]]="female",R954&lt;24),"Fitnesss",AND(Table13[[#This Row],[Gender]]="female",R954&lt;31),"Acceptable",AND(Table13[[#This Row],[Gender]]="female",R954&lt;40),"Obese",AND(Table13[[#This Row],[Gender]]="male",R954&lt;13),"Athletes",AND(Table13[[#This Row],[Gender]]="male",R954&lt;17),"Fitnesss",AND(Table13[[#This Row],[Gender]]="male",R954&lt;24.9),"Acceptable",AND(Table13[[#This Row],[Gender]]="male",R954&lt;40),"Obese",AND(Table13[[#This Row],[Gender]]="others",R954&lt;20),"Athletes",AND(Table13[[#This Row],[Gender]]="others",R954&lt;24),"Fitnesss",AND(Table13[[#This Row],[Gender]]="others",R954&lt;31),"Acceptable",AND(Table13[[#This Row],[Gender]]="others",R954&lt;40),"Obese")</f>
        <v>Acceptable</v>
      </c>
      <c r="R954" s="8">
        <v>30.1</v>
      </c>
      <c r="S954" s="8">
        <v>3.2</v>
      </c>
      <c r="T954" s="8">
        <v>2</v>
      </c>
      <c r="U954" s="8">
        <v>1</v>
      </c>
      <c r="V954" s="8" t="str">
        <f>IF(Table13[[#This Row],[BMI]]&lt;=18.5,"Underweight",IF(Table13[[#This Row],[BMI]]&lt;=24.9,"Normal",IF(Table13[[#This Row],[BMI]]&lt;=29.9,"Overweight",IF(Table13[[#This Row],[BMI]]&lt;=39,"Obese","Severly Obese"))))</f>
        <v>Overweight</v>
      </c>
      <c r="W954" s="18">
        <v>24.94</v>
      </c>
    </row>
    <row r="955" spans="6:23" x14ac:dyDescent="0.3">
      <c r="F955" s="17">
        <v>47</v>
      </c>
      <c r="G955" s="8" t="str">
        <f>IF(Table13[[#This Row],[Age]]&lt;25,"18-24",IF(Table13[[#This Row],[Age]]&lt;35,"25-34",IF(Table13[[#This Row],[Age]]&lt;45,"35-44",IF(Table13[[#This Row],[Age]]&lt;55,"45-54","55-64"))))</f>
        <v>45-54</v>
      </c>
      <c r="H955" s="8" t="s">
        <v>17</v>
      </c>
      <c r="I955" s="8">
        <v>45.1</v>
      </c>
      <c r="J955" s="8">
        <v>1.73</v>
      </c>
      <c r="K955" s="8">
        <v>193</v>
      </c>
      <c r="L955" s="8">
        <v>152</v>
      </c>
      <c r="M955" s="8">
        <v>57</v>
      </c>
      <c r="N955" s="8">
        <v>1.25</v>
      </c>
      <c r="O955" s="8">
        <v>918</v>
      </c>
      <c r="P955" s="8" t="s">
        <v>23</v>
      </c>
      <c r="Q955" s="8" t="str">
        <f>_xlfn.IFS(AND(Table13[[#This Row],[Gender]]="female",R955&lt;20),"Athletes",AND(Table13[[#This Row],[Gender]]="female",R955&lt;24),"Fitnesss",AND(Table13[[#This Row],[Gender]]="female",R955&lt;31),"Acceptable",AND(Table13[[#This Row],[Gender]]="female",R955&lt;40),"Obese",AND(Table13[[#This Row],[Gender]]="male",R955&lt;13),"Athletes",AND(Table13[[#This Row],[Gender]]="male",R955&lt;17),"Fitnesss",AND(Table13[[#This Row],[Gender]]="male",R955&lt;24.9),"Acceptable",AND(Table13[[#This Row],[Gender]]="male",R955&lt;40),"Obese",AND(Table13[[#This Row],[Gender]]="others",R955&lt;20),"Athletes",AND(Table13[[#This Row],[Gender]]="others",R955&lt;24),"Fitnesss",AND(Table13[[#This Row],[Gender]]="others",R955&lt;31),"Acceptable",AND(Table13[[#This Row],[Gender]]="others",R955&lt;40),"Obese")</f>
        <v>Acceptable</v>
      </c>
      <c r="R955" s="8">
        <v>29.7</v>
      </c>
      <c r="S955" s="8">
        <v>2.8</v>
      </c>
      <c r="T955" s="8">
        <v>3</v>
      </c>
      <c r="U955" s="8">
        <v>3</v>
      </c>
      <c r="V955" s="8" t="str">
        <f>IF(Table13[[#This Row],[BMI]]&lt;=18.5,"Underweight",IF(Table13[[#This Row],[BMI]]&lt;=24.9,"Normal",IF(Table13[[#This Row],[BMI]]&lt;=29.9,"Overweight",IF(Table13[[#This Row],[BMI]]&lt;=39,"Obese","Severly Obese"))))</f>
        <v>Underweight</v>
      </c>
      <c r="W955" s="18">
        <v>14.58</v>
      </c>
    </row>
    <row r="956" spans="6:23" x14ac:dyDescent="0.3">
      <c r="F956" s="17">
        <v>25</v>
      </c>
      <c r="G956" s="8" t="str">
        <f>IF(Table13[[#This Row],[Age]]&lt;25,"18-24",IF(Table13[[#This Row],[Age]]&lt;35,"25-34",IF(Table13[[#This Row],[Age]]&lt;45,"35-44",IF(Table13[[#This Row],[Age]]&lt;55,"45-54","55-64"))))</f>
        <v>25-34</v>
      </c>
      <c r="H956" s="8" t="s">
        <v>17</v>
      </c>
      <c r="I956" s="8">
        <v>64.599999999999994</v>
      </c>
      <c r="J956" s="8">
        <v>1.51</v>
      </c>
      <c r="K956" s="8">
        <v>194</v>
      </c>
      <c r="L956" s="8">
        <v>127</v>
      </c>
      <c r="M956" s="8">
        <v>55</v>
      </c>
      <c r="N956" s="8">
        <v>1.4</v>
      </c>
      <c r="O956" s="8">
        <v>1155</v>
      </c>
      <c r="P956" s="8" t="s">
        <v>20</v>
      </c>
      <c r="Q956" s="8" t="str">
        <f>_xlfn.IFS(AND(Table13[[#This Row],[Gender]]="female",R956&lt;20),"Athletes",AND(Table13[[#This Row],[Gender]]="female",R956&lt;24),"Fitnesss",AND(Table13[[#This Row],[Gender]]="female",R956&lt;31),"Acceptable",AND(Table13[[#This Row],[Gender]]="female",R956&lt;40),"Obese",AND(Table13[[#This Row],[Gender]]="male",R956&lt;13),"Athletes",AND(Table13[[#This Row],[Gender]]="male",R956&lt;17),"Fitnesss",AND(Table13[[#This Row],[Gender]]="male",R956&lt;24.9),"Acceptable",AND(Table13[[#This Row],[Gender]]="male",R956&lt;40),"Obese",AND(Table13[[#This Row],[Gender]]="others",R956&lt;20),"Athletes",AND(Table13[[#This Row],[Gender]]="others",R956&lt;24),"Fitnesss",AND(Table13[[#This Row],[Gender]]="others",R956&lt;31),"Acceptable",AND(Table13[[#This Row],[Gender]]="others",R956&lt;40),"Obese")</f>
        <v>Acceptable</v>
      </c>
      <c r="R956" s="8">
        <v>26.9</v>
      </c>
      <c r="S956" s="8">
        <v>3.5</v>
      </c>
      <c r="T956" s="8">
        <v>2</v>
      </c>
      <c r="U956" s="8">
        <v>3</v>
      </c>
      <c r="V956" s="8" t="str">
        <f>IF(Table13[[#This Row],[BMI]]&lt;=18.5,"Underweight",IF(Table13[[#This Row],[BMI]]&lt;=24.9,"Normal",IF(Table13[[#This Row],[BMI]]&lt;=29.9,"Overweight",IF(Table13[[#This Row],[BMI]]&lt;=39,"Obese","Severly Obese"))))</f>
        <v>Underweight</v>
      </c>
      <c r="W956" s="18">
        <v>17.739999999999998</v>
      </c>
    </row>
    <row r="957" spans="6:23" x14ac:dyDescent="0.3">
      <c r="F957" s="17">
        <v>18</v>
      </c>
      <c r="G957" s="8" t="str">
        <f>IF(Table13[[#This Row],[Age]]&lt;25,"18-24",IF(Table13[[#This Row],[Age]]&lt;35,"25-34",IF(Table13[[#This Row],[Age]]&lt;45,"35-44",IF(Table13[[#This Row],[Age]]&lt;55,"45-54","55-64"))))</f>
        <v>18-24</v>
      </c>
      <c r="H957" s="8" t="s">
        <v>17</v>
      </c>
      <c r="I957" s="8">
        <v>68.7</v>
      </c>
      <c r="J957" s="8">
        <v>1.6</v>
      </c>
      <c r="K957" s="8">
        <v>163</v>
      </c>
      <c r="L957" s="8">
        <v>135</v>
      </c>
      <c r="M957" s="8">
        <v>61</v>
      </c>
      <c r="N957" s="8">
        <v>1.05</v>
      </c>
      <c r="O957" s="8">
        <v>367</v>
      </c>
      <c r="P957" s="8" t="s">
        <v>22</v>
      </c>
      <c r="Q957" s="8" t="str">
        <f>_xlfn.IFS(AND(Table13[[#This Row],[Gender]]="female",R957&lt;20),"Athletes",AND(Table13[[#This Row],[Gender]]="female",R957&lt;24),"Fitnesss",AND(Table13[[#This Row],[Gender]]="female",R957&lt;31),"Acceptable",AND(Table13[[#This Row],[Gender]]="female",R957&lt;40),"Obese",AND(Table13[[#This Row],[Gender]]="male",R957&lt;13),"Athletes",AND(Table13[[#This Row],[Gender]]="male",R957&lt;17),"Fitnesss",AND(Table13[[#This Row],[Gender]]="male",R957&lt;24.9),"Acceptable",AND(Table13[[#This Row],[Gender]]="male",R957&lt;40),"Obese",AND(Table13[[#This Row],[Gender]]="others",R957&lt;20),"Athletes",AND(Table13[[#This Row],[Gender]]="others",R957&lt;24),"Fitnesss",AND(Table13[[#This Row],[Gender]]="others",R957&lt;31),"Acceptable",AND(Table13[[#This Row],[Gender]]="others",R957&lt;40),"Obese")</f>
        <v>Fitnesss</v>
      </c>
      <c r="R957" s="8">
        <v>23.1</v>
      </c>
      <c r="S957" s="8">
        <v>3.6</v>
      </c>
      <c r="T957" s="8">
        <v>3</v>
      </c>
      <c r="U957" s="8"/>
      <c r="V957" s="8" t="str">
        <f>IF(Table13[[#This Row],[BMI]]&lt;=18.5,"Underweight",IF(Table13[[#This Row],[BMI]]&lt;=24.9,"Normal",IF(Table13[[#This Row],[BMI]]&lt;=29.9,"Overweight",IF(Table13[[#This Row],[BMI]]&lt;=39,"Obese","Severly Obese"))))</f>
        <v>Obese</v>
      </c>
      <c r="W957" s="18">
        <v>33.26</v>
      </c>
    </row>
    <row r="958" spans="6:23" x14ac:dyDescent="0.3">
      <c r="F958" s="17">
        <v>45</v>
      </c>
      <c r="G958" s="8" t="str">
        <f>IF(Table13[[#This Row],[Age]]&lt;25,"18-24",IF(Table13[[#This Row],[Age]]&lt;35,"25-34",IF(Table13[[#This Row],[Age]]&lt;45,"35-44",IF(Table13[[#This Row],[Age]]&lt;55,"45-54","55-64"))))</f>
        <v>45-54</v>
      </c>
      <c r="H958" s="8" t="s">
        <v>17</v>
      </c>
      <c r="I958" s="8">
        <v>61.1</v>
      </c>
      <c r="J958" s="8">
        <v>1.74</v>
      </c>
      <c r="K958" s="8">
        <v>171</v>
      </c>
      <c r="L958" s="8">
        <v>164</v>
      </c>
      <c r="M958" s="8">
        <v>69</v>
      </c>
      <c r="N958" s="8">
        <v>1.1599999999999999</v>
      </c>
      <c r="O958" s="8">
        <v>1019</v>
      </c>
      <c r="P958" s="8" t="s">
        <v>22</v>
      </c>
      <c r="Q958" s="8" t="str">
        <f>_xlfn.IFS(AND(Table13[[#This Row],[Gender]]="female",R958&lt;20),"Athletes",AND(Table13[[#This Row],[Gender]]="female",R958&lt;24),"Fitnesss",AND(Table13[[#This Row],[Gender]]="female",R958&lt;31),"Acceptable",AND(Table13[[#This Row],[Gender]]="female",R958&lt;40),"Obese",AND(Table13[[#This Row],[Gender]]="male",R958&lt;13),"Athletes",AND(Table13[[#This Row],[Gender]]="male",R958&lt;17),"Fitnesss",AND(Table13[[#This Row],[Gender]]="male",R958&lt;24.9),"Acceptable",AND(Table13[[#This Row],[Gender]]="male",R958&lt;40),"Obese",AND(Table13[[#This Row],[Gender]]="others",R958&lt;20),"Athletes",AND(Table13[[#This Row],[Gender]]="others",R958&lt;24),"Fitnesss",AND(Table13[[#This Row],[Gender]]="others",R958&lt;31),"Acceptable",AND(Table13[[#This Row],[Gender]]="others",R958&lt;40),"Obese")</f>
        <v>Athletes</v>
      </c>
      <c r="R958" s="8">
        <v>19.600000000000001</v>
      </c>
      <c r="S958" s="8">
        <v>2.8</v>
      </c>
      <c r="T958" s="8">
        <v>3</v>
      </c>
      <c r="U958" s="8">
        <v>1</v>
      </c>
      <c r="V958" s="8" t="str">
        <f>IF(Table13[[#This Row],[BMI]]&lt;=18.5,"Underweight",IF(Table13[[#This Row],[BMI]]&lt;=24.9,"Normal",IF(Table13[[#This Row],[BMI]]&lt;=29.9,"Overweight",IF(Table13[[#This Row],[BMI]]&lt;=39,"Obese","Severly Obese"))))</f>
        <v>Underweight</v>
      </c>
      <c r="W958" s="18">
        <v>16.37</v>
      </c>
    </row>
    <row r="959" spans="6:23" x14ac:dyDescent="0.3">
      <c r="F959" s="17">
        <v>47</v>
      </c>
      <c r="G959" s="8" t="str">
        <f>IF(Table13[[#This Row],[Age]]&lt;25,"18-24",IF(Table13[[#This Row],[Age]]&lt;35,"25-34",IF(Table13[[#This Row],[Age]]&lt;45,"35-44",IF(Table13[[#This Row],[Age]]&lt;55,"45-54","55-64"))))</f>
        <v>45-54</v>
      </c>
      <c r="H959" s="8" t="s">
        <v>17</v>
      </c>
      <c r="I959" s="8">
        <v>70.099999999999994</v>
      </c>
      <c r="J959" s="8">
        <v>1.71</v>
      </c>
      <c r="K959" s="8">
        <v>199</v>
      </c>
      <c r="L959" s="8">
        <v>139</v>
      </c>
      <c r="M959" s="8">
        <v>74</v>
      </c>
      <c r="N959" s="8">
        <v>1.1499999999999999</v>
      </c>
      <c r="O959" s="8">
        <v>1238</v>
      </c>
      <c r="P959" s="8" t="s">
        <v>20</v>
      </c>
      <c r="Q959" s="8" t="str">
        <f>_xlfn.IFS(AND(Table13[[#This Row],[Gender]]="female",R959&lt;20),"Athletes",AND(Table13[[#This Row],[Gender]]="female",R959&lt;24),"Fitnesss",AND(Table13[[#This Row],[Gender]]="female",R959&lt;31),"Acceptable",AND(Table13[[#This Row],[Gender]]="female",R959&lt;40),"Obese",AND(Table13[[#This Row],[Gender]]="male",R959&lt;13),"Athletes",AND(Table13[[#This Row],[Gender]]="male",R959&lt;17),"Fitnesss",AND(Table13[[#This Row],[Gender]]="male",R959&lt;24.9),"Acceptable",AND(Table13[[#This Row],[Gender]]="male",R959&lt;40),"Obese",AND(Table13[[#This Row],[Gender]]="others",R959&lt;20),"Athletes",AND(Table13[[#This Row],[Gender]]="others",R959&lt;24),"Fitnesss",AND(Table13[[#This Row],[Gender]]="others",R959&lt;31),"Acceptable",AND(Table13[[#This Row],[Gender]]="others",R959&lt;40),"Obese")</f>
        <v>Acceptable</v>
      </c>
      <c r="R959" s="8">
        <v>25.1</v>
      </c>
      <c r="S959" s="8">
        <v>2.5</v>
      </c>
      <c r="T959" s="8">
        <v>4</v>
      </c>
      <c r="U959" s="8">
        <v>1</v>
      </c>
      <c r="V959" s="8" t="str">
        <f>IF(Table13[[#This Row],[BMI]]&lt;=18.5,"Underweight",IF(Table13[[#This Row],[BMI]]&lt;=24.9,"Normal",IF(Table13[[#This Row],[BMI]]&lt;=29.9,"Overweight",IF(Table13[[#This Row],[BMI]]&lt;=39,"Obese","Severly Obese"))))</f>
        <v>Normal</v>
      </c>
      <c r="W959" s="18">
        <v>19.95</v>
      </c>
    </row>
    <row r="960" spans="6:23" x14ac:dyDescent="0.3">
      <c r="F960" s="17">
        <v>28</v>
      </c>
      <c r="G960" s="8" t="str">
        <f>IF(Table13[[#This Row],[Age]]&lt;25,"18-24",IF(Table13[[#This Row],[Age]]&lt;35,"25-34",IF(Table13[[#This Row],[Age]]&lt;45,"35-44",IF(Table13[[#This Row],[Age]]&lt;55,"45-54","55-64"))))</f>
        <v>25-34</v>
      </c>
      <c r="H960" s="8" t="s">
        <v>19</v>
      </c>
      <c r="I960" s="8">
        <v>50.3</v>
      </c>
      <c r="J960" s="8">
        <v>1.81</v>
      </c>
      <c r="K960" s="8">
        <v>176</v>
      </c>
      <c r="L960" s="8">
        <v>156</v>
      </c>
      <c r="M960" s="8">
        <v>70</v>
      </c>
      <c r="N960" s="8">
        <v>1.46</v>
      </c>
      <c r="O960" s="8">
        <v>1143</v>
      </c>
      <c r="P960" s="8" t="s">
        <v>18</v>
      </c>
      <c r="Q960" s="8" t="str">
        <f>_xlfn.IFS(AND(Table13[[#This Row],[Gender]]="female",R960&lt;20),"Athletes",AND(Table13[[#This Row],[Gender]]="female",R960&lt;24),"Fitnesss",AND(Table13[[#This Row],[Gender]]="female",R960&lt;31),"Acceptable",AND(Table13[[#This Row],[Gender]]="female",R960&lt;40),"Obese",AND(Table13[[#This Row],[Gender]]="male",R960&lt;13),"Athletes",AND(Table13[[#This Row],[Gender]]="male",R960&lt;17),"Fitnesss",AND(Table13[[#This Row],[Gender]]="male",R960&lt;24.9),"Acceptable",AND(Table13[[#This Row],[Gender]]="male",R960&lt;40),"Obese",AND(Table13[[#This Row],[Gender]]="others",R960&lt;20),"Athletes",AND(Table13[[#This Row],[Gender]]="others",R960&lt;24),"Fitnesss",AND(Table13[[#This Row],[Gender]]="others",R960&lt;31),"Acceptable",AND(Table13[[#This Row],[Gender]]="others",R960&lt;40),"Obese")</f>
        <v>Obese</v>
      </c>
      <c r="R960" s="8">
        <v>31.8</v>
      </c>
      <c r="S960" s="8">
        <v>1.9</v>
      </c>
      <c r="T960" s="8">
        <v>3</v>
      </c>
      <c r="U960" s="8">
        <v>1</v>
      </c>
      <c r="V960" s="8" t="str">
        <f>IF(Table13[[#This Row],[BMI]]&lt;=18.5,"Underweight",IF(Table13[[#This Row],[BMI]]&lt;=24.9,"Normal",IF(Table13[[#This Row],[BMI]]&lt;=29.9,"Overweight",IF(Table13[[#This Row],[BMI]]&lt;=39,"Obese","Severly Obese"))))</f>
        <v>Overweight</v>
      </c>
      <c r="W960" s="18">
        <v>26.47</v>
      </c>
    </row>
    <row r="961" spans="6:23" x14ac:dyDescent="0.3">
      <c r="F961" s="17">
        <v>18</v>
      </c>
      <c r="G961" s="8" t="str">
        <f>IF(Table13[[#This Row],[Age]]&lt;25,"18-24",IF(Table13[[#This Row],[Age]]&lt;35,"25-34",IF(Table13[[#This Row],[Age]]&lt;45,"35-44",IF(Table13[[#This Row],[Age]]&lt;55,"45-54","55-64"))))</f>
        <v>18-24</v>
      </c>
      <c r="H961" s="8" t="s">
        <v>17</v>
      </c>
      <c r="I961" s="8">
        <v>66.8</v>
      </c>
      <c r="J961" s="8">
        <v>1.62</v>
      </c>
      <c r="K961" s="8">
        <v>161</v>
      </c>
      <c r="L961" s="8">
        <v>169</v>
      </c>
      <c r="M961" s="8">
        <v>74</v>
      </c>
      <c r="N961" s="8">
        <v>1.57</v>
      </c>
      <c r="O961" s="8">
        <v>1410</v>
      </c>
      <c r="P961" s="8" t="s">
        <v>21</v>
      </c>
      <c r="Q961" s="8" t="str">
        <f>_xlfn.IFS(AND(Table13[[#This Row],[Gender]]="female",R961&lt;20),"Athletes",AND(Table13[[#This Row],[Gender]]="female",R961&lt;24),"Fitnesss",AND(Table13[[#This Row],[Gender]]="female",R961&lt;31),"Acceptable",AND(Table13[[#This Row],[Gender]]="female",R961&lt;40),"Obese",AND(Table13[[#This Row],[Gender]]="male",R961&lt;13),"Athletes",AND(Table13[[#This Row],[Gender]]="male",R961&lt;17),"Fitnesss",AND(Table13[[#This Row],[Gender]]="male",R961&lt;24.9),"Acceptable",AND(Table13[[#This Row],[Gender]]="male",R961&lt;40),"Obese",AND(Table13[[#This Row],[Gender]]="others",R961&lt;20),"Athletes",AND(Table13[[#This Row],[Gender]]="others",R961&lt;24),"Fitnesss",AND(Table13[[#This Row],[Gender]]="others",R961&lt;31),"Acceptable",AND(Table13[[#This Row],[Gender]]="others",R961&lt;40),"Obese")</f>
        <v>Acceptable</v>
      </c>
      <c r="R961" s="8">
        <v>30.2</v>
      </c>
      <c r="S961" s="8">
        <v>3.3</v>
      </c>
      <c r="T961" s="8"/>
      <c r="U961" s="8"/>
      <c r="V961" s="8" t="str">
        <f>IF(Table13[[#This Row],[BMI]]&lt;=18.5,"Underweight",IF(Table13[[#This Row],[BMI]]&lt;=24.9,"Normal",IF(Table13[[#This Row],[BMI]]&lt;=29.9,"Overweight",IF(Table13[[#This Row],[BMI]]&lt;=39,"Obese","Severly Obese"))))</f>
        <v>Normal</v>
      </c>
      <c r="W961" s="18">
        <v>22.63</v>
      </c>
    </row>
    <row r="962" spans="6:23" x14ac:dyDescent="0.3">
      <c r="F962" s="17">
        <v>28</v>
      </c>
      <c r="G962" s="8" t="str">
        <f>IF(Table13[[#This Row],[Age]]&lt;25,"18-24",IF(Table13[[#This Row],[Age]]&lt;35,"25-34",IF(Table13[[#This Row],[Age]]&lt;45,"35-44",IF(Table13[[#This Row],[Age]]&lt;55,"45-54","55-64"))))</f>
        <v>25-34</v>
      </c>
      <c r="H962" s="8" t="s">
        <v>19</v>
      </c>
      <c r="I962" s="8">
        <v>59.9</v>
      </c>
      <c r="J962" s="8">
        <v>1.7</v>
      </c>
      <c r="K962" s="8">
        <v>169</v>
      </c>
      <c r="L962" s="8">
        <v>163</v>
      </c>
      <c r="M962" s="8">
        <v>65</v>
      </c>
      <c r="N962" s="8">
        <v>1.26</v>
      </c>
      <c r="O962" s="8">
        <v>1474</v>
      </c>
      <c r="P962" s="8" t="s">
        <v>22</v>
      </c>
      <c r="Q962" s="8" t="str">
        <f>_xlfn.IFS(AND(Table13[[#This Row],[Gender]]="female",R962&lt;20),"Athletes",AND(Table13[[#This Row],[Gender]]="female",R962&lt;24),"Fitnesss",AND(Table13[[#This Row],[Gender]]="female",R962&lt;31),"Acceptable",AND(Table13[[#This Row],[Gender]]="female",R962&lt;40),"Obese",AND(Table13[[#This Row],[Gender]]="male",R962&lt;13),"Athletes",AND(Table13[[#This Row],[Gender]]="male",R962&lt;17),"Fitnesss",AND(Table13[[#This Row],[Gender]]="male",R962&lt;24.9),"Acceptable",AND(Table13[[#This Row],[Gender]]="male",R962&lt;40),"Obese",AND(Table13[[#This Row],[Gender]]="others",R962&lt;20),"Athletes",AND(Table13[[#This Row],[Gender]]="others",R962&lt;24),"Fitnesss",AND(Table13[[#This Row],[Gender]]="others",R962&lt;31),"Acceptable",AND(Table13[[#This Row],[Gender]]="others",R962&lt;40),"Obese")</f>
        <v>Athletes</v>
      </c>
      <c r="R962" s="8">
        <v>11.7</v>
      </c>
      <c r="S962" s="8">
        <v>2.9</v>
      </c>
      <c r="T962" s="8">
        <v>4</v>
      </c>
      <c r="U962" s="8">
        <v>1</v>
      </c>
      <c r="V962" s="8" t="str">
        <f>IF(Table13[[#This Row],[BMI]]&lt;=18.5,"Underweight",IF(Table13[[#This Row],[BMI]]&lt;=24.9,"Normal",IF(Table13[[#This Row],[BMI]]&lt;=29.9,"Overweight",IF(Table13[[#This Row],[BMI]]&lt;=39,"Obese","Severly Obese"))))</f>
        <v>Obese</v>
      </c>
      <c r="W962" s="18">
        <v>33.85</v>
      </c>
    </row>
    <row r="963" spans="6:23" x14ac:dyDescent="0.3">
      <c r="F963" s="17">
        <v>41</v>
      </c>
      <c r="G963" s="8" t="str">
        <f>IF(Table13[[#This Row],[Age]]&lt;25,"18-24",IF(Table13[[#This Row],[Age]]&lt;35,"25-34",IF(Table13[[#This Row],[Age]]&lt;45,"35-44",IF(Table13[[#This Row],[Age]]&lt;55,"45-54","55-64"))))</f>
        <v>35-44</v>
      </c>
      <c r="H963" s="8" t="s">
        <v>19</v>
      </c>
      <c r="I963" s="8">
        <v>52.8</v>
      </c>
      <c r="J963" s="8">
        <v>1.68</v>
      </c>
      <c r="K963" s="8">
        <v>192</v>
      </c>
      <c r="L963" s="8">
        <v>132</v>
      </c>
      <c r="M963" s="8">
        <v>59</v>
      </c>
      <c r="N963" s="8">
        <v>1.47</v>
      </c>
      <c r="O963" s="8">
        <v>1709</v>
      </c>
      <c r="P963" s="8" t="s">
        <v>20</v>
      </c>
      <c r="Q963" s="8" t="str">
        <f>_xlfn.IFS(AND(Table13[[#This Row],[Gender]]="female",R963&lt;20),"Athletes",AND(Table13[[#This Row],[Gender]]="female",R963&lt;24),"Fitnesss",AND(Table13[[#This Row],[Gender]]="female",R963&lt;31),"Acceptable",AND(Table13[[#This Row],[Gender]]="female",R963&lt;40),"Obese",AND(Table13[[#This Row],[Gender]]="male",R963&lt;13),"Athletes",AND(Table13[[#This Row],[Gender]]="male",R963&lt;17),"Fitnesss",AND(Table13[[#This Row],[Gender]]="male",R963&lt;24.9),"Acceptable",AND(Table13[[#This Row],[Gender]]="male",R963&lt;40),"Obese",AND(Table13[[#This Row],[Gender]]="others",R963&lt;20),"Athletes",AND(Table13[[#This Row],[Gender]]="others",R963&lt;24),"Fitnesss",AND(Table13[[#This Row],[Gender]]="others",R963&lt;31),"Acceptable",AND(Table13[[#This Row],[Gender]]="others",R963&lt;40),"Obese")</f>
        <v>Obese</v>
      </c>
      <c r="R963" s="8">
        <v>29.6</v>
      </c>
      <c r="S963" s="8">
        <v>3.5</v>
      </c>
      <c r="T963" s="8">
        <v>4</v>
      </c>
      <c r="U963" s="8">
        <v>1</v>
      </c>
      <c r="V963" s="8" t="str">
        <f>IF(Table13[[#This Row],[BMI]]&lt;=18.5,"Underweight",IF(Table13[[#This Row],[BMI]]&lt;=24.9,"Normal",IF(Table13[[#This Row],[BMI]]&lt;=29.9,"Overweight",IF(Table13[[#This Row],[BMI]]&lt;=39,"Obese","Severly Obese"))))</f>
        <v>Underweight</v>
      </c>
      <c r="W963" s="18">
        <v>12.32</v>
      </c>
    </row>
    <row r="964" spans="6:23" x14ac:dyDescent="0.3">
      <c r="F964" s="17">
        <v>51</v>
      </c>
      <c r="G964" s="8" t="str">
        <f>IF(Table13[[#This Row],[Age]]&lt;25,"18-24",IF(Table13[[#This Row],[Age]]&lt;35,"25-34",IF(Table13[[#This Row],[Age]]&lt;45,"35-44",IF(Table13[[#This Row],[Age]]&lt;55,"45-54","55-64"))))</f>
        <v>45-54</v>
      </c>
      <c r="H964" s="8" t="s">
        <v>17</v>
      </c>
      <c r="I964" s="8">
        <v>62.7</v>
      </c>
      <c r="J964" s="8">
        <v>1.73</v>
      </c>
      <c r="K964" s="8">
        <v>198</v>
      </c>
      <c r="L964" s="8">
        <v>140</v>
      </c>
      <c r="M964" s="8">
        <v>50</v>
      </c>
      <c r="N964" s="8">
        <v>1.98</v>
      </c>
      <c r="O964" s="8">
        <v>1656</v>
      </c>
      <c r="P964" s="8" t="s">
        <v>18</v>
      </c>
      <c r="Q964" s="8" t="str">
        <f>_xlfn.IFS(AND(Table13[[#This Row],[Gender]]="female",R964&lt;20),"Athletes",AND(Table13[[#This Row],[Gender]]="female",R964&lt;24),"Fitnesss",AND(Table13[[#This Row],[Gender]]="female",R964&lt;31),"Acceptable",AND(Table13[[#This Row],[Gender]]="female",R964&lt;40),"Obese",AND(Table13[[#This Row],[Gender]]="male",R964&lt;13),"Athletes",AND(Table13[[#This Row],[Gender]]="male",R964&lt;17),"Fitnesss",AND(Table13[[#This Row],[Gender]]="male",R964&lt;24.9),"Acceptable",AND(Table13[[#This Row],[Gender]]="male",R964&lt;40),"Obese",AND(Table13[[#This Row],[Gender]]="others",R964&lt;20),"Athletes",AND(Table13[[#This Row],[Gender]]="others",R964&lt;24),"Fitnesss",AND(Table13[[#This Row],[Gender]]="others",R964&lt;31),"Acceptable",AND(Table13[[#This Row],[Gender]]="others",R964&lt;40),"Obese")</f>
        <v>Athletes</v>
      </c>
      <c r="R964" s="8">
        <v>18.2</v>
      </c>
      <c r="S964" s="8">
        <v>3.6</v>
      </c>
      <c r="T964" s="8">
        <v>4</v>
      </c>
      <c r="U964" s="8">
        <v>2</v>
      </c>
      <c r="V964" s="8" t="str">
        <f>IF(Table13[[#This Row],[BMI]]&lt;=18.5,"Underweight",IF(Table13[[#This Row],[BMI]]&lt;=24.9,"Normal",IF(Table13[[#This Row],[BMI]]&lt;=29.9,"Overweight",IF(Table13[[#This Row],[BMI]]&lt;=39,"Obese","Severly Obese"))))</f>
        <v>Obese</v>
      </c>
      <c r="W964" s="18">
        <v>33.869999999999997</v>
      </c>
    </row>
    <row r="965" spans="6:23" x14ac:dyDescent="0.3">
      <c r="F965" s="17">
        <v>34</v>
      </c>
      <c r="G965" s="8" t="str">
        <f>IF(Table13[[#This Row],[Age]]&lt;25,"18-24",IF(Table13[[#This Row],[Age]]&lt;35,"25-34",IF(Table13[[#This Row],[Age]]&lt;45,"35-44",IF(Table13[[#This Row],[Age]]&lt;55,"45-54","55-64"))))</f>
        <v>25-34</v>
      </c>
      <c r="H965" s="8" t="s">
        <v>19</v>
      </c>
      <c r="I965" s="8">
        <v>76.400000000000006</v>
      </c>
      <c r="J965" s="8">
        <v>1.84</v>
      </c>
      <c r="K965" s="8">
        <v>164</v>
      </c>
      <c r="L965" s="8">
        <v>161</v>
      </c>
      <c r="M965" s="8">
        <v>69</v>
      </c>
      <c r="N965" s="8">
        <v>1.2</v>
      </c>
      <c r="O965" s="8">
        <v>978</v>
      </c>
      <c r="P965" s="8" t="s">
        <v>20</v>
      </c>
      <c r="Q965" s="8" t="str">
        <f>_xlfn.IFS(AND(Table13[[#This Row],[Gender]]="female",R965&lt;20),"Athletes",AND(Table13[[#This Row],[Gender]]="female",R965&lt;24),"Fitnesss",AND(Table13[[#This Row],[Gender]]="female",R965&lt;31),"Acceptable",AND(Table13[[#This Row],[Gender]]="female",R965&lt;40),"Obese",AND(Table13[[#This Row],[Gender]]="male",R965&lt;13),"Athletes",AND(Table13[[#This Row],[Gender]]="male",R965&lt;17),"Fitnesss",AND(Table13[[#This Row],[Gender]]="male",R965&lt;24.9),"Acceptable",AND(Table13[[#This Row],[Gender]]="male",R965&lt;40),"Obese",AND(Table13[[#This Row],[Gender]]="others",R965&lt;20),"Athletes",AND(Table13[[#This Row],[Gender]]="others",R965&lt;24),"Fitnesss",AND(Table13[[#This Row],[Gender]]="others",R965&lt;31),"Acceptable",AND(Table13[[#This Row],[Gender]]="others",R965&lt;40),"Obese")</f>
        <v>Acceptable</v>
      </c>
      <c r="R965" s="8">
        <v>17</v>
      </c>
      <c r="S965" s="8">
        <v>3</v>
      </c>
      <c r="T965" s="8">
        <v>3</v>
      </c>
      <c r="U965" s="8">
        <v>1</v>
      </c>
      <c r="V965" s="8" t="str">
        <f>IF(Table13[[#This Row],[BMI]]&lt;=18.5,"Underweight",IF(Table13[[#This Row],[BMI]]&lt;=24.9,"Normal",IF(Table13[[#This Row],[BMI]]&lt;=29.9,"Overweight",IF(Table13[[#This Row],[BMI]]&lt;=39,"Obese","Severly Obese"))))</f>
        <v>Normal</v>
      </c>
      <c r="W965" s="18">
        <v>21.69</v>
      </c>
    </row>
    <row r="966" spans="6:23" x14ac:dyDescent="0.3">
      <c r="F966" s="17">
        <v>52</v>
      </c>
      <c r="G966" s="8" t="str">
        <f>IF(Table13[[#This Row],[Age]]&lt;25,"18-24",IF(Table13[[#This Row],[Age]]&lt;35,"25-34",IF(Table13[[#This Row],[Age]]&lt;45,"35-44",IF(Table13[[#This Row],[Age]]&lt;55,"45-54","55-64"))))</f>
        <v>45-54</v>
      </c>
      <c r="H966" s="8" t="s">
        <v>19</v>
      </c>
      <c r="I966" s="8">
        <v>54.7</v>
      </c>
      <c r="J966" s="8">
        <v>1.93</v>
      </c>
      <c r="K966" s="8">
        <v>193</v>
      </c>
      <c r="L966" s="8">
        <v>135</v>
      </c>
      <c r="M966" s="8">
        <v>62</v>
      </c>
      <c r="N966" s="8">
        <v>2</v>
      </c>
      <c r="O966" s="8">
        <v>416</v>
      </c>
      <c r="P966" s="8" t="s">
        <v>20</v>
      </c>
      <c r="Q966" s="8" t="str">
        <f>_xlfn.IFS(AND(Table13[[#This Row],[Gender]]="female",R966&lt;20),"Athletes",AND(Table13[[#This Row],[Gender]]="female",R966&lt;24),"Fitnesss",AND(Table13[[#This Row],[Gender]]="female",R966&lt;31),"Acceptable",AND(Table13[[#This Row],[Gender]]="female",R966&lt;40),"Obese",AND(Table13[[#This Row],[Gender]]="male",R966&lt;13),"Athletes",AND(Table13[[#This Row],[Gender]]="male",R966&lt;17),"Fitnesss",AND(Table13[[#This Row],[Gender]]="male",R966&lt;24.9),"Acceptable",AND(Table13[[#This Row],[Gender]]="male",R966&lt;40),"Obese",AND(Table13[[#This Row],[Gender]]="others",R966&lt;20),"Athletes",AND(Table13[[#This Row],[Gender]]="others",R966&lt;24),"Fitnesss",AND(Table13[[#This Row],[Gender]]="others",R966&lt;31),"Acceptable",AND(Table13[[#This Row],[Gender]]="others",R966&lt;40),"Obese")</f>
        <v>Obese</v>
      </c>
      <c r="R966" s="8">
        <v>31.9</v>
      </c>
      <c r="S966" s="8">
        <v>3.2</v>
      </c>
      <c r="T966" s="8">
        <v>2</v>
      </c>
      <c r="U966" s="8">
        <v>2</v>
      </c>
      <c r="V966" s="8" t="str">
        <f>IF(Table13[[#This Row],[BMI]]&lt;=18.5,"Underweight",IF(Table13[[#This Row],[BMI]]&lt;=24.9,"Normal",IF(Table13[[#This Row],[BMI]]&lt;=29.9,"Overweight",IF(Table13[[#This Row],[BMI]]&lt;=39,"Obese","Severly Obese"))))</f>
        <v>Obese</v>
      </c>
      <c r="W966" s="18">
        <v>34.32</v>
      </c>
    </row>
    <row r="967" spans="6:23" x14ac:dyDescent="0.3">
      <c r="F967" s="17">
        <v>18</v>
      </c>
      <c r="G967" s="8" t="str">
        <f>IF(Table13[[#This Row],[Age]]&lt;25,"18-24",IF(Table13[[#This Row],[Age]]&lt;35,"25-34",IF(Table13[[#This Row],[Age]]&lt;45,"35-44",IF(Table13[[#This Row],[Age]]&lt;55,"45-54","55-64"))))</f>
        <v>18-24</v>
      </c>
      <c r="H967" s="8" t="s">
        <v>17</v>
      </c>
      <c r="I967" s="8">
        <v>49</v>
      </c>
      <c r="J967" s="8">
        <v>1.72</v>
      </c>
      <c r="K967" s="8">
        <v>190</v>
      </c>
      <c r="L967" s="8">
        <v>153</v>
      </c>
      <c r="M967" s="8">
        <v>60</v>
      </c>
      <c r="N967" s="8">
        <v>0.72</v>
      </c>
      <c r="O967" s="8">
        <v>862</v>
      </c>
      <c r="P967" s="8" t="s">
        <v>21</v>
      </c>
      <c r="Q967" s="8" t="str">
        <f>_xlfn.IFS(AND(Table13[[#This Row],[Gender]]="female",R967&lt;20),"Athletes",AND(Table13[[#This Row],[Gender]]="female",R967&lt;24),"Fitnesss",AND(Table13[[#This Row],[Gender]]="female",R967&lt;31),"Acceptable",AND(Table13[[#This Row],[Gender]]="female",R967&lt;40),"Obese",AND(Table13[[#This Row],[Gender]]="male",R967&lt;13),"Athletes",AND(Table13[[#This Row],[Gender]]="male",R967&lt;17),"Fitnesss",AND(Table13[[#This Row],[Gender]]="male",R967&lt;24.9),"Acceptable",AND(Table13[[#This Row],[Gender]]="male",R967&lt;40),"Obese",AND(Table13[[#This Row],[Gender]]="others",R967&lt;20),"Athletes",AND(Table13[[#This Row],[Gender]]="others",R967&lt;24),"Fitnesss",AND(Table13[[#This Row],[Gender]]="others",R967&lt;31),"Acceptable",AND(Table13[[#This Row],[Gender]]="others",R967&lt;40),"Obese")</f>
        <v>Acceptable</v>
      </c>
      <c r="R967" s="8">
        <v>24.4</v>
      </c>
      <c r="S967" s="8">
        <v>2.8</v>
      </c>
      <c r="T967" s="8">
        <v>4</v>
      </c>
      <c r="U967" s="8">
        <v>3</v>
      </c>
      <c r="V967" s="8" t="str">
        <f>IF(Table13[[#This Row],[BMI]]&lt;=18.5,"Underweight",IF(Table13[[#This Row],[BMI]]&lt;=24.9,"Normal",IF(Table13[[#This Row],[BMI]]&lt;=29.9,"Overweight",IF(Table13[[#This Row],[BMI]]&lt;=39,"Obese","Severly Obese"))))</f>
        <v>Underweight</v>
      </c>
      <c r="W967" s="18">
        <v>17.260000000000002</v>
      </c>
    </row>
    <row r="968" spans="6:23" x14ac:dyDescent="0.3">
      <c r="F968" s="17">
        <v>30</v>
      </c>
      <c r="G968" s="8" t="str">
        <f>IF(Table13[[#This Row],[Age]]&lt;25,"18-24",IF(Table13[[#This Row],[Age]]&lt;35,"25-34",IF(Table13[[#This Row],[Age]]&lt;45,"35-44",IF(Table13[[#This Row],[Age]]&lt;55,"45-54","55-64"))))</f>
        <v>25-34</v>
      </c>
      <c r="H968" s="8" t="s">
        <v>19</v>
      </c>
      <c r="I968" s="8">
        <v>46.3</v>
      </c>
      <c r="J968" s="8">
        <v>1.59</v>
      </c>
      <c r="K968" s="8">
        <v>166</v>
      </c>
      <c r="L968" s="8">
        <v>133</v>
      </c>
      <c r="M968" s="8">
        <v>54</v>
      </c>
      <c r="N968" s="8">
        <v>1.33</v>
      </c>
      <c r="O968" s="8">
        <v>1001</v>
      </c>
      <c r="P968" s="8" t="s">
        <v>18</v>
      </c>
      <c r="Q968" s="8" t="str">
        <f>_xlfn.IFS(AND(Table13[[#This Row],[Gender]]="female",R968&lt;20),"Athletes",AND(Table13[[#This Row],[Gender]]="female",R968&lt;24),"Fitnesss",AND(Table13[[#This Row],[Gender]]="female",R968&lt;31),"Acceptable",AND(Table13[[#This Row],[Gender]]="female",R968&lt;40),"Obese",AND(Table13[[#This Row],[Gender]]="male",R968&lt;13),"Athletes",AND(Table13[[#This Row],[Gender]]="male",R968&lt;17),"Fitnesss",AND(Table13[[#This Row],[Gender]]="male",R968&lt;24.9),"Acceptable",AND(Table13[[#This Row],[Gender]]="male",R968&lt;40),"Obese",AND(Table13[[#This Row],[Gender]]="others",R968&lt;20),"Athletes",AND(Table13[[#This Row],[Gender]]="others",R968&lt;24),"Fitnesss",AND(Table13[[#This Row],[Gender]]="others",R968&lt;31),"Acceptable",AND(Table13[[#This Row],[Gender]]="others",R968&lt;40),"Obese")</f>
        <v>Acceptable</v>
      </c>
      <c r="R968" s="8">
        <v>23.8</v>
      </c>
      <c r="S968" s="8">
        <v>2.2000000000000002</v>
      </c>
      <c r="T968" s="8">
        <v>2</v>
      </c>
      <c r="U968" s="8">
        <v>2</v>
      </c>
      <c r="V968" s="8" t="str">
        <f>IF(Table13[[#This Row],[BMI]]&lt;=18.5,"Underweight",IF(Table13[[#This Row],[BMI]]&lt;=24.9,"Normal",IF(Table13[[#This Row],[BMI]]&lt;=29.9,"Overweight",IF(Table13[[#This Row],[BMI]]&lt;=39,"Obese","Severly Obese"))))</f>
        <v>Underweight</v>
      </c>
      <c r="W968" s="18">
        <v>17.739999999999998</v>
      </c>
    </row>
    <row r="969" spans="6:23" x14ac:dyDescent="0.3">
      <c r="F969" s="17">
        <v>35</v>
      </c>
      <c r="G969" s="8" t="str">
        <f>IF(Table13[[#This Row],[Age]]&lt;25,"18-24",IF(Table13[[#This Row],[Age]]&lt;35,"25-34",IF(Table13[[#This Row],[Age]]&lt;45,"35-44",IF(Table13[[#This Row],[Age]]&lt;55,"45-54","55-64"))))</f>
        <v>35-44</v>
      </c>
      <c r="H969" s="8" t="s">
        <v>17</v>
      </c>
      <c r="I969" s="8">
        <v>68.2</v>
      </c>
      <c r="J969" s="8">
        <v>1.7</v>
      </c>
      <c r="K969" s="8">
        <v>178</v>
      </c>
      <c r="L969" s="8">
        <v>137</v>
      </c>
      <c r="M969" s="8">
        <v>52</v>
      </c>
      <c r="N969" s="8">
        <v>2</v>
      </c>
      <c r="O969" s="8">
        <v>1181</v>
      </c>
      <c r="P969" s="8" t="s">
        <v>21</v>
      </c>
      <c r="Q969" s="8" t="str">
        <f>_xlfn.IFS(AND(Table13[[#This Row],[Gender]]="female",R969&lt;20),"Athletes",AND(Table13[[#This Row],[Gender]]="female",R969&lt;24),"Fitnesss",AND(Table13[[#This Row],[Gender]]="female",R969&lt;31),"Acceptable",AND(Table13[[#This Row],[Gender]]="female",R969&lt;40),"Obese",AND(Table13[[#This Row],[Gender]]="male",R969&lt;13),"Athletes",AND(Table13[[#This Row],[Gender]]="male",R969&lt;17),"Fitnesss",AND(Table13[[#This Row],[Gender]]="male",R969&lt;24.9),"Acceptable",AND(Table13[[#This Row],[Gender]]="male",R969&lt;40),"Obese",AND(Table13[[#This Row],[Gender]]="others",R969&lt;20),"Athletes",AND(Table13[[#This Row],[Gender]]="others",R969&lt;24),"Fitnesss",AND(Table13[[#This Row],[Gender]]="others",R969&lt;31),"Acceptable",AND(Table13[[#This Row],[Gender]]="others",R969&lt;40),"Obese")</f>
        <v>Fitnesss</v>
      </c>
      <c r="R969" s="8">
        <v>23.5</v>
      </c>
      <c r="S969" s="8">
        <v>3.3</v>
      </c>
      <c r="T969" s="8">
        <v>3</v>
      </c>
      <c r="U969" s="8">
        <v>2</v>
      </c>
      <c r="V969" s="8" t="str">
        <f>IF(Table13[[#This Row],[BMI]]&lt;=18.5,"Underweight",IF(Table13[[#This Row],[BMI]]&lt;=24.9,"Normal",IF(Table13[[#This Row],[BMI]]&lt;=29.9,"Overweight",IF(Table13[[#This Row],[BMI]]&lt;=39,"Obese","Severly Obese"))))</f>
        <v>Obese</v>
      </c>
      <c r="W969" s="18">
        <v>31.92</v>
      </c>
    </row>
    <row r="970" spans="6:23" x14ac:dyDescent="0.3">
      <c r="F970" s="17">
        <v>36</v>
      </c>
      <c r="G970" s="8" t="str">
        <f>IF(Table13[[#This Row],[Age]]&lt;25,"18-24",IF(Table13[[#This Row],[Age]]&lt;35,"25-34",IF(Table13[[#This Row],[Age]]&lt;45,"35-44",IF(Table13[[#This Row],[Age]]&lt;55,"45-54","55-64"))))</f>
        <v>35-44</v>
      </c>
      <c r="H970" s="8" t="s">
        <v>17</v>
      </c>
      <c r="I970" s="8">
        <v>85.1</v>
      </c>
      <c r="J970" s="8">
        <v>1.67</v>
      </c>
      <c r="K970" s="8">
        <v>184</v>
      </c>
      <c r="L970" s="8">
        <v>131</v>
      </c>
      <c r="M970" s="8">
        <v>53</v>
      </c>
      <c r="N970" s="8">
        <v>1.03</v>
      </c>
      <c r="O970" s="8">
        <v>608</v>
      </c>
      <c r="P970" s="8" t="s">
        <v>22</v>
      </c>
      <c r="Q970" s="8" t="str">
        <f>_xlfn.IFS(AND(Table13[[#This Row],[Gender]]="female",R970&lt;20),"Athletes",AND(Table13[[#This Row],[Gender]]="female",R970&lt;24),"Fitnesss",AND(Table13[[#This Row],[Gender]]="female",R970&lt;31),"Acceptable",AND(Table13[[#This Row],[Gender]]="female",R970&lt;40),"Obese",AND(Table13[[#This Row],[Gender]]="male",R970&lt;13),"Athletes",AND(Table13[[#This Row],[Gender]]="male",R970&lt;17),"Fitnesss",AND(Table13[[#This Row],[Gender]]="male",R970&lt;24.9),"Acceptable",AND(Table13[[#This Row],[Gender]]="male",R970&lt;40),"Obese",AND(Table13[[#This Row],[Gender]]="others",R970&lt;20),"Athletes",AND(Table13[[#This Row],[Gender]]="others",R970&lt;24),"Fitnesss",AND(Table13[[#This Row],[Gender]]="others",R970&lt;31),"Acceptable",AND(Table13[[#This Row],[Gender]]="others",R970&lt;40),"Obese")</f>
        <v>Athletes</v>
      </c>
      <c r="R970" s="8">
        <v>19.7</v>
      </c>
      <c r="S970" s="8">
        <v>2.1</v>
      </c>
      <c r="T970" s="8">
        <v>4</v>
      </c>
      <c r="U970" s="8">
        <v>2</v>
      </c>
      <c r="V970" s="8" t="str">
        <f>IF(Table13[[#This Row],[BMI]]&lt;=18.5,"Underweight",IF(Table13[[#This Row],[BMI]]&lt;=24.9,"Normal",IF(Table13[[#This Row],[BMI]]&lt;=29.9,"Overweight",IF(Table13[[#This Row],[BMI]]&lt;=39,"Obese","Severly Obese"))))</f>
        <v>Normal</v>
      </c>
      <c r="W970" s="18">
        <v>20.8</v>
      </c>
    </row>
    <row r="971" spans="6:23" x14ac:dyDescent="0.3">
      <c r="F971" s="17">
        <v>18</v>
      </c>
      <c r="G971" s="8" t="str">
        <f>IF(Table13[[#This Row],[Age]]&lt;25,"18-24",IF(Table13[[#This Row],[Age]]&lt;35,"25-34",IF(Table13[[#This Row],[Age]]&lt;45,"35-44",IF(Table13[[#This Row],[Age]]&lt;55,"45-54","55-64"))))</f>
        <v>18-24</v>
      </c>
      <c r="H971" s="8" t="s">
        <v>17</v>
      </c>
      <c r="I971" s="8">
        <v>59.8</v>
      </c>
      <c r="J971" s="8">
        <v>2</v>
      </c>
      <c r="K971" s="8">
        <v>188</v>
      </c>
      <c r="L971" s="8">
        <v>144</v>
      </c>
      <c r="M971" s="8">
        <v>70</v>
      </c>
      <c r="N971" s="8">
        <v>2</v>
      </c>
      <c r="O971" s="8">
        <v>1337</v>
      </c>
      <c r="P971" s="8" t="s">
        <v>21</v>
      </c>
      <c r="Q971" s="8" t="str">
        <f>_xlfn.IFS(AND(Table13[[#This Row],[Gender]]="female",R971&lt;20),"Athletes",AND(Table13[[#This Row],[Gender]]="female",R971&lt;24),"Fitnesss",AND(Table13[[#This Row],[Gender]]="female",R971&lt;31),"Acceptable",AND(Table13[[#This Row],[Gender]]="female",R971&lt;40),"Obese",AND(Table13[[#This Row],[Gender]]="male",R971&lt;13),"Athletes",AND(Table13[[#This Row],[Gender]]="male",R971&lt;17),"Fitnesss",AND(Table13[[#This Row],[Gender]]="male",R971&lt;24.9),"Acceptable",AND(Table13[[#This Row],[Gender]]="male",R971&lt;40),"Obese",AND(Table13[[#This Row],[Gender]]="others",R971&lt;20),"Athletes",AND(Table13[[#This Row],[Gender]]="others",R971&lt;24),"Fitnesss",AND(Table13[[#This Row],[Gender]]="others",R971&lt;31),"Acceptable",AND(Table13[[#This Row],[Gender]]="others",R971&lt;40),"Obese")</f>
        <v>Obese</v>
      </c>
      <c r="R971" s="8">
        <v>32.9</v>
      </c>
      <c r="S971" s="8">
        <v>3.1</v>
      </c>
      <c r="T971" s="8">
        <v>3</v>
      </c>
      <c r="U971" s="8">
        <v>1</v>
      </c>
      <c r="V971" s="8" t="str">
        <f>IF(Table13[[#This Row],[BMI]]&lt;=18.5,"Underweight",IF(Table13[[#This Row],[BMI]]&lt;=24.9,"Normal",IF(Table13[[#This Row],[BMI]]&lt;=29.9,"Overweight",IF(Table13[[#This Row],[BMI]]&lt;=39,"Obese","Severly Obese"))))</f>
        <v>Underweight</v>
      </c>
      <c r="W971" s="18">
        <v>14.17</v>
      </c>
    </row>
    <row r="972" spans="6:23" x14ac:dyDescent="0.3">
      <c r="F972" s="17">
        <v>56</v>
      </c>
      <c r="G972" s="8" t="str">
        <f>IF(Table13[[#This Row],[Age]]&lt;25,"18-24",IF(Table13[[#This Row],[Age]]&lt;35,"25-34",IF(Table13[[#This Row],[Age]]&lt;45,"35-44",IF(Table13[[#This Row],[Age]]&lt;55,"45-54","55-64"))))</f>
        <v>55-64</v>
      </c>
      <c r="H972" s="8" t="s">
        <v>17</v>
      </c>
      <c r="I972" s="8">
        <v>63.7</v>
      </c>
      <c r="J972" s="8">
        <v>1.74</v>
      </c>
      <c r="K972" s="8">
        <v>161</v>
      </c>
      <c r="L972" s="8">
        <v>158</v>
      </c>
      <c r="M972" s="8">
        <v>65</v>
      </c>
      <c r="N972" s="8">
        <v>1.94</v>
      </c>
      <c r="O972" s="8">
        <v>1297</v>
      </c>
      <c r="P972" s="8" t="s">
        <v>22</v>
      </c>
      <c r="Q972" s="8" t="str">
        <f>_xlfn.IFS(AND(Table13[[#This Row],[Gender]]="female",R972&lt;20),"Athletes",AND(Table13[[#This Row],[Gender]]="female",R972&lt;24),"Fitnesss",AND(Table13[[#This Row],[Gender]]="female",R972&lt;31),"Acceptable",AND(Table13[[#This Row],[Gender]]="female",R972&lt;40),"Obese",AND(Table13[[#This Row],[Gender]]="male",R972&lt;13),"Athletes",AND(Table13[[#This Row],[Gender]]="male",R972&lt;17),"Fitnesss",AND(Table13[[#This Row],[Gender]]="male",R972&lt;24.9),"Acceptable",AND(Table13[[#This Row],[Gender]]="male",R972&lt;40),"Obese",AND(Table13[[#This Row],[Gender]]="others",R972&lt;20),"Athletes",AND(Table13[[#This Row],[Gender]]="others",R972&lt;24),"Fitnesss",AND(Table13[[#This Row],[Gender]]="others",R972&lt;31),"Acceptable",AND(Table13[[#This Row],[Gender]]="others",R972&lt;40),"Obese")</f>
        <v>Acceptable</v>
      </c>
      <c r="R972" s="8">
        <v>28.6</v>
      </c>
      <c r="S972" s="8">
        <v>3.2</v>
      </c>
      <c r="T972" s="8">
        <v>3</v>
      </c>
      <c r="U972" s="8">
        <v>3</v>
      </c>
      <c r="V972" s="8" t="str">
        <f>IF(Table13[[#This Row],[BMI]]&lt;=18.5,"Underweight",IF(Table13[[#This Row],[BMI]]&lt;=24.9,"Normal",IF(Table13[[#This Row],[BMI]]&lt;=29.9,"Overweight",IF(Table13[[#This Row],[BMI]]&lt;=39,"Obese","Severly Obese"))))</f>
        <v>Underweight</v>
      </c>
      <c r="W972" s="18">
        <v>14.53</v>
      </c>
    </row>
    <row r="973" spans="6:23" x14ac:dyDescent="0.3">
      <c r="F973" s="17">
        <v>34</v>
      </c>
      <c r="G973" s="8" t="str">
        <f>IF(Table13[[#This Row],[Age]]&lt;25,"18-24",IF(Table13[[#This Row],[Age]]&lt;35,"25-34",IF(Table13[[#This Row],[Age]]&lt;45,"35-44",IF(Table13[[#This Row],[Age]]&lt;55,"45-54","55-64"))))</f>
        <v>25-34</v>
      </c>
      <c r="H973" s="8" t="s">
        <v>19</v>
      </c>
      <c r="I973" s="8">
        <v>40</v>
      </c>
      <c r="J973" s="8">
        <v>1.68</v>
      </c>
      <c r="K973" s="8">
        <v>183</v>
      </c>
      <c r="L973" s="8">
        <v>167</v>
      </c>
      <c r="M973" s="8">
        <v>64</v>
      </c>
      <c r="N973" s="8">
        <v>1.45</v>
      </c>
      <c r="O973" s="8">
        <v>1642</v>
      </c>
      <c r="P973" s="8" t="s">
        <v>22</v>
      </c>
      <c r="Q973" s="8" t="str">
        <f>_xlfn.IFS(AND(Table13[[#This Row],[Gender]]="female",R973&lt;20),"Athletes",AND(Table13[[#This Row],[Gender]]="female",R973&lt;24),"Fitnesss",AND(Table13[[#This Row],[Gender]]="female",R973&lt;31),"Acceptable",AND(Table13[[#This Row],[Gender]]="female",R973&lt;40),"Obese",AND(Table13[[#This Row],[Gender]]="male",R973&lt;13),"Athletes",AND(Table13[[#This Row],[Gender]]="male",R973&lt;17),"Fitnesss",AND(Table13[[#This Row],[Gender]]="male",R973&lt;24.9),"Acceptable",AND(Table13[[#This Row],[Gender]]="male",R973&lt;40),"Obese",AND(Table13[[#This Row],[Gender]]="others",R973&lt;20),"Athletes",AND(Table13[[#This Row],[Gender]]="others",R973&lt;24),"Fitnesss",AND(Table13[[#This Row],[Gender]]="others",R973&lt;31),"Acceptable",AND(Table13[[#This Row],[Gender]]="others",R973&lt;40),"Obese")</f>
        <v>Obese</v>
      </c>
      <c r="R973" s="8">
        <v>28.2</v>
      </c>
      <c r="S973" s="8">
        <v>2.2999999999999998</v>
      </c>
      <c r="T973" s="8">
        <v>3</v>
      </c>
      <c r="U973" s="8">
        <v>2</v>
      </c>
      <c r="V973" s="8" t="str">
        <f>IF(Table13[[#This Row],[BMI]]&lt;=18.5,"Underweight",IF(Table13[[#This Row],[BMI]]&lt;=24.9,"Normal",IF(Table13[[#This Row],[BMI]]&lt;=29.9,"Overweight",IF(Table13[[#This Row],[BMI]]&lt;=39,"Obese","Severly Obese"))))</f>
        <v>Underweight</v>
      </c>
      <c r="W973" s="18">
        <v>17.03</v>
      </c>
    </row>
    <row r="974" spans="6:23" x14ac:dyDescent="0.3">
      <c r="F974" s="17">
        <v>56</v>
      </c>
      <c r="G974" s="8" t="str">
        <f>IF(Table13[[#This Row],[Age]]&lt;25,"18-24",IF(Table13[[#This Row],[Age]]&lt;35,"25-34",IF(Table13[[#This Row],[Age]]&lt;45,"35-44",IF(Table13[[#This Row],[Age]]&lt;55,"45-54","55-64"))))</f>
        <v>55-64</v>
      </c>
      <c r="H974" s="8" t="s">
        <v>19</v>
      </c>
      <c r="I974" s="8">
        <v>64.7</v>
      </c>
      <c r="J974" s="8">
        <v>1.78</v>
      </c>
      <c r="K974" s="8">
        <v>199</v>
      </c>
      <c r="L974" s="8">
        <v>129</v>
      </c>
      <c r="M974" s="8">
        <v>62</v>
      </c>
      <c r="N974" s="8">
        <v>1.1000000000000001</v>
      </c>
      <c r="O974" s="8">
        <v>941</v>
      </c>
      <c r="P974" s="8" t="s">
        <v>21</v>
      </c>
      <c r="Q974" s="8" t="str">
        <f>_xlfn.IFS(AND(Table13[[#This Row],[Gender]]="female",R974&lt;20),"Athletes",AND(Table13[[#This Row],[Gender]]="female",R974&lt;24),"Fitnesss",AND(Table13[[#This Row],[Gender]]="female",R974&lt;31),"Acceptable",AND(Table13[[#This Row],[Gender]]="female",R974&lt;40),"Obese",AND(Table13[[#This Row],[Gender]]="male",R974&lt;13),"Athletes",AND(Table13[[#This Row],[Gender]]="male",R974&lt;17),"Fitnesss",AND(Table13[[#This Row],[Gender]]="male",R974&lt;24.9),"Acceptable",AND(Table13[[#This Row],[Gender]]="male",R974&lt;40),"Obese",AND(Table13[[#This Row],[Gender]]="others",R974&lt;20),"Athletes",AND(Table13[[#This Row],[Gender]]="others",R974&lt;24),"Fitnesss",AND(Table13[[#This Row],[Gender]]="others",R974&lt;31),"Acceptable",AND(Table13[[#This Row],[Gender]]="others",R974&lt;40),"Obese")</f>
        <v>Athletes</v>
      </c>
      <c r="R974" s="8">
        <v>11.5</v>
      </c>
      <c r="S974" s="8">
        <v>2.4</v>
      </c>
      <c r="T974" s="8">
        <v>3</v>
      </c>
      <c r="U974" s="8">
        <v>2</v>
      </c>
      <c r="V974" s="8" t="str">
        <f>IF(Table13[[#This Row],[BMI]]&lt;=18.5,"Underweight",IF(Table13[[#This Row],[BMI]]&lt;=24.9,"Normal",IF(Table13[[#This Row],[BMI]]&lt;=29.9,"Overweight",IF(Table13[[#This Row],[BMI]]&lt;=39,"Obese","Severly Obese"))))</f>
        <v>Underweight</v>
      </c>
      <c r="W974" s="18">
        <v>13.72</v>
      </c>
    </row>
    <row r="975" spans="6:23" x14ac:dyDescent="0.3">
      <c r="F975" s="17">
        <v>28</v>
      </c>
      <c r="G975" s="8" t="str">
        <f>IF(Table13[[#This Row],[Age]]&lt;25,"18-24",IF(Table13[[#This Row],[Age]]&lt;35,"25-34",IF(Table13[[#This Row],[Age]]&lt;45,"35-44",IF(Table13[[#This Row],[Age]]&lt;55,"45-54","55-64"))))</f>
        <v>25-34</v>
      </c>
      <c r="H975" s="8" t="s">
        <v>19</v>
      </c>
      <c r="I975" s="8">
        <v>56.5</v>
      </c>
      <c r="J975" s="8">
        <v>1.73</v>
      </c>
      <c r="K975" s="8">
        <v>198</v>
      </c>
      <c r="L975" s="8">
        <v>136</v>
      </c>
      <c r="M975" s="8">
        <v>74</v>
      </c>
      <c r="N975" s="8">
        <v>1.23</v>
      </c>
      <c r="O975" s="8">
        <v>991</v>
      </c>
      <c r="P975" s="8" t="s">
        <v>18</v>
      </c>
      <c r="Q975" s="8" t="str">
        <f>_xlfn.IFS(AND(Table13[[#This Row],[Gender]]="female",R975&lt;20),"Athletes",AND(Table13[[#This Row],[Gender]]="female",R975&lt;24),"Fitnesss",AND(Table13[[#This Row],[Gender]]="female",R975&lt;31),"Acceptable",AND(Table13[[#This Row],[Gender]]="female",R975&lt;40),"Obese",AND(Table13[[#This Row],[Gender]]="male",R975&lt;13),"Athletes",AND(Table13[[#This Row],[Gender]]="male",R975&lt;17),"Fitnesss",AND(Table13[[#This Row],[Gender]]="male",R975&lt;24.9),"Acceptable",AND(Table13[[#This Row],[Gender]]="male",R975&lt;40),"Obese",AND(Table13[[#This Row],[Gender]]="others",R975&lt;20),"Athletes",AND(Table13[[#This Row],[Gender]]="others",R975&lt;24),"Fitnesss",AND(Table13[[#This Row],[Gender]]="others",R975&lt;31),"Acceptable",AND(Table13[[#This Row],[Gender]]="others",R975&lt;40),"Obese")</f>
        <v>Fitnesss</v>
      </c>
      <c r="R975" s="8">
        <v>14.5</v>
      </c>
      <c r="S975" s="8">
        <v>3.6</v>
      </c>
      <c r="T975" s="8">
        <v>5</v>
      </c>
      <c r="U975" s="8">
        <v>1</v>
      </c>
      <c r="V975" s="8" t="str">
        <f>IF(Table13[[#This Row],[BMI]]&lt;=18.5,"Underweight",IF(Table13[[#This Row],[BMI]]&lt;=24.9,"Normal",IF(Table13[[#This Row],[BMI]]&lt;=29.9,"Overweight",IF(Table13[[#This Row],[BMI]]&lt;=39,"Obese","Severly Obese"))))</f>
        <v>Underweight</v>
      </c>
      <c r="W975" s="18">
        <v>13.82</v>
      </c>
    </row>
    <row r="976" spans="6:23" x14ac:dyDescent="0.3">
      <c r="F976" s="17">
        <v>18</v>
      </c>
      <c r="G976" s="8" t="str">
        <f>IF(Table13[[#This Row],[Age]]&lt;25,"18-24",IF(Table13[[#This Row],[Age]]&lt;35,"25-34",IF(Table13[[#This Row],[Age]]&lt;45,"35-44",IF(Table13[[#This Row],[Age]]&lt;55,"45-54","55-64"))))</f>
        <v>18-24</v>
      </c>
      <c r="H976" s="8" t="s">
        <v>19</v>
      </c>
      <c r="I976" s="8">
        <v>56.9</v>
      </c>
      <c r="J976" s="8">
        <v>1.74</v>
      </c>
      <c r="K976" s="8">
        <v>180</v>
      </c>
      <c r="L976" s="8">
        <v>149</v>
      </c>
      <c r="M976" s="8">
        <v>59</v>
      </c>
      <c r="N976" s="8">
        <v>0.89</v>
      </c>
      <c r="O976" s="8">
        <v>1441</v>
      </c>
      <c r="P976" s="8" t="s">
        <v>20</v>
      </c>
      <c r="Q976" s="8" t="str">
        <f>_xlfn.IFS(AND(Table13[[#This Row],[Gender]]="female",R976&lt;20),"Athletes",AND(Table13[[#This Row],[Gender]]="female",R976&lt;24),"Fitnesss",AND(Table13[[#This Row],[Gender]]="female",R976&lt;31),"Acceptable",AND(Table13[[#This Row],[Gender]]="female",R976&lt;40),"Obese",AND(Table13[[#This Row],[Gender]]="male",R976&lt;13),"Athletes",AND(Table13[[#This Row],[Gender]]="male",R976&lt;17),"Fitnesss",AND(Table13[[#This Row],[Gender]]="male",R976&lt;24.9),"Acceptable",AND(Table13[[#This Row],[Gender]]="male",R976&lt;40),"Obese",AND(Table13[[#This Row],[Gender]]="others",R976&lt;20),"Athletes",AND(Table13[[#This Row],[Gender]]="others",R976&lt;24),"Fitnesss",AND(Table13[[#This Row],[Gender]]="others",R976&lt;31),"Acceptable",AND(Table13[[#This Row],[Gender]]="others",R976&lt;40),"Obese")</f>
        <v>Acceptable</v>
      </c>
      <c r="R976" s="8">
        <v>22</v>
      </c>
      <c r="S976" s="8">
        <v>3.2</v>
      </c>
      <c r="T976" s="8">
        <v>2</v>
      </c>
      <c r="U976" s="8">
        <v>2</v>
      </c>
      <c r="V976" s="8" t="str">
        <f>IF(Table13[[#This Row],[BMI]]&lt;=18.5,"Underweight",IF(Table13[[#This Row],[BMI]]&lt;=24.9,"Normal",IF(Table13[[#This Row],[BMI]]&lt;=29.9,"Overweight",IF(Table13[[#This Row],[BMI]]&lt;=39,"Obese","Severly Obese"))))</f>
        <v>Normal</v>
      </c>
      <c r="W976" s="18">
        <v>19.82</v>
      </c>
    </row>
    <row r="977" spans="6:23" x14ac:dyDescent="0.3">
      <c r="F977" s="17">
        <v>18</v>
      </c>
      <c r="G977" s="8" t="str">
        <f>IF(Table13[[#This Row],[Age]]&lt;25,"18-24",IF(Table13[[#This Row],[Age]]&lt;35,"25-34",IF(Table13[[#This Row],[Age]]&lt;45,"35-44",IF(Table13[[#This Row],[Age]]&lt;55,"45-54","55-64"))))</f>
        <v>18-24</v>
      </c>
      <c r="H977" s="8" t="s">
        <v>19</v>
      </c>
      <c r="I977" s="8">
        <v>115.8</v>
      </c>
      <c r="J977" s="8">
        <v>1.68</v>
      </c>
      <c r="K977" s="8">
        <v>177</v>
      </c>
      <c r="L977" s="8">
        <v>150</v>
      </c>
      <c r="M977" s="8">
        <v>74</v>
      </c>
      <c r="N977" s="8">
        <v>1.1100000000000001</v>
      </c>
      <c r="O977" s="8">
        <v>629</v>
      </c>
      <c r="P977" s="8" t="s">
        <v>18</v>
      </c>
      <c r="Q977" s="8" t="str">
        <f>_xlfn.IFS(AND(Table13[[#This Row],[Gender]]="female",R977&lt;20),"Athletes",AND(Table13[[#This Row],[Gender]]="female",R977&lt;24),"Fitnesss",AND(Table13[[#This Row],[Gender]]="female",R977&lt;31),"Acceptable",AND(Table13[[#This Row],[Gender]]="female",R977&lt;40),"Obese",AND(Table13[[#This Row],[Gender]]="male",R977&lt;13),"Athletes",AND(Table13[[#This Row],[Gender]]="male",R977&lt;17),"Fitnesss",AND(Table13[[#This Row],[Gender]]="male",R977&lt;24.9),"Acceptable",AND(Table13[[#This Row],[Gender]]="male",R977&lt;40),"Obese",AND(Table13[[#This Row],[Gender]]="others",R977&lt;20),"Athletes",AND(Table13[[#This Row],[Gender]]="others",R977&lt;24),"Fitnesss",AND(Table13[[#This Row],[Gender]]="others",R977&lt;31),"Acceptable",AND(Table13[[#This Row],[Gender]]="others",R977&lt;40),"Obese")</f>
        <v>Acceptable</v>
      </c>
      <c r="R977" s="8">
        <v>24.2</v>
      </c>
      <c r="S977" s="8">
        <v>3.6</v>
      </c>
      <c r="T977" s="8">
        <v>5</v>
      </c>
      <c r="U977" s="8">
        <v>2</v>
      </c>
      <c r="V977" s="8" t="str">
        <f>IF(Table13[[#This Row],[BMI]]&lt;=18.5,"Underweight",IF(Table13[[#This Row],[BMI]]&lt;=24.9,"Normal",IF(Table13[[#This Row],[BMI]]&lt;=29.9,"Overweight",IF(Table13[[#This Row],[BMI]]&lt;=39,"Obese","Severly Obese"))))</f>
        <v>Normal</v>
      </c>
      <c r="W977" s="18">
        <v>20.56</v>
      </c>
    </row>
    <row r="978" spans="6:23" x14ac:dyDescent="0.3">
      <c r="F978" s="17">
        <v>45</v>
      </c>
      <c r="G978" s="8" t="str">
        <f>IF(Table13[[#This Row],[Age]]&lt;25,"18-24",IF(Table13[[#This Row],[Age]]&lt;35,"25-34",IF(Table13[[#This Row],[Age]]&lt;45,"35-44",IF(Table13[[#This Row],[Age]]&lt;55,"45-54","55-64"))))</f>
        <v>45-54</v>
      </c>
      <c r="H978" s="8" t="s">
        <v>19</v>
      </c>
      <c r="I978" s="8">
        <v>46</v>
      </c>
      <c r="J978" s="8">
        <v>1.76</v>
      </c>
      <c r="K978" s="8">
        <v>165</v>
      </c>
      <c r="L978" s="8">
        <v>135</v>
      </c>
      <c r="M978" s="8">
        <v>69</v>
      </c>
      <c r="N978" s="8">
        <v>1.05</v>
      </c>
      <c r="O978" s="8">
        <v>1121</v>
      </c>
      <c r="P978" s="8" t="s">
        <v>22</v>
      </c>
      <c r="Q978" s="8" t="str">
        <f>_xlfn.IFS(AND(Table13[[#This Row],[Gender]]="female",R978&lt;20),"Athletes",AND(Table13[[#This Row],[Gender]]="female",R978&lt;24),"Fitnesss",AND(Table13[[#This Row],[Gender]]="female",R978&lt;31),"Acceptable",AND(Table13[[#This Row],[Gender]]="female",R978&lt;40),"Obese",AND(Table13[[#This Row],[Gender]]="male",R978&lt;13),"Athletes",AND(Table13[[#This Row],[Gender]]="male",R978&lt;17),"Fitnesss",AND(Table13[[#This Row],[Gender]]="male",R978&lt;24.9),"Acceptable",AND(Table13[[#This Row],[Gender]]="male",R978&lt;40),"Obese",AND(Table13[[#This Row],[Gender]]="others",R978&lt;20),"Athletes",AND(Table13[[#This Row],[Gender]]="others",R978&lt;24),"Fitnesss",AND(Table13[[#This Row],[Gender]]="others",R978&lt;31),"Acceptable",AND(Table13[[#This Row],[Gender]]="others",R978&lt;40),"Obese")</f>
        <v>Acceptable</v>
      </c>
      <c r="R978" s="8">
        <v>24</v>
      </c>
      <c r="S978" s="8">
        <v>1.5</v>
      </c>
      <c r="T978" s="8">
        <v>5</v>
      </c>
      <c r="U978" s="8">
        <v>2</v>
      </c>
      <c r="V978" s="8" t="str">
        <f>IF(Table13[[#This Row],[BMI]]&lt;=18.5,"Underweight",IF(Table13[[#This Row],[BMI]]&lt;=24.9,"Normal",IF(Table13[[#This Row],[BMI]]&lt;=29.9,"Overweight",IF(Table13[[#This Row],[BMI]]&lt;=39,"Obese","Severly Obese"))))</f>
        <v>Overweight</v>
      </c>
      <c r="W978" s="18">
        <v>28.92</v>
      </c>
    </row>
    <row r="979" spans="6:23" x14ac:dyDescent="0.3">
      <c r="F979" s="17">
        <v>47</v>
      </c>
      <c r="G979" s="8" t="str">
        <f>IF(Table13[[#This Row],[Age]]&lt;25,"18-24",IF(Table13[[#This Row],[Age]]&lt;35,"25-34",IF(Table13[[#This Row],[Age]]&lt;45,"35-44",IF(Table13[[#This Row],[Age]]&lt;55,"45-54","55-64"))))</f>
        <v>45-54</v>
      </c>
      <c r="H979" s="8" t="s">
        <v>17</v>
      </c>
      <c r="I979" s="8">
        <v>46.9</v>
      </c>
      <c r="J979" s="8">
        <v>1.91</v>
      </c>
      <c r="K979" s="8">
        <v>162</v>
      </c>
      <c r="L979" s="8">
        <v>145</v>
      </c>
      <c r="M979" s="8">
        <v>53</v>
      </c>
      <c r="N979" s="8">
        <v>1.17</v>
      </c>
      <c r="O979" s="8">
        <v>733</v>
      </c>
      <c r="P979" s="8" t="s">
        <v>21</v>
      </c>
      <c r="Q979" s="8" t="str">
        <f>_xlfn.IFS(AND(Table13[[#This Row],[Gender]]="female",R979&lt;20),"Athletes",AND(Table13[[#This Row],[Gender]]="female",R979&lt;24),"Fitnesss",AND(Table13[[#This Row],[Gender]]="female",R979&lt;31),"Acceptable",AND(Table13[[#This Row],[Gender]]="female",R979&lt;40),"Obese",AND(Table13[[#This Row],[Gender]]="male",R979&lt;13),"Athletes",AND(Table13[[#This Row],[Gender]]="male",R979&lt;17),"Fitnesss",AND(Table13[[#This Row],[Gender]]="male",R979&lt;24.9),"Acceptable",AND(Table13[[#This Row],[Gender]]="male",R979&lt;40),"Obese",AND(Table13[[#This Row],[Gender]]="others",R979&lt;20),"Athletes",AND(Table13[[#This Row],[Gender]]="others",R979&lt;24),"Fitnesss",AND(Table13[[#This Row],[Gender]]="others",R979&lt;31),"Acceptable",AND(Table13[[#This Row],[Gender]]="others",R979&lt;40),"Obese")</f>
        <v>Fitnesss</v>
      </c>
      <c r="R979" s="8">
        <v>23.8</v>
      </c>
      <c r="S979" s="8">
        <v>1.5</v>
      </c>
      <c r="T979" s="8">
        <v>3</v>
      </c>
      <c r="U979" s="8">
        <v>2</v>
      </c>
      <c r="V979" s="8" t="str">
        <f>IF(Table13[[#This Row],[BMI]]&lt;=18.5,"Underweight",IF(Table13[[#This Row],[BMI]]&lt;=24.9,"Normal",IF(Table13[[#This Row],[BMI]]&lt;=29.9,"Overweight",IF(Table13[[#This Row],[BMI]]&lt;=39,"Obese","Severly Obese"))))</f>
        <v>Underweight</v>
      </c>
      <c r="W979" s="18">
        <v>14.88</v>
      </c>
    </row>
    <row r="980" spans="6:23" x14ac:dyDescent="0.3">
      <c r="F980" s="17">
        <v>49</v>
      </c>
      <c r="G980" s="8" t="str">
        <f>IF(Table13[[#This Row],[Age]]&lt;25,"18-24",IF(Table13[[#This Row],[Age]]&lt;35,"25-34",IF(Table13[[#This Row],[Age]]&lt;45,"35-44",IF(Table13[[#This Row],[Age]]&lt;55,"45-54","55-64"))))</f>
        <v>45-54</v>
      </c>
      <c r="H980" s="8" t="s">
        <v>19</v>
      </c>
      <c r="I980" s="8">
        <v>110.8</v>
      </c>
      <c r="J980" s="8">
        <v>1.62</v>
      </c>
      <c r="K980" s="8">
        <v>162</v>
      </c>
      <c r="L980" s="8">
        <v>169</v>
      </c>
      <c r="M980" s="8">
        <v>59</v>
      </c>
      <c r="N980" s="8">
        <v>1.34</v>
      </c>
      <c r="O980" s="8">
        <v>1783</v>
      </c>
      <c r="P980" s="8" t="s">
        <v>20</v>
      </c>
      <c r="Q980" s="8" t="str">
        <f>_xlfn.IFS(AND(Table13[[#This Row],[Gender]]="female",R980&lt;20),"Athletes",AND(Table13[[#This Row],[Gender]]="female",R980&lt;24),"Fitnesss",AND(Table13[[#This Row],[Gender]]="female",R980&lt;31),"Acceptable",AND(Table13[[#This Row],[Gender]]="female",R980&lt;40),"Obese",AND(Table13[[#This Row],[Gender]]="male",R980&lt;13),"Athletes",AND(Table13[[#This Row],[Gender]]="male",R980&lt;17),"Fitnesss",AND(Table13[[#This Row],[Gender]]="male",R980&lt;24.9),"Acceptable",AND(Table13[[#This Row],[Gender]]="male",R980&lt;40),"Obese",AND(Table13[[#This Row],[Gender]]="others",R980&lt;20),"Athletes",AND(Table13[[#This Row],[Gender]]="others",R980&lt;24),"Fitnesss",AND(Table13[[#This Row],[Gender]]="others",R980&lt;31),"Acceptable",AND(Table13[[#This Row],[Gender]]="others",R980&lt;40),"Obese")</f>
        <v>Athletes</v>
      </c>
      <c r="R980" s="8">
        <v>11.5</v>
      </c>
      <c r="S980" s="8">
        <v>1.7</v>
      </c>
      <c r="T980" s="8">
        <v>4</v>
      </c>
      <c r="U980" s="8">
        <v>2</v>
      </c>
      <c r="V980" s="8" t="str">
        <f>IF(Table13[[#This Row],[BMI]]&lt;=18.5,"Underweight",IF(Table13[[#This Row],[BMI]]&lt;=24.9,"Normal",IF(Table13[[#This Row],[BMI]]&lt;=29.9,"Overweight",IF(Table13[[#This Row],[BMI]]&lt;=39,"Obese","Severly Obese"))))</f>
        <v>Normal</v>
      </c>
      <c r="W980" s="18">
        <v>21.26</v>
      </c>
    </row>
    <row r="981" spans="6:23" x14ac:dyDescent="0.3">
      <c r="F981" s="17">
        <v>19</v>
      </c>
      <c r="G981" s="8" t="str">
        <f>IF(Table13[[#This Row],[Age]]&lt;25,"18-24",IF(Table13[[#This Row],[Age]]&lt;35,"25-34",IF(Table13[[#This Row],[Age]]&lt;45,"35-44",IF(Table13[[#This Row],[Age]]&lt;55,"45-54","55-64"))))</f>
        <v>18-24</v>
      </c>
      <c r="H981" s="8" t="s">
        <v>19</v>
      </c>
      <c r="I981" s="8">
        <v>97.4</v>
      </c>
      <c r="J981" s="8">
        <v>1.75</v>
      </c>
      <c r="K981" s="8">
        <v>173</v>
      </c>
      <c r="L981" s="8">
        <v>144</v>
      </c>
      <c r="M981" s="8">
        <v>56</v>
      </c>
      <c r="N981" s="8">
        <v>1.27</v>
      </c>
      <c r="O981" s="8">
        <v>917</v>
      </c>
      <c r="P981" s="8" t="s">
        <v>21</v>
      </c>
      <c r="Q981" s="8" t="str">
        <f>_xlfn.IFS(AND(Table13[[#This Row],[Gender]]="female",R981&lt;20),"Athletes",AND(Table13[[#This Row],[Gender]]="female",R981&lt;24),"Fitnesss",AND(Table13[[#This Row],[Gender]]="female",R981&lt;31),"Acceptable",AND(Table13[[#This Row],[Gender]]="female",R981&lt;40),"Obese",AND(Table13[[#This Row],[Gender]]="male",R981&lt;13),"Athletes",AND(Table13[[#This Row],[Gender]]="male",R981&lt;17),"Fitnesss",AND(Table13[[#This Row],[Gender]]="male",R981&lt;24.9),"Acceptable",AND(Table13[[#This Row],[Gender]]="male",R981&lt;40),"Obese",AND(Table13[[#This Row],[Gender]]="others",R981&lt;20),"Athletes",AND(Table13[[#This Row],[Gender]]="others",R981&lt;24),"Fitnesss",AND(Table13[[#This Row],[Gender]]="others",R981&lt;31),"Acceptable",AND(Table13[[#This Row],[Gender]]="others",R981&lt;40),"Obese")</f>
        <v>Obese</v>
      </c>
      <c r="R981" s="8">
        <v>27.1</v>
      </c>
      <c r="S981" s="8">
        <v>3.2</v>
      </c>
      <c r="T981" s="8">
        <v>4</v>
      </c>
      <c r="U981" s="8">
        <v>2</v>
      </c>
      <c r="V981" s="8" t="str">
        <f>IF(Table13[[#This Row],[BMI]]&lt;=18.5,"Underweight",IF(Table13[[#This Row],[BMI]]&lt;=24.9,"Normal",IF(Table13[[#This Row],[BMI]]&lt;=29.9,"Overweight",IF(Table13[[#This Row],[BMI]]&lt;=39,"Obese","Severly Obese"))))</f>
        <v>Overweight</v>
      </c>
      <c r="W981" s="18">
        <v>28.45</v>
      </c>
    </row>
    <row r="982" spans="6:23" x14ac:dyDescent="0.3">
      <c r="F982" s="17">
        <v>42</v>
      </c>
      <c r="G982" s="8" t="str">
        <f>IF(Table13[[#This Row],[Age]]&lt;25,"18-24",IF(Table13[[#This Row],[Age]]&lt;35,"25-34",IF(Table13[[#This Row],[Age]]&lt;45,"35-44",IF(Table13[[#This Row],[Age]]&lt;55,"45-54","55-64"))))</f>
        <v>35-44</v>
      </c>
      <c r="H982" s="8" t="s">
        <v>19</v>
      </c>
      <c r="I982" s="8">
        <v>117.7</v>
      </c>
      <c r="J982" s="8">
        <v>1.71</v>
      </c>
      <c r="K982" s="8">
        <v>198</v>
      </c>
      <c r="L982" s="8">
        <v>149</v>
      </c>
      <c r="M982" s="8">
        <v>74</v>
      </c>
      <c r="N982" s="8">
        <v>0.89</v>
      </c>
      <c r="O982" s="8">
        <v>943</v>
      </c>
      <c r="P982" s="8" t="s">
        <v>20</v>
      </c>
      <c r="Q982" s="8" t="str">
        <f>_xlfn.IFS(AND(Table13[[#This Row],[Gender]]="female",R982&lt;20),"Athletes",AND(Table13[[#This Row],[Gender]]="female",R982&lt;24),"Fitnesss",AND(Table13[[#This Row],[Gender]]="female",R982&lt;31),"Acceptable",AND(Table13[[#This Row],[Gender]]="female",R982&lt;40),"Obese",AND(Table13[[#This Row],[Gender]]="male",R982&lt;13),"Athletes",AND(Table13[[#This Row],[Gender]]="male",R982&lt;17),"Fitnesss",AND(Table13[[#This Row],[Gender]]="male",R982&lt;24.9),"Acceptable",AND(Table13[[#This Row],[Gender]]="male",R982&lt;40),"Obese",AND(Table13[[#This Row],[Gender]]="others",R982&lt;20),"Athletes",AND(Table13[[#This Row],[Gender]]="others",R982&lt;24),"Fitnesss",AND(Table13[[#This Row],[Gender]]="others",R982&lt;31),"Acceptable",AND(Table13[[#This Row],[Gender]]="others",R982&lt;40),"Obese")</f>
        <v>Acceptable</v>
      </c>
      <c r="R982" s="8">
        <v>23.7</v>
      </c>
      <c r="S982" s="8">
        <v>1.8</v>
      </c>
      <c r="T982" s="8">
        <v>4</v>
      </c>
      <c r="U982" s="8">
        <v>1</v>
      </c>
      <c r="V982" s="8" t="str">
        <f>IF(Table13[[#This Row],[BMI]]&lt;=18.5,"Underweight",IF(Table13[[#This Row],[BMI]]&lt;=24.9,"Normal",IF(Table13[[#This Row],[BMI]]&lt;=29.9,"Overweight",IF(Table13[[#This Row],[BMI]]&lt;=39,"Obese","Severly Obese"))))</f>
        <v>Overweight</v>
      </c>
      <c r="W982" s="18">
        <v>26.89</v>
      </c>
    </row>
    <row r="983" spans="6:23" x14ac:dyDescent="0.3">
      <c r="F983" s="17">
        <v>24</v>
      </c>
      <c r="G983" s="8" t="str">
        <f>IF(Table13[[#This Row],[Age]]&lt;25,"18-24",IF(Table13[[#This Row],[Age]]&lt;35,"25-34",IF(Table13[[#This Row],[Age]]&lt;45,"35-44",IF(Table13[[#This Row],[Age]]&lt;55,"45-54","55-64"))))</f>
        <v>18-24</v>
      </c>
      <c r="H983" s="8" t="s">
        <v>23</v>
      </c>
      <c r="I983" s="8">
        <v>91.2</v>
      </c>
      <c r="J983" s="8">
        <v>1.66</v>
      </c>
      <c r="K983" s="8">
        <v>167</v>
      </c>
      <c r="L983" s="8">
        <v>129</v>
      </c>
      <c r="M983" s="8">
        <v>60</v>
      </c>
      <c r="N983" s="8">
        <v>1.27</v>
      </c>
      <c r="O983" s="8">
        <v>314</v>
      </c>
      <c r="P983" s="8" t="s">
        <v>21</v>
      </c>
      <c r="Q983" s="8" t="str">
        <f>_xlfn.IFS(AND(Table13[[#This Row],[Gender]]="female",R983&lt;20),"Athletes",AND(Table13[[#This Row],[Gender]]="female",R983&lt;24),"Fitnesss",AND(Table13[[#This Row],[Gender]]="female",R983&lt;31),"Acceptable",AND(Table13[[#This Row],[Gender]]="female",R983&lt;40),"Obese",AND(Table13[[#This Row],[Gender]]="male",R983&lt;13),"Athletes",AND(Table13[[#This Row],[Gender]]="male",R983&lt;17),"Fitnesss",AND(Table13[[#This Row],[Gender]]="male",R983&lt;24.9),"Acceptable",AND(Table13[[#This Row],[Gender]]="male",R983&lt;40),"Obese",AND(Table13[[#This Row],[Gender]]="others",R983&lt;20),"Athletes",AND(Table13[[#This Row],[Gender]]="others",R983&lt;24),"Fitnesss",AND(Table13[[#This Row],[Gender]]="others",R983&lt;31),"Acceptable",AND(Table13[[#This Row],[Gender]]="others",R983&lt;40),"Obese")</f>
        <v>Acceptable</v>
      </c>
      <c r="R983" s="8">
        <v>30.8</v>
      </c>
      <c r="S983" s="8">
        <v>3.4</v>
      </c>
      <c r="T983" s="8">
        <v>5</v>
      </c>
      <c r="U983" s="8">
        <v>1</v>
      </c>
      <c r="V983" s="8" t="str">
        <f>IF(Table13[[#This Row],[BMI]]&lt;=18.5,"Underweight",IF(Table13[[#This Row],[BMI]]&lt;=24.9,"Normal",IF(Table13[[#This Row],[BMI]]&lt;=29.9,"Overweight",IF(Table13[[#This Row],[BMI]]&lt;=39,"Obese","Severly Obese"))))</f>
        <v>Normal</v>
      </c>
      <c r="W983" s="18">
        <v>21.76</v>
      </c>
    </row>
    <row r="984" spans="6:23" x14ac:dyDescent="0.3">
      <c r="F984" s="17">
        <v>18</v>
      </c>
      <c r="G984" s="8" t="str">
        <f>IF(Table13[[#This Row],[Age]]&lt;25,"18-24",IF(Table13[[#This Row],[Age]]&lt;35,"25-34",IF(Table13[[#This Row],[Age]]&lt;45,"35-44",IF(Table13[[#This Row],[Age]]&lt;55,"45-54","55-64"))))</f>
        <v>18-24</v>
      </c>
      <c r="H984" s="8" t="s">
        <v>17</v>
      </c>
      <c r="I984" s="8">
        <v>100.3</v>
      </c>
      <c r="J984" s="8">
        <v>1.83</v>
      </c>
      <c r="K984" s="8">
        <v>168</v>
      </c>
      <c r="L984" s="8">
        <v>125</v>
      </c>
      <c r="M984" s="8">
        <v>74</v>
      </c>
      <c r="N984" s="8">
        <v>1.21</v>
      </c>
      <c r="O984" s="8">
        <v>746</v>
      </c>
      <c r="P984" s="8" t="s">
        <v>22</v>
      </c>
      <c r="Q984" s="8" t="str">
        <f>_xlfn.IFS(AND(Table13[[#This Row],[Gender]]="female",R984&lt;20),"Athletes",AND(Table13[[#This Row],[Gender]]="female",R984&lt;24),"Fitnesss",AND(Table13[[#This Row],[Gender]]="female",R984&lt;31),"Acceptable",AND(Table13[[#This Row],[Gender]]="female",R984&lt;40),"Obese",AND(Table13[[#This Row],[Gender]]="male",R984&lt;13),"Athletes",AND(Table13[[#This Row],[Gender]]="male",R984&lt;17),"Fitnesss",AND(Table13[[#This Row],[Gender]]="male",R984&lt;24.9),"Acceptable",AND(Table13[[#This Row],[Gender]]="male",R984&lt;40),"Obese",AND(Table13[[#This Row],[Gender]]="others",R984&lt;20),"Athletes",AND(Table13[[#This Row],[Gender]]="others",R984&lt;24),"Fitnesss",AND(Table13[[#This Row],[Gender]]="others",R984&lt;31),"Acceptable",AND(Table13[[#This Row],[Gender]]="others",R984&lt;40),"Obese")</f>
        <v>Fitnesss</v>
      </c>
      <c r="R984" s="8">
        <v>23.3</v>
      </c>
      <c r="S984" s="8">
        <v>3.4</v>
      </c>
      <c r="T984" s="8">
        <v>5</v>
      </c>
      <c r="U984" s="8">
        <v>1</v>
      </c>
      <c r="V984" s="8" t="str">
        <f>IF(Table13[[#This Row],[BMI]]&lt;=18.5,"Underweight",IF(Table13[[#This Row],[BMI]]&lt;=24.9,"Normal",IF(Table13[[#This Row],[BMI]]&lt;=29.9,"Overweight",IF(Table13[[#This Row],[BMI]]&lt;=39,"Obese","Severly Obese"))))</f>
        <v>Underweight</v>
      </c>
      <c r="W984" s="18"/>
    </row>
    <row r="985" spans="6:23" x14ac:dyDescent="0.3">
      <c r="F985" s="17">
        <v>28</v>
      </c>
      <c r="G985" s="8" t="str">
        <f>IF(Table13[[#This Row],[Age]]&lt;25,"18-24",IF(Table13[[#This Row],[Age]]&lt;35,"25-34",IF(Table13[[#This Row],[Age]]&lt;45,"35-44",IF(Table13[[#This Row],[Age]]&lt;55,"45-54","55-64"))))</f>
        <v>25-34</v>
      </c>
      <c r="H985" s="8" t="s">
        <v>19</v>
      </c>
      <c r="I985" s="8">
        <v>51.1</v>
      </c>
      <c r="J985" s="8">
        <v>1.66</v>
      </c>
      <c r="K985" s="8">
        <v>161</v>
      </c>
      <c r="L985" s="8">
        <v>154</v>
      </c>
      <c r="M985" s="8">
        <v>65</v>
      </c>
      <c r="N985" s="8">
        <v>0.86</v>
      </c>
      <c r="O985" s="8">
        <v>944</v>
      </c>
      <c r="P985" s="8" t="s">
        <v>21</v>
      </c>
      <c r="Q985" s="8" t="str">
        <f>_xlfn.IFS(AND(Table13[[#This Row],[Gender]]="female",R985&lt;20),"Athletes",AND(Table13[[#This Row],[Gender]]="female",R985&lt;24),"Fitnesss",AND(Table13[[#This Row],[Gender]]="female",R985&lt;31),"Acceptable",AND(Table13[[#This Row],[Gender]]="female",R985&lt;40),"Obese",AND(Table13[[#This Row],[Gender]]="male",R985&lt;13),"Athletes",AND(Table13[[#This Row],[Gender]]="male",R985&lt;17),"Fitnesss",AND(Table13[[#This Row],[Gender]]="male",R985&lt;24.9),"Acceptable",AND(Table13[[#This Row],[Gender]]="male",R985&lt;40),"Obese",AND(Table13[[#This Row],[Gender]]="others",R985&lt;20),"Athletes",AND(Table13[[#This Row],[Gender]]="others",R985&lt;24),"Fitnesss",AND(Table13[[#This Row],[Gender]]="others",R985&lt;31),"Acceptable",AND(Table13[[#This Row],[Gender]]="others",R985&lt;40),"Obese")</f>
        <v>Obese</v>
      </c>
      <c r="R985" s="8">
        <v>31.1</v>
      </c>
      <c r="S985" s="8">
        <v>3.3</v>
      </c>
      <c r="T985" s="8">
        <v>5</v>
      </c>
      <c r="U985" s="8">
        <v>2</v>
      </c>
      <c r="V985" s="8" t="str">
        <f>IF(Table13[[#This Row],[BMI]]&lt;=18.5,"Underweight",IF(Table13[[#This Row],[BMI]]&lt;=24.9,"Normal",IF(Table13[[#This Row],[BMI]]&lt;=29.9,"Overweight",IF(Table13[[#This Row],[BMI]]&lt;=39,"Obese","Severly Obese"))))</f>
        <v>Normal</v>
      </c>
      <c r="W985" s="18">
        <v>19.670000000000002</v>
      </c>
    </row>
    <row r="986" spans="6:23" x14ac:dyDescent="0.3">
      <c r="F986" s="17">
        <v>18</v>
      </c>
      <c r="G986" s="8" t="str">
        <f>IF(Table13[[#This Row],[Age]]&lt;25,"18-24",IF(Table13[[#This Row],[Age]]&lt;35,"25-34",IF(Table13[[#This Row],[Age]]&lt;45,"35-44",IF(Table13[[#This Row],[Age]]&lt;55,"45-54","55-64"))))</f>
        <v>18-24</v>
      </c>
      <c r="H986" s="8" t="s">
        <v>19</v>
      </c>
      <c r="I986" s="8">
        <v>79</v>
      </c>
      <c r="J986" s="8">
        <v>1.64</v>
      </c>
      <c r="K986" s="8">
        <v>191</v>
      </c>
      <c r="L986" s="8">
        <v>150</v>
      </c>
      <c r="M986" s="8">
        <v>74</v>
      </c>
      <c r="N986" s="8">
        <v>1.37</v>
      </c>
      <c r="O986" s="8">
        <v>1741</v>
      </c>
      <c r="P986" s="8" t="s">
        <v>22</v>
      </c>
      <c r="Q986" s="8" t="str">
        <f>_xlfn.IFS(AND(Table13[[#This Row],[Gender]]="female",R986&lt;20),"Athletes",AND(Table13[[#This Row],[Gender]]="female",R986&lt;24),"Fitnesss",AND(Table13[[#This Row],[Gender]]="female",R986&lt;31),"Acceptable",AND(Table13[[#This Row],[Gender]]="female",R986&lt;40),"Obese",AND(Table13[[#This Row],[Gender]]="male",R986&lt;13),"Athletes",AND(Table13[[#This Row],[Gender]]="male",R986&lt;17),"Fitnesss",AND(Table13[[#This Row],[Gender]]="male",R986&lt;24.9),"Acceptable",AND(Table13[[#This Row],[Gender]]="male",R986&lt;40),"Obese",AND(Table13[[#This Row],[Gender]]="others",R986&lt;20),"Athletes",AND(Table13[[#This Row],[Gender]]="others",R986&lt;24),"Fitnesss",AND(Table13[[#This Row],[Gender]]="others",R986&lt;31),"Acceptable",AND(Table13[[#This Row],[Gender]]="others",R986&lt;40),"Obese")</f>
        <v>Fitnesss</v>
      </c>
      <c r="R986" s="8">
        <v>16.899999999999999</v>
      </c>
      <c r="S986" s="8">
        <v>1.9</v>
      </c>
      <c r="T986" s="8">
        <v>4</v>
      </c>
      <c r="U986" s="8"/>
      <c r="V986" s="8" t="str">
        <f>IF(Table13[[#This Row],[BMI]]&lt;=18.5,"Underweight",IF(Table13[[#This Row],[BMI]]&lt;=24.9,"Normal",IF(Table13[[#This Row],[BMI]]&lt;=29.9,"Overweight",IF(Table13[[#This Row],[BMI]]&lt;=39,"Obese","Severly Obese"))))</f>
        <v>Obese</v>
      </c>
      <c r="W986" s="18">
        <v>30.73</v>
      </c>
    </row>
    <row r="987" spans="6:23" x14ac:dyDescent="0.3">
      <c r="F987" s="17">
        <v>44</v>
      </c>
      <c r="G987" s="8" t="str">
        <f>IF(Table13[[#This Row],[Age]]&lt;25,"18-24",IF(Table13[[#This Row],[Age]]&lt;35,"25-34",IF(Table13[[#This Row],[Age]]&lt;45,"35-44",IF(Table13[[#This Row],[Age]]&lt;55,"45-54","55-64"))))</f>
        <v>35-44</v>
      </c>
      <c r="H987" s="8" t="s">
        <v>17</v>
      </c>
      <c r="I987" s="8">
        <v>65</v>
      </c>
      <c r="J987" s="8">
        <v>1.57</v>
      </c>
      <c r="K987" s="8">
        <v>165</v>
      </c>
      <c r="L987" s="8">
        <v>168</v>
      </c>
      <c r="M987" s="8">
        <v>70</v>
      </c>
      <c r="N987" s="8">
        <v>1.02</v>
      </c>
      <c r="O987" s="8">
        <v>1232</v>
      </c>
      <c r="P987" s="8" t="s">
        <v>20</v>
      </c>
      <c r="Q987" s="8" t="str">
        <f>_xlfn.IFS(AND(Table13[[#This Row],[Gender]]="female",R987&lt;20),"Athletes",AND(Table13[[#This Row],[Gender]]="female",R987&lt;24),"Fitnesss",AND(Table13[[#This Row],[Gender]]="female",R987&lt;31),"Acceptable",AND(Table13[[#This Row],[Gender]]="female",R987&lt;40),"Obese",AND(Table13[[#This Row],[Gender]]="male",R987&lt;13),"Athletes",AND(Table13[[#This Row],[Gender]]="male",R987&lt;17),"Fitnesss",AND(Table13[[#This Row],[Gender]]="male",R987&lt;24.9),"Acceptable",AND(Table13[[#This Row],[Gender]]="male",R987&lt;40),"Obese",AND(Table13[[#This Row],[Gender]]="others",R987&lt;20),"Athletes",AND(Table13[[#This Row],[Gender]]="others",R987&lt;24),"Fitnesss",AND(Table13[[#This Row],[Gender]]="others",R987&lt;31),"Acceptable",AND(Table13[[#This Row],[Gender]]="others",R987&lt;40),"Obese")</f>
        <v>Acceptable</v>
      </c>
      <c r="R987" s="8">
        <v>27.9</v>
      </c>
      <c r="S987" s="8">
        <v>3.6</v>
      </c>
      <c r="T987" s="8">
        <v>3</v>
      </c>
      <c r="U987" s="8">
        <v>1</v>
      </c>
      <c r="V987" s="8" t="str">
        <f>IF(Table13[[#This Row],[BMI]]&lt;=18.5,"Underweight",IF(Table13[[#This Row],[BMI]]&lt;=24.9,"Normal",IF(Table13[[#This Row],[BMI]]&lt;=29.9,"Overweight",IF(Table13[[#This Row],[BMI]]&lt;=39,"Obese","Severly Obese"))))</f>
        <v>Obese</v>
      </c>
      <c r="W987" s="18">
        <v>32.75</v>
      </c>
    </row>
    <row r="988" spans="6:23" x14ac:dyDescent="0.3">
      <c r="F988" s="17">
        <v>24</v>
      </c>
      <c r="G988" s="8" t="str">
        <f>IF(Table13[[#This Row],[Age]]&lt;25,"18-24",IF(Table13[[#This Row],[Age]]&lt;35,"25-34",IF(Table13[[#This Row],[Age]]&lt;45,"35-44",IF(Table13[[#This Row],[Age]]&lt;55,"45-54","55-64"))))</f>
        <v>18-24</v>
      </c>
      <c r="H988" s="8" t="s">
        <v>19</v>
      </c>
      <c r="I988" s="8">
        <v>86.3</v>
      </c>
      <c r="J988" s="8">
        <v>1.71</v>
      </c>
      <c r="K988" s="8">
        <v>191</v>
      </c>
      <c r="L988" s="8">
        <v>150</v>
      </c>
      <c r="M988" s="8">
        <v>50</v>
      </c>
      <c r="N988" s="8">
        <v>1.33</v>
      </c>
      <c r="O988" s="8">
        <v>1166</v>
      </c>
      <c r="P988" s="8" t="s">
        <v>22</v>
      </c>
      <c r="Q988" s="8" t="str">
        <f>_xlfn.IFS(AND(Table13[[#This Row],[Gender]]="female",R988&lt;20),"Athletes",AND(Table13[[#This Row],[Gender]]="female",R988&lt;24),"Fitnesss",AND(Table13[[#This Row],[Gender]]="female",R988&lt;31),"Acceptable",AND(Table13[[#This Row],[Gender]]="female",R988&lt;40),"Obese",AND(Table13[[#This Row],[Gender]]="male",R988&lt;13),"Athletes",AND(Table13[[#This Row],[Gender]]="male",R988&lt;17),"Fitnesss",AND(Table13[[#This Row],[Gender]]="male",R988&lt;24.9),"Acceptable",AND(Table13[[#This Row],[Gender]]="male",R988&lt;40),"Obese",AND(Table13[[#This Row],[Gender]]="others",R988&lt;20),"Athletes",AND(Table13[[#This Row],[Gender]]="others",R988&lt;24),"Fitnesss",AND(Table13[[#This Row],[Gender]]="others",R988&lt;31),"Acceptable",AND(Table13[[#This Row],[Gender]]="others",R988&lt;40),"Obese")</f>
        <v>Obese</v>
      </c>
      <c r="R988" s="8">
        <v>33.299999999999997</v>
      </c>
      <c r="S988" s="8">
        <v>1.8</v>
      </c>
      <c r="T988" s="8">
        <v>3</v>
      </c>
      <c r="U988" s="8">
        <v>1</v>
      </c>
      <c r="V988" s="8" t="str">
        <f>IF(Table13[[#This Row],[BMI]]&lt;=18.5,"Underweight",IF(Table13[[#This Row],[BMI]]&lt;=24.9,"Normal",IF(Table13[[#This Row],[BMI]]&lt;=29.9,"Overweight",IF(Table13[[#This Row],[BMI]]&lt;=39,"Obese","Severly Obese"))))</f>
        <v>Normal</v>
      </c>
      <c r="W988" s="18">
        <v>18.7</v>
      </c>
    </row>
    <row r="989" spans="6:23" x14ac:dyDescent="0.3">
      <c r="F989" s="17">
        <v>39</v>
      </c>
      <c r="G989" s="8" t="str">
        <f>IF(Table13[[#This Row],[Age]]&lt;25,"18-24",IF(Table13[[#This Row],[Age]]&lt;35,"25-34",IF(Table13[[#This Row],[Age]]&lt;45,"35-44",IF(Table13[[#This Row],[Age]]&lt;55,"45-54","55-64"))))</f>
        <v>35-44</v>
      </c>
      <c r="H989" s="8" t="s">
        <v>19</v>
      </c>
      <c r="I989" s="8">
        <v>43.3</v>
      </c>
      <c r="J989" s="8">
        <v>1.68</v>
      </c>
      <c r="K989" s="8">
        <v>184</v>
      </c>
      <c r="L989" s="8">
        <v>128</v>
      </c>
      <c r="M989" s="8">
        <v>51</v>
      </c>
      <c r="N989" s="8">
        <v>1.5</v>
      </c>
      <c r="O989" s="8">
        <v>712</v>
      </c>
      <c r="P989" s="8" t="s">
        <v>20</v>
      </c>
      <c r="Q989" s="8" t="str">
        <f>_xlfn.IFS(AND(Table13[[#This Row],[Gender]]="female",R989&lt;20),"Athletes",AND(Table13[[#This Row],[Gender]]="female",R989&lt;24),"Fitnesss",AND(Table13[[#This Row],[Gender]]="female",R989&lt;31),"Acceptable",AND(Table13[[#This Row],[Gender]]="female",R989&lt;40),"Obese",AND(Table13[[#This Row],[Gender]]="male",R989&lt;13),"Athletes",AND(Table13[[#This Row],[Gender]]="male",R989&lt;17),"Fitnesss",AND(Table13[[#This Row],[Gender]]="male",R989&lt;24.9),"Acceptable",AND(Table13[[#This Row],[Gender]]="male",R989&lt;40),"Obese",AND(Table13[[#This Row],[Gender]]="others",R989&lt;20),"Athletes",AND(Table13[[#This Row],[Gender]]="others",R989&lt;24),"Fitnesss",AND(Table13[[#This Row],[Gender]]="others",R989&lt;31),"Acceptable",AND(Table13[[#This Row],[Gender]]="others",R989&lt;40),"Obese")</f>
        <v>Fitnesss</v>
      </c>
      <c r="R989" s="8">
        <v>13.2</v>
      </c>
      <c r="S989" s="8">
        <v>1.5</v>
      </c>
      <c r="T989" s="8">
        <v>2</v>
      </c>
      <c r="U989" s="8">
        <v>2</v>
      </c>
      <c r="V989" s="8" t="str">
        <f>IF(Table13[[#This Row],[BMI]]&lt;=18.5,"Underweight",IF(Table13[[#This Row],[BMI]]&lt;=24.9,"Normal",IF(Table13[[#This Row],[BMI]]&lt;=29.9,"Overweight",IF(Table13[[#This Row],[BMI]]&lt;=39,"Obese","Severly Obese"))))</f>
        <v>Underweight</v>
      </c>
      <c r="W989" s="18">
        <v>17.059999999999999</v>
      </c>
    </row>
    <row r="990" spans="6:23" x14ac:dyDescent="0.3">
      <c r="F990" s="17">
        <v>18</v>
      </c>
      <c r="G990" s="8" t="str">
        <f>IF(Table13[[#This Row],[Age]]&lt;25,"18-24",IF(Table13[[#This Row],[Age]]&lt;35,"25-34",IF(Table13[[#This Row],[Age]]&lt;45,"35-44",IF(Table13[[#This Row],[Age]]&lt;55,"45-54","55-64"))))</f>
        <v>18-24</v>
      </c>
      <c r="H990" s="8" t="s">
        <v>19</v>
      </c>
      <c r="I990" s="8">
        <v>50.6</v>
      </c>
      <c r="J990" s="8">
        <v>2</v>
      </c>
      <c r="K990" s="8">
        <v>179</v>
      </c>
      <c r="L990" s="8">
        <v>133</v>
      </c>
      <c r="M990" s="8">
        <v>18</v>
      </c>
      <c r="N990" s="8">
        <v>1.85</v>
      </c>
      <c r="O990" s="8">
        <v>1265</v>
      </c>
      <c r="P990" s="8" t="s">
        <v>18</v>
      </c>
      <c r="Q990" s="8" t="str">
        <f>_xlfn.IFS(AND(Table13[[#This Row],[Gender]]="female",R990&lt;20),"Athletes",AND(Table13[[#This Row],[Gender]]="female",R990&lt;24),"Fitnesss",AND(Table13[[#This Row],[Gender]]="female",R990&lt;31),"Acceptable",AND(Table13[[#This Row],[Gender]]="female",R990&lt;40),"Obese",AND(Table13[[#This Row],[Gender]]="male",R990&lt;13),"Athletes",AND(Table13[[#This Row],[Gender]]="male",R990&lt;17),"Fitnesss",AND(Table13[[#This Row],[Gender]]="male",R990&lt;24.9),"Acceptable",AND(Table13[[#This Row],[Gender]]="male",R990&lt;40),"Obese",AND(Table13[[#This Row],[Gender]]="others",R990&lt;20),"Athletes",AND(Table13[[#This Row],[Gender]]="others",R990&lt;24),"Fitnesss",AND(Table13[[#This Row],[Gender]]="others",R990&lt;31),"Acceptable",AND(Table13[[#This Row],[Gender]]="others",R990&lt;40),"Obese")</f>
        <v>Acceptable</v>
      </c>
      <c r="R990" s="8">
        <v>19.8</v>
      </c>
      <c r="S990" s="8">
        <v>2.7</v>
      </c>
      <c r="T990" s="8"/>
      <c r="U990" s="8">
        <v>2</v>
      </c>
      <c r="V990" s="8" t="str">
        <f>IF(Table13[[#This Row],[BMI]]&lt;=18.5,"Underweight",IF(Table13[[#This Row],[BMI]]&lt;=24.9,"Normal",IF(Table13[[#This Row],[BMI]]&lt;=29.9,"Overweight",IF(Table13[[#This Row],[BMI]]&lt;=39,"Obese","Severly Obese"))))</f>
        <v>Normal</v>
      </c>
      <c r="W990" s="18">
        <v>20.88</v>
      </c>
    </row>
    <row r="991" spans="6:23" x14ac:dyDescent="0.3">
      <c r="F991" s="17">
        <v>52</v>
      </c>
      <c r="G991" s="8" t="str">
        <f>IF(Table13[[#This Row],[Age]]&lt;25,"18-24",IF(Table13[[#This Row],[Age]]&lt;35,"25-34",IF(Table13[[#This Row],[Age]]&lt;45,"35-44",IF(Table13[[#This Row],[Age]]&lt;55,"45-54","55-64"))))</f>
        <v>45-54</v>
      </c>
      <c r="H991" s="8" t="s">
        <v>19</v>
      </c>
      <c r="I991" s="8">
        <v>40</v>
      </c>
      <c r="J991" s="8">
        <v>1.71</v>
      </c>
      <c r="K991" s="8">
        <v>165</v>
      </c>
      <c r="L991" s="8">
        <v>157</v>
      </c>
      <c r="M991" s="8">
        <v>74</v>
      </c>
      <c r="N991" s="8">
        <v>1.64</v>
      </c>
      <c r="O991" s="8">
        <v>1001</v>
      </c>
      <c r="P991" s="8" t="s">
        <v>21</v>
      </c>
      <c r="Q991" s="8" t="str">
        <f>_xlfn.IFS(AND(Table13[[#This Row],[Gender]]="female",R991&lt;20),"Athletes",AND(Table13[[#This Row],[Gender]]="female",R991&lt;24),"Fitnesss",AND(Table13[[#This Row],[Gender]]="female",R991&lt;31),"Acceptable",AND(Table13[[#This Row],[Gender]]="female",R991&lt;40),"Obese",AND(Table13[[#This Row],[Gender]]="male",R991&lt;13),"Athletes",AND(Table13[[#This Row],[Gender]]="male",R991&lt;17),"Fitnesss",AND(Table13[[#This Row],[Gender]]="male",R991&lt;24.9),"Acceptable",AND(Table13[[#This Row],[Gender]]="male",R991&lt;40),"Obese",AND(Table13[[#This Row],[Gender]]="others",R991&lt;20),"Athletes",AND(Table13[[#This Row],[Gender]]="others",R991&lt;24),"Fitnesss",AND(Table13[[#This Row],[Gender]]="others",R991&lt;31),"Acceptable",AND(Table13[[#This Row],[Gender]]="others",R991&lt;40),"Obese")</f>
        <v>Acceptable</v>
      </c>
      <c r="R991" s="8">
        <v>18.600000000000001</v>
      </c>
      <c r="S991" s="8">
        <v>2.8</v>
      </c>
      <c r="T991" s="8">
        <v>4</v>
      </c>
      <c r="U991" s="8">
        <v>2</v>
      </c>
      <c r="V991" s="8" t="str">
        <f>IF(Table13[[#This Row],[BMI]]&lt;=18.5,"Underweight",IF(Table13[[#This Row],[BMI]]&lt;=24.9,"Normal",IF(Table13[[#This Row],[BMI]]&lt;=29.9,"Overweight",IF(Table13[[#This Row],[BMI]]&lt;=39,"Obese","Severly Obese"))))</f>
        <v>Underweight</v>
      </c>
      <c r="W991" s="18">
        <v>17.27</v>
      </c>
    </row>
    <row r="992" spans="6:23" x14ac:dyDescent="0.3">
      <c r="F992" s="17">
        <v>18</v>
      </c>
      <c r="G992" s="8" t="str">
        <f>IF(Table13[[#This Row],[Age]]&lt;25,"18-24",IF(Table13[[#This Row],[Age]]&lt;35,"25-34",IF(Table13[[#This Row],[Age]]&lt;45,"35-44",IF(Table13[[#This Row],[Age]]&lt;55,"45-54","55-64"))))</f>
        <v>18-24</v>
      </c>
      <c r="H992" s="8" t="s">
        <v>17</v>
      </c>
      <c r="I992" s="8">
        <v>59.9</v>
      </c>
      <c r="J992" s="8">
        <v>1.76</v>
      </c>
      <c r="K992" s="8">
        <v>179</v>
      </c>
      <c r="L992" s="8">
        <v>169</v>
      </c>
      <c r="M992" s="8">
        <v>66</v>
      </c>
      <c r="N992" s="8">
        <v>1.26</v>
      </c>
      <c r="O992" s="8">
        <v>1024</v>
      </c>
      <c r="P992" s="8" t="s">
        <v>20</v>
      </c>
      <c r="Q992" s="8" t="str">
        <f>_xlfn.IFS(AND(Table13[[#This Row],[Gender]]="female",R992&lt;20),"Athletes",AND(Table13[[#This Row],[Gender]]="female",R992&lt;24),"Fitnesss",AND(Table13[[#This Row],[Gender]]="female",R992&lt;31),"Acceptable",AND(Table13[[#This Row],[Gender]]="female",R992&lt;40),"Obese",AND(Table13[[#This Row],[Gender]]="male",R992&lt;13),"Athletes",AND(Table13[[#This Row],[Gender]]="male",R992&lt;17),"Fitnesss",AND(Table13[[#This Row],[Gender]]="male",R992&lt;24.9),"Acceptable",AND(Table13[[#This Row],[Gender]]="male",R992&lt;40),"Obese",AND(Table13[[#This Row],[Gender]]="others",R992&lt;20),"Athletes",AND(Table13[[#This Row],[Gender]]="others",R992&lt;24),"Fitnesss",AND(Table13[[#This Row],[Gender]]="others",R992&lt;31),"Acceptable",AND(Table13[[#This Row],[Gender]]="others",R992&lt;40),"Obese")</f>
        <v>Athletes</v>
      </c>
      <c r="R992" s="8"/>
      <c r="S992" s="8">
        <v>2.1</v>
      </c>
      <c r="T992" s="8">
        <v>3</v>
      </c>
      <c r="U992" s="8">
        <v>1</v>
      </c>
      <c r="V992" s="8" t="str">
        <f>IF(Table13[[#This Row],[BMI]]&lt;=18.5,"Underweight",IF(Table13[[#This Row],[BMI]]&lt;=24.9,"Normal",IF(Table13[[#This Row],[BMI]]&lt;=29.9,"Overweight",IF(Table13[[#This Row],[BMI]]&lt;=39,"Obese","Severly Obese"))))</f>
        <v>Normal</v>
      </c>
      <c r="W992" s="18">
        <v>18.690000000000001</v>
      </c>
    </row>
    <row r="993" spans="6:23" x14ac:dyDescent="0.3">
      <c r="F993" s="17">
        <v>56</v>
      </c>
      <c r="G993" s="8" t="str">
        <f>IF(Table13[[#This Row],[Age]]&lt;25,"18-24",IF(Table13[[#This Row],[Age]]&lt;35,"25-34",IF(Table13[[#This Row],[Age]]&lt;45,"35-44",IF(Table13[[#This Row],[Age]]&lt;55,"45-54","55-64"))))</f>
        <v>55-64</v>
      </c>
      <c r="H993" s="8" t="s">
        <v>17</v>
      </c>
      <c r="I993" s="8">
        <v>59.1</v>
      </c>
      <c r="J993" s="8">
        <v>2</v>
      </c>
      <c r="K993" s="8">
        <v>177</v>
      </c>
      <c r="L993" s="8"/>
      <c r="M993" s="8">
        <v>58</v>
      </c>
      <c r="N993" s="8">
        <v>0.94</v>
      </c>
      <c r="O993" s="8">
        <v>1277</v>
      </c>
      <c r="P993" s="8" t="s">
        <v>22</v>
      </c>
      <c r="Q993" s="8" t="str">
        <f>_xlfn.IFS(AND(Table13[[#This Row],[Gender]]="female",R993&lt;20),"Athletes",AND(Table13[[#This Row],[Gender]]="female",R993&lt;24),"Fitnesss",AND(Table13[[#This Row],[Gender]]="female",R993&lt;31),"Acceptable",AND(Table13[[#This Row],[Gender]]="female",R993&lt;40),"Obese",AND(Table13[[#This Row],[Gender]]="male",R993&lt;13),"Athletes",AND(Table13[[#This Row],[Gender]]="male",R993&lt;17),"Fitnesss",AND(Table13[[#This Row],[Gender]]="male",R993&lt;24.9),"Acceptable",AND(Table13[[#This Row],[Gender]]="male",R993&lt;40),"Obese",AND(Table13[[#This Row],[Gender]]="others",R993&lt;20),"Athletes",AND(Table13[[#This Row],[Gender]]="others",R993&lt;24),"Fitnesss",AND(Table13[[#This Row],[Gender]]="others",R993&lt;31),"Acceptable",AND(Table13[[#This Row],[Gender]]="others",R993&lt;40),"Obese")</f>
        <v>Athletes</v>
      </c>
      <c r="R993" s="8">
        <v>14.1</v>
      </c>
      <c r="S993" s="8">
        <v>3.4</v>
      </c>
      <c r="T993" s="8">
        <v>3</v>
      </c>
      <c r="U993" s="8">
        <v>2</v>
      </c>
      <c r="V993" s="8" t="str">
        <f>IF(Table13[[#This Row],[BMI]]&lt;=18.5,"Underweight",IF(Table13[[#This Row],[BMI]]&lt;=24.9,"Normal",IF(Table13[[#This Row],[BMI]]&lt;=29.9,"Overweight",IF(Table13[[#This Row],[BMI]]&lt;=39,"Obese","Severly Obese"))))</f>
        <v>Underweight</v>
      </c>
      <c r="W993" s="18">
        <v>16.29</v>
      </c>
    </row>
    <row r="994" spans="6:23" x14ac:dyDescent="0.3">
      <c r="F994" s="17">
        <v>24</v>
      </c>
      <c r="G994" s="8" t="str">
        <f>IF(Table13[[#This Row],[Age]]&lt;25,"18-24",IF(Table13[[#This Row],[Age]]&lt;35,"25-34",IF(Table13[[#This Row],[Age]]&lt;45,"35-44",IF(Table13[[#This Row],[Age]]&lt;55,"45-54","55-64"))))</f>
        <v>18-24</v>
      </c>
      <c r="H994" s="8" t="s">
        <v>23</v>
      </c>
      <c r="I994" s="8">
        <v>62.8</v>
      </c>
      <c r="J994" s="8">
        <v>1.68</v>
      </c>
      <c r="K994" s="8">
        <v>177</v>
      </c>
      <c r="L994" s="8">
        <v>163</v>
      </c>
      <c r="M994" s="8">
        <v>53</v>
      </c>
      <c r="N994" s="8">
        <v>2</v>
      </c>
      <c r="O994" s="8">
        <v>1005</v>
      </c>
      <c r="P994" s="8" t="s">
        <v>21</v>
      </c>
      <c r="Q994" s="8" t="str">
        <f>_xlfn.IFS(AND(Table13[[#This Row],[Gender]]="female",R994&lt;20),"Athletes",AND(Table13[[#This Row],[Gender]]="female",R994&lt;24),"Fitnesss",AND(Table13[[#This Row],[Gender]]="female",R994&lt;31),"Acceptable",AND(Table13[[#This Row],[Gender]]="female",R994&lt;40),"Obese",AND(Table13[[#This Row],[Gender]]="male",R994&lt;13),"Athletes",AND(Table13[[#This Row],[Gender]]="male",R994&lt;17),"Fitnesss",AND(Table13[[#This Row],[Gender]]="male",R994&lt;24.9),"Acceptable",AND(Table13[[#This Row],[Gender]]="male",R994&lt;40),"Obese",AND(Table13[[#This Row],[Gender]]="others",R994&lt;20),"Athletes",AND(Table13[[#This Row],[Gender]]="others",R994&lt;24),"Fitnesss",AND(Table13[[#This Row],[Gender]]="others",R994&lt;31),"Acceptable",AND(Table13[[#This Row],[Gender]]="others",R994&lt;40),"Obese")</f>
        <v>Acceptable</v>
      </c>
      <c r="R994" s="8">
        <v>25.9</v>
      </c>
      <c r="S994" s="8">
        <v>2.9</v>
      </c>
      <c r="T994" s="8">
        <v>4</v>
      </c>
      <c r="U994" s="8">
        <v>1</v>
      </c>
      <c r="V994" s="8" t="str">
        <f>IF(Table13[[#This Row],[BMI]]&lt;=18.5,"Underweight",IF(Table13[[#This Row],[BMI]]&lt;=24.9,"Normal",IF(Table13[[#This Row],[BMI]]&lt;=29.9,"Overweight",IF(Table13[[#This Row],[BMI]]&lt;=39,"Obese","Severly Obese"))))</f>
        <v>Normal</v>
      </c>
      <c r="W994" s="18">
        <v>19.91</v>
      </c>
    </row>
    <row r="995" spans="6:23" x14ac:dyDescent="0.3">
      <c r="F995" s="17">
        <v>59</v>
      </c>
      <c r="G995" s="8" t="str">
        <f>IF(Table13[[#This Row],[Age]]&lt;25,"18-24",IF(Table13[[#This Row],[Age]]&lt;35,"25-34",IF(Table13[[#This Row],[Age]]&lt;45,"35-44",IF(Table13[[#This Row],[Age]]&lt;55,"45-54","55-64"))))</f>
        <v>55-64</v>
      </c>
      <c r="H995" s="8" t="s">
        <v>17</v>
      </c>
      <c r="I995" s="8">
        <v>72.8</v>
      </c>
      <c r="J995" s="8">
        <v>1.65</v>
      </c>
      <c r="K995" s="8">
        <v>172</v>
      </c>
      <c r="L995" s="8">
        <v>165</v>
      </c>
      <c r="M995" s="8">
        <v>55</v>
      </c>
      <c r="N995" s="8">
        <v>1.17</v>
      </c>
      <c r="O995" s="8">
        <v>1104</v>
      </c>
      <c r="P995" s="8" t="s">
        <v>21</v>
      </c>
      <c r="Q995" s="8" t="str">
        <f>_xlfn.IFS(AND(Table13[[#This Row],[Gender]]="female",R995&lt;20),"Athletes",AND(Table13[[#This Row],[Gender]]="female",R995&lt;24),"Fitnesss",AND(Table13[[#This Row],[Gender]]="female",R995&lt;31),"Acceptable",AND(Table13[[#This Row],[Gender]]="female",R995&lt;40),"Obese",AND(Table13[[#This Row],[Gender]]="male",R995&lt;13),"Athletes",AND(Table13[[#This Row],[Gender]]="male",R995&lt;17),"Fitnesss",AND(Table13[[#This Row],[Gender]]="male",R995&lt;24.9),"Acceptable",AND(Table13[[#This Row],[Gender]]="male",R995&lt;40),"Obese",AND(Table13[[#This Row],[Gender]]="others",R995&lt;20),"Athletes",AND(Table13[[#This Row],[Gender]]="others",R995&lt;24),"Fitnesss",AND(Table13[[#This Row],[Gender]]="others",R995&lt;31),"Acceptable",AND(Table13[[#This Row],[Gender]]="others",R995&lt;40),"Obese")</f>
        <v>Athletes</v>
      </c>
      <c r="R995" s="8">
        <v>15.4</v>
      </c>
      <c r="S995" s="8">
        <v>3.4</v>
      </c>
      <c r="T995" s="8">
        <v>3</v>
      </c>
      <c r="U995" s="8">
        <v>1</v>
      </c>
      <c r="V995" s="8" t="str">
        <f>IF(Table13[[#This Row],[BMI]]&lt;=18.5,"Underweight",IF(Table13[[#This Row],[BMI]]&lt;=24.9,"Normal",IF(Table13[[#This Row],[BMI]]&lt;=29.9,"Overweight",IF(Table13[[#This Row],[BMI]]&lt;=39,"Obese","Severly Obese"))))</f>
        <v>Underweight</v>
      </c>
      <c r="W995" s="18">
        <v>14.86</v>
      </c>
    </row>
    <row r="996" spans="6:23" x14ac:dyDescent="0.3">
      <c r="F996" s="17">
        <v>29</v>
      </c>
      <c r="G996" s="8" t="str">
        <f>IF(Table13[[#This Row],[Age]]&lt;25,"18-24",IF(Table13[[#This Row],[Age]]&lt;35,"25-34",IF(Table13[[#This Row],[Age]]&lt;45,"35-44",IF(Table13[[#This Row],[Age]]&lt;55,"45-54","55-64"))))</f>
        <v>25-34</v>
      </c>
      <c r="H996" s="8" t="s">
        <v>17</v>
      </c>
      <c r="I996" s="8">
        <v>65</v>
      </c>
      <c r="J996" s="8">
        <v>1.77</v>
      </c>
      <c r="K996" s="8">
        <v>194</v>
      </c>
      <c r="L996" s="8">
        <v>152</v>
      </c>
      <c r="M996" s="8">
        <v>66</v>
      </c>
      <c r="N996" s="8">
        <v>1.34</v>
      </c>
      <c r="O996" s="8">
        <v>715</v>
      </c>
      <c r="P996" s="8" t="s">
        <v>21</v>
      </c>
      <c r="Q996" s="8" t="str">
        <f>_xlfn.IFS(AND(Table13[[#This Row],[Gender]]="female",R996&lt;20),"Athletes",AND(Table13[[#This Row],[Gender]]="female",R996&lt;24),"Fitnesss",AND(Table13[[#This Row],[Gender]]="female",R996&lt;31),"Acceptable",AND(Table13[[#This Row],[Gender]]="female",R996&lt;40),"Obese",AND(Table13[[#This Row],[Gender]]="male",R996&lt;13),"Athletes",AND(Table13[[#This Row],[Gender]]="male",R996&lt;17),"Fitnesss",AND(Table13[[#This Row],[Gender]]="male",R996&lt;24.9),"Acceptable",AND(Table13[[#This Row],[Gender]]="male",R996&lt;40),"Obese",AND(Table13[[#This Row],[Gender]]="others",R996&lt;20),"Athletes",AND(Table13[[#This Row],[Gender]]="others",R996&lt;24),"Fitnesss",AND(Table13[[#This Row],[Gender]]="others",R996&lt;31),"Acceptable",AND(Table13[[#This Row],[Gender]]="others",R996&lt;40),"Obese")</f>
        <v>Acceptable</v>
      </c>
      <c r="R996" s="8">
        <v>25.2</v>
      </c>
      <c r="S996" s="8">
        <v>1.8</v>
      </c>
      <c r="T996" s="8">
        <v>2</v>
      </c>
      <c r="U996" s="8">
        <v>1</v>
      </c>
      <c r="V996" s="8" t="str">
        <f>IF(Table13[[#This Row],[BMI]]&lt;=18.5,"Underweight",IF(Table13[[#This Row],[BMI]]&lt;=24.9,"Normal",IF(Table13[[#This Row],[BMI]]&lt;=29.9,"Overweight",IF(Table13[[#This Row],[BMI]]&lt;=39,"Obese","Severly Obese"))))</f>
        <v>Normal</v>
      </c>
      <c r="W996" s="18">
        <v>23.25</v>
      </c>
    </row>
    <row r="997" spans="6:23" x14ac:dyDescent="0.3">
      <c r="F997" s="17">
        <v>18</v>
      </c>
      <c r="G997" s="8" t="str">
        <f>IF(Table13[[#This Row],[Age]]&lt;25,"18-24",IF(Table13[[#This Row],[Age]]&lt;35,"25-34",IF(Table13[[#This Row],[Age]]&lt;45,"35-44",IF(Table13[[#This Row],[Age]]&lt;55,"45-54","55-64"))))</f>
        <v>18-24</v>
      </c>
      <c r="H997" s="8" t="s">
        <v>17</v>
      </c>
      <c r="I997" s="8">
        <v>74.2</v>
      </c>
      <c r="J997" s="8">
        <v>1.85</v>
      </c>
      <c r="K997" s="8">
        <v>177</v>
      </c>
      <c r="L997" s="8">
        <v>151</v>
      </c>
      <c r="M997" s="8">
        <v>66</v>
      </c>
      <c r="N997" s="8">
        <v>2</v>
      </c>
      <c r="O997" s="8">
        <v>1104</v>
      </c>
      <c r="P997" s="8" t="s">
        <v>21</v>
      </c>
      <c r="Q997" s="8" t="str">
        <f>_xlfn.IFS(AND(Table13[[#This Row],[Gender]]="female",R997&lt;20),"Athletes",AND(Table13[[#This Row],[Gender]]="female",R997&lt;24),"Fitnesss",AND(Table13[[#This Row],[Gender]]="female",R997&lt;31),"Acceptable",AND(Table13[[#This Row],[Gender]]="female",R997&lt;40),"Obese",AND(Table13[[#This Row],[Gender]]="male",R997&lt;13),"Athletes",AND(Table13[[#This Row],[Gender]]="male",R997&lt;17),"Fitnesss",AND(Table13[[#This Row],[Gender]]="male",R997&lt;24.9),"Acceptable",AND(Table13[[#This Row],[Gender]]="male",R997&lt;40),"Obese",AND(Table13[[#This Row],[Gender]]="others",R997&lt;20),"Athletes",AND(Table13[[#This Row],[Gender]]="others",R997&lt;24),"Fitnesss",AND(Table13[[#This Row],[Gender]]="others",R997&lt;31),"Acceptable",AND(Table13[[#This Row],[Gender]]="others",R997&lt;40),"Obese")</f>
        <v>Acceptable</v>
      </c>
      <c r="R997" s="8">
        <v>28</v>
      </c>
      <c r="S997" s="8">
        <v>1.5</v>
      </c>
      <c r="T997" s="8">
        <v>3</v>
      </c>
      <c r="U997" s="8">
        <v>1</v>
      </c>
      <c r="V997" s="8" t="str">
        <f>IF(Table13[[#This Row],[BMI]]&lt;=18.5,"Underweight",IF(Table13[[#This Row],[BMI]]&lt;=24.9,"Normal",IF(Table13[[#This Row],[BMI]]&lt;=29.9,"Overweight",IF(Table13[[#This Row],[BMI]]&lt;=39,"Obese","Severly Obese"))))</f>
        <v>Underweight</v>
      </c>
      <c r="W997" s="18"/>
    </row>
    <row r="998" spans="6:23" x14ac:dyDescent="0.3">
      <c r="F998" s="17">
        <v>46</v>
      </c>
      <c r="G998" s="8" t="str">
        <f>IF(Table13[[#This Row],[Age]]&lt;25,"18-24",IF(Table13[[#This Row],[Age]]&lt;35,"25-34",IF(Table13[[#This Row],[Age]]&lt;45,"35-44",IF(Table13[[#This Row],[Age]]&lt;55,"45-54","55-64"))))</f>
        <v>45-54</v>
      </c>
      <c r="H998" s="8" t="s">
        <v>17</v>
      </c>
      <c r="I998" s="8">
        <v>61.2</v>
      </c>
      <c r="J998" s="8">
        <v>1.79</v>
      </c>
      <c r="K998" s="8">
        <v>190</v>
      </c>
      <c r="L998" s="8">
        <v>157</v>
      </c>
      <c r="M998" s="8">
        <v>72</v>
      </c>
      <c r="N998" s="8">
        <v>1.05</v>
      </c>
      <c r="O998" s="8">
        <v>947</v>
      </c>
      <c r="P998" s="8" t="s">
        <v>18</v>
      </c>
      <c r="Q998" s="8" t="str">
        <f>_xlfn.IFS(AND(Table13[[#This Row],[Gender]]="female",R998&lt;20),"Athletes",AND(Table13[[#This Row],[Gender]]="female",R998&lt;24),"Fitnesss",AND(Table13[[#This Row],[Gender]]="female",R998&lt;31),"Acceptable",AND(Table13[[#This Row],[Gender]]="female",R998&lt;40),"Obese",AND(Table13[[#This Row],[Gender]]="male",R998&lt;13),"Athletes",AND(Table13[[#This Row],[Gender]]="male",R998&lt;17),"Fitnesss",AND(Table13[[#This Row],[Gender]]="male",R998&lt;24.9),"Acceptable",AND(Table13[[#This Row],[Gender]]="male",R998&lt;40),"Obese",AND(Table13[[#This Row],[Gender]]="others",R998&lt;20),"Athletes",AND(Table13[[#This Row],[Gender]]="others",R998&lt;24),"Fitnesss",AND(Table13[[#This Row],[Gender]]="others",R998&lt;31),"Acceptable",AND(Table13[[#This Row],[Gender]]="others",R998&lt;40),"Obese")</f>
        <v>Fitnesss</v>
      </c>
      <c r="R998" s="8">
        <v>22.6</v>
      </c>
      <c r="S998" s="8">
        <v>2.5</v>
      </c>
      <c r="T998" s="8">
        <v>3</v>
      </c>
      <c r="U998" s="8">
        <v>1</v>
      </c>
      <c r="V998" s="8" t="str">
        <f>IF(Table13[[#This Row],[BMI]]&lt;=18.5,"Underweight",IF(Table13[[#This Row],[BMI]]&lt;=24.9,"Normal",IF(Table13[[#This Row],[BMI]]&lt;=29.9,"Overweight",IF(Table13[[#This Row],[BMI]]&lt;=39,"Obese","Severly Obese"))))</f>
        <v>Underweight</v>
      </c>
      <c r="W998" s="18">
        <v>17.28</v>
      </c>
    </row>
    <row r="999" spans="6:23" x14ac:dyDescent="0.3">
      <c r="F999" s="17">
        <v>27</v>
      </c>
      <c r="G999" s="8" t="str">
        <f>IF(Table13[[#This Row],[Age]]&lt;25,"18-24",IF(Table13[[#This Row],[Age]]&lt;35,"25-34",IF(Table13[[#This Row],[Age]]&lt;45,"35-44",IF(Table13[[#This Row],[Age]]&lt;55,"45-54","55-64"))))</f>
        <v>25-34</v>
      </c>
      <c r="H999" s="8" t="s">
        <v>17</v>
      </c>
      <c r="I999" s="8">
        <v>63.3</v>
      </c>
      <c r="J999" s="8">
        <v>1.9</v>
      </c>
      <c r="K999" s="8">
        <v>183</v>
      </c>
      <c r="L999" s="8">
        <v>148</v>
      </c>
      <c r="M999" s="8">
        <v>67</v>
      </c>
      <c r="N999" s="8">
        <v>0.57999999999999996</v>
      </c>
      <c r="O999" s="8">
        <v>933</v>
      </c>
      <c r="P999" s="8" t="s">
        <v>21</v>
      </c>
      <c r="Q999" s="8" t="str">
        <f>_xlfn.IFS(AND(Table13[[#This Row],[Gender]]="female",R999&lt;20),"Athletes",AND(Table13[[#This Row],[Gender]]="female",R999&lt;24),"Fitnesss",AND(Table13[[#This Row],[Gender]]="female",R999&lt;31),"Acceptable",AND(Table13[[#This Row],[Gender]]="female",R999&lt;40),"Obese",AND(Table13[[#This Row],[Gender]]="male",R999&lt;13),"Athletes",AND(Table13[[#This Row],[Gender]]="male",R999&lt;17),"Fitnesss",AND(Table13[[#This Row],[Gender]]="male",R999&lt;24.9),"Acceptable",AND(Table13[[#This Row],[Gender]]="male",R999&lt;40),"Obese",AND(Table13[[#This Row],[Gender]]="others",R999&lt;20),"Athletes",AND(Table13[[#This Row],[Gender]]="others",R999&lt;24),"Fitnesss",AND(Table13[[#This Row],[Gender]]="others",R999&lt;31),"Acceptable",AND(Table13[[#This Row],[Gender]]="others",R999&lt;40),"Obese")</f>
        <v>Fitnesss</v>
      </c>
      <c r="R999" s="8">
        <v>20</v>
      </c>
      <c r="S999" s="8">
        <v>3.2</v>
      </c>
      <c r="T999" s="8">
        <v>4</v>
      </c>
      <c r="U999" s="8">
        <v>2</v>
      </c>
      <c r="V999" s="8" t="str">
        <f>IF(Table13[[#This Row],[BMI]]&lt;=18.5,"Underweight",IF(Table13[[#This Row],[BMI]]&lt;=24.9,"Normal",IF(Table13[[#This Row],[BMI]]&lt;=29.9,"Overweight",IF(Table13[[#This Row],[BMI]]&lt;=39,"Obese","Severly Obese"))))</f>
        <v>Normal</v>
      </c>
      <c r="W999" s="18">
        <v>22.45</v>
      </c>
    </row>
    <row r="1000" spans="6:23" x14ac:dyDescent="0.3">
      <c r="F1000" s="17">
        <v>40</v>
      </c>
      <c r="G1000" s="8" t="str">
        <f>IF(Table13[[#This Row],[Age]]&lt;25,"18-24",IF(Table13[[#This Row],[Age]]&lt;35,"25-34",IF(Table13[[#This Row],[Age]]&lt;45,"35-44",IF(Table13[[#This Row],[Age]]&lt;55,"45-54","55-64"))))</f>
        <v>35-44</v>
      </c>
      <c r="H1000" s="8" t="s">
        <v>17</v>
      </c>
      <c r="I1000" s="8">
        <v>95.3</v>
      </c>
      <c r="J1000" s="8">
        <v>1.86</v>
      </c>
      <c r="K1000" s="8">
        <v>171</v>
      </c>
      <c r="L1000" s="8">
        <v>130</v>
      </c>
      <c r="M1000" s="8">
        <v>67</v>
      </c>
      <c r="N1000" s="8">
        <v>1.46</v>
      </c>
      <c r="O1000" s="8">
        <v>796</v>
      </c>
      <c r="P1000" s="8" t="s">
        <v>18</v>
      </c>
      <c r="Q1000" s="8" t="str">
        <f>_xlfn.IFS(AND(Table13[[#This Row],[Gender]]="female",R1000&lt;20),"Athletes",AND(Table13[[#This Row],[Gender]]="female",R1000&lt;24),"Fitnesss",AND(Table13[[#This Row],[Gender]]="female",R1000&lt;31),"Acceptable",AND(Table13[[#This Row],[Gender]]="female",R1000&lt;40),"Obese",AND(Table13[[#This Row],[Gender]]="male",R1000&lt;13),"Athletes",AND(Table13[[#This Row],[Gender]]="male",R1000&lt;17),"Fitnesss",AND(Table13[[#This Row],[Gender]]="male",R1000&lt;24.9),"Acceptable",AND(Table13[[#This Row],[Gender]]="male",R1000&lt;40),"Obese",AND(Table13[[#This Row],[Gender]]="others",R1000&lt;20),"Athletes",AND(Table13[[#This Row],[Gender]]="others",R1000&lt;24),"Fitnesss",AND(Table13[[#This Row],[Gender]]="others",R1000&lt;31),"Acceptable",AND(Table13[[#This Row],[Gender]]="others",R1000&lt;40),"Obese")</f>
        <v>Athletes</v>
      </c>
      <c r="R1000" s="8">
        <v>10</v>
      </c>
      <c r="S1000" s="8">
        <v>2</v>
      </c>
      <c r="T1000" s="8">
        <v>4</v>
      </c>
      <c r="U1000" s="8">
        <v>1</v>
      </c>
      <c r="V1000" s="8" t="str">
        <f>IF(Table13[[#This Row],[BMI]]&lt;=18.5,"Underweight",IF(Table13[[#This Row],[BMI]]&lt;=24.9,"Normal",IF(Table13[[#This Row],[BMI]]&lt;=29.9,"Overweight",IF(Table13[[#This Row],[BMI]]&lt;=39,"Obese","Severly Obese"))))</f>
        <v>Normal</v>
      </c>
      <c r="W1000" s="18">
        <v>22.23</v>
      </c>
    </row>
    <row r="1001" spans="6:23" x14ac:dyDescent="0.3">
      <c r="F1001" s="17">
        <v>42</v>
      </c>
      <c r="G1001" s="8" t="str">
        <f>IF(Table13[[#This Row],[Age]]&lt;25,"18-24",IF(Table13[[#This Row],[Age]]&lt;35,"25-34",IF(Table13[[#This Row],[Age]]&lt;45,"35-44",IF(Table13[[#This Row],[Age]]&lt;55,"45-54","55-64"))))</f>
        <v>35-44</v>
      </c>
      <c r="H1001" s="8" t="s">
        <v>23</v>
      </c>
      <c r="I1001" s="8">
        <v>73.599999999999994</v>
      </c>
      <c r="J1001" s="8">
        <v>1.73</v>
      </c>
      <c r="K1001" s="8">
        <v>182</v>
      </c>
      <c r="L1001" s="8">
        <v>159</v>
      </c>
      <c r="M1001" s="8">
        <v>66</v>
      </c>
      <c r="N1001" s="8">
        <v>1.65</v>
      </c>
      <c r="O1001" s="8">
        <v>1265</v>
      </c>
      <c r="P1001" s="8" t="s">
        <v>20</v>
      </c>
      <c r="Q1001" s="8" t="str">
        <f>_xlfn.IFS(AND(Table13[[#This Row],[Gender]]="female",R1001&lt;20),"Athletes",AND(Table13[[#This Row],[Gender]]="female",R1001&lt;24),"Fitnesss",AND(Table13[[#This Row],[Gender]]="female",R1001&lt;31),"Acceptable",AND(Table13[[#This Row],[Gender]]="female",R1001&lt;40),"Obese",AND(Table13[[#This Row],[Gender]]="male",R1001&lt;13),"Athletes",AND(Table13[[#This Row],[Gender]]="male",R1001&lt;17),"Fitnesss",AND(Table13[[#This Row],[Gender]]="male",R1001&lt;24.9),"Acceptable",AND(Table13[[#This Row],[Gender]]="male",R1001&lt;40),"Obese",AND(Table13[[#This Row],[Gender]]="others",R1001&lt;20),"Athletes",AND(Table13[[#This Row],[Gender]]="others",R1001&lt;24),"Fitnesss",AND(Table13[[#This Row],[Gender]]="others",R1001&lt;31),"Acceptable",AND(Table13[[#This Row],[Gender]]="others",R1001&lt;40),"Obese")</f>
        <v>Fitnesss</v>
      </c>
      <c r="R1001" s="8">
        <v>23.2</v>
      </c>
      <c r="S1001" s="8">
        <v>2.4</v>
      </c>
      <c r="T1001" s="8">
        <v>2</v>
      </c>
      <c r="U1001" s="8">
        <v>2</v>
      </c>
      <c r="V1001" s="8" t="str">
        <f>IF(Table13[[#This Row],[BMI]]&lt;=18.5,"Underweight",IF(Table13[[#This Row],[BMI]]&lt;=24.9,"Normal",IF(Table13[[#This Row],[BMI]]&lt;=29.9,"Overweight",IF(Table13[[#This Row],[BMI]]&lt;=39,"Obese","Severly Obese"))))</f>
        <v>Underweight</v>
      </c>
      <c r="W1001" s="18"/>
    </row>
    <row r="1002" spans="6:23" x14ac:dyDescent="0.3">
      <c r="F1002" s="17">
        <v>35</v>
      </c>
      <c r="G1002" s="8" t="str">
        <f>IF(Table13[[#This Row],[Age]]&lt;25,"18-24",IF(Table13[[#This Row],[Age]]&lt;35,"25-34",IF(Table13[[#This Row],[Age]]&lt;45,"35-44",IF(Table13[[#This Row],[Age]]&lt;55,"45-54","55-64"))))</f>
        <v>35-44</v>
      </c>
      <c r="H1002" s="8" t="s">
        <v>19</v>
      </c>
      <c r="I1002" s="8">
        <v>124.8</v>
      </c>
      <c r="J1002" s="8">
        <v>1.75</v>
      </c>
      <c r="K1002" s="8">
        <v>176</v>
      </c>
      <c r="L1002" s="8">
        <v>161</v>
      </c>
      <c r="M1002" s="8">
        <v>59</v>
      </c>
      <c r="N1002" s="8">
        <v>1.2</v>
      </c>
      <c r="O1002" s="8">
        <v>1240</v>
      </c>
      <c r="P1002" s="8" t="s">
        <v>22</v>
      </c>
      <c r="Q1002" s="8" t="str">
        <f>_xlfn.IFS(AND(Table13[[#This Row],[Gender]]="female",R1002&lt;20),"Athletes",AND(Table13[[#This Row],[Gender]]="female",R1002&lt;24),"Fitnesss",AND(Table13[[#This Row],[Gender]]="female",R1002&lt;31),"Acceptable",AND(Table13[[#This Row],[Gender]]="female",R1002&lt;40),"Obese",AND(Table13[[#This Row],[Gender]]="male",R1002&lt;13),"Athletes",AND(Table13[[#This Row],[Gender]]="male",R1002&lt;17),"Fitnesss",AND(Table13[[#This Row],[Gender]]="male",R1002&lt;24.9),"Acceptable",AND(Table13[[#This Row],[Gender]]="male",R1002&lt;40),"Obese",AND(Table13[[#This Row],[Gender]]="others",R1002&lt;20),"Athletes",AND(Table13[[#This Row],[Gender]]="others",R1002&lt;24),"Fitnesss",AND(Table13[[#This Row],[Gender]]="others",R1002&lt;31),"Acceptable",AND(Table13[[#This Row],[Gender]]="others",R1002&lt;40),"Obese")</f>
        <v>Athletes</v>
      </c>
      <c r="R1002" s="8">
        <v>10</v>
      </c>
      <c r="S1002" s="8">
        <v>3.3</v>
      </c>
      <c r="T1002" s="8">
        <v>3</v>
      </c>
      <c r="U1002" s="8">
        <v>2</v>
      </c>
      <c r="V1002" s="8" t="str">
        <f>IF(Table13[[#This Row],[BMI]]&lt;=18.5,"Underweight",IF(Table13[[#This Row],[BMI]]&lt;=24.9,"Normal",IF(Table13[[#This Row],[BMI]]&lt;=29.9,"Overweight",IF(Table13[[#This Row],[BMI]]&lt;=39,"Obese","Severly Obese"))))</f>
        <v>Overweight</v>
      </c>
      <c r="W1002" s="18">
        <v>28.03</v>
      </c>
    </row>
    <row r="1003" spans="6:23" x14ac:dyDescent="0.3">
      <c r="F1003" s="17">
        <v>18</v>
      </c>
      <c r="G1003" s="8" t="str">
        <f>IF(Table13[[#This Row],[Age]]&lt;25,"18-24",IF(Table13[[#This Row],[Age]]&lt;35,"25-34",IF(Table13[[#This Row],[Age]]&lt;45,"35-44",IF(Table13[[#This Row],[Age]]&lt;55,"45-54","55-64"))))</f>
        <v>18-24</v>
      </c>
      <c r="H1003" s="8" t="s">
        <v>19</v>
      </c>
      <c r="I1003" s="8">
        <v>75.400000000000006</v>
      </c>
      <c r="J1003" s="8">
        <v>1.97</v>
      </c>
      <c r="K1003" s="8">
        <v>177</v>
      </c>
      <c r="L1003" s="8">
        <v>136</v>
      </c>
      <c r="M1003" s="8">
        <v>67</v>
      </c>
      <c r="N1003" s="8">
        <v>0.76</v>
      </c>
      <c r="O1003" s="8">
        <v>1371</v>
      </c>
      <c r="P1003" s="8" t="s">
        <v>21</v>
      </c>
      <c r="Q1003" s="8" t="str">
        <f>_xlfn.IFS(AND(Table13[[#This Row],[Gender]]="female",R1003&lt;20),"Athletes",AND(Table13[[#This Row],[Gender]]="female",R1003&lt;24),"Fitnesss",AND(Table13[[#This Row],[Gender]]="female",R1003&lt;31),"Acceptable",AND(Table13[[#This Row],[Gender]]="female",R1003&lt;40),"Obese",AND(Table13[[#This Row],[Gender]]="male",R1003&lt;13),"Athletes",AND(Table13[[#This Row],[Gender]]="male",R1003&lt;17),"Fitnesss",AND(Table13[[#This Row],[Gender]]="male",R1003&lt;24.9),"Acceptable",AND(Table13[[#This Row],[Gender]]="male",R1003&lt;40),"Obese",AND(Table13[[#This Row],[Gender]]="others",R1003&lt;20),"Athletes",AND(Table13[[#This Row],[Gender]]="others",R1003&lt;24),"Fitnesss",AND(Table13[[#This Row],[Gender]]="others",R1003&lt;31),"Acceptable",AND(Table13[[#This Row],[Gender]]="others",R1003&lt;40),"Obese")</f>
        <v>Obese</v>
      </c>
      <c r="R1003" s="8">
        <v>29.7</v>
      </c>
      <c r="S1003" s="8">
        <v>3.1</v>
      </c>
      <c r="T1003" s="8">
        <v>2</v>
      </c>
      <c r="U1003" s="8">
        <v>1</v>
      </c>
      <c r="V1003" s="8" t="str">
        <f>IF(Table13[[#This Row],[BMI]]&lt;=18.5,"Underweight",IF(Table13[[#This Row],[BMI]]&lt;=24.9,"Normal",IF(Table13[[#This Row],[BMI]]&lt;=29.9,"Overweight",IF(Table13[[#This Row],[BMI]]&lt;=39,"Obese","Severly Obese"))))</f>
        <v>Underweight</v>
      </c>
      <c r="W1003" s="18">
        <v>15.43</v>
      </c>
    </row>
    <row r="1004" spans="6:23" x14ac:dyDescent="0.3">
      <c r="F1004" s="17">
        <v>46</v>
      </c>
      <c r="G1004" s="8" t="str">
        <f>IF(Table13[[#This Row],[Age]]&lt;25,"18-24",IF(Table13[[#This Row],[Age]]&lt;35,"25-34",IF(Table13[[#This Row],[Age]]&lt;45,"35-44",IF(Table13[[#This Row],[Age]]&lt;55,"45-54","55-64"))))</f>
        <v>45-54</v>
      </c>
      <c r="H1004" s="8" t="s">
        <v>19</v>
      </c>
      <c r="I1004" s="8">
        <v>49.8</v>
      </c>
      <c r="J1004" s="8">
        <v>1.91</v>
      </c>
      <c r="K1004" s="8">
        <v>160</v>
      </c>
      <c r="L1004" s="8">
        <v>146</v>
      </c>
      <c r="M1004" s="8">
        <v>65</v>
      </c>
      <c r="N1004" s="8">
        <v>2</v>
      </c>
      <c r="O1004" s="8">
        <v>1009</v>
      </c>
      <c r="P1004" s="8" t="s">
        <v>21</v>
      </c>
      <c r="Q1004" s="8" t="str">
        <f>_xlfn.IFS(AND(Table13[[#This Row],[Gender]]="female",R1004&lt;20),"Athletes",AND(Table13[[#This Row],[Gender]]="female",R1004&lt;24),"Fitnesss",AND(Table13[[#This Row],[Gender]]="female",R1004&lt;31),"Acceptable",AND(Table13[[#This Row],[Gender]]="female",R1004&lt;40),"Obese",AND(Table13[[#This Row],[Gender]]="male",R1004&lt;13),"Athletes",AND(Table13[[#This Row],[Gender]]="male",R1004&lt;17),"Fitnesss",AND(Table13[[#This Row],[Gender]]="male",R1004&lt;24.9),"Acceptable",AND(Table13[[#This Row],[Gender]]="male",R1004&lt;40),"Obese",AND(Table13[[#This Row],[Gender]]="others",R1004&lt;20),"Athletes",AND(Table13[[#This Row],[Gender]]="others",R1004&lt;24),"Fitnesss",AND(Table13[[#This Row],[Gender]]="others",R1004&lt;31),"Acceptable",AND(Table13[[#This Row],[Gender]]="others",R1004&lt;40),"Obese")</f>
        <v>Obese</v>
      </c>
      <c r="R1004" s="8">
        <v>29.4</v>
      </c>
      <c r="S1004" s="8">
        <v>3</v>
      </c>
      <c r="T1004" s="8">
        <v>3</v>
      </c>
      <c r="U1004" s="8">
        <v>3</v>
      </c>
      <c r="V1004" s="8" t="str">
        <f>IF(Table13[[#This Row],[BMI]]&lt;=18.5,"Underweight",IF(Table13[[#This Row],[BMI]]&lt;=24.9,"Normal",IF(Table13[[#This Row],[BMI]]&lt;=29.9,"Overweight",IF(Table13[[#This Row],[BMI]]&lt;=39,"Obese","Severly Obese"))))</f>
        <v>Underweight</v>
      </c>
      <c r="W1004" s="18">
        <v>12.84</v>
      </c>
    </row>
    <row r="1005" spans="6:23" x14ac:dyDescent="0.3">
      <c r="F1005" s="17">
        <v>18</v>
      </c>
      <c r="G1005" s="8" t="str">
        <f>IF(Table13[[#This Row],[Age]]&lt;25,"18-24",IF(Table13[[#This Row],[Age]]&lt;35,"25-34",IF(Table13[[#This Row],[Age]]&lt;45,"35-44",IF(Table13[[#This Row],[Age]]&lt;55,"45-54","55-64"))))</f>
        <v>18-24</v>
      </c>
      <c r="H1005" s="8" t="s">
        <v>19</v>
      </c>
      <c r="I1005" s="8">
        <v>61</v>
      </c>
      <c r="J1005" s="8">
        <v>1.67</v>
      </c>
      <c r="K1005" s="8">
        <v>163</v>
      </c>
      <c r="L1005" s="8">
        <v>139</v>
      </c>
      <c r="M1005" s="8">
        <v>70</v>
      </c>
      <c r="N1005" s="8">
        <v>1.22</v>
      </c>
      <c r="O1005" s="8">
        <v>361</v>
      </c>
      <c r="P1005" s="8" t="s">
        <v>18</v>
      </c>
      <c r="Q1005" s="8" t="str">
        <f>_xlfn.IFS(AND(Table13[[#This Row],[Gender]]="female",R1005&lt;20),"Athletes",AND(Table13[[#This Row],[Gender]]="female",R1005&lt;24),"Fitnesss",AND(Table13[[#This Row],[Gender]]="female",R1005&lt;31),"Acceptable",AND(Table13[[#This Row],[Gender]]="female",R1005&lt;40),"Obese",AND(Table13[[#This Row],[Gender]]="male",R1005&lt;13),"Athletes",AND(Table13[[#This Row],[Gender]]="male",R1005&lt;17),"Fitnesss",AND(Table13[[#This Row],[Gender]]="male",R1005&lt;24.9),"Acceptable",AND(Table13[[#This Row],[Gender]]="male",R1005&lt;40),"Obese",AND(Table13[[#This Row],[Gender]]="others",R1005&lt;20),"Athletes",AND(Table13[[#This Row],[Gender]]="others",R1005&lt;24),"Fitnesss",AND(Table13[[#This Row],[Gender]]="others",R1005&lt;31),"Acceptable",AND(Table13[[#This Row],[Gender]]="others",R1005&lt;40),"Obese")</f>
        <v>Obese</v>
      </c>
      <c r="R1005" s="8">
        <v>27.4</v>
      </c>
      <c r="S1005" s="8">
        <v>3.4</v>
      </c>
      <c r="T1005" s="8">
        <v>2</v>
      </c>
      <c r="U1005" s="8">
        <v>3</v>
      </c>
      <c r="V1005" s="8" t="str">
        <f>IF(Table13[[#This Row],[BMI]]&lt;=18.5,"Underweight",IF(Table13[[#This Row],[BMI]]&lt;=24.9,"Normal",IF(Table13[[#This Row],[BMI]]&lt;=29.9,"Overweight",IF(Table13[[#This Row],[BMI]]&lt;=39,"Obese","Severly Obese"))))</f>
        <v>Underweight</v>
      </c>
      <c r="W1005" s="18">
        <v>17.170000000000002</v>
      </c>
    </row>
    <row r="1006" spans="6:23" x14ac:dyDescent="0.3">
      <c r="F1006" s="17">
        <v>47</v>
      </c>
      <c r="G1006" s="8" t="str">
        <f>IF(Table13[[#This Row],[Age]]&lt;25,"18-24",IF(Table13[[#This Row],[Age]]&lt;35,"25-34",IF(Table13[[#This Row],[Age]]&lt;45,"35-44",IF(Table13[[#This Row],[Age]]&lt;55,"45-54","55-64"))))</f>
        <v>45-54</v>
      </c>
      <c r="H1006" s="8" t="s">
        <v>19</v>
      </c>
      <c r="I1006" s="8">
        <v>100.2</v>
      </c>
      <c r="J1006" s="8">
        <v>1.67</v>
      </c>
      <c r="K1006" s="8">
        <v>196</v>
      </c>
      <c r="L1006" s="8">
        <v>151</v>
      </c>
      <c r="M1006" s="8">
        <v>73</v>
      </c>
      <c r="N1006" s="8">
        <v>1.48</v>
      </c>
      <c r="O1006" s="8">
        <v>953</v>
      </c>
      <c r="P1006" s="8" t="s">
        <v>23</v>
      </c>
      <c r="Q1006" s="8" t="str">
        <f>_xlfn.IFS(AND(Table13[[#This Row],[Gender]]="female",R1006&lt;20),"Athletes",AND(Table13[[#This Row],[Gender]]="female",R1006&lt;24),"Fitnesss",AND(Table13[[#This Row],[Gender]]="female",R1006&lt;31),"Acceptable",AND(Table13[[#This Row],[Gender]]="female",R1006&lt;40),"Obese",AND(Table13[[#This Row],[Gender]]="male",R1006&lt;13),"Athletes",AND(Table13[[#This Row],[Gender]]="male",R1006&lt;17),"Fitnesss",AND(Table13[[#This Row],[Gender]]="male",R1006&lt;24.9),"Acceptable",AND(Table13[[#This Row],[Gender]]="male",R1006&lt;40),"Obese",AND(Table13[[#This Row],[Gender]]="others",R1006&lt;20),"Athletes",AND(Table13[[#This Row],[Gender]]="others",R1006&lt;24),"Fitnesss",AND(Table13[[#This Row],[Gender]]="others",R1006&lt;31),"Acceptable",AND(Table13[[#This Row],[Gender]]="others",R1006&lt;40),"Obese")</f>
        <v>Acceptable</v>
      </c>
      <c r="R1006" s="8">
        <v>24.5</v>
      </c>
      <c r="S1006" s="8">
        <v>3.2</v>
      </c>
      <c r="T1006" s="8">
        <v>3</v>
      </c>
      <c r="U1006" s="8"/>
      <c r="V1006" s="8" t="str">
        <f>IF(Table13[[#This Row],[BMI]]&lt;=18.5,"Underweight",IF(Table13[[#This Row],[BMI]]&lt;=24.9,"Normal",IF(Table13[[#This Row],[BMI]]&lt;=29.9,"Overweight",IF(Table13[[#This Row],[BMI]]&lt;=39,"Obese","Severly Obese"))))</f>
        <v>Overweight</v>
      </c>
      <c r="W1006" s="18">
        <v>26.79</v>
      </c>
    </row>
    <row r="1007" spans="6:23" x14ac:dyDescent="0.3">
      <c r="F1007" s="17">
        <v>33</v>
      </c>
      <c r="G1007" s="8" t="str">
        <f>IF(Table13[[#This Row],[Age]]&lt;25,"18-24",IF(Table13[[#This Row],[Age]]&lt;35,"25-34",IF(Table13[[#This Row],[Age]]&lt;45,"35-44",IF(Table13[[#This Row],[Age]]&lt;55,"45-54","55-64"))))</f>
        <v>25-34</v>
      </c>
      <c r="H1007" s="8" t="s">
        <v>17</v>
      </c>
      <c r="I1007" s="8">
        <v>73</v>
      </c>
      <c r="J1007" s="8">
        <v>1.69</v>
      </c>
      <c r="K1007" s="8">
        <v>196</v>
      </c>
      <c r="L1007" s="8">
        <v>135</v>
      </c>
      <c r="M1007" s="8">
        <v>67</v>
      </c>
      <c r="N1007" s="8">
        <v>1.93</v>
      </c>
      <c r="O1007" s="8">
        <v>881</v>
      </c>
      <c r="P1007" s="8" t="s">
        <v>22</v>
      </c>
      <c r="Q1007" s="8" t="str">
        <f>_xlfn.IFS(AND(Table13[[#This Row],[Gender]]="female",R1007&lt;20),"Athletes",AND(Table13[[#This Row],[Gender]]="female",R1007&lt;24),"Fitnesss",AND(Table13[[#This Row],[Gender]]="female",R1007&lt;31),"Acceptable",AND(Table13[[#This Row],[Gender]]="female",R1007&lt;40),"Obese",AND(Table13[[#This Row],[Gender]]="male",R1007&lt;13),"Athletes",AND(Table13[[#This Row],[Gender]]="male",R1007&lt;17),"Fitnesss",AND(Table13[[#This Row],[Gender]]="male",R1007&lt;24.9),"Acceptable",AND(Table13[[#This Row],[Gender]]="male",R1007&lt;40),"Obese",AND(Table13[[#This Row],[Gender]]="others",R1007&lt;20),"Athletes",AND(Table13[[#This Row],[Gender]]="others",R1007&lt;24),"Fitnesss",AND(Table13[[#This Row],[Gender]]="others",R1007&lt;31),"Acceptable",AND(Table13[[#This Row],[Gender]]="others",R1007&lt;40),"Obese")</f>
        <v>Athletes</v>
      </c>
      <c r="R1007" s="8">
        <v>10</v>
      </c>
      <c r="S1007" s="8">
        <v>2.2000000000000002</v>
      </c>
      <c r="T1007" s="8">
        <v>2</v>
      </c>
      <c r="U1007" s="8">
        <v>2</v>
      </c>
      <c r="V1007" s="8" t="str">
        <f>IF(Table13[[#This Row],[BMI]]&lt;=18.5,"Underweight",IF(Table13[[#This Row],[BMI]]&lt;=24.9,"Normal",IF(Table13[[#This Row],[BMI]]&lt;=29.9,"Overweight",IF(Table13[[#This Row],[BMI]]&lt;=39,"Obese","Severly Obese"))))</f>
        <v>Normal</v>
      </c>
      <c r="W1007" s="18">
        <v>23.54</v>
      </c>
    </row>
    <row r="1008" spans="6:23" x14ac:dyDescent="0.3">
      <c r="F1008" s="17">
        <v>30</v>
      </c>
      <c r="G1008" s="8" t="str">
        <f>IF(Table13[[#This Row],[Age]]&lt;25,"18-24",IF(Table13[[#This Row],[Age]]&lt;35,"25-34",IF(Table13[[#This Row],[Age]]&lt;45,"35-44",IF(Table13[[#This Row],[Age]]&lt;55,"45-54","55-64"))))</f>
        <v>25-34</v>
      </c>
      <c r="H1008" s="8" t="s">
        <v>19</v>
      </c>
      <c r="I1008" s="8">
        <v>88.2</v>
      </c>
      <c r="J1008" s="8">
        <v>1.72</v>
      </c>
      <c r="K1008" s="8">
        <v>191</v>
      </c>
      <c r="L1008" s="8">
        <v>155</v>
      </c>
      <c r="M1008" s="8">
        <v>54</v>
      </c>
      <c r="N1008" s="8">
        <v>1.28</v>
      </c>
      <c r="O1008" s="8">
        <v>911</v>
      </c>
      <c r="P1008" s="8" t="s">
        <v>18</v>
      </c>
      <c r="Q1008" s="8" t="str">
        <f>_xlfn.IFS(AND(Table13[[#This Row],[Gender]]="female",R1008&lt;20),"Athletes",AND(Table13[[#This Row],[Gender]]="female",R1008&lt;24),"Fitnesss",AND(Table13[[#This Row],[Gender]]="female",R1008&lt;31),"Acceptable",AND(Table13[[#This Row],[Gender]]="female",R1008&lt;40),"Obese",AND(Table13[[#This Row],[Gender]]="male",R1008&lt;13),"Athletes",AND(Table13[[#This Row],[Gender]]="male",R1008&lt;17),"Fitnesss",AND(Table13[[#This Row],[Gender]]="male",R1008&lt;24.9),"Acceptable",AND(Table13[[#This Row],[Gender]]="male",R1008&lt;40),"Obese",AND(Table13[[#This Row],[Gender]]="others",R1008&lt;20),"Athletes",AND(Table13[[#This Row],[Gender]]="others",R1008&lt;24),"Fitnesss",AND(Table13[[#This Row],[Gender]]="others",R1008&lt;31),"Acceptable",AND(Table13[[#This Row],[Gender]]="others",R1008&lt;40),"Obese")</f>
        <v>Obese</v>
      </c>
      <c r="R1008" s="8">
        <v>27.2</v>
      </c>
      <c r="S1008" s="8">
        <v>2.2000000000000002</v>
      </c>
      <c r="T1008" s="8">
        <v>4</v>
      </c>
      <c r="U1008" s="8">
        <v>3</v>
      </c>
      <c r="V1008" s="8" t="str">
        <f>IF(Table13[[#This Row],[BMI]]&lt;=18.5,"Underweight",IF(Table13[[#This Row],[BMI]]&lt;=24.9,"Normal",IF(Table13[[#This Row],[BMI]]&lt;=29.9,"Overweight",IF(Table13[[#This Row],[BMI]]&lt;=39,"Obese","Severly Obese"))))</f>
        <v>Underweight</v>
      </c>
      <c r="W1008" s="18">
        <v>15.42</v>
      </c>
    </row>
    <row r="1009" spans="6:23" x14ac:dyDescent="0.3">
      <c r="F1009" s="17">
        <v>34</v>
      </c>
      <c r="G1009" s="8" t="str">
        <f>IF(Table13[[#This Row],[Age]]&lt;25,"18-24",IF(Table13[[#This Row],[Age]]&lt;35,"25-34",IF(Table13[[#This Row],[Age]]&lt;45,"35-44",IF(Table13[[#This Row],[Age]]&lt;55,"45-54","55-64"))))</f>
        <v>25-34</v>
      </c>
      <c r="H1009" s="8" t="s">
        <v>17</v>
      </c>
      <c r="I1009" s="8">
        <v>61.7</v>
      </c>
      <c r="J1009" s="8">
        <v>1.81</v>
      </c>
      <c r="K1009" s="8">
        <v>183</v>
      </c>
      <c r="L1009" s="8">
        <v>141</v>
      </c>
      <c r="M1009" s="8">
        <v>72</v>
      </c>
      <c r="N1009" s="8">
        <v>0.98</v>
      </c>
      <c r="O1009" s="8">
        <v>1443</v>
      </c>
      <c r="P1009" s="8" t="s">
        <v>21</v>
      </c>
      <c r="Q1009" s="8" t="str">
        <f>_xlfn.IFS(AND(Table13[[#This Row],[Gender]]="female",R1009&lt;20),"Athletes",AND(Table13[[#This Row],[Gender]]="female",R1009&lt;24),"Fitnesss",AND(Table13[[#This Row],[Gender]]="female",R1009&lt;31),"Acceptable",AND(Table13[[#This Row],[Gender]]="female",R1009&lt;40),"Obese",AND(Table13[[#This Row],[Gender]]="male",R1009&lt;13),"Athletes",AND(Table13[[#This Row],[Gender]]="male",R1009&lt;17),"Fitnesss",AND(Table13[[#This Row],[Gender]]="male",R1009&lt;24.9),"Acceptable",AND(Table13[[#This Row],[Gender]]="male",R1009&lt;40),"Obese",AND(Table13[[#This Row],[Gender]]="others",R1009&lt;20),"Athletes",AND(Table13[[#This Row],[Gender]]="others",R1009&lt;24),"Fitnesss",AND(Table13[[#This Row],[Gender]]="others",R1009&lt;31),"Acceptable",AND(Table13[[#This Row],[Gender]]="others",R1009&lt;40),"Obese")</f>
        <v>Obese</v>
      </c>
      <c r="R1009" s="8">
        <v>31.4</v>
      </c>
      <c r="S1009" s="8">
        <v>2.6</v>
      </c>
      <c r="T1009" s="8">
        <v>4</v>
      </c>
      <c r="U1009" s="8">
        <v>3</v>
      </c>
      <c r="V1009" s="8" t="str">
        <f>IF(Table13[[#This Row],[BMI]]&lt;=18.5,"Underweight",IF(Table13[[#This Row],[BMI]]&lt;=24.9,"Normal",IF(Table13[[#This Row],[BMI]]&lt;=29.9,"Overweight",IF(Table13[[#This Row],[BMI]]&lt;=39,"Obese","Severly Obese"))))</f>
        <v>Normal</v>
      </c>
      <c r="W1009" s="18">
        <v>20.6</v>
      </c>
    </row>
    <row r="1010" spans="6:23" x14ac:dyDescent="0.3">
      <c r="F1010" s="17">
        <v>30</v>
      </c>
      <c r="G1010" s="8" t="str">
        <f>IF(Table13[[#This Row],[Age]]&lt;25,"18-24",IF(Table13[[#This Row],[Age]]&lt;35,"25-34",IF(Table13[[#This Row],[Age]]&lt;45,"35-44",IF(Table13[[#This Row],[Age]]&lt;55,"45-54","55-64"))))</f>
        <v>25-34</v>
      </c>
      <c r="H1010" s="8" t="s">
        <v>19</v>
      </c>
      <c r="I1010" s="8">
        <v>120</v>
      </c>
      <c r="J1010" s="8">
        <v>1.79</v>
      </c>
      <c r="K1010" s="8">
        <v>187</v>
      </c>
      <c r="L1010" s="8">
        <v>141</v>
      </c>
      <c r="M1010" s="8">
        <v>51</v>
      </c>
      <c r="N1010" s="8">
        <v>2</v>
      </c>
      <c r="O1010" s="8">
        <v>1508</v>
      </c>
      <c r="P1010" s="8" t="s">
        <v>22</v>
      </c>
      <c r="Q1010" s="8" t="str">
        <f>_xlfn.IFS(AND(Table13[[#This Row],[Gender]]="female",R1010&lt;20),"Athletes",AND(Table13[[#This Row],[Gender]]="female",R1010&lt;24),"Fitnesss",AND(Table13[[#This Row],[Gender]]="female",R1010&lt;31),"Acceptable",AND(Table13[[#This Row],[Gender]]="female",R1010&lt;40),"Obese",AND(Table13[[#This Row],[Gender]]="male",R1010&lt;13),"Athletes",AND(Table13[[#This Row],[Gender]]="male",R1010&lt;17),"Fitnesss",AND(Table13[[#This Row],[Gender]]="male",R1010&lt;24.9),"Acceptable",AND(Table13[[#This Row],[Gender]]="male",R1010&lt;40),"Obese",AND(Table13[[#This Row],[Gender]]="others",R1010&lt;20),"Athletes",AND(Table13[[#This Row],[Gender]]="others",R1010&lt;24),"Fitnesss",AND(Table13[[#This Row],[Gender]]="others",R1010&lt;31),"Acceptable",AND(Table13[[#This Row],[Gender]]="others",R1010&lt;40),"Obese")</f>
        <v>Athletes</v>
      </c>
      <c r="R1010" s="8"/>
      <c r="S1010" s="8">
        <v>2.5</v>
      </c>
      <c r="T1010" s="8">
        <v>4</v>
      </c>
      <c r="U1010" s="8">
        <v>1</v>
      </c>
      <c r="V1010" s="8" t="str">
        <f>IF(Table13[[#This Row],[BMI]]&lt;=18.5,"Underweight",IF(Table13[[#This Row],[BMI]]&lt;=24.9,"Normal",IF(Table13[[#This Row],[BMI]]&lt;=29.9,"Overweight",IF(Table13[[#This Row],[BMI]]&lt;=39,"Obese","Severly Obese"))))</f>
        <v>Normal</v>
      </c>
      <c r="W1010" s="18">
        <v>21.36</v>
      </c>
    </row>
    <row r="1011" spans="6:23" x14ac:dyDescent="0.3">
      <c r="F1011" s="17">
        <v>30</v>
      </c>
      <c r="G1011" s="8" t="str">
        <f>IF(Table13[[#This Row],[Age]]&lt;25,"18-24",IF(Table13[[#This Row],[Age]]&lt;35,"25-34",IF(Table13[[#This Row],[Age]]&lt;45,"35-44",IF(Table13[[#This Row],[Age]]&lt;55,"45-54","55-64"))))</f>
        <v>25-34</v>
      </c>
      <c r="H1011" s="8" t="s">
        <v>19</v>
      </c>
      <c r="I1011" s="8">
        <v>45.4</v>
      </c>
      <c r="J1011" s="8">
        <v>1.73</v>
      </c>
      <c r="K1011" s="8">
        <v>197</v>
      </c>
      <c r="L1011" s="8">
        <v>151</v>
      </c>
      <c r="M1011" s="8">
        <v>50</v>
      </c>
      <c r="N1011" s="8">
        <v>1.27</v>
      </c>
      <c r="O1011" s="8">
        <v>1200</v>
      </c>
      <c r="P1011" s="8" t="s">
        <v>20</v>
      </c>
      <c r="Q1011" s="8" t="str">
        <f>_xlfn.IFS(AND(Table13[[#This Row],[Gender]]="female",R1011&lt;20),"Athletes",AND(Table13[[#This Row],[Gender]]="female",R1011&lt;24),"Fitnesss",AND(Table13[[#This Row],[Gender]]="female",R1011&lt;31),"Acceptable",AND(Table13[[#This Row],[Gender]]="female",R1011&lt;40),"Obese",AND(Table13[[#This Row],[Gender]]="male",R1011&lt;13),"Athletes",AND(Table13[[#This Row],[Gender]]="male",R1011&lt;17),"Fitnesss",AND(Table13[[#This Row],[Gender]]="male",R1011&lt;24.9),"Acceptable",AND(Table13[[#This Row],[Gender]]="male",R1011&lt;40),"Obese",AND(Table13[[#This Row],[Gender]]="others",R1011&lt;20),"Athletes",AND(Table13[[#This Row],[Gender]]="others",R1011&lt;24),"Fitnesss",AND(Table13[[#This Row],[Gender]]="others",R1011&lt;31),"Acceptable",AND(Table13[[#This Row],[Gender]]="others",R1011&lt;40),"Obese")</f>
        <v>Acceptable</v>
      </c>
      <c r="R1011" s="8">
        <v>23.1</v>
      </c>
      <c r="S1011" s="8">
        <v>3.6</v>
      </c>
      <c r="T1011" s="8">
        <v>4</v>
      </c>
      <c r="U1011" s="8">
        <v>3</v>
      </c>
      <c r="V1011" s="8" t="str">
        <f>IF(Table13[[#This Row],[BMI]]&lt;=18.5,"Underweight",IF(Table13[[#This Row],[BMI]]&lt;=24.9,"Normal",IF(Table13[[#This Row],[BMI]]&lt;=29.9,"Overweight",IF(Table13[[#This Row],[BMI]]&lt;=39,"Obese","Severly Obese"))))</f>
        <v>Underweight</v>
      </c>
      <c r="W1011" s="18">
        <v>17.329999999999998</v>
      </c>
    </row>
    <row r="1012" spans="6:23" x14ac:dyDescent="0.3">
      <c r="F1012" s="17">
        <v>30</v>
      </c>
      <c r="G1012" s="8" t="str">
        <f>IF(Table13[[#This Row],[Age]]&lt;25,"18-24",IF(Table13[[#This Row],[Age]]&lt;35,"25-34",IF(Table13[[#This Row],[Age]]&lt;45,"35-44",IF(Table13[[#This Row],[Age]]&lt;55,"45-54","55-64"))))</f>
        <v>25-34</v>
      </c>
      <c r="H1012" s="8" t="s">
        <v>19</v>
      </c>
      <c r="I1012" s="8">
        <v>40</v>
      </c>
      <c r="J1012" s="8">
        <v>1.87</v>
      </c>
      <c r="K1012" s="8">
        <v>186</v>
      </c>
      <c r="L1012" s="8">
        <v>140</v>
      </c>
      <c r="M1012" s="8">
        <v>56</v>
      </c>
      <c r="N1012" s="8">
        <v>1.57</v>
      </c>
      <c r="O1012" s="8">
        <v>848</v>
      </c>
      <c r="P1012" s="8" t="s">
        <v>23</v>
      </c>
      <c r="Q1012" s="8" t="str">
        <f>_xlfn.IFS(AND(Table13[[#This Row],[Gender]]="female",R1012&lt;20),"Athletes",AND(Table13[[#This Row],[Gender]]="female",R1012&lt;24),"Fitnesss",AND(Table13[[#This Row],[Gender]]="female",R1012&lt;31),"Acceptable",AND(Table13[[#This Row],[Gender]]="female",R1012&lt;40),"Obese",AND(Table13[[#This Row],[Gender]]="male",R1012&lt;13),"Athletes",AND(Table13[[#This Row],[Gender]]="male",R1012&lt;17),"Fitnesss",AND(Table13[[#This Row],[Gender]]="male",R1012&lt;24.9),"Acceptable",AND(Table13[[#This Row],[Gender]]="male",R1012&lt;40),"Obese",AND(Table13[[#This Row],[Gender]]="others",R1012&lt;20),"Athletes",AND(Table13[[#This Row],[Gender]]="others",R1012&lt;24),"Fitnesss",AND(Table13[[#This Row],[Gender]]="others",R1012&lt;31),"Acceptable",AND(Table13[[#This Row],[Gender]]="others",R1012&lt;40),"Obese")</f>
        <v>Obese</v>
      </c>
      <c r="R1012" s="8">
        <v>26.6</v>
      </c>
      <c r="S1012" s="8">
        <v>2.6</v>
      </c>
      <c r="T1012" s="8">
        <v>5</v>
      </c>
      <c r="U1012" s="8">
        <v>1</v>
      </c>
      <c r="V1012" s="8" t="str">
        <f>IF(Table13[[#This Row],[BMI]]&lt;=18.5,"Underweight",IF(Table13[[#This Row],[BMI]]&lt;=24.9,"Normal",IF(Table13[[#This Row],[BMI]]&lt;=29.9,"Overweight",IF(Table13[[#This Row],[BMI]]&lt;=39,"Obese","Severly Obese"))))</f>
        <v>Underweight</v>
      </c>
      <c r="W1012" s="18">
        <v>12.87</v>
      </c>
    </row>
    <row r="1013" spans="6:23" x14ac:dyDescent="0.3">
      <c r="F1013" s="17">
        <v>22</v>
      </c>
      <c r="G1013" s="8" t="str">
        <f>IF(Table13[[#This Row],[Age]]&lt;25,"18-24",IF(Table13[[#This Row],[Age]]&lt;35,"25-34",IF(Table13[[#This Row],[Age]]&lt;45,"35-44",IF(Table13[[#This Row],[Age]]&lt;55,"45-54","55-64"))))</f>
        <v>18-24</v>
      </c>
      <c r="H1013" s="8" t="s">
        <v>19</v>
      </c>
      <c r="I1013" s="8">
        <v>129.9</v>
      </c>
      <c r="J1013" s="8">
        <v>1.62</v>
      </c>
      <c r="K1013" s="8">
        <v>185</v>
      </c>
      <c r="L1013" s="8">
        <v>141</v>
      </c>
      <c r="M1013" s="8">
        <v>52</v>
      </c>
      <c r="N1013" s="8">
        <v>1.62</v>
      </c>
      <c r="O1013" s="8">
        <v>571</v>
      </c>
      <c r="P1013" s="8" t="s">
        <v>18</v>
      </c>
      <c r="Q1013" s="8" t="str">
        <f>_xlfn.IFS(AND(Table13[[#This Row],[Gender]]="female",R1013&lt;20),"Athletes",AND(Table13[[#This Row],[Gender]]="female",R1013&lt;24),"Fitnesss",AND(Table13[[#This Row],[Gender]]="female",R1013&lt;31),"Acceptable",AND(Table13[[#This Row],[Gender]]="female",R1013&lt;40),"Obese",AND(Table13[[#This Row],[Gender]]="male",R1013&lt;13),"Athletes",AND(Table13[[#This Row],[Gender]]="male",R1013&lt;17),"Fitnesss",AND(Table13[[#This Row],[Gender]]="male",R1013&lt;24.9),"Acceptable",AND(Table13[[#This Row],[Gender]]="male",R1013&lt;40),"Obese",AND(Table13[[#This Row],[Gender]]="others",R1013&lt;20),"Athletes",AND(Table13[[#This Row],[Gender]]="others",R1013&lt;24),"Fitnesss",AND(Table13[[#This Row],[Gender]]="others",R1013&lt;31),"Acceptable",AND(Table13[[#This Row],[Gender]]="others",R1013&lt;40),"Obese")</f>
        <v>Obese</v>
      </c>
      <c r="R1013" s="8">
        <v>27.2</v>
      </c>
      <c r="S1013" s="8">
        <v>1.8</v>
      </c>
      <c r="T1013" s="8">
        <v>4</v>
      </c>
      <c r="U1013" s="8">
        <v>2</v>
      </c>
      <c r="V1013" s="8" t="str">
        <f>IF(Table13[[#This Row],[BMI]]&lt;=18.5,"Underweight",IF(Table13[[#This Row],[BMI]]&lt;=24.9,"Normal",IF(Table13[[#This Row],[BMI]]&lt;=29.9,"Overweight",IF(Table13[[#This Row],[BMI]]&lt;=39,"Obese","Severly Obese"))))</f>
        <v>Underweight</v>
      </c>
      <c r="W1013" s="18">
        <v>12.32</v>
      </c>
    </row>
    <row r="1014" spans="6:23" x14ac:dyDescent="0.3">
      <c r="F1014" s="17">
        <v>53</v>
      </c>
      <c r="G1014" s="8" t="str">
        <f>IF(Table13[[#This Row],[Age]]&lt;25,"18-24",IF(Table13[[#This Row],[Age]]&lt;35,"25-34",IF(Table13[[#This Row],[Age]]&lt;45,"35-44",IF(Table13[[#This Row],[Age]]&lt;55,"45-54","55-64"))))</f>
        <v>45-54</v>
      </c>
      <c r="H1014" s="8" t="s">
        <v>17</v>
      </c>
      <c r="I1014" s="8">
        <v>71.900000000000006</v>
      </c>
      <c r="J1014" s="8">
        <v>2</v>
      </c>
      <c r="K1014" s="8">
        <v>191</v>
      </c>
      <c r="L1014" s="8">
        <v>161</v>
      </c>
      <c r="M1014" s="8">
        <v>74</v>
      </c>
      <c r="N1014" s="8">
        <v>1.6</v>
      </c>
      <c r="O1014" s="8">
        <v>1286</v>
      </c>
      <c r="P1014" s="8" t="s">
        <v>20</v>
      </c>
      <c r="Q1014" s="8" t="str">
        <f>_xlfn.IFS(AND(Table13[[#This Row],[Gender]]="female",R1014&lt;20),"Athletes",AND(Table13[[#This Row],[Gender]]="female",R1014&lt;24),"Fitnesss",AND(Table13[[#This Row],[Gender]]="female",R1014&lt;31),"Acceptable",AND(Table13[[#This Row],[Gender]]="female",R1014&lt;40),"Obese",AND(Table13[[#This Row],[Gender]]="male",R1014&lt;13),"Athletes",AND(Table13[[#This Row],[Gender]]="male",R1014&lt;17),"Fitnesss",AND(Table13[[#This Row],[Gender]]="male",R1014&lt;24.9),"Acceptable",AND(Table13[[#This Row],[Gender]]="male",R1014&lt;40),"Obese",AND(Table13[[#This Row],[Gender]]="others",R1014&lt;20),"Athletes",AND(Table13[[#This Row],[Gender]]="others",R1014&lt;24),"Fitnesss",AND(Table13[[#This Row],[Gender]]="others",R1014&lt;31),"Acceptable",AND(Table13[[#This Row],[Gender]]="others",R1014&lt;40),"Obese")</f>
        <v>Acceptable</v>
      </c>
      <c r="R1014" s="8">
        <v>29</v>
      </c>
      <c r="S1014" s="8">
        <v>3.7</v>
      </c>
      <c r="T1014" s="8">
        <v>5</v>
      </c>
      <c r="U1014" s="8">
        <v>2</v>
      </c>
      <c r="V1014" s="8" t="str">
        <f>IF(Table13[[#This Row],[BMI]]&lt;=18.5,"Underweight",IF(Table13[[#This Row],[BMI]]&lt;=24.9,"Normal",IF(Table13[[#This Row],[BMI]]&lt;=29.9,"Overweight",IF(Table13[[#This Row],[BMI]]&lt;=39,"Obese","Severly Obese"))))</f>
        <v>Underweight</v>
      </c>
      <c r="W1014" s="18">
        <v>12.32</v>
      </c>
    </row>
    <row r="1015" spans="6:23" x14ac:dyDescent="0.3">
      <c r="F1015" s="17">
        <v>44</v>
      </c>
      <c r="G1015" s="8" t="str">
        <f>IF(Table13[[#This Row],[Age]]&lt;25,"18-24",IF(Table13[[#This Row],[Age]]&lt;35,"25-34",IF(Table13[[#This Row],[Age]]&lt;45,"35-44",IF(Table13[[#This Row],[Age]]&lt;55,"45-54","55-64"))))</f>
        <v>35-44</v>
      </c>
      <c r="H1015" s="8" t="s">
        <v>17</v>
      </c>
      <c r="I1015" s="8">
        <v>115.6</v>
      </c>
      <c r="J1015" s="8">
        <v>1.5</v>
      </c>
      <c r="K1015" s="8">
        <v>186</v>
      </c>
      <c r="L1015" s="8">
        <v>145</v>
      </c>
      <c r="M1015" s="8">
        <v>55</v>
      </c>
      <c r="N1015" s="8">
        <v>1.65</v>
      </c>
      <c r="O1015" s="8">
        <v>1075</v>
      </c>
      <c r="P1015" s="8" t="s">
        <v>21</v>
      </c>
      <c r="Q1015" s="8" t="str">
        <f>_xlfn.IFS(AND(Table13[[#This Row],[Gender]]="female",R1015&lt;20),"Athletes",AND(Table13[[#This Row],[Gender]]="female",R1015&lt;24),"Fitnesss",AND(Table13[[#This Row],[Gender]]="female",R1015&lt;31),"Acceptable",AND(Table13[[#This Row],[Gender]]="female",R1015&lt;40),"Obese",AND(Table13[[#This Row],[Gender]]="male",R1015&lt;13),"Athletes",AND(Table13[[#This Row],[Gender]]="male",R1015&lt;17),"Fitnesss",AND(Table13[[#This Row],[Gender]]="male",R1015&lt;24.9),"Acceptable",AND(Table13[[#This Row],[Gender]]="male",R1015&lt;40),"Obese",AND(Table13[[#This Row],[Gender]]="others",R1015&lt;20),"Athletes",AND(Table13[[#This Row],[Gender]]="others",R1015&lt;24),"Fitnesss",AND(Table13[[#This Row],[Gender]]="others",R1015&lt;31),"Acceptable",AND(Table13[[#This Row],[Gender]]="others",R1015&lt;40),"Obese")</f>
        <v>Acceptable</v>
      </c>
      <c r="R1015" s="8">
        <v>25.1</v>
      </c>
      <c r="S1015" s="8">
        <v>3.5</v>
      </c>
      <c r="T1015" s="8">
        <v>2</v>
      </c>
      <c r="U1015" s="8">
        <v>1</v>
      </c>
      <c r="V1015" s="8" t="str">
        <f>IF(Table13[[#This Row],[BMI]]&lt;=18.5,"Underweight",IF(Table13[[#This Row],[BMI]]&lt;=24.9,"Normal",IF(Table13[[#This Row],[BMI]]&lt;=29.9,"Overweight",IF(Table13[[#This Row],[BMI]]&lt;=39,"Obese","Severly Obese"))))</f>
        <v>Underweight</v>
      </c>
      <c r="W1015" s="18">
        <v>18.41</v>
      </c>
    </row>
    <row r="1016" spans="6:23" x14ac:dyDescent="0.3">
      <c r="F1016" s="17">
        <v>26</v>
      </c>
      <c r="G1016" s="8" t="str">
        <f>IF(Table13[[#This Row],[Age]]&lt;25,"18-24",IF(Table13[[#This Row],[Age]]&lt;35,"25-34",IF(Table13[[#This Row],[Age]]&lt;45,"35-44",IF(Table13[[#This Row],[Age]]&lt;55,"45-54","55-64"))))</f>
        <v>25-34</v>
      </c>
      <c r="H1016" s="8" t="s">
        <v>17</v>
      </c>
      <c r="I1016" s="8">
        <v>64.7</v>
      </c>
      <c r="J1016" s="8">
        <v>1.61</v>
      </c>
      <c r="K1016" s="8">
        <v>197</v>
      </c>
      <c r="L1016" s="8">
        <v>137</v>
      </c>
      <c r="M1016" s="8">
        <v>74</v>
      </c>
      <c r="N1016" s="8">
        <v>1.48</v>
      </c>
      <c r="O1016" s="8">
        <v>1088</v>
      </c>
      <c r="P1016" s="8" t="s">
        <v>21</v>
      </c>
      <c r="Q1016" s="8" t="str">
        <f>_xlfn.IFS(AND(Table13[[#This Row],[Gender]]="female",R1016&lt;20),"Athletes",AND(Table13[[#This Row],[Gender]]="female",R1016&lt;24),"Fitnesss",AND(Table13[[#This Row],[Gender]]="female",R1016&lt;31),"Acceptable",AND(Table13[[#This Row],[Gender]]="female",R1016&lt;40),"Obese",AND(Table13[[#This Row],[Gender]]="male",R1016&lt;13),"Athletes",AND(Table13[[#This Row],[Gender]]="male",R1016&lt;17),"Fitnesss",AND(Table13[[#This Row],[Gender]]="male",R1016&lt;24.9),"Acceptable",AND(Table13[[#This Row],[Gender]]="male",R1016&lt;40),"Obese",AND(Table13[[#This Row],[Gender]]="others",R1016&lt;20),"Athletes",AND(Table13[[#This Row],[Gender]]="others",R1016&lt;24),"Fitnesss",AND(Table13[[#This Row],[Gender]]="others",R1016&lt;31),"Acceptable",AND(Table13[[#This Row],[Gender]]="others",R1016&lt;40),"Obese")</f>
        <v>Acceptable</v>
      </c>
      <c r="R1016" s="8">
        <v>25.1</v>
      </c>
      <c r="S1016" s="8">
        <v>2.2000000000000002</v>
      </c>
      <c r="T1016" s="8">
        <v>5</v>
      </c>
      <c r="U1016" s="8">
        <v>2</v>
      </c>
      <c r="V1016" s="8" t="str">
        <f>IF(Table13[[#This Row],[BMI]]&lt;=18.5,"Underweight",IF(Table13[[#This Row],[BMI]]&lt;=24.9,"Normal",IF(Table13[[#This Row],[BMI]]&lt;=29.9,"Overweight",IF(Table13[[#This Row],[BMI]]&lt;=39,"Obese","Severly Obese"))))</f>
        <v>Normal</v>
      </c>
      <c r="W1016" s="18">
        <v>24.23</v>
      </c>
    </row>
    <row r="1017" spans="6:23" x14ac:dyDescent="0.3">
      <c r="F1017" s="17">
        <v>52</v>
      </c>
      <c r="G1017" s="8" t="str">
        <f>IF(Table13[[#This Row],[Age]]&lt;25,"18-24",IF(Table13[[#This Row],[Age]]&lt;35,"25-34",IF(Table13[[#This Row],[Age]]&lt;45,"35-44",IF(Table13[[#This Row],[Age]]&lt;55,"45-54","55-64"))))</f>
        <v>45-54</v>
      </c>
      <c r="H1017" s="8" t="s">
        <v>19</v>
      </c>
      <c r="I1017" s="8">
        <v>58.2</v>
      </c>
      <c r="J1017" s="8">
        <v>1.71</v>
      </c>
      <c r="K1017" s="8">
        <v>182</v>
      </c>
      <c r="L1017" s="8">
        <v>161</v>
      </c>
      <c r="M1017" s="8">
        <v>50</v>
      </c>
      <c r="N1017" s="8">
        <v>1.49</v>
      </c>
      <c r="O1017" s="8">
        <v>1364</v>
      </c>
      <c r="P1017" s="8" t="s">
        <v>21</v>
      </c>
      <c r="Q1017" s="8" t="str">
        <f>_xlfn.IFS(AND(Table13[[#This Row],[Gender]]="female",R1017&lt;20),"Athletes",AND(Table13[[#This Row],[Gender]]="female",R1017&lt;24),"Fitnesss",AND(Table13[[#This Row],[Gender]]="female",R1017&lt;31),"Acceptable",AND(Table13[[#This Row],[Gender]]="female",R1017&lt;40),"Obese",AND(Table13[[#This Row],[Gender]]="male",R1017&lt;13),"Athletes",AND(Table13[[#This Row],[Gender]]="male",R1017&lt;17),"Fitnesss",AND(Table13[[#This Row],[Gender]]="male",R1017&lt;24.9),"Acceptable",AND(Table13[[#This Row],[Gender]]="male",R1017&lt;40),"Obese",AND(Table13[[#This Row],[Gender]]="others",R1017&lt;20),"Athletes",AND(Table13[[#This Row],[Gender]]="others",R1017&lt;24),"Fitnesss",AND(Table13[[#This Row],[Gender]]="others",R1017&lt;31),"Acceptable",AND(Table13[[#This Row],[Gender]]="others",R1017&lt;40),"Obese")</f>
        <v>Obese</v>
      </c>
      <c r="R1017" s="8">
        <v>28.7</v>
      </c>
      <c r="S1017" s="8">
        <v>3.5</v>
      </c>
      <c r="T1017" s="8">
        <v>3</v>
      </c>
      <c r="U1017" s="8">
        <v>2</v>
      </c>
      <c r="V1017" s="8" t="str">
        <f>IF(Table13[[#This Row],[BMI]]&lt;=18.5,"Underweight",IF(Table13[[#This Row],[BMI]]&lt;=24.9,"Normal",IF(Table13[[#This Row],[BMI]]&lt;=29.9,"Overweight",IF(Table13[[#This Row],[BMI]]&lt;=39,"Obese","Severly Obese"))))</f>
        <v>Normal</v>
      </c>
      <c r="W1017" s="18">
        <v>21.89</v>
      </c>
    </row>
    <row r="1018" spans="6:23" x14ac:dyDescent="0.3">
      <c r="F1018" s="17">
        <v>49</v>
      </c>
      <c r="G1018" s="8" t="str">
        <f>IF(Table13[[#This Row],[Age]]&lt;25,"18-24",IF(Table13[[#This Row],[Age]]&lt;35,"25-34",IF(Table13[[#This Row],[Age]]&lt;45,"35-44",IF(Table13[[#This Row],[Age]]&lt;55,"45-54","55-64"))))</f>
        <v>45-54</v>
      </c>
      <c r="H1018" s="8" t="s">
        <v>19</v>
      </c>
      <c r="I1018" s="8">
        <v>53.8</v>
      </c>
      <c r="J1018" s="8">
        <v>1.81</v>
      </c>
      <c r="K1018" s="8">
        <v>185</v>
      </c>
      <c r="L1018" s="8">
        <v>169</v>
      </c>
      <c r="M1018" s="8">
        <v>71</v>
      </c>
      <c r="N1018" s="8">
        <v>1.56</v>
      </c>
      <c r="O1018" s="8">
        <v>1345</v>
      </c>
      <c r="P1018" s="8" t="s">
        <v>18</v>
      </c>
      <c r="Q1018" s="8" t="str">
        <f>_xlfn.IFS(AND(Table13[[#This Row],[Gender]]="female",R1018&lt;20),"Athletes",AND(Table13[[#This Row],[Gender]]="female",R1018&lt;24),"Fitnesss",AND(Table13[[#This Row],[Gender]]="female",R1018&lt;31),"Acceptable",AND(Table13[[#This Row],[Gender]]="female",R1018&lt;40),"Obese",AND(Table13[[#This Row],[Gender]]="male",R1018&lt;13),"Athletes",AND(Table13[[#This Row],[Gender]]="male",R1018&lt;17),"Fitnesss",AND(Table13[[#This Row],[Gender]]="male",R1018&lt;24.9),"Acceptable",AND(Table13[[#This Row],[Gender]]="male",R1018&lt;40),"Obese",AND(Table13[[#This Row],[Gender]]="others",R1018&lt;20),"Athletes",AND(Table13[[#This Row],[Gender]]="others",R1018&lt;24),"Fitnesss",AND(Table13[[#This Row],[Gender]]="others",R1018&lt;31),"Acceptable",AND(Table13[[#This Row],[Gender]]="others",R1018&lt;40),"Obese")</f>
        <v>Obese</v>
      </c>
      <c r="R1018" s="8">
        <v>25.3</v>
      </c>
      <c r="S1018" s="8">
        <v>2.4</v>
      </c>
      <c r="T1018" s="8">
        <v>4</v>
      </c>
      <c r="U1018" s="8">
        <v>2</v>
      </c>
      <c r="V1018" s="8" t="str">
        <f>IF(Table13[[#This Row],[BMI]]&lt;=18.5,"Underweight",IF(Table13[[#This Row],[BMI]]&lt;=24.9,"Normal",IF(Table13[[#This Row],[BMI]]&lt;=29.9,"Overweight",IF(Table13[[#This Row],[BMI]]&lt;=39,"Obese","Severly Obese"))))</f>
        <v>Normal</v>
      </c>
      <c r="W1018" s="18">
        <v>19.34</v>
      </c>
    </row>
    <row r="1019" spans="6:23" x14ac:dyDescent="0.3">
      <c r="F1019" s="17">
        <v>26</v>
      </c>
      <c r="G1019" s="8" t="str">
        <f>IF(Table13[[#This Row],[Age]]&lt;25,"18-24",IF(Table13[[#This Row],[Age]]&lt;35,"25-34",IF(Table13[[#This Row],[Age]]&lt;45,"35-44",IF(Table13[[#This Row],[Age]]&lt;55,"45-54","55-64"))))</f>
        <v>25-34</v>
      </c>
      <c r="H1019" s="8" t="s">
        <v>17</v>
      </c>
      <c r="I1019" s="8">
        <v>63.6</v>
      </c>
      <c r="J1019" s="8">
        <v>1.77</v>
      </c>
      <c r="K1019" s="8">
        <v>173</v>
      </c>
      <c r="L1019" s="8">
        <v>145</v>
      </c>
      <c r="M1019" s="8">
        <v>55</v>
      </c>
      <c r="N1019" s="8">
        <v>1.29</v>
      </c>
      <c r="O1019" s="8">
        <v>1586</v>
      </c>
      <c r="P1019" s="8" t="s">
        <v>18</v>
      </c>
      <c r="Q1019" s="8" t="str">
        <f>_xlfn.IFS(AND(Table13[[#This Row],[Gender]]="female",R1019&lt;20),"Athletes",AND(Table13[[#This Row],[Gender]]="female",R1019&lt;24),"Fitnesss",AND(Table13[[#This Row],[Gender]]="female",R1019&lt;31),"Acceptable",AND(Table13[[#This Row],[Gender]]="female",R1019&lt;40),"Obese",AND(Table13[[#This Row],[Gender]]="male",R1019&lt;13),"Athletes",AND(Table13[[#This Row],[Gender]]="male",R1019&lt;17),"Fitnesss",AND(Table13[[#This Row],[Gender]]="male",R1019&lt;24.9),"Acceptable",AND(Table13[[#This Row],[Gender]]="male",R1019&lt;40),"Obese",AND(Table13[[#This Row],[Gender]]="others",R1019&lt;20),"Athletes",AND(Table13[[#This Row],[Gender]]="others",R1019&lt;24),"Fitnesss",AND(Table13[[#This Row],[Gender]]="others",R1019&lt;31),"Acceptable",AND(Table13[[#This Row],[Gender]]="others",R1019&lt;40),"Obese")</f>
        <v>Athletes</v>
      </c>
      <c r="R1019" s="8">
        <v>18.899999999999999</v>
      </c>
      <c r="S1019" s="8">
        <v>2.8</v>
      </c>
      <c r="T1019" s="8">
        <v>3</v>
      </c>
      <c r="U1019" s="8">
        <v>1</v>
      </c>
      <c r="V1019" s="8" t="str">
        <f>IF(Table13[[#This Row],[BMI]]&lt;=18.5,"Underweight",IF(Table13[[#This Row],[BMI]]&lt;=24.9,"Normal",IF(Table13[[#This Row],[BMI]]&lt;=29.9,"Overweight",IF(Table13[[#This Row],[BMI]]&lt;=39,"Obese","Severly Obese"))))</f>
        <v>Normal</v>
      </c>
      <c r="W1019" s="18">
        <v>22.45</v>
      </c>
    </row>
    <row r="1020" spans="6:23" x14ac:dyDescent="0.3">
      <c r="F1020" s="17">
        <v>23</v>
      </c>
      <c r="G1020" s="8" t="str">
        <f>IF(Table13[[#This Row],[Age]]&lt;25,"18-24",IF(Table13[[#This Row],[Age]]&lt;35,"25-34",IF(Table13[[#This Row],[Age]]&lt;45,"35-44",IF(Table13[[#This Row],[Age]]&lt;55,"45-54","55-64"))))</f>
        <v>18-24</v>
      </c>
      <c r="H1020" s="8" t="s">
        <v>19</v>
      </c>
      <c r="I1020" s="8">
        <v>62.3</v>
      </c>
      <c r="J1020" s="8">
        <v>1.68</v>
      </c>
      <c r="K1020" s="8">
        <v>167</v>
      </c>
      <c r="L1020" s="8">
        <v>122</v>
      </c>
      <c r="M1020" s="8">
        <v>74</v>
      </c>
      <c r="N1020" s="8">
        <v>1.69</v>
      </c>
      <c r="O1020" s="8">
        <v>772</v>
      </c>
      <c r="P1020" s="8" t="s">
        <v>20</v>
      </c>
      <c r="Q1020" s="8" t="str">
        <f>_xlfn.IFS(AND(Table13[[#This Row],[Gender]]="female",R1020&lt;20),"Athletes",AND(Table13[[#This Row],[Gender]]="female",R1020&lt;24),"Fitnesss",AND(Table13[[#This Row],[Gender]]="female",R1020&lt;31),"Acceptable",AND(Table13[[#This Row],[Gender]]="female",R1020&lt;40),"Obese",AND(Table13[[#This Row],[Gender]]="male",R1020&lt;13),"Athletes",AND(Table13[[#This Row],[Gender]]="male",R1020&lt;17),"Fitnesss",AND(Table13[[#This Row],[Gender]]="male",R1020&lt;24.9),"Acceptable",AND(Table13[[#This Row],[Gender]]="male",R1020&lt;40),"Obese",AND(Table13[[#This Row],[Gender]]="others",R1020&lt;20),"Athletes",AND(Table13[[#This Row],[Gender]]="others",R1020&lt;24),"Fitnesss",AND(Table13[[#This Row],[Gender]]="others",R1020&lt;31),"Acceptable",AND(Table13[[#This Row],[Gender]]="others",R1020&lt;40),"Obese")</f>
        <v>Acceptable</v>
      </c>
      <c r="R1020" s="8">
        <v>21.1</v>
      </c>
      <c r="S1020" s="8">
        <v>3.3</v>
      </c>
      <c r="T1020" s="8"/>
      <c r="U1020" s="8">
        <v>1</v>
      </c>
      <c r="V1020" s="8" t="str">
        <f>IF(Table13[[#This Row],[BMI]]&lt;=18.5,"Underweight",IF(Table13[[#This Row],[BMI]]&lt;=24.9,"Normal",IF(Table13[[#This Row],[BMI]]&lt;=29.9,"Overweight",IF(Table13[[#This Row],[BMI]]&lt;=39,"Obese","Severly Obese"))))</f>
        <v>Underweight</v>
      </c>
      <c r="W1020" s="18">
        <v>12.98</v>
      </c>
    </row>
    <row r="1021" spans="6:23" x14ac:dyDescent="0.3">
      <c r="F1021" s="17">
        <v>26</v>
      </c>
      <c r="G1021" s="8" t="str">
        <f>IF(Table13[[#This Row],[Age]]&lt;25,"18-24",IF(Table13[[#This Row],[Age]]&lt;35,"25-34",IF(Table13[[#This Row],[Age]]&lt;45,"35-44",IF(Table13[[#This Row],[Age]]&lt;55,"45-54","55-64"))))</f>
        <v>25-34</v>
      </c>
      <c r="H1021" s="8" t="s">
        <v>19</v>
      </c>
      <c r="I1021" s="8">
        <v>55.9</v>
      </c>
      <c r="J1021" s="8">
        <v>1.61</v>
      </c>
      <c r="K1021" s="8">
        <v>192</v>
      </c>
      <c r="L1021" s="8"/>
      <c r="M1021" s="8">
        <v>74</v>
      </c>
      <c r="N1021" s="8">
        <v>1</v>
      </c>
      <c r="O1021" s="8">
        <v>1133</v>
      </c>
      <c r="P1021" s="8" t="s">
        <v>20</v>
      </c>
      <c r="Q1021" s="8" t="str">
        <f>_xlfn.IFS(AND(Table13[[#This Row],[Gender]]="female",R1021&lt;20),"Athletes",AND(Table13[[#This Row],[Gender]]="female",R1021&lt;24),"Fitnesss",AND(Table13[[#This Row],[Gender]]="female",R1021&lt;31),"Acceptable",AND(Table13[[#This Row],[Gender]]="female",R1021&lt;40),"Obese",AND(Table13[[#This Row],[Gender]]="male",R1021&lt;13),"Athletes",AND(Table13[[#This Row],[Gender]]="male",R1021&lt;17),"Fitnesss",AND(Table13[[#This Row],[Gender]]="male",R1021&lt;24.9),"Acceptable",AND(Table13[[#This Row],[Gender]]="male",R1021&lt;40),"Obese",AND(Table13[[#This Row],[Gender]]="others",R1021&lt;20),"Athletes",AND(Table13[[#This Row],[Gender]]="others",R1021&lt;24),"Fitnesss",AND(Table13[[#This Row],[Gender]]="others",R1021&lt;31),"Acceptable",AND(Table13[[#This Row],[Gender]]="others",R1021&lt;40),"Obese")</f>
        <v>Acceptable</v>
      </c>
      <c r="R1021" s="8">
        <v>21.1</v>
      </c>
      <c r="S1021" s="8">
        <v>2.6</v>
      </c>
      <c r="T1021" s="8">
        <v>5</v>
      </c>
      <c r="U1021" s="8">
        <v>1</v>
      </c>
      <c r="V1021" s="8" t="str">
        <f>IF(Table13[[#This Row],[BMI]]&lt;=18.5,"Underweight",IF(Table13[[#This Row],[BMI]]&lt;=24.9,"Normal",IF(Table13[[#This Row],[BMI]]&lt;=29.9,"Overweight",IF(Table13[[#This Row],[BMI]]&lt;=39,"Obese","Severly Obese"))))</f>
        <v>Normal</v>
      </c>
      <c r="W1021" s="18">
        <v>21.42</v>
      </c>
    </row>
    <row r="1022" spans="6:23" x14ac:dyDescent="0.3">
      <c r="F1022" s="17">
        <v>41</v>
      </c>
      <c r="G1022" s="8" t="str">
        <f>IF(Table13[[#This Row],[Age]]&lt;25,"18-24",IF(Table13[[#This Row],[Age]]&lt;35,"25-34",IF(Table13[[#This Row],[Age]]&lt;45,"35-44",IF(Table13[[#This Row],[Age]]&lt;55,"45-54","55-64"))))</f>
        <v>35-44</v>
      </c>
      <c r="H1022" s="8" t="s">
        <v>17</v>
      </c>
      <c r="I1022" s="8">
        <v>65.7</v>
      </c>
      <c r="J1022" s="8">
        <v>1.57</v>
      </c>
      <c r="K1022" s="8">
        <v>170</v>
      </c>
      <c r="L1022" s="8">
        <v>169</v>
      </c>
      <c r="M1022" s="8">
        <v>71</v>
      </c>
      <c r="N1022" s="8">
        <v>1.1299999999999999</v>
      </c>
      <c r="O1022" s="8">
        <v>708</v>
      </c>
      <c r="P1022" s="8" t="s">
        <v>22</v>
      </c>
      <c r="Q1022" s="8" t="str">
        <f>_xlfn.IFS(AND(Table13[[#This Row],[Gender]]="female",R1022&lt;20),"Athletes",AND(Table13[[#This Row],[Gender]]="female",R1022&lt;24),"Fitnesss",AND(Table13[[#This Row],[Gender]]="female",R1022&lt;31),"Acceptable",AND(Table13[[#This Row],[Gender]]="female",R1022&lt;40),"Obese",AND(Table13[[#This Row],[Gender]]="male",R1022&lt;13),"Athletes",AND(Table13[[#This Row],[Gender]]="male",R1022&lt;17),"Fitnesss",AND(Table13[[#This Row],[Gender]]="male",R1022&lt;24.9),"Acceptable",AND(Table13[[#This Row],[Gender]]="male",R1022&lt;40),"Obese",AND(Table13[[#This Row],[Gender]]="others",R1022&lt;20),"Athletes",AND(Table13[[#This Row],[Gender]]="others",R1022&lt;24),"Fitnesss",AND(Table13[[#This Row],[Gender]]="others",R1022&lt;31),"Acceptable",AND(Table13[[#This Row],[Gender]]="others",R1022&lt;40),"Obese")</f>
        <v>Acceptable</v>
      </c>
      <c r="R1022" s="8">
        <v>26.5</v>
      </c>
      <c r="S1022" s="8">
        <v>1.9</v>
      </c>
      <c r="T1022" s="8">
        <v>5</v>
      </c>
      <c r="U1022" s="8">
        <v>1</v>
      </c>
      <c r="V1022" s="8" t="str">
        <f>IF(Table13[[#This Row],[BMI]]&lt;=18.5,"Underweight",IF(Table13[[#This Row],[BMI]]&lt;=24.9,"Normal",IF(Table13[[#This Row],[BMI]]&lt;=29.9,"Overweight",IF(Table13[[#This Row],[BMI]]&lt;=39,"Obese","Severly Obese"))))</f>
        <v>Underweight</v>
      </c>
      <c r="W1022" s="18">
        <v>12.32</v>
      </c>
    </row>
    <row r="1023" spans="6:23" x14ac:dyDescent="0.3">
      <c r="F1023" s="17">
        <v>59</v>
      </c>
      <c r="G1023" s="8" t="str">
        <f>IF(Table13[[#This Row],[Age]]&lt;25,"18-24",IF(Table13[[#This Row],[Age]]&lt;35,"25-34",IF(Table13[[#This Row],[Age]]&lt;45,"35-44",IF(Table13[[#This Row],[Age]]&lt;55,"45-54","55-64"))))</f>
        <v>55-64</v>
      </c>
      <c r="H1023" s="8" t="s">
        <v>17</v>
      </c>
      <c r="I1023" s="8">
        <v>65.5</v>
      </c>
      <c r="J1023" s="8">
        <v>1.78</v>
      </c>
      <c r="K1023" s="8">
        <v>168</v>
      </c>
      <c r="L1023" s="8">
        <v>139</v>
      </c>
      <c r="M1023" s="8">
        <v>56</v>
      </c>
      <c r="N1023" s="8">
        <v>1.26</v>
      </c>
      <c r="O1023" s="8">
        <v>505</v>
      </c>
      <c r="P1023" s="8" t="s">
        <v>18</v>
      </c>
      <c r="Q1023" s="8" t="str">
        <f>_xlfn.IFS(AND(Table13[[#This Row],[Gender]]="female",R1023&lt;20),"Athletes",AND(Table13[[#This Row],[Gender]]="female",R1023&lt;24),"Fitnesss",AND(Table13[[#This Row],[Gender]]="female",R1023&lt;31),"Acceptable",AND(Table13[[#This Row],[Gender]]="female",R1023&lt;40),"Obese",AND(Table13[[#This Row],[Gender]]="male",R1023&lt;13),"Athletes",AND(Table13[[#This Row],[Gender]]="male",R1023&lt;17),"Fitnesss",AND(Table13[[#This Row],[Gender]]="male",R1023&lt;24.9),"Acceptable",AND(Table13[[#This Row],[Gender]]="male",R1023&lt;40),"Obese",AND(Table13[[#This Row],[Gender]]="others",R1023&lt;20),"Athletes",AND(Table13[[#This Row],[Gender]]="others",R1023&lt;24),"Fitnesss",AND(Table13[[#This Row],[Gender]]="others",R1023&lt;31),"Acceptable",AND(Table13[[#This Row],[Gender]]="others",R1023&lt;40),"Obese")</f>
        <v>Fitnesss</v>
      </c>
      <c r="R1023" s="8">
        <v>22.8</v>
      </c>
      <c r="S1023" s="8">
        <v>2</v>
      </c>
      <c r="T1023" s="8">
        <v>2</v>
      </c>
      <c r="U1023" s="8">
        <v>2</v>
      </c>
      <c r="V1023" s="8" t="str">
        <f>IF(Table13[[#This Row],[BMI]]&lt;=18.5,"Underweight",IF(Table13[[#This Row],[BMI]]&lt;=24.9,"Normal",IF(Table13[[#This Row],[BMI]]&lt;=29.9,"Overweight",IF(Table13[[#This Row],[BMI]]&lt;=39,"Obese","Severly Obese"))))</f>
        <v>Overweight</v>
      </c>
      <c r="W1023" s="18">
        <v>28.6</v>
      </c>
    </row>
    <row r="1024" spans="6:23" x14ac:dyDescent="0.3">
      <c r="F1024" s="17">
        <v>39</v>
      </c>
      <c r="G1024" s="8" t="str">
        <f>IF(Table13[[#This Row],[Age]]&lt;25,"18-24",IF(Table13[[#This Row],[Age]]&lt;35,"25-34",IF(Table13[[#This Row],[Age]]&lt;45,"35-44",IF(Table13[[#This Row],[Age]]&lt;55,"45-54","55-64"))))</f>
        <v>35-44</v>
      </c>
      <c r="H1024" s="8" t="s">
        <v>17</v>
      </c>
      <c r="I1024" s="8">
        <v>90.5</v>
      </c>
      <c r="J1024" s="8"/>
      <c r="K1024" s="8">
        <v>175</v>
      </c>
      <c r="L1024" s="8">
        <v>169</v>
      </c>
      <c r="M1024" s="8">
        <v>51</v>
      </c>
      <c r="N1024" s="8">
        <v>2</v>
      </c>
      <c r="O1024" s="8">
        <v>883</v>
      </c>
      <c r="P1024" s="8" t="s">
        <v>21</v>
      </c>
      <c r="Q1024" s="8" t="str">
        <f>_xlfn.IFS(AND(Table13[[#This Row],[Gender]]="female",R1024&lt;20),"Athletes",AND(Table13[[#This Row],[Gender]]="female",R1024&lt;24),"Fitnesss",AND(Table13[[#This Row],[Gender]]="female",R1024&lt;31),"Acceptable",AND(Table13[[#This Row],[Gender]]="female",R1024&lt;40),"Obese",AND(Table13[[#This Row],[Gender]]="male",R1024&lt;13),"Athletes",AND(Table13[[#This Row],[Gender]]="male",R1024&lt;17),"Fitnesss",AND(Table13[[#This Row],[Gender]]="male",R1024&lt;24.9),"Acceptable",AND(Table13[[#This Row],[Gender]]="male",R1024&lt;40),"Obese",AND(Table13[[#This Row],[Gender]]="others",R1024&lt;20),"Athletes",AND(Table13[[#This Row],[Gender]]="others",R1024&lt;24),"Fitnesss",AND(Table13[[#This Row],[Gender]]="others",R1024&lt;31),"Acceptable",AND(Table13[[#This Row],[Gender]]="others",R1024&lt;40),"Obese")</f>
        <v>Acceptable</v>
      </c>
      <c r="R1024" s="8">
        <v>30.8</v>
      </c>
      <c r="S1024" s="8">
        <v>3.6</v>
      </c>
      <c r="T1024" s="8">
        <v>3</v>
      </c>
      <c r="U1024" s="8">
        <v>2</v>
      </c>
      <c r="V1024" s="8" t="str">
        <f>IF(Table13[[#This Row],[BMI]]&lt;=18.5,"Underweight",IF(Table13[[#This Row],[BMI]]&lt;=24.9,"Normal",IF(Table13[[#This Row],[BMI]]&lt;=29.9,"Overweight",IF(Table13[[#This Row],[BMI]]&lt;=39,"Obese","Severly Obese"))))</f>
        <v>Normal</v>
      </c>
      <c r="W1024" s="18">
        <v>20.059999999999999</v>
      </c>
    </row>
    <row r="1025" spans="6:23" x14ac:dyDescent="0.3">
      <c r="F1025" s="17">
        <v>28</v>
      </c>
      <c r="G1025" s="8" t="str">
        <f>IF(Table13[[#This Row],[Age]]&lt;25,"18-24",IF(Table13[[#This Row],[Age]]&lt;35,"25-34",IF(Table13[[#This Row],[Age]]&lt;45,"35-44",IF(Table13[[#This Row],[Age]]&lt;55,"45-54","55-64"))))</f>
        <v>25-34</v>
      </c>
      <c r="H1025" s="8" t="s">
        <v>17</v>
      </c>
      <c r="I1025" s="8">
        <v>40</v>
      </c>
      <c r="J1025" s="8">
        <v>1.81</v>
      </c>
      <c r="K1025" s="8">
        <v>194</v>
      </c>
      <c r="L1025" s="8">
        <v>164</v>
      </c>
      <c r="M1025" s="8">
        <v>57</v>
      </c>
      <c r="N1025" s="8">
        <v>1.57</v>
      </c>
      <c r="O1025" s="8">
        <v>1070</v>
      </c>
      <c r="P1025" s="8" t="s">
        <v>22</v>
      </c>
      <c r="Q1025" s="8" t="str">
        <f>_xlfn.IFS(AND(Table13[[#This Row],[Gender]]="female",R1025&lt;20),"Athletes",AND(Table13[[#This Row],[Gender]]="female",R1025&lt;24),"Fitnesss",AND(Table13[[#This Row],[Gender]]="female",R1025&lt;31),"Acceptable",AND(Table13[[#This Row],[Gender]]="female",R1025&lt;40),"Obese",AND(Table13[[#This Row],[Gender]]="male",R1025&lt;13),"Athletes",AND(Table13[[#This Row],[Gender]]="male",R1025&lt;17),"Fitnesss",AND(Table13[[#This Row],[Gender]]="male",R1025&lt;24.9),"Acceptable",AND(Table13[[#This Row],[Gender]]="male",R1025&lt;40),"Obese",AND(Table13[[#This Row],[Gender]]="others",R1025&lt;20),"Athletes",AND(Table13[[#This Row],[Gender]]="others",R1025&lt;24),"Fitnesss",AND(Table13[[#This Row],[Gender]]="others",R1025&lt;31),"Acceptable",AND(Table13[[#This Row],[Gender]]="others",R1025&lt;40),"Obese")</f>
        <v>Fitnesss</v>
      </c>
      <c r="R1025" s="8">
        <v>21.3</v>
      </c>
      <c r="S1025" s="8">
        <v>3.4</v>
      </c>
      <c r="T1025" s="8">
        <v>3</v>
      </c>
      <c r="U1025" s="8">
        <v>1</v>
      </c>
      <c r="V1025" s="8" t="str">
        <f>IF(Table13[[#This Row],[BMI]]&lt;=18.5,"Underweight",IF(Table13[[#This Row],[BMI]]&lt;=24.9,"Normal",IF(Table13[[#This Row],[BMI]]&lt;=29.9,"Overweight",IF(Table13[[#This Row],[BMI]]&lt;=39,"Obese","Severly Obese"))))</f>
        <v>Obese</v>
      </c>
      <c r="W1025" s="18">
        <v>37.33</v>
      </c>
    </row>
    <row r="1026" spans="6:23" x14ac:dyDescent="0.3">
      <c r="F1026" s="17">
        <v>48</v>
      </c>
      <c r="G1026" s="8" t="str">
        <f>IF(Table13[[#This Row],[Age]]&lt;25,"18-24",IF(Table13[[#This Row],[Age]]&lt;35,"25-34",IF(Table13[[#This Row],[Age]]&lt;45,"35-44",IF(Table13[[#This Row],[Age]]&lt;55,"45-54","55-64"))))</f>
        <v>45-54</v>
      </c>
      <c r="H1026" s="8" t="s">
        <v>19</v>
      </c>
      <c r="I1026" s="8">
        <v>40</v>
      </c>
      <c r="J1026" s="8">
        <v>1.67</v>
      </c>
      <c r="K1026" s="8">
        <v>169</v>
      </c>
      <c r="L1026" s="8">
        <v>168</v>
      </c>
      <c r="M1026" s="8">
        <v>57</v>
      </c>
      <c r="N1026" s="8">
        <v>2</v>
      </c>
      <c r="O1026" s="8">
        <v>833</v>
      </c>
      <c r="P1026" s="8" t="s">
        <v>18</v>
      </c>
      <c r="Q1026" s="8" t="str">
        <f>_xlfn.IFS(AND(Table13[[#This Row],[Gender]]="female",R1026&lt;20),"Athletes",AND(Table13[[#This Row],[Gender]]="female",R1026&lt;24),"Fitnesss",AND(Table13[[#This Row],[Gender]]="female",R1026&lt;31),"Acceptable",AND(Table13[[#This Row],[Gender]]="female",R1026&lt;40),"Obese",AND(Table13[[#This Row],[Gender]]="male",R1026&lt;13),"Athletes",AND(Table13[[#This Row],[Gender]]="male",R1026&lt;17),"Fitnesss",AND(Table13[[#This Row],[Gender]]="male",R1026&lt;24.9),"Acceptable",AND(Table13[[#This Row],[Gender]]="male",R1026&lt;40),"Obese",AND(Table13[[#This Row],[Gender]]="others",R1026&lt;20),"Athletes",AND(Table13[[#This Row],[Gender]]="others",R1026&lt;24),"Fitnesss",AND(Table13[[#This Row],[Gender]]="others",R1026&lt;31),"Acceptable",AND(Table13[[#This Row],[Gender]]="others",R1026&lt;40),"Obese")</f>
        <v>Acceptable</v>
      </c>
      <c r="R1026" s="8">
        <v>17.8</v>
      </c>
      <c r="S1026" s="8">
        <v>2.2000000000000002</v>
      </c>
      <c r="T1026" s="8">
        <v>3</v>
      </c>
      <c r="U1026" s="8">
        <v>3</v>
      </c>
      <c r="V1026" s="8" t="str">
        <f>IF(Table13[[#This Row],[BMI]]&lt;=18.5,"Underweight",IF(Table13[[#This Row],[BMI]]&lt;=24.9,"Normal",IF(Table13[[#This Row],[BMI]]&lt;=29.9,"Overweight",IF(Table13[[#This Row],[BMI]]&lt;=39,"Obese","Severly Obese"))))</f>
        <v>Underweight</v>
      </c>
      <c r="W1026" s="18">
        <v>12.32</v>
      </c>
    </row>
    <row r="1027" spans="6:23" x14ac:dyDescent="0.3">
      <c r="F1027" s="17">
        <v>54</v>
      </c>
      <c r="G1027" s="8" t="str">
        <f>IF(Table13[[#This Row],[Age]]&lt;25,"18-24",IF(Table13[[#This Row],[Age]]&lt;35,"25-34",IF(Table13[[#This Row],[Age]]&lt;45,"35-44",IF(Table13[[#This Row],[Age]]&lt;55,"45-54","55-64"))))</f>
        <v>45-54</v>
      </c>
      <c r="H1027" s="8" t="s">
        <v>17</v>
      </c>
      <c r="I1027" s="8">
        <v>76.8</v>
      </c>
      <c r="J1027" s="8">
        <v>1.79</v>
      </c>
      <c r="K1027" s="8">
        <v>189</v>
      </c>
      <c r="L1027" s="8">
        <v>132</v>
      </c>
      <c r="M1027" s="8">
        <v>64</v>
      </c>
      <c r="N1027" s="8">
        <v>1.32</v>
      </c>
      <c r="O1027" s="8">
        <v>815</v>
      </c>
      <c r="P1027" s="8" t="s">
        <v>18</v>
      </c>
      <c r="Q1027" s="8" t="str">
        <f>_xlfn.IFS(AND(Table13[[#This Row],[Gender]]="female",R1027&lt;20),"Athletes",AND(Table13[[#This Row],[Gender]]="female",R1027&lt;24),"Fitnesss",AND(Table13[[#This Row],[Gender]]="female",R1027&lt;31),"Acceptable",AND(Table13[[#This Row],[Gender]]="female",R1027&lt;40),"Obese",AND(Table13[[#This Row],[Gender]]="male",R1027&lt;13),"Athletes",AND(Table13[[#This Row],[Gender]]="male",R1027&lt;17),"Fitnesss",AND(Table13[[#This Row],[Gender]]="male",R1027&lt;24.9),"Acceptable",AND(Table13[[#This Row],[Gender]]="male",R1027&lt;40),"Obese",AND(Table13[[#This Row],[Gender]]="others",R1027&lt;20),"Athletes",AND(Table13[[#This Row],[Gender]]="others",R1027&lt;24),"Fitnesss",AND(Table13[[#This Row],[Gender]]="others",R1027&lt;31),"Acceptable",AND(Table13[[#This Row],[Gender]]="others",R1027&lt;40),"Obese")</f>
        <v>Fitnesss</v>
      </c>
      <c r="R1027" s="8">
        <v>20.7</v>
      </c>
      <c r="S1027" s="8">
        <v>2.1</v>
      </c>
      <c r="T1027" s="8">
        <v>4</v>
      </c>
      <c r="U1027" s="8">
        <v>1</v>
      </c>
      <c r="V1027" s="8" t="str">
        <f>IF(Table13[[#This Row],[BMI]]&lt;=18.5,"Underweight",IF(Table13[[#This Row],[BMI]]&lt;=24.9,"Normal",IF(Table13[[#This Row],[BMI]]&lt;=29.9,"Overweight",IF(Table13[[#This Row],[BMI]]&lt;=39,"Obese","Severly Obese"))))</f>
        <v>Normal</v>
      </c>
      <c r="W1027" s="18">
        <v>20.66</v>
      </c>
    </row>
    <row r="1028" spans="6:23" x14ac:dyDescent="0.3">
      <c r="F1028" s="17">
        <v>26</v>
      </c>
      <c r="G1028" s="8" t="str">
        <f>IF(Table13[[#This Row],[Age]]&lt;25,"18-24",IF(Table13[[#This Row],[Age]]&lt;35,"25-34",IF(Table13[[#This Row],[Age]]&lt;45,"35-44",IF(Table13[[#This Row],[Age]]&lt;55,"45-54","55-64"))))</f>
        <v>25-34</v>
      </c>
      <c r="H1028" s="8" t="s">
        <v>17</v>
      </c>
      <c r="I1028" s="8">
        <v>92.4</v>
      </c>
      <c r="J1028" s="8">
        <v>1.59</v>
      </c>
      <c r="K1028" s="8">
        <v>165</v>
      </c>
      <c r="L1028" s="8">
        <v>169</v>
      </c>
      <c r="M1028" s="8">
        <v>55</v>
      </c>
      <c r="N1028" s="8">
        <v>1.49</v>
      </c>
      <c r="O1028" s="8">
        <v>1783</v>
      </c>
      <c r="P1028" s="8" t="s">
        <v>21</v>
      </c>
      <c r="Q1028" s="8" t="str">
        <f>_xlfn.IFS(AND(Table13[[#This Row],[Gender]]="female",R1028&lt;20),"Athletes",AND(Table13[[#This Row],[Gender]]="female",R1028&lt;24),"Fitnesss",AND(Table13[[#This Row],[Gender]]="female",R1028&lt;31),"Acceptable",AND(Table13[[#This Row],[Gender]]="female",R1028&lt;40),"Obese",AND(Table13[[#This Row],[Gender]]="male",R1028&lt;13),"Athletes",AND(Table13[[#This Row],[Gender]]="male",R1028&lt;17),"Fitnesss",AND(Table13[[#This Row],[Gender]]="male",R1028&lt;24.9),"Acceptable",AND(Table13[[#This Row],[Gender]]="male",R1028&lt;40),"Obese",AND(Table13[[#This Row],[Gender]]="others",R1028&lt;20),"Athletes",AND(Table13[[#This Row],[Gender]]="others",R1028&lt;24),"Fitnesss",AND(Table13[[#This Row],[Gender]]="others",R1028&lt;31),"Acceptable",AND(Table13[[#This Row],[Gender]]="others",R1028&lt;40),"Obese")</f>
        <v>Acceptable</v>
      </c>
      <c r="R1028" s="8">
        <v>24.9</v>
      </c>
      <c r="S1028" s="8">
        <v>1.5</v>
      </c>
      <c r="T1028" s="8">
        <v>4</v>
      </c>
      <c r="U1028" s="8">
        <v>2</v>
      </c>
      <c r="V1028" s="8" t="str">
        <f>IF(Table13[[#This Row],[BMI]]&lt;=18.5,"Underweight",IF(Table13[[#This Row],[BMI]]&lt;=24.9,"Normal",IF(Table13[[#This Row],[BMI]]&lt;=29.9,"Overweight",IF(Table13[[#This Row],[BMI]]&lt;=39,"Obese","Severly Obese"))))</f>
        <v>Normal</v>
      </c>
      <c r="W1028" s="18">
        <v>22.09</v>
      </c>
    </row>
    <row r="1029" spans="6:23" x14ac:dyDescent="0.3">
      <c r="F1029" s="17">
        <v>28</v>
      </c>
      <c r="G1029" s="8" t="str">
        <f>IF(Table13[[#This Row],[Age]]&lt;25,"18-24",IF(Table13[[#This Row],[Age]]&lt;35,"25-34",IF(Table13[[#This Row],[Age]]&lt;45,"35-44",IF(Table13[[#This Row],[Age]]&lt;55,"45-54","55-64"))))</f>
        <v>25-34</v>
      </c>
      <c r="H1029" s="8" t="s">
        <v>19</v>
      </c>
      <c r="I1029" s="8">
        <v>88.5</v>
      </c>
      <c r="J1029" s="8">
        <v>1.64</v>
      </c>
      <c r="K1029" s="8">
        <v>160</v>
      </c>
      <c r="L1029" s="8">
        <v>163</v>
      </c>
      <c r="M1029" s="8">
        <v>50</v>
      </c>
      <c r="N1029" s="8">
        <v>1.25</v>
      </c>
      <c r="O1029" s="8">
        <v>1190</v>
      </c>
      <c r="P1029" s="8" t="s">
        <v>20</v>
      </c>
      <c r="Q1029" s="8" t="str">
        <f>_xlfn.IFS(AND(Table13[[#This Row],[Gender]]="female",R1029&lt;20),"Athletes",AND(Table13[[#This Row],[Gender]]="female",R1029&lt;24),"Fitnesss",AND(Table13[[#This Row],[Gender]]="female",R1029&lt;31),"Acceptable",AND(Table13[[#This Row],[Gender]]="female",R1029&lt;40),"Obese",AND(Table13[[#This Row],[Gender]]="male",R1029&lt;13),"Athletes",AND(Table13[[#This Row],[Gender]]="male",R1029&lt;17),"Fitnesss",AND(Table13[[#This Row],[Gender]]="male",R1029&lt;24.9),"Acceptable",AND(Table13[[#This Row],[Gender]]="male",R1029&lt;40),"Obese",AND(Table13[[#This Row],[Gender]]="others",R1029&lt;20),"Athletes",AND(Table13[[#This Row],[Gender]]="others",R1029&lt;24),"Fitnesss",AND(Table13[[#This Row],[Gender]]="others",R1029&lt;31),"Acceptable",AND(Table13[[#This Row],[Gender]]="others",R1029&lt;40),"Obese")</f>
        <v>Obese</v>
      </c>
      <c r="R1029" s="8">
        <v>31.7</v>
      </c>
      <c r="S1029" s="8">
        <v>3.2</v>
      </c>
      <c r="T1029" s="8">
        <v>3</v>
      </c>
      <c r="U1029" s="8">
        <v>1</v>
      </c>
      <c r="V1029" s="8" t="str">
        <f>IF(Table13[[#This Row],[BMI]]&lt;=18.5,"Underweight",IF(Table13[[#This Row],[BMI]]&lt;=24.9,"Normal",IF(Table13[[#This Row],[BMI]]&lt;=29.9,"Overweight",IF(Table13[[#This Row],[BMI]]&lt;=39,"Obese","Severly Obese"))))</f>
        <v>Overweight</v>
      </c>
      <c r="W1029" s="18">
        <v>26.98</v>
      </c>
    </row>
    <row r="1030" spans="6:23" x14ac:dyDescent="0.3">
      <c r="F1030" s="17">
        <v>52</v>
      </c>
      <c r="G1030" s="8" t="str">
        <f>IF(Table13[[#This Row],[Age]]&lt;25,"18-24",IF(Table13[[#This Row],[Age]]&lt;35,"25-34",IF(Table13[[#This Row],[Age]]&lt;45,"35-44",IF(Table13[[#This Row],[Age]]&lt;55,"45-54","55-64"))))</f>
        <v>45-54</v>
      </c>
      <c r="H1030" s="8" t="s">
        <v>17</v>
      </c>
      <c r="I1030" s="8">
        <v>54.3</v>
      </c>
      <c r="J1030" s="8">
        <v>1.73</v>
      </c>
      <c r="K1030" s="8">
        <v>185</v>
      </c>
      <c r="L1030" s="8">
        <v>137</v>
      </c>
      <c r="M1030" s="8">
        <v>57</v>
      </c>
      <c r="N1030" s="8">
        <v>2</v>
      </c>
      <c r="O1030" s="8">
        <v>1783</v>
      </c>
      <c r="P1030" s="8" t="s">
        <v>22</v>
      </c>
      <c r="Q1030" s="8" t="str">
        <f>_xlfn.IFS(AND(Table13[[#This Row],[Gender]]="female",R1030&lt;20),"Athletes",AND(Table13[[#This Row],[Gender]]="female",R1030&lt;24),"Fitnesss",AND(Table13[[#This Row],[Gender]]="female",R1030&lt;31),"Acceptable",AND(Table13[[#This Row],[Gender]]="female",R1030&lt;40),"Obese",AND(Table13[[#This Row],[Gender]]="male",R1030&lt;13),"Athletes",AND(Table13[[#This Row],[Gender]]="male",R1030&lt;17),"Fitnesss",AND(Table13[[#This Row],[Gender]]="male",R1030&lt;24.9),"Acceptable",AND(Table13[[#This Row],[Gender]]="male",R1030&lt;40),"Obese",AND(Table13[[#This Row],[Gender]]="others",R1030&lt;20),"Athletes",AND(Table13[[#This Row],[Gender]]="others",R1030&lt;24),"Fitnesss",AND(Table13[[#This Row],[Gender]]="others",R1030&lt;31),"Acceptable",AND(Table13[[#This Row],[Gender]]="others",R1030&lt;40),"Obese")</f>
        <v>Fitnesss</v>
      </c>
      <c r="R1030" s="8">
        <v>20.5</v>
      </c>
      <c r="S1030" s="8">
        <v>3.1</v>
      </c>
      <c r="T1030" s="8">
        <v>3</v>
      </c>
      <c r="U1030" s="8">
        <v>2</v>
      </c>
      <c r="V1030" s="8" t="str">
        <f>IF(Table13[[#This Row],[BMI]]&lt;=18.5,"Underweight",IF(Table13[[#This Row],[BMI]]&lt;=24.9,"Normal",IF(Table13[[#This Row],[BMI]]&lt;=29.9,"Overweight",IF(Table13[[#This Row],[BMI]]&lt;=39,"Obese","Severly Obese"))))</f>
        <v>Normal</v>
      </c>
      <c r="W1030" s="18">
        <v>22.75</v>
      </c>
    </row>
    <row r="1031" spans="6:23" x14ac:dyDescent="0.3">
      <c r="F1031" s="17">
        <v>23</v>
      </c>
      <c r="G1031" s="8" t="str">
        <f>IF(Table13[[#This Row],[Age]]&lt;25,"18-24",IF(Table13[[#This Row],[Age]]&lt;35,"25-34",IF(Table13[[#This Row],[Age]]&lt;45,"35-44",IF(Table13[[#This Row],[Age]]&lt;55,"45-54","55-64"))))</f>
        <v>18-24</v>
      </c>
      <c r="H1031" s="8" t="s">
        <v>19</v>
      </c>
      <c r="I1031" s="8">
        <v>71.2</v>
      </c>
      <c r="J1031" s="8">
        <v>1.56</v>
      </c>
      <c r="K1031" s="8">
        <v>170</v>
      </c>
      <c r="L1031" s="8">
        <v>140</v>
      </c>
      <c r="M1031" s="8">
        <v>68</v>
      </c>
      <c r="N1031" s="8">
        <v>0.79</v>
      </c>
      <c r="O1031" s="8">
        <v>1014</v>
      </c>
      <c r="P1031" s="8" t="s">
        <v>22</v>
      </c>
      <c r="Q1031" s="8" t="str">
        <f>_xlfn.IFS(AND(Table13[[#This Row],[Gender]]="female",R1031&lt;20),"Athletes",AND(Table13[[#This Row],[Gender]]="female",R1031&lt;24),"Fitnesss",AND(Table13[[#This Row],[Gender]]="female",R1031&lt;31),"Acceptable",AND(Table13[[#This Row],[Gender]]="female",R1031&lt;40),"Obese",AND(Table13[[#This Row],[Gender]]="male",R1031&lt;13),"Athletes",AND(Table13[[#This Row],[Gender]]="male",R1031&lt;17),"Fitnesss",AND(Table13[[#This Row],[Gender]]="male",R1031&lt;24.9),"Acceptable",AND(Table13[[#This Row],[Gender]]="male",R1031&lt;40),"Obese",AND(Table13[[#This Row],[Gender]]="others",R1031&lt;20),"Athletes",AND(Table13[[#This Row],[Gender]]="others",R1031&lt;24),"Fitnesss",AND(Table13[[#This Row],[Gender]]="others",R1031&lt;31),"Acceptable",AND(Table13[[#This Row],[Gender]]="others",R1031&lt;40),"Obese")</f>
        <v>Acceptable</v>
      </c>
      <c r="R1031" s="8">
        <v>21.8</v>
      </c>
      <c r="S1031" s="8">
        <v>3.5</v>
      </c>
      <c r="T1031" s="8">
        <v>4</v>
      </c>
      <c r="U1031" s="8">
        <v>1</v>
      </c>
      <c r="V1031" s="8" t="str">
        <f>IF(Table13[[#This Row],[BMI]]&lt;=18.5,"Underweight",IF(Table13[[#This Row],[BMI]]&lt;=24.9,"Normal",IF(Table13[[#This Row],[BMI]]&lt;=29.9,"Overweight",IF(Table13[[#This Row],[BMI]]&lt;=39,"Obese","Severly Obese"))))</f>
        <v>Underweight</v>
      </c>
      <c r="W1031" s="18">
        <v>13.25</v>
      </c>
    </row>
    <row r="1032" spans="6:23" x14ac:dyDescent="0.3">
      <c r="F1032" s="17">
        <v>26</v>
      </c>
      <c r="G1032" s="8" t="str">
        <f>IF(Table13[[#This Row],[Age]]&lt;25,"18-24",IF(Table13[[#This Row],[Age]]&lt;35,"25-34",IF(Table13[[#This Row],[Age]]&lt;45,"35-44",IF(Table13[[#This Row],[Age]]&lt;55,"45-54","55-64"))))</f>
        <v>25-34</v>
      </c>
      <c r="H1032" s="8" t="s">
        <v>17</v>
      </c>
      <c r="I1032" s="8">
        <v>64.099999999999994</v>
      </c>
      <c r="J1032" s="8">
        <v>1.68</v>
      </c>
      <c r="K1032" s="8">
        <v>190</v>
      </c>
      <c r="L1032" s="8">
        <v>168</v>
      </c>
      <c r="M1032" s="8">
        <v>55</v>
      </c>
      <c r="N1032" s="8">
        <v>1.35</v>
      </c>
      <c r="O1032" s="8">
        <v>1175</v>
      </c>
      <c r="P1032" s="8" t="s">
        <v>18</v>
      </c>
      <c r="Q1032" s="8" t="str">
        <f>_xlfn.IFS(AND(Table13[[#This Row],[Gender]]="female",R1032&lt;20),"Athletes",AND(Table13[[#This Row],[Gender]]="female",R1032&lt;24),"Fitnesss",AND(Table13[[#This Row],[Gender]]="female",R1032&lt;31),"Acceptable",AND(Table13[[#This Row],[Gender]]="female",R1032&lt;40),"Obese",AND(Table13[[#This Row],[Gender]]="male",R1032&lt;13),"Athletes",AND(Table13[[#This Row],[Gender]]="male",R1032&lt;17),"Fitnesss",AND(Table13[[#This Row],[Gender]]="male",R1032&lt;24.9),"Acceptable",AND(Table13[[#This Row],[Gender]]="male",R1032&lt;40),"Obese",AND(Table13[[#This Row],[Gender]]="others",R1032&lt;20),"Athletes",AND(Table13[[#This Row],[Gender]]="others",R1032&lt;24),"Fitnesss",AND(Table13[[#This Row],[Gender]]="others",R1032&lt;31),"Acceptable",AND(Table13[[#This Row],[Gender]]="others",R1032&lt;40),"Obese")</f>
        <v>Acceptable</v>
      </c>
      <c r="R1032" s="8">
        <v>28.1</v>
      </c>
      <c r="S1032" s="8">
        <v>3.4</v>
      </c>
      <c r="T1032" s="8">
        <v>2</v>
      </c>
      <c r="U1032" s="8">
        <v>2</v>
      </c>
      <c r="V1032" s="8" t="str">
        <f>IF(Table13[[#This Row],[BMI]]&lt;=18.5,"Underweight",IF(Table13[[#This Row],[BMI]]&lt;=24.9,"Normal",IF(Table13[[#This Row],[BMI]]&lt;=29.9,"Overweight",IF(Table13[[#This Row],[BMI]]&lt;=39,"Obese","Severly Obese"))))</f>
        <v>Severly Obese</v>
      </c>
      <c r="W1032" s="18">
        <v>39.840000000000003</v>
      </c>
    </row>
    <row r="1033" spans="6:23" x14ac:dyDescent="0.3">
      <c r="F1033" s="17">
        <v>18</v>
      </c>
      <c r="G1033" s="8" t="str">
        <f>IF(Table13[[#This Row],[Age]]&lt;25,"18-24",IF(Table13[[#This Row],[Age]]&lt;35,"25-34",IF(Table13[[#This Row],[Age]]&lt;45,"35-44",IF(Table13[[#This Row],[Age]]&lt;55,"45-54","55-64"))))</f>
        <v>18-24</v>
      </c>
      <c r="H1033" s="8" t="s">
        <v>17</v>
      </c>
      <c r="I1033" s="8">
        <v>45.3</v>
      </c>
      <c r="J1033" s="8">
        <v>1.75</v>
      </c>
      <c r="K1033" s="8">
        <v>190</v>
      </c>
      <c r="L1033" s="8">
        <v>169</v>
      </c>
      <c r="M1033" s="8">
        <v>69</v>
      </c>
      <c r="N1033" s="8">
        <v>0.82</v>
      </c>
      <c r="O1033" s="8">
        <v>808</v>
      </c>
      <c r="P1033" s="8" t="s">
        <v>20</v>
      </c>
      <c r="Q1033" s="8" t="str">
        <f>_xlfn.IFS(AND(Table13[[#This Row],[Gender]]="female",R1033&lt;20),"Athletes",AND(Table13[[#This Row],[Gender]]="female",R1033&lt;24),"Fitnesss",AND(Table13[[#This Row],[Gender]]="female",R1033&lt;31),"Acceptable",AND(Table13[[#This Row],[Gender]]="female",R1033&lt;40),"Obese",AND(Table13[[#This Row],[Gender]]="male",R1033&lt;13),"Athletes",AND(Table13[[#This Row],[Gender]]="male",R1033&lt;17),"Fitnesss",AND(Table13[[#This Row],[Gender]]="male",R1033&lt;24.9),"Acceptable",AND(Table13[[#This Row],[Gender]]="male",R1033&lt;40),"Obese",AND(Table13[[#This Row],[Gender]]="others",R1033&lt;20),"Athletes",AND(Table13[[#This Row],[Gender]]="others",R1033&lt;24),"Fitnesss",AND(Table13[[#This Row],[Gender]]="others",R1033&lt;31),"Acceptable",AND(Table13[[#This Row],[Gender]]="others",R1033&lt;40),"Obese")</f>
        <v>Acceptable</v>
      </c>
      <c r="R1033" s="8">
        <v>28.4</v>
      </c>
      <c r="S1033" s="8">
        <v>3.7</v>
      </c>
      <c r="T1033" s="8">
        <v>2</v>
      </c>
      <c r="U1033" s="8">
        <v>3</v>
      </c>
      <c r="V1033" s="8" t="str">
        <f>IF(Table13[[#This Row],[BMI]]&lt;=18.5,"Underweight",IF(Table13[[#This Row],[BMI]]&lt;=24.9,"Normal",IF(Table13[[#This Row],[BMI]]&lt;=29.9,"Overweight",IF(Table13[[#This Row],[BMI]]&lt;=39,"Obese","Severly Obese"))))</f>
        <v>Overweight</v>
      </c>
      <c r="W1033" s="18">
        <v>26.5</v>
      </c>
    </row>
    <row r="1034" spans="6:23" x14ac:dyDescent="0.3">
      <c r="F1034" s="17">
        <v>21</v>
      </c>
      <c r="G1034" s="8" t="str">
        <f>IF(Table13[[#This Row],[Age]]&lt;25,"18-24",IF(Table13[[#This Row],[Age]]&lt;35,"25-34",IF(Table13[[#This Row],[Age]]&lt;45,"35-44",IF(Table13[[#This Row],[Age]]&lt;55,"45-54","55-64"))))</f>
        <v>18-24</v>
      </c>
      <c r="H1034" s="8" t="s">
        <v>17</v>
      </c>
      <c r="I1034" s="8">
        <v>76</v>
      </c>
      <c r="J1034" s="8">
        <v>1.72</v>
      </c>
      <c r="K1034" s="8">
        <v>196</v>
      </c>
      <c r="L1034" s="8">
        <v>160</v>
      </c>
      <c r="M1034" s="8">
        <v>73</v>
      </c>
      <c r="N1034" s="8">
        <v>1.51</v>
      </c>
      <c r="O1034" s="8">
        <v>1306</v>
      </c>
      <c r="P1034" s="8" t="s">
        <v>18</v>
      </c>
      <c r="Q1034" s="8" t="str">
        <f>_xlfn.IFS(AND(Table13[[#This Row],[Gender]]="female",R1034&lt;20),"Athletes",AND(Table13[[#This Row],[Gender]]="female",R1034&lt;24),"Fitnesss",AND(Table13[[#This Row],[Gender]]="female",R1034&lt;31),"Acceptable",AND(Table13[[#This Row],[Gender]]="female",R1034&lt;40),"Obese",AND(Table13[[#This Row],[Gender]]="male",R1034&lt;13),"Athletes",AND(Table13[[#This Row],[Gender]]="male",R1034&lt;17),"Fitnesss",AND(Table13[[#This Row],[Gender]]="male",R1034&lt;24.9),"Acceptable",AND(Table13[[#This Row],[Gender]]="male",R1034&lt;40),"Obese",AND(Table13[[#This Row],[Gender]]="others",R1034&lt;20),"Athletes",AND(Table13[[#This Row],[Gender]]="others",R1034&lt;24),"Fitnesss",AND(Table13[[#This Row],[Gender]]="others",R1034&lt;31),"Acceptable",AND(Table13[[#This Row],[Gender]]="others",R1034&lt;40),"Obese")</f>
        <v>Acceptable</v>
      </c>
      <c r="R1034" s="8">
        <v>28.8</v>
      </c>
      <c r="S1034" s="8">
        <v>3.5</v>
      </c>
      <c r="T1034" s="8">
        <v>3</v>
      </c>
      <c r="U1034" s="8">
        <v>3</v>
      </c>
      <c r="V1034" s="8" t="str">
        <f>IF(Table13[[#This Row],[BMI]]&lt;=18.5,"Underweight",IF(Table13[[#This Row],[BMI]]&lt;=24.9,"Normal",IF(Table13[[#This Row],[BMI]]&lt;=29.9,"Overweight",IF(Table13[[#This Row],[BMI]]&lt;=39,"Obese","Severly Obese"))))</f>
        <v>Underweight</v>
      </c>
      <c r="W1034" s="18">
        <v>12.32</v>
      </c>
    </row>
    <row r="1035" spans="6:23" x14ac:dyDescent="0.3">
      <c r="F1035" s="17">
        <v>41</v>
      </c>
      <c r="G1035" s="8" t="str">
        <f>IF(Table13[[#This Row],[Age]]&lt;25,"18-24",IF(Table13[[#This Row],[Age]]&lt;35,"25-34",IF(Table13[[#This Row],[Age]]&lt;45,"35-44",IF(Table13[[#This Row],[Age]]&lt;55,"45-54","55-64"))))</f>
        <v>35-44</v>
      </c>
      <c r="H1035" s="8" t="s">
        <v>17</v>
      </c>
      <c r="I1035" s="8">
        <v>40</v>
      </c>
      <c r="J1035" s="8">
        <v>1.69</v>
      </c>
      <c r="K1035" s="8">
        <v>192</v>
      </c>
      <c r="L1035" s="8">
        <v>138</v>
      </c>
      <c r="M1035" s="8">
        <v>66</v>
      </c>
      <c r="N1035" s="8">
        <v>0.95</v>
      </c>
      <c r="O1035" s="8">
        <v>1556</v>
      </c>
      <c r="P1035" s="8" t="s">
        <v>22</v>
      </c>
      <c r="Q1035" s="8" t="str">
        <f>_xlfn.IFS(AND(Table13[[#This Row],[Gender]]="female",R1035&lt;20),"Athletes",AND(Table13[[#This Row],[Gender]]="female",R1035&lt;24),"Fitnesss",AND(Table13[[#This Row],[Gender]]="female",R1035&lt;31),"Acceptable",AND(Table13[[#This Row],[Gender]]="female",R1035&lt;40),"Obese",AND(Table13[[#This Row],[Gender]]="male",R1035&lt;13),"Athletes",AND(Table13[[#This Row],[Gender]]="male",R1035&lt;17),"Fitnesss",AND(Table13[[#This Row],[Gender]]="male",R1035&lt;24.9),"Acceptable",AND(Table13[[#This Row],[Gender]]="male",R1035&lt;40),"Obese",AND(Table13[[#This Row],[Gender]]="others",R1035&lt;20),"Athletes",AND(Table13[[#This Row],[Gender]]="others",R1035&lt;24),"Fitnesss",AND(Table13[[#This Row],[Gender]]="others",R1035&lt;31),"Acceptable",AND(Table13[[#This Row],[Gender]]="others",R1035&lt;40),"Obese")</f>
        <v>Acceptable</v>
      </c>
      <c r="R1035" s="8">
        <v>26</v>
      </c>
      <c r="S1035" s="8">
        <v>2.6</v>
      </c>
      <c r="T1035" s="8">
        <v>4</v>
      </c>
      <c r="U1035" s="8">
        <v>1</v>
      </c>
      <c r="V1035" s="8" t="str">
        <f>IF(Table13[[#This Row],[BMI]]&lt;=18.5,"Underweight",IF(Table13[[#This Row],[BMI]]&lt;=24.9,"Normal",IF(Table13[[#This Row],[BMI]]&lt;=29.9,"Overweight",IF(Table13[[#This Row],[BMI]]&lt;=39,"Obese","Severly Obese"))))</f>
        <v>Normal</v>
      </c>
      <c r="W1035" s="18">
        <v>19.940000000000001</v>
      </c>
    </row>
    <row r="1036" spans="6:23" x14ac:dyDescent="0.3">
      <c r="F1036" s="17">
        <v>30</v>
      </c>
      <c r="G1036" s="8" t="str">
        <f>IF(Table13[[#This Row],[Age]]&lt;25,"18-24",IF(Table13[[#This Row],[Age]]&lt;35,"25-34",IF(Table13[[#This Row],[Age]]&lt;45,"35-44",IF(Table13[[#This Row],[Age]]&lt;55,"45-54","55-64"))))</f>
        <v>25-34</v>
      </c>
      <c r="H1036" s="8" t="s">
        <v>19</v>
      </c>
      <c r="I1036" s="8">
        <v>129.9</v>
      </c>
      <c r="J1036" s="8">
        <v>1.78</v>
      </c>
      <c r="K1036" s="8">
        <v>189</v>
      </c>
      <c r="L1036" s="8">
        <v>120</v>
      </c>
      <c r="M1036" s="8">
        <v>74</v>
      </c>
      <c r="N1036" s="8">
        <v>1.51</v>
      </c>
      <c r="O1036" s="8">
        <v>828</v>
      </c>
      <c r="P1036" s="8" t="s">
        <v>22</v>
      </c>
      <c r="Q1036" s="8" t="str">
        <f>_xlfn.IFS(AND(Table13[[#This Row],[Gender]]="female",R1036&lt;20),"Athletes",AND(Table13[[#This Row],[Gender]]="female",R1036&lt;24),"Fitnesss",AND(Table13[[#This Row],[Gender]]="female",R1036&lt;31),"Acceptable",AND(Table13[[#This Row],[Gender]]="female",R1036&lt;40),"Obese",AND(Table13[[#This Row],[Gender]]="male",R1036&lt;13),"Athletes",AND(Table13[[#This Row],[Gender]]="male",R1036&lt;17),"Fitnesss",AND(Table13[[#This Row],[Gender]]="male",R1036&lt;24.9),"Acceptable",AND(Table13[[#This Row],[Gender]]="male",R1036&lt;40),"Obese",AND(Table13[[#This Row],[Gender]]="others",R1036&lt;20),"Athletes",AND(Table13[[#This Row],[Gender]]="others",R1036&lt;24),"Fitnesss",AND(Table13[[#This Row],[Gender]]="others",R1036&lt;31),"Acceptable",AND(Table13[[#This Row],[Gender]]="others",R1036&lt;40),"Obese")</f>
        <v>Acceptable</v>
      </c>
      <c r="R1036" s="8">
        <v>20</v>
      </c>
      <c r="S1036" s="8">
        <v>1.5</v>
      </c>
      <c r="T1036" s="8">
        <v>2</v>
      </c>
      <c r="U1036" s="8">
        <v>1</v>
      </c>
      <c r="V1036" s="8" t="str">
        <f>IF(Table13[[#This Row],[BMI]]&lt;=18.5,"Underweight",IF(Table13[[#This Row],[BMI]]&lt;=24.9,"Normal",IF(Table13[[#This Row],[BMI]]&lt;=29.9,"Overweight",IF(Table13[[#This Row],[BMI]]&lt;=39,"Obese","Severly Obese"))))</f>
        <v>Obese</v>
      </c>
      <c r="W1036" s="18">
        <v>30.83</v>
      </c>
    </row>
    <row r="1037" spans="6:23" x14ac:dyDescent="0.3">
      <c r="F1037" s="17">
        <v>27</v>
      </c>
      <c r="G1037" s="8" t="str">
        <f>IF(Table13[[#This Row],[Age]]&lt;25,"18-24",IF(Table13[[#This Row],[Age]]&lt;35,"25-34",IF(Table13[[#This Row],[Age]]&lt;45,"35-44",IF(Table13[[#This Row],[Age]]&lt;55,"45-54","55-64"))))</f>
        <v>25-34</v>
      </c>
      <c r="H1037" s="8" t="s">
        <v>17</v>
      </c>
      <c r="I1037" s="8">
        <v>62.9</v>
      </c>
      <c r="J1037" s="8">
        <v>1.73</v>
      </c>
      <c r="K1037" s="8">
        <v>187</v>
      </c>
      <c r="L1037" s="8">
        <v>157</v>
      </c>
      <c r="M1037" s="8">
        <v>54</v>
      </c>
      <c r="N1037" s="8">
        <v>0.99</v>
      </c>
      <c r="O1037" s="8">
        <v>569</v>
      </c>
      <c r="P1037" s="8" t="s">
        <v>18</v>
      </c>
      <c r="Q1037" s="8" t="str">
        <f>_xlfn.IFS(AND(Table13[[#This Row],[Gender]]="female",R1037&lt;20),"Athletes",AND(Table13[[#This Row],[Gender]]="female",R1037&lt;24),"Fitnesss",AND(Table13[[#This Row],[Gender]]="female",R1037&lt;31),"Acceptable",AND(Table13[[#This Row],[Gender]]="female",R1037&lt;40),"Obese",AND(Table13[[#This Row],[Gender]]="male",R1037&lt;13),"Athletes",AND(Table13[[#This Row],[Gender]]="male",R1037&lt;17),"Fitnesss",AND(Table13[[#This Row],[Gender]]="male",R1037&lt;24.9),"Acceptable",AND(Table13[[#This Row],[Gender]]="male",R1037&lt;40),"Obese",AND(Table13[[#This Row],[Gender]]="others",R1037&lt;20),"Athletes",AND(Table13[[#This Row],[Gender]]="others",R1037&lt;24),"Fitnesss",AND(Table13[[#This Row],[Gender]]="others",R1037&lt;31),"Acceptable",AND(Table13[[#This Row],[Gender]]="others",R1037&lt;40),"Obese")</f>
        <v>Acceptable</v>
      </c>
      <c r="R1037" s="8">
        <v>27.9</v>
      </c>
      <c r="S1037" s="8">
        <v>2.4</v>
      </c>
      <c r="T1037" s="8">
        <v>4</v>
      </c>
      <c r="U1037" s="8">
        <v>1</v>
      </c>
      <c r="V1037" s="8" t="str">
        <f>IF(Table13[[#This Row],[BMI]]&lt;=18.5,"Underweight",IF(Table13[[#This Row],[BMI]]&lt;=24.9,"Normal",IF(Table13[[#This Row],[BMI]]&lt;=29.9,"Overweight",IF(Table13[[#This Row],[BMI]]&lt;=39,"Obese","Severly Obese"))))</f>
        <v>Overweight</v>
      </c>
      <c r="W1037" s="18">
        <v>28.52</v>
      </c>
    </row>
    <row r="1038" spans="6:23" x14ac:dyDescent="0.3">
      <c r="F1038" s="17">
        <v>28</v>
      </c>
      <c r="G1038" s="8" t="str">
        <f>IF(Table13[[#This Row],[Age]]&lt;25,"18-24",IF(Table13[[#This Row],[Age]]&lt;35,"25-34",IF(Table13[[#This Row],[Age]]&lt;45,"35-44",IF(Table13[[#This Row],[Age]]&lt;55,"45-54","55-64"))))</f>
        <v>25-34</v>
      </c>
      <c r="H1038" s="8" t="s">
        <v>19</v>
      </c>
      <c r="I1038" s="8">
        <v>69.3</v>
      </c>
      <c r="J1038" s="8">
        <v>1.99</v>
      </c>
      <c r="K1038" s="8">
        <v>183</v>
      </c>
      <c r="L1038" s="8">
        <v>154</v>
      </c>
      <c r="M1038" s="8">
        <v>62</v>
      </c>
      <c r="N1038" s="8">
        <v>1.97</v>
      </c>
      <c r="O1038" s="8">
        <v>827</v>
      </c>
      <c r="P1038" s="8" t="s">
        <v>18</v>
      </c>
      <c r="Q1038" s="8" t="str">
        <f>_xlfn.IFS(AND(Table13[[#This Row],[Gender]]="female",R1038&lt;20),"Athletes",AND(Table13[[#This Row],[Gender]]="female",R1038&lt;24),"Fitnesss",AND(Table13[[#This Row],[Gender]]="female",R1038&lt;31),"Acceptable",AND(Table13[[#This Row],[Gender]]="female",R1038&lt;40),"Obese",AND(Table13[[#This Row],[Gender]]="male",R1038&lt;13),"Athletes",AND(Table13[[#This Row],[Gender]]="male",R1038&lt;17),"Fitnesss",AND(Table13[[#This Row],[Gender]]="male",R1038&lt;24.9),"Acceptable",AND(Table13[[#This Row],[Gender]]="male",R1038&lt;40),"Obese",AND(Table13[[#This Row],[Gender]]="others",R1038&lt;20),"Athletes",AND(Table13[[#This Row],[Gender]]="others",R1038&lt;24),"Fitnesss",AND(Table13[[#This Row],[Gender]]="others",R1038&lt;31),"Acceptable",AND(Table13[[#This Row],[Gender]]="others",R1038&lt;40),"Obese")</f>
        <v>Fitnesss</v>
      </c>
      <c r="R1038" s="8">
        <v>14.4</v>
      </c>
      <c r="S1038" s="8">
        <v>1.5</v>
      </c>
      <c r="T1038" s="8">
        <v>4</v>
      </c>
      <c r="U1038" s="8">
        <v>2</v>
      </c>
      <c r="V1038" s="8" t="str">
        <f>IF(Table13[[#This Row],[BMI]]&lt;=18.5,"Underweight",IF(Table13[[#This Row],[BMI]]&lt;=24.9,"Normal",IF(Table13[[#This Row],[BMI]]&lt;=29.9,"Overweight",IF(Table13[[#This Row],[BMI]]&lt;=39,"Obese","Severly Obese"))))</f>
        <v>Normal</v>
      </c>
      <c r="W1038" s="18">
        <v>18.72</v>
      </c>
    </row>
    <row r="1039" spans="6:23" x14ac:dyDescent="0.3">
      <c r="F1039" s="17">
        <v>38</v>
      </c>
      <c r="G1039" s="8" t="str">
        <f>IF(Table13[[#This Row],[Age]]&lt;25,"18-24",IF(Table13[[#This Row],[Age]]&lt;35,"25-34",IF(Table13[[#This Row],[Age]]&lt;45,"35-44",IF(Table13[[#This Row],[Age]]&lt;55,"45-54","55-64"))))</f>
        <v>35-44</v>
      </c>
      <c r="H1039" s="8" t="s">
        <v>19</v>
      </c>
      <c r="I1039" s="8">
        <v>60.6</v>
      </c>
      <c r="J1039" s="8">
        <v>1.81</v>
      </c>
      <c r="K1039" s="8">
        <v>170</v>
      </c>
      <c r="L1039" s="8">
        <v>159</v>
      </c>
      <c r="M1039" s="8">
        <v>71</v>
      </c>
      <c r="N1039" s="8">
        <v>1.45</v>
      </c>
      <c r="O1039" s="8">
        <v>577</v>
      </c>
      <c r="P1039" s="8" t="s">
        <v>20</v>
      </c>
      <c r="Q1039" s="8" t="str">
        <f>_xlfn.IFS(AND(Table13[[#This Row],[Gender]]="female",R1039&lt;20),"Athletes",AND(Table13[[#This Row],[Gender]]="female",R1039&lt;24),"Fitnesss",AND(Table13[[#This Row],[Gender]]="female",R1039&lt;31),"Acceptable",AND(Table13[[#This Row],[Gender]]="female",R1039&lt;40),"Obese",AND(Table13[[#This Row],[Gender]]="male",R1039&lt;13),"Athletes",AND(Table13[[#This Row],[Gender]]="male",R1039&lt;17),"Fitnesss",AND(Table13[[#This Row],[Gender]]="male",R1039&lt;24.9),"Acceptable",AND(Table13[[#This Row],[Gender]]="male",R1039&lt;40),"Obese",AND(Table13[[#This Row],[Gender]]="others",R1039&lt;20),"Athletes",AND(Table13[[#This Row],[Gender]]="others",R1039&lt;24),"Fitnesss",AND(Table13[[#This Row],[Gender]]="others",R1039&lt;31),"Acceptable",AND(Table13[[#This Row],[Gender]]="others",R1039&lt;40),"Obese")</f>
        <v>Acceptable</v>
      </c>
      <c r="R1039" s="8">
        <v>24.8</v>
      </c>
      <c r="S1039" s="8">
        <v>3.7</v>
      </c>
      <c r="T1039" s="8">
        <v>3</v>
      </c>
      <c r="U1039" s="8">
        <v>3</v>
      </c>
      <c r="V1039" s="8" t="str">
        <f>IF(Table13[[#This Row],[BMI]]&lt;=18.5,"Underweight",IF(Table13[[#This Row],[BMI]]&lt;=24.9,"Normal",IF(Table13[[#This Row],[BMI]]&lt;=29.9,"Overweight",IF(Table13[[#This Row],[BMI]]&lt;=39,"Obese","Severly Obese"))))</f>
        <v>Underweight</v>
      </c>
      <c r="W1039" s="18">
        <v>13.74</v>
      </c>
    </row>
    <row r="1040" spans="6:23" x14ac:dyDescent="0.3">
      <c r="F1040" s="17">
        <v>59</v>
      </c>
      <c r="G1040" s="8" t="str">
        <f>IF(Table13[[#This Row],[Age]]&lt;25,"18-24",IF(Table13[[#This Row],[Age]]&lt;35,"25-34",IF(Table13[[#This Row],[Age]]&lt;45,"35-44",IF(Table13[[#This Row],[Age]]&lt;55,"45-54","55-64"))))</f>
        <v>55-64</v>
      </c>
      <c r="H1040" s="8" t="s">
        <v>17</v>
      </c>
      <c r="I1040" s="8">
        <v>40</v>
      </c>
      <c r="J1040" s="8">
        <v>1.65</v>
      </c>
      <c r="K1040" s="8">
        <v>179</v>
      </c>
      <c r="L1040" s="8">
        <v>163</v>
      </c>
      <c r="M1040" s="8">
        <v>71</v>
      </c>
      <c r="N1040" s="8">
        <v>1.93</v>
      </c>
      <c r="O1040" s="8">
        <v>823</v>
      </c>
      <c r="P1040" s="8" t="s">
        <v>20</v>
      </c>
      <c r="Q1040" s="8" t="str">
        <f>_xlfn.IFS(AND(Table13[[#This Row],[Gender]]="female",R1040&lt;20),"Athletes",AND(Table13[[#This Row],[Gender]]="female",R1040&lt;24),"Fitnesss",AND(Table13[[#This Row],[Gender]]="female",R1040&lt;31),"Acceptable",AND(Table13[[#This Row],[Gender]]="female",R1040&lt;40),"Obese",AND(Table13[[#This Row],[Gender]]="male",R1040&lt;13),"Athletes",AND(Table13[[#This Row],[Gender]]="male",R1040&lt;17),"Fitnesss",AND(Table13[[#This Row],[Gender]]="male",R1040&lt;24.9),"Acceptable",AND(Table13[[#This Row],[Gender]]="male",R1040&lt;40),"Obese",AND(Table13[[#This Row],[Gender]]="others",R1040&lt;20),"Athletes",AND(Table13[[#This Row],[Gender]]="others",R1040&lt;24),"Fitnesss",AND(Table13[[#This Row],[Gender]]="others",R1040&lt;31),"Acceptable",AND(Table13[[#This Row],[Gender]]="others",R1040&lt;40),"Obese")</f>
        <v>Fitnesss</v>
      </c>
      <c r="R1040" s="8">
        <v>23.4</v>
      </c>
      <c r="S1040" s="8">
        <v>3.4</v>
      </c>
      <c r="T1040" s="8">
        <v>3</v>
      </c>
      <c r="U1040" s="8">
        <v>1</v>
      </c>
      <c r="V1040" s="8" t="str">
        <f>IF(Table13[[#This Row],[BMI]]&lt;=18.5,"Underweight",IF(Table13[[#This Row],[BMI]]&lt;=24.9,"Normal",IF(Table13[[#This Row],[BMI]]&lt;=29.9,"Overweight",IF(Table13[[#This Row],[BMI]]&lt;=39,"Obese","Severly Obese"))))</f>
        <v>Normal</v>
      </c>
      <c r="W1040" s="18">
        <v>22.78</v>
      </c>
    </row>
    <row r="1041" spans="6:23" x14ac:dyDescent="0.3">
      <c r="F1041" s="17">
        <v>33</v>
      </c>
      <c r="G1041" s="8" t="str">
        <f>IF(Table13[[#This Row],[Age]]&lt;25,"18-24",IF(Table13[[#This Row],[Age]]&lt;35,"25-34",IF(Table13[[#This Row],[Age]]&lt;45,"35-44",IF(Table13[[#This Row],[Age]]&lt;55,"45-54","55-64"))))</f>
        <v>25-34</v>
      </c>
      <c r="H1041" s="8" t="s">
        <v>17</v>
      </c>
      <c r="I1041" s="8">
        <v>56.6</v>
      </c>
      <c r="J1041" s="8">
        <v>2</v>
      </c>
      <c r="K1041" s="8">
        <v>173</v>
      </c>
      <c r="L1041" s="8">
        <v>131</v>
      </c>
      <c r="M1041" s="8">
        <v>71</v>
      </c>
      <c r="N1041" s="8">
        <v>1.65</v>
      </c>
      <c r="O1041" s="8">
        <v>680</v>
      </c>
      <c r="P1041" s="8" t="s">
        <v>23</v>
      </c>
      <c r="Q1041" s="8" t="str">
        <f>_xlfn.IFS(AND(Table13[[#This Row],[Gender]]="female",R1041&lt;20),"Athletes",AND(Table13[[#This Row],[Gender]]="female",R1041&lt;24),"Fitnesss",AND(Table13[[#This Row],[Gender]]="female",R1041&lt;31),"Acceptable",AND(Table13[[#This Row],[Gender]]="female",R1041&lt;40),"Obese",AND(Table13[[#This Row],[Gender]]="male",R1041&lt;13),"Athletes",AND(Table13[[#This Row],[Gender]]="male",R1041&lt;17),"Fitnesss",AND(Table13[[#This Row],[Gender]]="male",R1041&lt;24.9),"Acceptable",AND(Table13[[#This Row],[Gender]]="male",R1041&lt;40),"Obese",AND(Table13[[#This Row],[Gender]]="others",R1041&lt;20),"Athletes",AND(Table13[[#This Row],[Gender]]="others",R1041&lt;24),"Fitnesss",AND(Table13[[#This Row],[Gender]]="others",R1041&lt;31),"Acceptable",AND(Table13[[#This Row],[Gender]]="others",R1041&lt;40),"Obese")</f>
        <v>Acceptable</v>
      </c>
      <c r="R1041" s="8">
        <v>24.1</v>
      </c>
      <c r="S1041" s="8">
        <v>1.9</v>
      </c>
      <c r="T1041" s="8">
        <v>3</v>
      </c>
      <c r="U1041" s="8">
        <v>2</v>
      </c>
      <c r="V1041" s="8" t="str">
        <f>IF(Table13[[#This Row],[BMI]]&lt;=18.5,"Underweight",IF(Table13[[#This Row],[BMI]]&lt;=24.9,"Normal",IF(Table13[[#This Row],[BMI]]&lt;=29.9,"Overweight",IF(Table13[[#This Row],[BMI]]&lt;=39,"Obese","Severly Obese"))))</f>
        <v>Obese</v>
      </c>
      <c r="W1041" s="18">
        <v>37.619999999999997</v>
      </c>
    </row>
    <row r="1042" spans="6:23" x14ac:dyDescent="0.3">
      <c r="F1042" s="17">
        <v>27</v>
      </c>
      <c r="G1042" s="8" t="str">
        <f>IF(Table13[[#This Row],[Age]]&lt;25,"18-24",IF(Table13[[#This Row],[Age]]&lt;35,"25-34",IF(Table13[[#This Row],[Age]]&lt;45,"35-44",IF(Table13[[#This Row],[Age]]&lt;55,"45-54","55-64"))))</f>
        <v>25-34</v>
      </c>
      <c r="H1042" s="8" t="s">
        <v>17</v>
      </c>
      <c r="I1042" s="8">
        <v>75.2</v>
      </c>
      <c r="J1042" s="8">
        <v>1.96</v>
      </c>
      <c r="K1042" s="8">
        <v>172</v>
      </c>
      <c r="L1042" s="8">
        <v>132</v>
      </c>
      <c r="M1042" s="8">
        <v>61</v>
      </c>
      <c r="N1042" s="8">
        <v>1.22</v>
      </c>
      <c r="O1042" s="8">
        <v>829</v>
      </c>
      <c r="P1042" s="8" t="s">
        <v>21</v>
      </c>
      <c r="Q1042" s="8" t="str">
        <f>_xlfn.IFS(AND(Table13[[#This Row],[Gender]]="female",R1042&lt;20),"Athletes",AND(Table13[[#This Row],[Gender]]="female",R1042&lt;24),"Fitnesss",AND(Table13[[#This Row],[Gender]]="female",R1042&lt;31),"Acceptable",AND(Table13[[#This Row],[Gender]]="female",R1042&lt;40),"Obese",AND(Table13[[#This Row],[Gender]]="male",R1042&lt;13),"Athletes",AND(Table13[[#This Row],[Gender]]="male",R1042&lt;17),"Fitnesss",AND(Table13[[#This Row],[Gender]]="male",R1042&lt;24.9),"Acceptable",AND(Table13[[#This Row],[Gender]]="male",R1042&lt;40),"Obese",AND(Table13[[#This Row],[Gender]]="others",R1042&lt;20),"Athletes",AND(Table13[[#This Row],[Gender]]="others",R1042&lt;24),"Fitnesss",AND(Table13[[#This Row],[Gender]]="others",R1042&lt;31),"Acceptable",AND(Table13[[#This Row],[Gender]]="others",R1042&lt;40),"Obese")</f>
        <v>Athletes</v>
      </c>
      <c r="R1042" s="8">
        <v>14.9</v>
      </c>
      <c r="S1042" s="8">
        <v>2.7</v>
      </c>
      <c r="T1042" s="8">
        <v>3</v>
      </c>
      <c r="U1042" s="8">
        <v>1</v>
      </c>
      <c r="V1042" s="8" t="str">
        <f>IF(Table13[[#This Row],[BMI]]&lt;=18.5,"Underweight",IF(Table13[[#This Row],[BMI]]&lt;=24.9,"Normal",IF(Table13[[#This Row],[BMI]]&lt;=29.9,"Overweight",IF(Table13[[#This Row],[BMI]]&lt;=39,"Obese","Severly Obese"))))</f>
        <v>Normal</v>
      </c>
      <c r="W1042" s="18">
        <v>21.52</v>
      </c>
    </row>
    <row r="1043" spans="6:23" x14ac:dyDescent="0.3">
      <c r="F1043" s="17">
        <v>46</v>
      </c>
      <c r="G1043" s="8" t="str">
        <f>IF(Table13[[#This Row],[Age]]&lt;25,"18-24",IF(Table13[[#This Row],[Age]]&lt;35,"25-34",IF(Table13[[#This Row],[Age]]&lt;45,"35-44",IF(Table13[[#This Row],[Age]]&lt;55,"45-54","55-64"))))</f>
        <v>45-54</v>
      </c>
      <c r="H1043" s="8" t="s">
        <v>17</v>
      </c>
      <c r="I1043" s="8">
        <v>78.400000000000006</v>
      </c>
      <c r="J1043" s="8">
        <v>1.55</v>
      </c>
      <c r="K1043" s="8">
        <v>176</v>
      </c>
      <c r="L1043" s="8">
        <v>132</v>
      </c>
      <c r="M1043" s="8">
        <v>69</v>
      </c>
      <c r="N1043" s="8">
        <v>2</v>
      </c>
      <c r="O1043" s="8"/>
      <c r="P1043" s="8" t="s">
        <v>18</v>
      </c>
      <c r="Q1043" s="8" t="str">
        <f>_xlfn.IFS(AND(Table13[[#This Row],[Gender]]="female",R1043&lt;20),"Athletes",AND(Table13[[#This Row],[Gender]]="female",R1043&lt;24),"Fitnesss",AND(Table13[[#This Row],[Gender]]="female",R1043&lt;31),"Acceptable",AND(Table13[[#This Row],[Gender]]="female",R1043&lt;40),"Obese",AND(Table13[[#This Row],[Gender]]="male",R1043&lt;13),"Athletes",AND(Table13[[#This Row],[Gender]]="male",R1043&lt;17),"Fitnesss",AND(Table13[[#This Row],[Gender]]="male",R1043&lt;24.9),"Acceptable",AND(Table13[[#This Row],[Gender]]="male",R1043&lt;40),"Obese",AND(Table13[[#This Row],[Gender]]="others",R1043&lt;20),"Athletes",AND(Table13[[#This Row],[Gender]]="others",R1043&lt;24),"Fitnesss",AND(Table13[[#This Row],[Gender]]="others",R1043&lt;31),"Acceptable",AND(Table13[[#This Row],[Gender]]="others",R1043&lt;40),"Obese")</f>
        <v>Fitnesss</v>
      </c>
      <c r="R1043" s="8">
        <v>23.3</v>
      </c>
      <c r="S1043" s="8">
        <v>2.2000000000000002</v>
      </c>
      <c r="T1043" s="8">
        <v>2</v>
      </c>
      <c r="U1043" s="8">
        <v>1</v>
      </c>
      <c r="V1043" s="8" t="str">
        <f>IF(Table13[[#This Row],[BMI]]&lt;=18.5,"Underweight",IF(Table13[[#This Row],[BMI]]&lt;=24.9,"Normal",IF(Table13[[#This Row],[BMI]]&lt;=29.9,"Overweight",IF(Table13[[#This Row],[BMI]]&lt;=39,"Obese","Severly Obese"))))</f>
        <v>Normal</v>
      </c>
      <c r="W1043" s="18">
        <v>23.63</v>
      </c>
    </row>
    <row r="1044" spans="6:23" x14ac:dyDescent="0.3">
      <c r="F1044" s="17">
        <v>25</v>
      </c>
      <c r="G1044" s="8" t="str">
        <f>IF(Table13[[#This Row],[Age]]&lt;25,"18-24",IF(Table13[[#This Row],[Age]]&lt;35,"25-34",IF(Table13[[#This Row],[Age]]&lt;45,"35-44",IF(Table13[[#This Row],[Age]]&lt;55,"45-54","55-64"))))</f>
        <v>25-34</v>
      </c>
      <c r="H1044" s="8" t="s">
        <v>19</v>
      </c>
      <c r="I1044" s="8">
        <v>42.2</v>
      </c>
      <c r="J1044" s="8">
        <v>1.82</v>
      </c>
      <c r="K1044" s="8">
        <v>185</v>
      </c>
      <c r="L1044" s="8">
        <v>140</v>
      </c>
      <c r="M1044" s="8">
        <v>56</v>
      </c>
      <c r="N1044" s="8">
        <v>0.86</v>
      </c>
      <c r="O1044" s="8">
        <v>373</v>
      </c>
      <c r="P1044" s="8" t="s">
        <v>18</v>
      </c>
      <c r="Q1044" s="8" t="str">
        <f>_xlfn.IFS(AND(Table13[[#This Row],[Gender]]="female",R1044&lt;20),"Athletes",AND(Table13[[#This Row],[Gender]]="female",R1044&lt;24),"Fitnesss",AND(Table13[[#This Row],[Gender]]="female",R1044&lt;31),"Acceptable",AND(Table13[[#This Row],[Gender]]="female",R1044&lt;40),"Obese",AND(Table13[[#This Row],[Gender]]="male",R1044&lt;13),"Athletes",AND(Table13[[#This Row],[Gender]]="male",R1044&lt;17),"Fitnesss",AND(Table13[[#This Row],[Gender]]="male",R1044&lt;24.9),"Acceptable",AND(Table13[[#This Row],[Gender]]="male",R1044&lt;40),"Obese",AND(Table13[[#This Row],[Gender]]="others",R1044&lt;20),"Athletes",AND(Table13[[#This Row],[Gender]]="others",R1044&lt;24),"Fitnesss",AND(Table13[[#This Row],[Gender]]="others",R1044&lt;31),"Acceptable",AND(Table13[[#This Row],[Gender]]="others",R1044&lt;40),"Obese")</f>
        <v>Acceptable</v>
      </c>
      <c r="R1044" s="8">
        <v>17.899999999999999</v>
      </c>
      <c r="S1044" s="8">
        <v>3.5</v>
      </c>
      <c r="T1044" s="8">
        <v>4</v>
      </c>
      <c r="U1044" s="8">
        <v>2</v>
      </c>
      <c r="V1044" s="8" t="str">
        <f>IF(Table13[[#This Row],[BMI]]&lt;=18.5,"Underweight",IF(Table13[[#This Row],[BMI]]&lt;=24.9,"Normal",IF(Table13[[#This Row],[BMI]]&lt;=29.9,"Overweight",IF(Table13[[#This Row],[BMI]]&lt;=39,"Obese","Severly Obese"))))</f>
        <v>Overweight</v>
      </c>
      <c r="W1044" s="18">
        <v>29.27</v>
      </c>
    </row>
    <row r="1045" spans="6:23" x14ac:dyDescent="0.3">
      <c r="F1045" s="17">
        <v>29</v>
      </c>
      <c r="G1045" s="8" t="str">
        <f>IF(Table13[[#This Row],[Age]]&lt;25,"18-24",IF(Table13[[#This Row],[Age]]&lt;35,"25-34",IF(Table13[[#This Row],[Age]]&lt;45,"35-44",IF(Table13[[#This Row],[Age]]&lt;55,"45-54","55-64"))))</f>
        <v>25-34</v>
      </c>
      <c r="H1045" s="8" t="s">
        <v>17</v>
      </c>
      <c r="I1045" s="8">
        <v>57</v>
      </c>
      <c r="J1045" s="8">
        <v>1.7</v>
      </c>
      <c r="K1045" s="8">
        <v>168</v>
      </c>
      <c r="L1045" s="8">
        <v>160</v>
      </c>
      <c r="M1045" s="8">
        <v>61</v>
      </c>
      <c r="N1045" s="8">
        <v>0.74</v>
      </c>
      <c r="O1045" s="8">
        <v>976</v>
      </c>
      <c r="P1045" s="8" t="s">
        <v>22</v>
      </c>
      <c r="Q1045" s="8" t="str">
        <f>_xlfn.IFS(AND(Table13[[#This Row],[Gender]]="female",R1045&lt;20),"Athletes",AND(Table13[[#This Row],[Gender]]="female",R1045&lt;24),"Fitnesss",AND(Table13[[#This Row],[Gender]]="female",R1045&lt;31),"Acceptable",AND(Table13[[#This Row],[Gender]]="female",R1045&lt;40),"Obese",AND(Table13[[#This Row],[Gender]]="male",R1045&lt;13),"Athletes",AND(Table13[[#This Row],[Gender]]="male",R1045&lt;17),"Fitnesss",AND(Table13[[#This Row],[Gender]]="male",R1045&lt;24.9),"Acceptable",AND(Table13[[#This Row],[Gender]]="male",R1045&lt;40),"Obese",AND(Table13[[#This Row],[Gender]]="others",R1045&lt;20),"Athletes",AND(Table13[[#This Row],[Gender]]="others",R1045&lt;24),"Fitnesss",AND(Table13[[#This Row],[Gender]]="others",R1045&lt;31),"Acceptable",AND(Table13[[#This Row],[Gender]]="others",R1045&lt;40),"Obese")</f>
        <v>Athletes</v>
      </c>
      <c r="R1045" s="8">
        <v>17.7</v>
      </c>
      <c r="S1045" s="8">
        <v>2.8</v>
      </c>
      <c r="T1045" s="8">
        <v>4</v>
      </c>
      <c r="U1045" s="8">
        <v>3</v>
      </c>
      <c r="V1045" s="8" t="str">
        <f>IF(Table13[[#This Row],[BMI]]&lt;=18.5,"Underweight",IF(Table13[[#This Row],[BMI]]&lt;=24.9,"Normal",IF(Table13[[#This Row],[BMI]]&lt;=29.9,"Overweight",IF(Table13[[#This Row],[BMI]]&lt;=39,"Obese","Severly Obese"))))</f>
        <v>Underweight</v>
      </c>
      <c r="W1045" s="18">
        <v>12.32</v>
      </c>
    </row>
    <row r="1046" spans="6:23" x14ac:dyDescent="0.3">
      <c r="F1046" s="17">
        <v>32</v>
      </c>
      <c r="G1046" s="8" t="str">
        <f>IF(Table13[[#This Row],[Age]]&lt;25,"18-24",IF(Table13[[#This Row],[Age]]&lt;35,"25-34",IF(Table13[[#This Row],[Age]]&lt;45,"35-44",IF(Table13[[#This Row],[Age]]&lt;55,"45-54","55-64"))))</f>
        <v>25-34</v>
      </c>
      <c r="H1046" s="8" t="s">
        <v>17</v>
      </c>
      <c r="I1046" s="8">
        <v>40</v>
      </c>
      <c r="J1046" s="8">
        <v>1.89</v>
      </c>
      <c r="K1046" s="8">
        <v>177</v>
      </c>
      <c r="L1046" s="8">
        <v>134</v>
      </c>
      <c r="M1046" s="8">
        <v>71</v>
      </c>
      <c r="N1046" s="8"/>
      <c r="O1046" s="8">
        <v>1270</v>
      </c>
      <c r="P1046" s="8" t="s">
        <v>21</v>
      </c>
      <c r="Q1046" s="8" t="str">
        <f>_xlfn.IFS(AND(Table13[[#This Row],[Gender]]="female",R1046&lt;20),"Athletes",AND(Table13[[#This Row],[Gender]]="female",R1046&lt;24),"Fitnesss",AND(Table13[[#This Row],[Gender]]="female",R1046&lt;31),"Acceptable",AND(Table13[[#This Row],[Gender]]="female",R1046&lt;40),"Obese",AND(Table13[[#This Row],[Gender]]="male",R1046&lt;13),"Athletes",AND(Table13[[#This Row],[Gender]]="male",R1046&lt;17),"Fitnesss",AND(Table13[[#This Row],[Gender]]="male",R1046&lt;24.9),"Acceptable",AND(Table13[[#This Row],[Gender]]="male",R1046&lt;40),"Obese",AND(Table13[[#This Row],[Gender]]="others",R1046&lt;20),"Athletes",AND(Table13[[#This Row],[Gender]]="others",R1046&lt;24),"Fitnesss",AND(Table13[[#This Row],[Gender]]="others",R1046&lt;31),"Acceptable",AND(Table13[[#This Row],[Gender]]="others",R1046&lt;40),"Obese")</f>
        <v>Fitnesss</v>
      </c>
      <c r="R1046" s="8">
        <v>23.9</v>
      </c>
      <c r="S1046" s="8">
        <v>1.9</v>
      </c>
      <c r="T1046" s="8"/>
      <c r="U1046" s="8">
        <v>2</v>
      </c>
      <c r="V1046" s="8" t="str">
        <f>IF(Table13[[#This Row],[BMI]]&lt;=18.5,"Underweight",IF(Table13[[#This Row],[BMI]]&lt;=24.9,"Normal",IF(Table13[[#This Row],[BMI]]&lt;=29.9,"Overweight",IF(Table13[[#This Row],[BMI]]&lt;=39,"Obese","Severly Obese"))))</f>
        <v>Underweight</v>
      </c>
      <c r="W1046" s="18">
        <v>18</v>
      </c>
    </row>
    <row r="1047" spans="6:23" x14ac:dyDescent="0.3">
      <c r="F1047" s="17">
        <v>49</v>
      </c>
      <c r="G1047" s="8" t="str">
        <f>IF(Table13[[#This Row],[Age]]&lt;25,"18-24",IF(Table13[[#This Row],[Age]]&lt;35,"25-34",IF(Table13[[#This Row],[Age]]&lt;45,"35-44",IF(Table13[[#This Row],[Age]]&lt;55,"45-54","55-64"))))</f>
        <v>45-54</v>
      </c>
      <c r="H1047" s="8" t="s">
        <v>19</v>
      </c>
      <c r="I1047" s="8">
        <v>128.5</v>
      </c>
      <c r="J1047" s="8">
        <v>1.96</v>
      </c>
      <c r="K1047" s="8">
        <v>196</v>
      </c>
      <c r="L1047" s="8">
        <v>138</v>
      </c>
      <c r="M1047" s="8">
        <v>68</v>
      </c>
      <c r="N1047" s="8">
        <v>0.5</v>
      </c>
      <c r="O1047" s="8">
        <v>1165</v>
      </c>
      <c r="P1047" s="8" t="s">
        <v>20</v>
      </c>
      <c r="Q1047" s="8" t="str">
        <f>_xlfn.IFS(AND(Table13[[#This Row],[Gender]]="female",R1047&lt;20),"Athletes",AND(Table13[[#This Row],[Gender]]="female",R1047&lt;24),"Fitnesss",AND(Table13[[#This Row],[Gender]]="female",R1047&lt;31),"Acceptable",AND(Table13[[#This Row],[Gender]]="female",R1047&lt;40),"Obese",AND(Table13[[#This Row],[Gender]]="male",R1047&lt;13),"Athletes",AND(Table13[[#This Row],[Gender]]="male",R1047&lt;17),"Fitnesss",AND(Table13[[#This Row],[Gender]]="male",R1047&lt;24.9),"Acceptable",AND(Table13[[#This Row],[Gender]]="male",R1047&lt;40),"Obese",AND(Table13[[#This Row],[Gender]]="others",R1047&lt;20),"Athletes",AND(Table13[[#This Row],[Gender]]="others",R1047&lt;24),"Fitnesss",AND(Table13[[#This Row],[Gender]]="others",R1047&lt;31),"Acceptable",AND(Table13[[#This Row],[Gender]]="others",R1047&lt;40),"Obese")</f>
        <v>Obese</v>
      </c>
      <c r="R1047" s="8">
        <v>26.1</v>
      </c>
      <c r="S1047" s="8">
        <v>3.4</v>
      </c>
      <c r="T1047" s="8">
        <v>2</v>
      </c>
      <c r="U1047" s="8">
        <v>1</v>
      </c>
      <c r="V1047" s="8" t="str">
        <f>IF(Table13[[#This Row],[BMI]]&lt;=18.5,"Underweight",IF(Table13[[#This Row],[BMI]]&lt;=24.9,"Normal",IF(Table13[[#This Row],[BMI]]&lt;=29.9,"Overweight",IF(Table13[[#This Row],[BMI]]&lt;=39,"Obese","Severly Obese"))))</f>
        <v>Normal</v>
      </c>
      <c r="W1047" s="18">
        <v>22.89</v>
      </c>
    </row>
    <row r="1048" spans="6:23" x14ac:dyDescent="0.3">
      <c r="F1048" s="17">
        <v>28</v>
      </c>
      <c r="G1048" s="8" t="str">
        <f>IF(Table13[[#This Row],[Age]]&lt;25,"18-24",IF(Table13[[#This Row],[Age]]&lt;35,"25-34",IF(Table13[[#This Row],[Age]]&lt;45,"35-44",IF(Table13[[#This Row],[Age]]&lt;55,"45-54","55-64"))))</f>
        <v>25-34</v>
      </c>
      <c r="H1048" s="8" t="s">
        <v>17</v>
      </c>
      <c r="I1048" s="8">
        <v>45</v>
      </c>
      <c r="J1048" s="8">
        <v>1.8</v>
      </c>
      <c r="K1048" s="8">
        <v>187</v>
      </c>
      <c r="L1048" s="8">
        <v>162</v>
      </c>
      <c r="M1048" s="8">
        <v>74</v>
      </c>
      <c r="N1048" s="8">
        <v>1.82</v>
      </c>
      <c r="O1048" s="8">
        <v>1395</v>
      </c>
      <c r="P1048" s="8" t="s">
        <v>18</v>
      </c>
      <c r="Q1048" s="8" t="str">
        <f>_xlfn.IFS(AND(Table13[[#This Row],[Gender]]="female",R1048&lt;20),"Athletes",AND(Table13[[#This Row],[Gender]]="female",R1048&lt;24),"Fitnesss",AND(Table13[[#This Row],[Gender]]="female",R1048&lt;31),"Acceptable",AND(Table13[[#This Row],[Gender]]="female",R1048&lt;40),"Obese",AND(Table13[[#This Row],[Gender]]="male",R1048&lt;13),"Athletes",AND(Table13[[#This Row],[Gender]]="male",R1048&lt;17),"Fitnesss",AND(Table13[[#This Row],[Gender]]="male",R1048&lt;24.9),"Acceptable",AND(Table13[[#This Row],[Gender]]="male",R1048&lt;40),"Obese",AND(Table13[[#This Row],[Gender]]="others",R1048&lt;20),"Athletes",AND(Table13[[#This Row],[Gender]]="others",R1048&lt;24),"Fitnesss",AND(Table13[[#This Row],[Gender]]="others",R1048&lt;31),"Acceptable",AND(Table13[[#This Row],[Gender]]="others",R1048&lt;40),"Obese")</f>
        <v>Fitnesss</v>
      </c>
      <c r="R1048" s="8">
        <v>23.2</v>
      </c>
      <c r="S1048" s="8">
        <v>2.7</v>
      </c>
      <c r="T1048" s="8">
        <v>4</v>
      </c>
      <c r="U1048" s="8">
        <v>3</v>
      </c>
      <c r="V1048" s="8" t="str">
        <f>IF(Table13[[#This Row],[BMI]]&lt;=18.5,"Underweight",IF(Table13[[#This Row],[BMI]]&lt;=24.9,"Normal",IF(Table13[[#This Row],[BMI]]&lt;=29.9,"Overweight",IF(Table13[[#This Row],[BMI]]&lt;=39,"Obese","Severly Obese"))))</f>
        <v>Underweight</v>
      </c>
      <c r="W1048" s="18">
        <v>12.32</v>
      </c>
    </row>
    <row r="1049" spans="6:23" x14ac:dyDescent="0.3">
      <c r="F1049" s="17">
        <v>18</v>
      </c>
      <c r="G1049" s="8" t="str">
        <f>IF(Table13[[#This Row],[Age]]&lt;25,"18-24",IF(Table13[[#This Row],[Age]]&lt;35,"25-34",IF(Table13[[#This Row],[Age]]&lt;45,"35-44",IF(Table13[[#This Row],[Age]]&lt;55,"45-54","55-64"))))</f>
        <v>18-24</v>
      </c>
      <c r="H1049" s="8" t="s">
        <v>17</v>
      </c>
      <c r="I1049" s="8">
        <v>78.5</v>
      </c>
      <c r="J1049" s="8">
        <v>1.81</v>
      </c>
      <c r="K1049" s="8">
        <v>190</v>
      </c>
      <c r="L1049" s="8">
        <v>127</v>
      </c>
      <c r="M1049" s="8">
        <v>74</v>
      </c>
      <c r="N1049" s="8">
        <v>1.38</v>
      </c>
      <c r="O1049" s="8">
        <v>466</v>
      </c>
      <c r="P1049" s="8" t="s">
        <v>22</v>
      </c>
      <c r="Q1049" s="8" t="str">
        <f>_xlfn.IFS(AND(Table13[[#This Row],[Gender]]="female",R1049&lt;20),"Athletes",AND(Table13[[#This Row],[Gender]]="female",R1049&lt;24),"Fitnesss",AND(Table13[[#This Row],[Gender]]="female",R1049&lt;31),"Acceptable",AND(Table13[[#This Row],[Gender]]="female",R1049&lt;40),"Obese",AND(Table13[[#This Row],[Gender]]="male",R1049&lt;13),"Athletes",AND(Table13[[#This Row],[Gender]]="male",R1049&lt;17),"Fitnesss",AND(Table13[[#This Row],[Gender]]="male",R1049&lt;24.9),"Acceptable",AND(Table13[[#This Row],[Gender]]="male",R1049&lt;40),"Obese",AND(Table13[[#This Row],[Gender]]="others",R1049&lt;20),"Athletes",AND(Table13[[#This Row],[Gender]]="others",R1049&lt;24),"Fitnesss",AND(Table13[[#This Row],[Gender]]="others",R1049&lt;31),"Acceptable",AND(Table13[[#This Row],[Gender]]="others",R1049&lt;40),"Obese")</f>
        <v>Acceptable</v>
      </c>
      <c r="R1049" s="8">
        <v>29.9</v>
      </c>
      <c r="S1049" s="8">
        <v>1.7</v>
      </c>
      <c r="T1049" s="8">
        <v>4</v>
      </c>
      <c r="U1049" s="8">
        <v>3</v>
      </c>
      <c r="V1049" s="8" t="str">
        <f>IF(Table13[[#This Row],[BMI]]&lt;=18.5,"Underweight",IF(Table13[[#This Row],[BMI]]&lt;=24.9,"Normal",IF(Table13[[#This Row],[BMI]]&lt;=29.9,"Overweight",IF(Table13[[#This Row],[BMI]]&lt;=39,"Obese","Severly Obese"))))</f>
        <v>Underweight</v>
      </c>
      <c r="W1049" s="18">
        <v>15.7</v>
      </c>
    </row>
    <row r="1050" spans="6:23" x14ac:dyDescent="0.3">
      <c r="F1050" s="17">
        <v>50</v>
      </c>
      <c r="G1050" s="8" t="str">
        <f>IF(Table13[[#This Row],[Age]]&lt;25,"18-24",IF(Table13[[#This Row],[Age]]&lt;35,"25-34",IF(Table13[[#This Row],[Age]]&lt;45,"35-44",IF(Table13[[#This Row],[Age]]&lt;55,"45-54","55-64"))))</f>
        <v>45-54</v>
      </c>
      <c r="H1050" s="8" t="s">
        <v>17</v>
      </c>
      <c r="I1050" s="8">
        <v>49.4</v>
      </c>
      <c r="J1050" s="8">
        <v>1.91</v>
      </c>
      <c r="K1050" s="8">
        <v>188</v>
      </c>
      <c r="L1050" s="8">
        <v>131</v>
      </c>
      <c r="M1050" s="8">
        <v>74</v>
      </c>
      <c r="N1050" s="8">
        <v>1.1100000000000001</v>
      </c>
      <c r="O1050" s="8">
        <v>963</v>
      </c>
      <c r="P1050" s="8" t="s">
        <v>18</v>
      </c>
      <c r="Q1050" s="8" t="str">
        <f>_xlfn.IFS(AND(Table13[[#This Row],[Gender]]="female",R1050&lt;20),"Athletes",AND(Table13[[#This Row],[Gender]]="female",R1050&lt;24),"Fitnesss",AND(Table13[[#This Row],[Gender]]="female",R1050&lt;31),"Acceptable",AND(Table13[[#This Row],[Gender]]="female",R1050&lt;40),"Obese",AND(Table13[[#This Row],[Gender]]="male",R1050&lt;13),"Athletes",AND(Table13[[#This Row],[Gender]]="male",R1050&lt;17),"Fitnesss",AND(Table13[[#This Row],[Gender]]="male",R1050&lt;24.9),"Acceptable",AND(Table13[[#This Row],[Gender]]="male",R1050&lt;40),"Obese",AND(Table13[[#This Row],[Gender]]="others",R1050&lt;20),"Athletes",AND(Table13[[#This Row],[Gender]]="others",R1050&lt;24),"Fitnesss",AND(Table13[[#This Row],[Gender]]="others",R1050&lt;31),"Acceptable",AND(Table13[[#This Row],[Gender]]="others",R1050&lt;40),"Obese")</f>
        <v>Athletes</v>
      </c>
      <c r="R1050" s="8">
        <v>17.600000000000001</v>
      </c>
      <c r="S1050" s="8">
        <v>2.7</v>
      </c>
      <c r="T1050" s="8">
        <v>2</v>
      </c>
      <c r="U1050" s="8">
        <v>1</v>
      </c>
      <c r="V1050" s="8" t="str">
        <f>IF(Table13[[#This Row],[BMI]]&lt;=18.5,"Underweight",IF(Table13[[#This Row],[BMI]]&lt;=24.9,"Normal",IF(Table13[[#This Row],[BMI]]&lt;=29.9,"Overweight",IF(Table13[[#This Row],[BMI]]&lt;=39,"Obese","Severly Obese"))))</f>
        <v>Underweight</v>
      </c>
      <c r="W1050" s="18">
        <v>17.89</v>
      </c>
    </row>
    <row r="1051" spans="6:23" x14ac:dyDescent="0.3">
      <c r="F1051" s="17">
        <v>27</v>
      </c>
      <c r="G1051" s="8" t="str">
        <f>IF(Table13[[#This Row],[Age]]&lt;25,"18-24",IF(Table13[[#This Row],[Age]]&lt;35,"25-34",IF(Table13[[#This Row],[Age]]&lt;45,"35-44",IF(Table13[[#This Row],[Age]]&lt;55,"45-54","55-64"))))</f>
        <v>25-34</v>
      </c>
      <c r="H1051" s="8" t="s">
        <v>17</v>
      </c>
      <c r="I1051" s="8">
        <v>50.3</v>
      </c>
      <c r="J1051" s="8">
        <v>1.66</v>
      </c>
      <c r="K1051" s="8">
        <v>180</v>
      </c>
      <c r="L1051" s="8">
        <v>131</v>
      </c>
      <c r="M1051" s="8">
        <v>74</v>
      </c>
      <c r="N1051" s="8">
        <v>1.1200000000000001</v>
      </c>
      <c r="O1051" s="8">
        <v>677</v>
      </c>
      <c r="P1051" s="8" t="s">
        <v>20</v>
      </c>
      <c r="Q1051" s="8" t="str">
        <f>_xlfn.IFS(AND(Table13[[#This Row],[Gender]]="female",R1051&lt;20),"Athletes",AND(Table13[[#This Row],[Gender]]="female",R1051&lt;24),"Fitnesss",AND(Table13[[#This Row],[Gender]]="female",R1051&lt;31),"Acceptable",AND(Table13[[#This Row],[Gender]]="female",R1051&lt;40),"Obese",AND(Table13[[#This Row],[Gender]]="male",R1051&lt;13),"Athletes",AND(Table13[[#This Row],[Gender]]="male",R1051&lt;17),"Fitnesss",AND(Table13[[#This Row],[Gender]]="male",R1051&lt;24.9),"Acceptable",AND(Table13[[#This Row],[Gender]]="male",R1051&lt;40),"Obese",AND(Table13[[#This Row],[Gender]]="others",R1051&lt;20),"Athletes",AND(Table13[[#This Row],[Gender]]="others",R1051&lt;24),"Fitnesss",AND(Table13[[#This Row],[Gender]]="others",R1051&lt;31),"Acceptable",AND(Table13[[#This Row],[Gender]]="others",R1051&lt;40),"Obese")</f>
        <v>Acceptable</v>
      </c>
      <c r="R1051" s="8">
        <v>27.6</v>
      </c>
      <c r="S1051" s="8">
        <v>1.8</v>
      </c>
      <c r="T1051" s="8">
        <v>2</v>
      </c>
      <c r="U1051" s="8">
        <v>2</v>
      </c>
      <c r="V1051" s="8" t="str">
        <f>IF(Table13[[#This Row],[BMI]]&lt;=18.5,"Underweight",IF(Table13[[#This Row],[BMI]]&lt;=24.9,"Normal",IF(Table13[[#This Row],[BMI]]&lt;=29.9,"Overweight",IF(Table13[[#This Row],[BMI]]&lt;=39,"Obese","Severly Obese"))))</f>
        <v>Severly Obese</v>
      </c>
      <c r="W1051" s="18">
        <v>39.72</v>
      </c>
    </row>
    <row r="1052" spans="6:23" x14ac:dyDescent="0.3">
      <c r="F1052" s="17">
        <v>40</v>
      </c>
      <c r="G1052" s="8" t="str">
        <f>IF(Table13[[#This Row],[Age]]&lt;25,"18-24",IF(Table13[[#This Row],[Age]]&lt;35,"25-34",IF(Table13[[#This Row],[Age]]&lt;45,"35-44",IF(Table13[[#This Row],[Age]]&lt;55,"45-54","55-64"))))</f>
        <v>35-44</v>
      </c>
      <c r="H1052" s="8" t="s">
        <v>17</v>
      </c>
      <c r="I1052" s="8">
        <v>61</v>
      </c>
      <c r="J1052" s="8">
        <v>1.88</v>
      </c>
      <c r="K1052" s="8">
        <v>171</v>
      </c>
      <c r="L1052" s="8">
        <v>138</v>
      </c>
      <c r="M1052" s="8">
        <v>62</v>
      </c>
      <c r="N1052" s="8">
        <v>1.38</v>
      </c>
      <c r="O1052" s="8">
        <v>1180</v>
      </c>
      <c r="P1052" s="8" t="s">
        <v>21</v>
      </c>
      <c r="Q1052" s="8" t="str">
        <f>_xlfn.IFS(AND(Table13[[#This Row],[Gender]]="female",R1052&lt;20),"Athletes",AND(Table13[[#This Row],[Gender]]="female",R1052&lt;24),"Fitnesss",AND(Table13[[#This Row],[Gender]]="female",R1052&lt;31),"Acceptable",AND(Table13[[#This Row],[Gender]]="female",R1052&lt;40),"Obese",AND(Table13[[#This Row],[Gender]]="male",R1052&lt;13),"Athletes",AND(Table13[[#This Row],[Gender]]="male",R1052&lt;17),"Fitnesss",AND(Table13[[#This Row],[Gender]]="male",R1052&lt;24.9),"Acceptable",AND(Table13[[#This Row],[Gender]]="male",R1052&lt;40),"Obese",AND(Table13[[#This Row],[Gender]]="others",R1052&lt;20),"Athletes",AND(Table13[[#This Row],[Gender]]="others",R1052&lt;24),"Fitnesss",AND(Table13[[#This Row],[Gender]]="others",R1052&lt;31),"Acceptable",AND(Table13[[#This Row],[Gender]]="others",R1052&lt;40),"Obese")</f>
        <v>Acceptable</v>
      </c>
      <c r="R1052" s="8">
        <v>24.9</v>
      </c>
      <c r="S1052" s="8">
        <v>2</v>
      </c>
      <c r="T1052" s="8">
        <v>2</v>
      </c>
      <c r="U1052" s="8">
        <v>3</v>
      </c>
      <c r="V1052" s="8" t="str">
        <f>IF(Table13[[#This Row],[BMI]]&lt;=18.5,"Underweight",IF(Table13[[#This Row],[BMI]]&lt;=24.9,"Normal",IF(Table13[[#This Row],[BMI]]&lt;=29.9,"Overweight",IF(Table13[[#This Row],[BMI]]&lt;=39,"Obese","Severly Obese"))))</f>
        <v>Underweight</v>
      </c>
      <c r="W1052" s="18">
        <v>12.32</v>
      </c>
    </row>
    <row r="1053" spans="6:23" x14ac:dyDescent="0.3">
      <c r="F1053" s="17">
        <v>59</v>
      </c>
      <c r="G1053" s="8" t="str">
        <f>IF(Table13[[#This Row],[Age]]&lt;25,"18-24",IF(Table13[[#This Row],[Age]]&lt;35,"25-34",IF(Table13[[#This Row],[Age]]&lt;45,"35-44",IF(Table13[[#This Row],[Age]]&lt;55,"45-54","55-64"))))</f>
        <v>55-64</v>
      </c>
      <c r="H1053" s="8" t="s">
        <v>19</v>
      </c>
      <c r="I1053" s="8">
        <v>79.3</v>
      </c>
      <c r="J1053" s="8">
        <v>1.79</v>
      </c>
      <c r="K1053" s="8">
        <v>198</v>
      </c>
      <c r="L1053" s="8">
        <v>162</v>
      </c>
      <c r="M1053" s="8">
        <v>74</v>
      </c>
      <c r="N1053" s="8">
        <v>1.78</v>
      </c>
      <c r="O1053" s="8">
        <v>933</v>
      </c>
      <c r="P1053" s="8" t="s">
        <v>18</v>
      </c>
      <c r="Q1053" s="8" t="str">
        <f>_xlfn.IFS(AND(Table13[[#This Row],[Gender]]="female",R1053&lt;20),"Athletes",AND(Table13[[#This Row],[Gender]]="female",R1053&lt;24),"Fitnesss",AND(Table13[[#This Row],[Gender]]="female",R1053&lt;31),"Acceptable",AND(Table13[[#This Row],[Gender]]="female",R1053&lt;40),"Obese",AND(Table13[[#This Row],[Gender]]="male",R1053&lt;13),"Athletes",AND(Table13[[#This Row],[Gender]]="male",R1053&lt;17),"Fitnesss",AND(Table13[[#This Row],[Gender]]="male",R1053&lt;24.9),"Acceptable",AND(Table13[[#This Row],[Gender]]="male",R1053&lt;40),"Obese",AND(Table13[[#This Row],[Gender]]="others",R1053&lt;20),"Athletes",AND(Table13[[#This Row],[Gender]]="others",R1053&lt;24),"Fitnesss",AND(Table13[[#This Row],[Gender]]="others",R1053&lt;31),"Acceptable",AND(Table13[[#This Row],[Gender]]="others",R1053&lt;40),"Obese")</f>
        <v>Obese</v>
      </c>
      <c r="R1053" s="8">
        <v>25.2</v>
      </c>
      <c r="S1053" s="8">
        <v>2.7</v>
      </c>
      <c r="T1053" s="8">
        <v>4</v>
      </c>
      <c r="U1053" s="8">
        <v>2</v>
      </c>
      <c r="V1053" s="8" t="str">
        <f>IF(Table13[[#This Row],[BMI]]&lt;=18.5,"Underweight",IF(Table13[[#This Row],[BMI]]&lt;=24.9,"Normal",IF(Table13[[#This Row],[BMI]]&lt;=29.9,"Overweight",IF(Table13[[#This Row],[BMI]]&lt;=39,"Obese","Severly Obese"))))</f>
        <v>Underweight</v>
      </c>
      <c r="W1053" s="18">
        <v>16</v>
      </c>
    </row>
    <row r="1054" spans="6:23" x14ac:dyDescent="0.3">
      <c r="F1054" s="17">
        <v>57</v>
      </c>
      <c r="G1054" s="8" t="str">
        <f>IF(Table13[[#This Row],[Age]]&lt;25,"18-24",IF(Table13[[#This Row],[Age]]&lt;35,"25-34",IF(Table13[[#This Row],[Age]]&lt;45,"35-44",IF(Table13[[#This Row],[Age]]&lt;55,"45-54","55-64"))))</f>
        <v>55-64</v>
      </c>
      <c r="H1054" s="8" t="s">
        <v>17</v>
      </c>
      <c r="I1054" s="8">
        <v>40</v>
      </c>
      <c r="J1054" s="8">
        <v>1.62</v>
      </c>
      <c r="K1054" s="8">
        <v>190</v>
      </c>
      <c r="L1054" s="8">
        <v>123</v>
      </c>
      <c r="M1054" s="8">
        <v>57</v>
      </c>
      <c r="N1054" s="8">
        <v>1.43</v>
      </c>
      <c r="O1054" s="8">
        <v>1093</v>
      </c>
      <c r="P1054" s="8" t="s">
        <v>22</v>
      </c>
      <c r="Q1054" s="8" t="str">
        <f>_xlfn.IFS(AND(Table13[[#This Row],[Gender]]="female",R1054&lt;20),"Athletes",AND(Table13[[#This Row],[Gender]]="female",R1054&lt;24),"Fitnesss",AND(Table13[[#This Row],[Gender]]="female",R1054&lt;31),"Acceptable",AND(Table13[[#This Row],[Gender]]="female",R1054&lt;40),"Obese",AND(Table13[[#This Row],[Gender]]="male",R1054&lt;13),"Athletes",AND(Table13[[#This Row],[Gender]]="male",R1054&lt;17),"Fitnesss",AND(Table13[[#This Row],[Gender]]="male",R1054&lt;24.9),"Acceptable",AND(Table13[[#This Row],[Gender]]="male",R1054&lt;40),"Obese",AND(Table13[[#This Row],[Gender]]="others",R1054&lt;20),"Athletes",AND(Table13[[#This Row],[Gender]]="others",R1054&lt;24),"Fitnesss",AND(Table13[[#This Row],[Gender]]="others",R1054&lt;31),"Acceptable",AND(Table13[[#This Row],[Gender]]="others",R1054&lt;40),"Obese")</f>
        <v>Acceptable</v>
      </c>
      <c r="R1054" s="8">
        <v>25.2</v>
      </c>
      <c r="S1054" s="8">
        <v>3.2</v>
      </c>
      <c r="T1054" s="8">
        <v>5</v>
      </c>
      <c r="U1054" s="8">
        <v>1</v>
      </c>
      <c r="V1054" s="8" t="str">
        <f>IF(Table13[[#This Row],[BMI]]&lt;=18.5,"Underweight",IF(Table13[[#This Row],[BMI]]&lt;=24.9,"Normal",IF(Table13[[#This Row],[BMI]]&lt;=29.9,"Overweight",IF(Table13[[#This Row],[BMI]]&lt;=39,"Obese","Severly Obese"))))</f>
        <v>Normal</v>
      </c>
      <c r="W1054" s="18">
        <v>21.11</v>
      </c>
    </row>
    <row r="1055" spans="6:23" x14ac:dyDescent="0.3">
      <c r="F1055" s="17">
        <v>18</v>
      </c>
      <c r="G1055" s="8" t="str">
        <f>IF(Table13[[#This Row],[Age]]&lt;25,"18-24",IF(Table13[[#This Row],[Age]]&lt;35,"25-34",IF(Table13[[#This Row],[Age]]&lt;45,"35-44",IF(Table13[[#This Row],[Age]]&lt;55,"45-54","55-64"))))</f>
        <v>18-24</v>
      </c>
      <c r="H1055" s="8" t="s">
        <v>19</v>
      </c>
      <c r="I1055" s="8">
        <v>50</v>
      </c>
      <c r="J1055" s="8">
        <v>1.69</v>
      </c>
      <c r="K1055" s="8">
        <v>196</v>
      </c>
      <c r="L1055" s="8">
        <v>143</v>
      </c>
      <c r="M1055" s="8">
        <v>53</v>
      </c>
      <c r="N1055" s="8"/>
      <c r="O1055" s="8">
        <v>1115</v>
      </c>
      <c r="P1055" s="8" t="s">
        <v>22</v>
      </c>
      <c r="Q1055" s="8" t="str">
        <f>_xlfn.IFS(AND(Table13[[#This Row],[Gender]]="female",R1055&lt;20),"Athletes",AND(Table13[[#This Row],[Gender]]="female",R1055&lt;24),"Fitnesss",AND(Table13[[#This Row],[Gender]]="female",R1055&lt;31),"Acceptable",AND(Table13[[#This Row],[Gender]]="female",R1055&lt;40),"Obese",AND(Table13[[#This Row],[Gender]]="male",R1055&lt;13),"Athletes",AND(Table13[[#This Row],[Gender]]="male",R1055&lt;17),"Fitnesss",AND(Table13[[#This Row],[Gender]]="male",R1055&lt;24.9),"Acceptable",AND(Table13[[#This Row],[Gender]]="male",R1055&lt;40),"Obese",AND(Table13[[#This Row],[Gender]]="others",R1055&lt;20),"Athletes",AND(Table13[[#This Row],[Gender]]="others",R1055&lt;24),"Fitnesss",AND(Table13[[#This Row],[Gender]]="others",R1055&lt;31),"Acceptable",AND(Table13[[#This Row],[Gender]]="others",R1055&lt;40),"Obese")</f>
        <v>Acceptable</v>
      </c>
      <c r="R1055" s="8">
        <v>21.6</v>
      </c>
      <c r="S1055" s="8">
        <v>2.7</v>
      </c>
      <c r="T1055" s="8">
        <v>4</v>
      </c>
      <c r="U1055" s="8"/>
      <c r="V1055" s="8" t="str">
        <f>IF(Table13[[#This Row],[BMI]]&lt;=18.5,"Underweight",IF(Table13[[#This Row],[BMI]]&lt;=24.9,"Normal",IF(Table13[[#This Row],[BMI]]&lt;=29.9,"Overweight",IF(Table13[[#This Row],[BMI]]&lt;=39,"Obese","Severly Obese"))))</f>
        <v>Overweight</v>
      </c>
      <c r="W1055" s="18">
        <v>28.53</v>
      </c>
    </row>
    <row r="1056" spans="6:23" x14ac:dyDescent="0.3">
      <c r="F1056" s="17">
        <v>18</v>
      </c>
      <c r="G1056" s="8" t="str">
        <f>IF(Table13[[#This Row],[Age]]&lt;25,"18-24",IF(Table13[[#This Row],[Age]]&lt;35,"25-34",IF(Table13[[#This Row],[Age]]&lt;45,"35-44",IF(Table13[[#This Row],[Age]]&lt;55,"45-54","55-64"))))</f>
        <v>18-24</v>
      </c>
      <c r="H1056" s="8" t="s">
        <v>19</v>
      </c>
      <c r="I1056" s="8">
        <v>48.6</v>
      </c>
      <c r="J1056" s="8">
        <v>1.95</v>
      </c>
      <c r="K1056" s="8">
        <v>175</v>
      </c>
      <c r="L1056" s="8">
        <v>152</v>
      </c>
      <c r="M1056" s="8">
        <v>57</v>
      </c>
      <c r="N1056" s="8">
        <v>1.87</v>
      </c>
      <c r="O1056" s="8">
        <v>862</v>
      </c>
      <c r="P1056" s="8" t="s">
        <v>18</v>
      </c>
      <c r="Q1056" s="8" t="str">
        <f>_xlfn.IFS(AND(Table13[[#This Row],[Gender]]="female",R1056&lt;20),"Athletes",AND(Table13[[#This Row],[Gender]]="female",R1056&lt;24),"Fitnesss",AND(Table13[[#This Row],[Gender]]="female",R1056&lt;31),"Acceptable",AND(Table13[[#This Row],[Gender]]="female",R1056&lt;40),"Obese",AND(Table13[[#This Row],[Gender]]="male",R1056&lt;13),"Athletes",AND(Table13[[#This Row],[Gender]]="male",R1056&lt;17),"Fitnesss",AND(Table13[[#This Row],[Gender]]="male",R1056&lt;24.9),"Acceptable",AND(Table13[[#This Row],[Gender]]="male",R1056&lt;40),"Obese",AND(Table13[[#This Row],[Gender]]="others",R1056&lt;20),"Athletes",AND(Table13[[#This Row],[Gender]]="others",R1056&lt;24),"Fitnesss",AND(Table13[[#This Row],[Gender]]="others",R1056&lt;31),"Acceptable",AND(Table13[[#This Row],[Gender]]="others",R1056&lt;40),"Obese")</f>
        <v>Acceptable</v>
      </c>
      <c r="R1056" s="8">
        <v>23.1</v>
      </c>
      <c r="S1056" s="8">
        <v>1.6</v>
      </c>
      <c r="T1056" s="8">
        <v>3</v>
      </c>
      <c r="U1056" s="8">
        <v>1</v>
      </c>
      <c r="V1056" s="8" t="str">
        <f>IF(Table13[[#This Row],[BMI]]&lt;=18.5,"Underweight",IF(Table13[[#This Row],[BMI]]&lt;=24.9,"Normal",IF(Table13[[#This Row],[BMI]]&lt;=29.9,"Overweight",IF(Table13[[#This Row],[BMI]]&lt;=39,"Obese","Severly Obese"))))</f>
        <v>Underweight</v>
      </c>
      <c r="W1056" s="18">
        <v>12.32</v>
      </c>
    </row>
    <row r="1057" spans="6:23" x14ac:dyDescent="0.3">
      <c r="F1057" s="17">
        <v>26</v>
      </c>
      <c r="G1057" s="8" t="str">
        <f>IF(Table13[[#This Row],[Age]]&lt;25,"18-24",IF(Table13[[#This Row],[Age]]&lt;35,"25-34",IF(Table13[[#This Row],[Age]]&lt;45,"35-44",IF(Table13[[#This Row],[Age]]&lt;55,"45-54","55-64"))))</f>
        <v>25-34</v>
      </c>
      <c r="H1057" s="8" t="s">
        <v>19</v>
      </c>
      <c r="I1057" s="8">
        <v>91.3</v>
      </c>
      <c r="J1057" s="8">
        <v>1.63</v>
      </c>
      <c r="K1057" s="8">
        <v>186</v>
      </c>
      <c r="L1057" s="8">
        <v>156</v>
      </c>
      <c r="M1057" s="8">
        <v>67</v>
      </c>
      <c r="N1057" s="8">
        <v>0.92</v>
      </c>
      <c r="O1057" s="8">
        <v>1091</v>
      </c>
      <c r="P1057" s="8" t="s">
        <v>22</v>
      </c>
      <c r="Q1057" s="8" t="str">
        <f>_xlfn.IFS(AND(Table13[[#This Row],[Gender]]="female",R1057&lt;20),"Athletes",AND(Table13[[#This Row],[Gender]]="female",R1057&lt;24),"Fitnesss",AND(Table13[[#This Row],[Gender]]="female",R1057&lt;31),"Acceptable",AND(Table13[[#This Row],[Gender]]="female",R1057&lt;40),"Obese",AND(Table13[[#This Row],[Gender]]="male",R1057&lt;13),"Athletes",AND(Table13[[#This Row],[Gender]]="male",R1057&lt;17),"Fitnesss",AND(Table13[[#This Row],[Gender]]="male",R1057&lt;24.9),"Acceptable",AND(Table13[[#This Row],[Gender]]="male",R1057&lt;40),"Obese",AND(Table13[[#This Row],[Gender]]="others",R1057&lt;20),"Athletes",AND(Table13[[#This Row],[Gender]]="others",R1057&lt;24),"Fitnesss",AND(Table13[[#This Row],[Gender]]="others",R1057&lt;31),"Acceptable",AND(Table13[[#This Row],[Gender]]="others",R1057&lt;40),"Obese")</f>
        <v>Acceptable</v>
      </c>
      <c r="R1057" s="8">
        <v>22.6</v>
      </c>
      <c r="S1057" s="8">
        <v>2.4</v>
      </c>
      <c r="T1057" s="8"/>
      <c r="U1057" s="8">
        <v>1</v>
      </c>
      <c r="V1057" s="8" t="str">
        <f>IF(Table13[[#This Row],[BMI]]&lt;=18.5,"Underweight",IF(Table13[[#This Row],[BMI]]&lt;=24.9,"Normal",IF(Table13[[#This Row],[BMI]]&lt;=29.9,"Overweight",IF(Table13[[#This Row],[BMI]]&lt;=39,"Obese","Severly Obese"))))</f>
        <v>Normal</v>
      </c>
      <c r="W1057" s="18">
        <v>19.46</v>
      </c>
    </row>
    <row r="1058" spans="6:23" x14ac:dyDescent="0.3">
      <c r="F1058" s="17">
        <v>50</v>
      </c>
      <c r="G1058" s="8" t="str">
        <f>IF(Table13[[#This Row],[Age]]&lt;25,"18-24",IF(Table13[[#This Row],[Age]]&lt;35,"25-34",IF(Table13[[#This Row],[Age]]&lt;45,"35-44",IF(Table13[[#This Row],[Age]]&lt;55,"45-54","55-64"))))</f>
        <v>45-54</v>
      </c>
      <c r="H1058" s="8" t="s">
        <v>17</v>
      </c>
      <c r="I1058" s="8">
        <v>102.2</v>
      </c>
      <c r="J1058" s="8">
        <v>1.65</v>
      </c>
      <c r="K1058" s="8">
        <v>198</v>
      </c>
      <c r="L1058" s="8">
        <v>157</v>
      </c>
      <c r="M1058" s="8">
        <v>64</v>
      </c>
      <c r="N1058" s="8">
        <v>1.64</v>
      </c>
      <c r="O1058" s="8">
        <v>1123</v>
      </c>
      <c r="P1058" s="8" t="s">
        <v>22</v>
      </c>
      <c r="Q1058" s="8" t="str">
        <f>_xlfn.IFS(AND(Table13[[#This Row],[Gender]]="female",R1058&lt;20),"Athletes",AND(Table13[[#This Row],[Gender]]="female",R1058&lt;24),"Fitnesss",AND(Table13[[#This Row],[Gender]]="female",R1058&lt;31),"Acceptable",AND(Table13[[#This Row],[Gender]]="female",R1058&lt;40),"Obese",AND(Table13[[#This Row],[Gender]]="male",R1058&lt;13),"Athletes",AND(Table13[[#This Row],[Gender]]="male",R1058&lt;17),"Fitnesss",AND(Table13[[#This Row],[Gender]]="male",R1058&lt;24.9),"Acceptable",AND(Table13[[#This Row],[Gender]]="male",R1058&lt;40),"Obese",AND(Table13[[#This Row],[Gender]]="others",R1058&lt;20),"Athletes",AND(Table13[[#This Row],[Gender]]="others",R1058&lt;24),"Fitnesss",AND(Table13[[#This Row],[Gender]]="others",R1058&lt;31),"Acceptable",AND(Table13[[#This Row],[Gender]]="others",R1058&lt;40),"Obese")</f>
        <v>Athletes</v>
      </c>
      <c r="R1058" s="8">
        <v>17.3</v>
      </c>
      <c r="S1058" s="8">
        <v>3.3</v>
      </c>
      <c r="T1058" s="8">
        <v>4</v>
      </c>
      <c r="U1058" s="8">
        <v>2</v>
      </c>
      <c r="V1058" s="8" t="str">
        <f>IF(Table13[[#This Row],[BMI]]&lt;=18.5,"Underweight",IF(Table13[[#This Row],[BMI]]&lt;=24.9,"Normal",IF(Table13[[#This Row],[BMI]]&lt;=29.9,"Overweight",IF(Table13[[#This Row],[BMI]]&lt;=39,"Obese","Severly Obese"))))</f>
        <v>Underweight</v>
      </c>
      <c r="W1058" s="18">
        <v>17.77</v>
      </c>
    </row>
    <row r="1059" spans="6:23" x14ac:dyDescent="0.3">
      <c r="F1059" s="17">
        <v>48</v>
      </c>
      <c r="G1059" s="8" t="str">
        <f>IF(Table13[[#This Row],[Age]]&lt;25,"18-24",IF(Table13[[#This Row],[Age]]&lt;35,"25-34",IF(Table13[[#This Row],[Age]]&lt;45,"35-44",IF(Table13[[#This Row],[Age]]&lt;55,"45-54","55-64"))))</f>
        <v>45-54</v>
      </c>
      <c r="H1059" s="8" t="s">
        <v>17</v>
      </c>
      <c r="I1059" s="8">
        <v>40</v>
      </c>
      <c r="J1059" s="8">
        <v>1.75</v>
      </c>
      <c r="K1059" s="8">
        <v>196</v>
      </c>
      <c r="L1059" s="8">
        <v>133</v>
      </c>
      <c r="M1059" s="8">
        <v>74</v>
      </c>
      <c r="N1059" s="8">
        <v>2</v>
      </c>
      <c r="O1059" s="8">
        <v>517</v>
      </c>
      <c r="P1059" s="8" t="s">
        <v>20</v>
      </c>
      <c r="Q1059" s="8" t="str">
        <f>_xlfn.IFS(AND(Table13[[#This Row],[Gender]]="female",R1059&lt;20),"Athletes",AND(Table13[[#This Row],[Gender]]="female",R1059&lt;24),"Fitnesss",AND(Table13[[#This Row],[Gender]]="female",R1059&lt;31),"Acceptable",AND(Table13[[#This Row],[Gender]]="female",R1059&lt;40),"Obese",AND(Table13[[#This Row],[Gender]]="male",R1059&lt;13),"Athletes",AND(Table13[[#This Row],[Gender]]="male",R1059&lt;17),"Fitnesss",AND(Table13[[#This Row],[Gender]]="male",R1059&lt;24.9),"Acceptable",AND(Table13[[#This Row],[Gender]]="male",R1059&lt;40),"Obese",AND(Table13[[#This Row],[Gender]]="others",R1059&lt;20),"Athletes",AND(Table13[[#This Row],[Gender]]="others",R1059&lt;24),"Fitnesss",AND(Table13[[#This Row],[Gender]]="others",R1059&lt;31),"Acceptable",AND(Table13[[#This Row],[Gender]]="others",R1059&lt;40),"Obese")</f>
        <v>Athletes</v>
      </c>
      <c r="R1059" s="8">
        <v>12.8</v>
      </c>
      <c r="S1059" s="8">
        <v>2.5</v>
      </c>
      <c r="T1059" s="8">
        <v>4</v>
      </c>
      <c r="U1059" s="8">
        <v>1</v>
      </c>
      <c r="V1059" s="8" t="str">
        <f>IF(Table13[[#This Row],[BMI]]&lt;=18.5,"Underweight",IF(Table13[[#This Row],[BMI]]&lt;=24.9,"Normal",IF(Table13[[#This Row],[BMI]]&lt;=29.9,"Overweight",IF(Table13[[#This Row],[BMI]]&lt;=39,"Obese","Severly Obese"))))</f>
        <v>Underweight</v>
      </c>
      <c r="W1059" s="18">
        <v>12.32</v>
      </c>
    </row>
    <row r="1060" spans="6:23" x14ac:dyDescent="0.3">
      <c r="F1060" s="17">
        <v>41</v>
      </c>
      <c r="G1060" s="8" t="str">
        <f>IF(Table13[[#This Row],[Age]]&lt;25,"18-24",IF(Table13[[#This Row],[Age]]&lt;35,"25-34",IF(Table13[[#This Row],[Age]]&lt;45,"35-44",IF(Table13[[#This Row],[Age]]&lt;55,"45-54","55-64"))))</f>
        <v>35-44</v>
      </c>
      <c r="H1060" s="8" t="s">
        <v>17</v>
      </c>
      <c r="I1060" s="8">
        <v>69.599999999999994</v>
      </c>
      <c r="J1060" s="8">
        <v>1.63</v>
      </c>
      <c r="K1060" s="8">
        <v>193</v>
      </c>
      <c r="L1060" s="8">
        <v>169</v>
      </c>
      <c r="M1060" s="8">
        <v>55</v>
      </c>
      <c r="N1060" s="8">
        <v>1.46</v>
      </c>
      <c r="O1060" s="8">
        <v>1157</v>
      </c>
      <c r="P1060" s="8" t="s">
        <v>18</v>
      </c>
      <c r="Q1060" s="8" t="str">
        <f>_xlfn.IFS(AND(Table13[[#This Row],[Gender]]="female",R1060&lt;20),"Athletes",AND(Table13[[#This Row],[Gender]]="female",R1060&lt;24),"Fitnesss",AND(Table13[[#This Row],[Gender]]="female",R1060&lt;31),"Acceptable",AND(Table13[[#This Row],[Gender]]="female",R1060&lt;40),"Obese",AND(Table13[[#This Row],[Gender]]="male",R1060&lt;13),"Athletes",AND(Table13[[#This Row],[Gender]]="male",R1060&lt;17),"Fitnesss",AND(Table13[[#This Row],[Gender]]="male",R1060&lt;24.9),"Acceptable",AND(Table13[[#This Row],[Gender]]="male",R1060&lt;40),"Obese",AND(Table13[[#This Row],[Gender]]="others",R1060&lt;20),"Athletes",AND(Table13[[#This Row],[Gender]]="others",R1060&lt;24),"Fitnesss",AND(Table13[[#This Row],[Gender]]="others",R1060&lt;31),"Acceptable",AND(Table13[[#This Row],[Gender]]="others",R1060&lt;40),"Obese")</f>
        <v>Acceptable</v>
      </c>
      <c r="R1060" s="8">
        <v>27.9</v>
      </c>
      <c r="S1060" s="8">
        <v>3.7</v>
      </c>
      <c r="T1060" s="8">
        <v>4</v>
      </c>
      <c r="U1060" s="8">
        <v>1</v>
      </c>
      <c r="V1060" s="8" t="str">
        <f>IF(Table13[[#This Row],[BMI]]&lt;=18.5,"Underweight",IF(Table13[[#This Row],[BMI]]&lt;=24.9,"Normal",IF(Table13[[#This Row],[BMI]]&lt;=29.9,"Overweight",IF(Table13[[#This Row],[BMI]]&lt;=39,"Obese","Severly Obese"))))</f>
        <v>Obese</v>
      </c>
      <c r="W1060" s="18">
        <v>32.29</v>
      </c>
    </row>
    <row r="1061" spans="6:23" x14ac:dyDescent="0.3">
      <c r="F1061" s="17">
        <v>23</v>
      </c>
      <c r="G1061" s="8" t="str">
        <f>IF(Table13[[#This Row],[Age]]&lt;25,"18-24",IF(Table13[[#This Row],[Age]]&lt;35,"25-34",IF(Table13[[#This Row],[Age]]&lt;45,"35-44",IF(Table13[[#This Row],[Age]]&lt;55,"45-54","55-64"))))</f>
        <v>18-24</v>
      </c>
      <c r="H1061" s="8" t="s">
        <v>17</v>
      </c>
      <c r="I1061" s="8">
        <v>56.8</v>
      </c>
      <c r="J1061" s="8">
        <v>1.75</v>
      </c>
      <c r="K1061" s="8">
        <v>183</v>
      </c>
      <c r="L1061" s="8">
        <v>149</v>
      </c>
      <c r="M1061" s="8">
        <v>74</v>
      </c>
      <c r="N1061" s="8">
        <v>1.54</v>
      </c>
      <c r="O1061" s="8">
        <v>926</v>
      </c>
      <c r="P1061" s="8" t="s">
        <v>18</v>
      </c>
      <c r="Q1061" s="8" t="str">
        <f>_xlfn.IFS(AND(Table13[[#This Row],[Gender]]="female",R1061&lt;20),"Athletes",AND(Table13[[#This Row],[Gender]]="female",R1061&lt;24),"Fitnesss",AND(Table13[[#This Row],[Gender]]="female",R1061&lt;31),"Acceptable",AND(Table13[[#This Row],[Gender]]="female",R1061&lt;40),"Obese",AND(Table13[[#This Row],[Gender]]="male",R1061&lt;13),"Athletes",AND(Table13[[#This Row],[Gender]]="male",R1061&lt;17),"Fitnesss",AND(Table13[[#This Row],[Gender]]="male",R1061&lt;24.9),"Acceptable",AND(Table13[[#This Row],[Gender]]="male",R1061&lt;40),"Obese",AND(Table13[[#This Row],[Gender]]="others",R1061&lt;20),"Athletes",AND(Table13[[#This Row],[Gender]]="others",R1061&lt;24),"Fitnesss",AND(Table13[[#This Row],[Gender]]="others",R1061&lt;31),"Acceptable",AND(Table13[[#This Row],[Gender]]="others",R1061&lt;40),"Obese")</f>
        <v>Acceptable</v>
      </c>
      <c r="R1061" s="8">
        <v>25.3</v>
      </c>
      <c r="S1061" s="8">
        <v>2.6</v>
      </c>
      <c r="T1061" s="8">
        <v>2</v>
      </c>
      <c r="U1061" s="8"/>
      <c r="V1061" s="8" t="str">
        <f>IF(Table13[[#This Row],[BMI]]&lt;=18.5,"Underweight",IF(Table13[[#This Row],[BMI]]&lt;=24.9,"Normal",IF(Table13[[#This Row],[BMI]]&lt;=29.9,"Overweight",IF(Table13[[#This Row],[BMI]]&lt;=39,"Obese","Severly Obese"))))</f>
        <v>Underweight</v>
      </c>
      <c r="W1061" s="18">
        <v>12.32</v>
      </c>
    </row>
    <row r="1062" spans="6:23" x14ac:dyDescent="0.3">
      <c r="F1062" s="17">
        <v>50</v>
      </c>
      <c r="G1062" s="8" t="str">
        <f>IF(Table13[[#This Row],[Age]]&lt;25,"18-24",IF(Table13[[#This Row],[Age]]&lt;35,"25-34",IF(Table13[[#This Row],[Age]]&lt;45,"35-44",IF(Table13[[#This Row],[Age]]&lt;55,"45-54","55-64"))))</f>
        <v>45-54</v>
      </c>
      <c r="H1062" s="8" t="s">
        <v>17</v>
      </c>
      <c r="I1062" s="8">
        <v>99.4</v>
      </c>
      <c r="J1062" s="8">
        <v>1.7</v>
      </c>
      <c r="K1062" s="8">
        <v>181</v>
      </c>
      <c r="L1062" s="8">
        <v>120</v>
      </c>
      <c r="M1062" s="8">
        <v>58</v>
      </c>
      <c r="N1062" s="8">
        <v>0.88</v>
      </c>
      <c r="O1062" s="8">
        <v>694</v>
      </c>
      <c r="P1062" s="8" t="s">
        <v>22</v>
      </c>
      <c r="Q1062" s="8" t="str">
        <f>_xlfn.IFS(AND(Table13[[#This Row],[Gender]]="female",R1062&lt;20),"Athletes",AND(Table13[[#This Row],[Gender]]="female",R1062&lt;24),"Fitnesss",AND(Table13[[#This Row],[Gender]]="female",R1062&lt;31),"Acceptable",AND(Table13[[#This Row],[Gender]]="female",R1062&lt;40),"Obese",AND(Table13[[#This Row],[Gender]]="male",R1062&lt;13),"Athletes",AND(Table13[[#This Row],[Gender]]="male",R1062&lt;17),"Fitnesss",AND(Table13[[#This Row],[Gender]]="male",R1062&lt;24.9),"Acceptable",AND(Table13[[#This Row],[Gender]]="male",R1062&lt;40),"Obese",AND(Table13[[#This Row],[Gender]]="others",R1062&lt;20),"Athletes",AND(Table13[[#This Row],[Gender]]="others",R1062&lt;24),"Fitnesss",AND(Table13[[#This Row],[Gender]]="others",R1062&lt;31),"Acceptable",AND(Table13[[#This Row],[Gender]]="others",R1062&lt;40),"Obese")</f>
        <v>Acceptable</v>
      </c>
      <c r="R1062" s="8">
        <v>30.5</v>
      </c>
      <c r="S1062" s="8">
        <v>1.5</v>
      </c>
      <c r="T1062" s="8">
        <v>3</v>
      </c>
      <c r="U1062" s="8"/>
      <c r="V1062" s="8" t="str">
        <f>IF(Table13[[#This Row],[BMI]]&lt;=18.5,"Underweight",IF(Table13[[#This Row],[BMI]]&lt;=24.9,"Normal",IF(Table13[[#This Row],[BMI]]&lt;=29.9,"Overweight",IF(Table13[[#This Row],[BMI]]&lt;=39,"Obese","Severly Obese"))))</f>
        <v>Underweight</v>
      </c>
      <c r="W1062" s="18">
        <v>16.45</v>
      </c>
    </row>
    <row r="1063" spans="6:23" x14ac:dyDescent="0.3">
      <c r="F1063" s="17">
        <v>18</v>
      </c>
      <c r="G1063" s="8" t="str">
        <f>IF(Table13[[#This Row],[Age]]&lt;25,"18-24",IF(Table13[[#This Row],[Age]]&lt;35,"25-34",IF(Table13[[#This Row],[Age]]&lt;45,"35-44",IF(Table13[[#This Row],[Age]]&lt;55,"45-54","55-64"))))</f>
        <v>18-24</v>
      </c>
      <c r="H1063" s="8" t="s">
        <v>19</v>
      </c>
      <c r="I1063" s="8">
        <v>51.4</v>
      </c>
      <c r="J1063" s="8">
        <v>1.83</v>
      </c>
      <c r="K1063" s="8">
        <v>195</v>
      </c>
      <c r="L1063" s="8">
        <v>141</v>
      </c>
      <c r="M1063" s="8">
        <v>54</v>
      </c>
      <c r="N1063" s="8">
        <v>0.97</v>
      </c>
      <c r="O1063" s="8">
        <v>1145</v>
      </c>
      <c r="P1063" s="8" t="s">
        <v>21</v>
      </c>
      <c r="Q1063" s="8" t="str">
        <f>_xlfn.IFS(AND(Table13[[#This Row],[Gender]]="female",R1063&lt;20),"Athletes",AND(Table13[[#This Row],[Gender]]="female",R1063&lt;24),"Fitnesss",AND(Table13[[#This Row],[Gender]]="female",R1063&lt;31),"Acceptable",AND(Table13[[#This Row],[Gender]]="female",R1063&lt;40),"Obese",AND(Table13[[#This Row],[Gender]]="male",R1063&lt;13),"Athletes",AND(Table13[[#This Row],[Gender]]="male",R1063&lt;17),"Fitnesss",AND(Table13[[#This Row],[Gender]]="male",R1063&lt;24.9),"Acceptable",AND(Table13[[#This Row],[Gender]]="male",R1063&lt;40),"Obese",AND(Table13[[#This Row],[Gender]]="others",R1063&lt;20),"Athletes",AND(Table13[[#This Row],[Gender]]="others",R1063&lt;24),"Fitnesss",AND(Table13[[#This Row],[Gender]]="others",R1063&lt;31),"Acceptable",AND(Table13[[#This Row],[Gender]]="others",R1063&lt;40),"Obese")</f>
        <v>Acceptable</v>
      </c>
      <c r="R1063" s="8">
        <v>23.7</v>
      </c>
      <c r="S1063" s="8">
        <v>1.7</v>
      </c>
      <c r="T1063" s="8">
        <v>2</v>
      </c>
      <c r="U1063" s="8">
        <v>3</v>
      </c>
      <c r="V1063" s="8" t="str">
        <f>IF(Table13[[#This Row],[BMI]]&lt;=18.5,"Underweight",IF(Table13[[#This Row],[BMI]]&lt;=24.9,"Normal",IF(Table13[[#This Row],[BMI]]&lt;=29.9,"Overweight",IF(Table13[[#This Row],[BMI]]&lt;=39,"Obese","Severly Obese"))))</f>
        <v>Underweight</v>
      </c>
      <c r="W1063" s="18">
        <v>16.63</v>
      </c>
    </row>
    <row r="1064" spans="6:23" x14ac:dyDescent="0.3">
      <c r="F1064" s="17">
        <v>22</v>
      </c>
      <c r="G1064" s="8" t="str">
        <f>IF(Table13[[#This Row],[Age]]&lt;25,"18-24",IF(Table13[[#This Row],[Age]]&lt;35,"25-34",IF(Table13[[#This Row],[Age]]&lt;45,"35-44",IF(Table13[[#This Row],[Age]]&lt;55,"45-54","55-64"))))</f>
        <v>18-24</v>
      </c>
      <c r="H1064" s="8" t="s">
        <v>19</v>
      </c>
      <c r="I1064" s="8">
        <v>96.9</v>
      </c>
      <c r="J1064" s="8">
        <v>1.8</v>
      </c>
      <c r="K1064" s="8">
        <v>163</v>
      </c>
      <c r="L1064" s="8">
        <v>132</v>
      </c>
      <c r="M1064" s="8">
        <v>56</v>
      </c>
      <c r="N1064" s="8">
        <v>0.94</v>
      </c>
      <c r="O1064" s="8">
        <v>748</v>
      </c>
      <c r="P1064" s="8" t="s">
        <v>21</v>
      </c>
      <c r="Q1064" s="8" t="str">
        <f>_xlfn.IFS(AND(Table13[[#This Row],[Gender]]="female",R1064&lt;20),"Athletes",AND(Table13[[#This Row],[Gender]]="female",R1064&lt;24),"Fitnesss",AND(Table13[[#This Row],[Gender]]="female",R1064&lt;31),"Acceptable",AND(Table13[[#This Row],[Gender]]="female",R1064&lt;40),"Obese",AND(Table13[[#This Row],[Gender]]="male",R1064&lt;13),"Athletes",AND(Table13[[#This Row],[Gender]]="male",R1064&lt;17),"Fitnesss",AND(Table13[[#This Row],[Gender]]="male",R1064&lt;24.9),"Acceptable",AND(Table13[[#This Row],[Gender]]="male",R1064&lt;40),"Obese",AND(Table13[[#This Row],[Gender]]="others",R1064&lt;20),"Athletes",AND(Table13[[#This Row],[Gender]]="others",R1064&lt;24),"Fitnesss",AND(Table13[[#This Row],[Gender]]="others",R1064&lt;31),"Acceptable",AND(Table13[[#This Row],[Gender]]="others",R1064&lt;40),"Obese")</f>
        <v>Acceptable</v>
      </c>
      <c r="R1064" s="8">
        <v>21.7</v>
      </c>
      <c r="S1064" s="8">
        <v>2.5</v>
      </c>
      <c r="T1064" s="8">
        <v>4</v>
      </c>
      <c r="U1064" s="8">
        <v>2</v>
      </c>
      <c r="V1064" s="8" t="str">
        <f>IF(Table13[[#This Row],[BMI]]&lt;=18.5,"Underweight",IF(Table13[[#This Row],[BMI]]&lt;=24.9,"Normal",IF(Table13[[#This Row],[BMI]]&lt;=29.9,"Overweight",IF(Table13[[#This Row],[BMI]]&lt;=39,"Obese","Severly Obese"))))</f>
        <v>Normal</v>
      </c>
      <c r="W1064" s="18">
        <v>24.29</v>
      </c>
    </row>
    <row r="1065" spans="6:23" x14ac:dyDescent="0.3">
      <c r="F1065" s="17">
        <v>26</v>
      </c>
      <c r="G1065" s="8" t="str">
        <f>IF(Table13[[#This Row],[Age]]&lt;25,"18-24",IF(Table13[[#This Row],[Age]]&lt;35,"25-34",IF(Table13[[#This Row],[Age]]&lt;45,"35-44",IF(Table13[[#This Row],[Age]]&lt;55,"45-54","55-64"))))</f>
        <v>25-34</v>
      </c>
      <c r="H1065" s="8" t="s">
        <v>17</v>
      </c>
      <c r="I1065" s="8">
        <v>64.3</v>
      </c>
      <c r="J1065" s="8">
        <v>1.7</v>
      </c>
      <c r="K1065" s="8">
        <v>192</v>
      </c>
      <c r="L1065" s="8">
        <v>140</v>
      </c>
      <c r="M1065" s="8">
        <v>65</v>
      </c>
      <c r="N1065" s="8">
        <v>1.51</v>
      </c>
      <c r="O1065" s="8">
        <v>1236</v>
      </c>
      <c r="P1065" s="8" t="s">
        <v>22</v>
      </c>
      <c r="Q1065" s="8" t="str">
        <f>_xlfn.IFS(AND(Table13[[#This Row],[Gender]]="female",R1065&lt;20),"Athletes",AND(Table13[[#This Row],[Gender]]="female",R1065&lt;24),"Fitnesss",AND(Table13[[#This Row],[Gender]]="female",R1065&lt;31),"Acceptable",AND(Table13[[#This Row],[Gender]]="female",R1065&lt;40),"Obese",AND(Table13[[#This Row],[Gender]]="male",R1065&lt;13),"Athletes",AND(Table13[[#This Row],[Gender]]="male",R1065&lt;17),"Fitnesss",AND(Table13[[#This Row],[Gender]]="male",R1065&lt;24.9),"Acceptable",AND(Table13[[#This Row],[Gender]]="male",R1065&lt;40),"Obese",AND(Table13[[#This Row],[Gender]]="others",R1065&lt;20),"Athletes",AND(Table13[[#This Row],[Gender]]="others",R1065&lt;24),"Fitnesss",AND(Table13[[#This Row],[Gender]]="others",R1065&lt;31),"Acceptable",AND(Table13[[#This Row],[Gender]]="others",R1065&lt;40),"Obese")</f>
        <v>Obese</v>
      </c>
      <c r="R1065" s="8">
        <v>33.9</v>
      </c>
      <c r="S1065" s="8">
        <v>3.6</v>
      </c>
      <c r="T1065" s="8">
        <v>3</v>
      </c>
      <c r="U1065" s="8">
        <v>2</v>
      </c>
      <c r="V1065" s="8" t="str">
        <f>IF(Table13[[#This Row],[BMI]]&lt;=18.5,"Underweight",IF(Table13[[#This Row],[BMI]]&lt;=24.9,"Normal",IF(Table13[[#This Row],[BMI]]&lt;=29.9,"Overweight",IF(Table13[[#This Row],[BMI]]&lt;=39,"Obese","Severly Obese"))))</f>
        <v>Severly Obese</v>
      </c>
      <c r="W1065" s="18">
        <v>39.07</v>
      </c>
    </row>
    <row r="1066" spans="6:23" x14ac:dyDescent="0.3">
      <c r="F1066" s="17">
        <v>42</v>
      </c>
      <c r="G1066" s="8" t="str">
        <f>IF(Table13[[#This Row],[Age]]&lt;25,"18-24",IF(Table13[[#This Row],[Age]]&lt;35,"25-34",IF(Table13[[#This Row],[Age]]&lt;45,"35-44",IF(Table13[[#This Row],[Age]]&lt;55,"45-54","55-64"))))</f>
        <v>35-44</v>
      </c>
      <c r="H1066" s="8" t="s">
        <v>17</v>
      </c>
      <c r="I1066" s="8">
        <v>40</v>
      </c>
      <c r="J1066" s="8">
        <v>1.72</v>
      </c>
      <c r="K1066" s="8">
        <v>197</v>
      </c>
      <c r="L1066" s="8">
        <v>139</v>
      </c>
      <c r="M1066" s="8">
        <v>74</v>
      </c>
      <c r="N1066" s="8">
        <v>1.64</v>
      </c>
      <c r="O1066" s="8">
        <v>1143</v>
      </c>
      <c r="P1066" s="8" t="s">
        <v>22</v>
      </c>
      <c r="Q1066" s="8" t="str">
        <f>_xlfn.IFS(AND(Table13[[#This Row],[Gender]]="female",R1066&lt;20),"Athletes",AND(Table13[[#This Row],[Gender]]="female",R1066&lt;24),"Fitnesss",AND(Table13[[#This Row],[Gender]]="female",R1066&lt;31),"Acceptable",AND(Table13[[#This Row],[Gender]]="female",R1066&lt;40),"Obese",AND(Table13[[#This Row],[Gender]]="male",R1066&lt;13),"Athletes",AND(Table13[[#This Row],[Gender]]="male",R1066&lt;17),"Fitnesss",AND(Table13[[#This Row],[Gender]]="male",R1066&lt;24.9),"Acceptable",AND(Table13[[#This Row],[Gender]]="male",R1066&lt;40),"Obese",AND(Table13[[#This Row],[Gender]]="others",R1066&lt;20),"Athletes",AND(Table13[[#This Row],[Gender]]="others",R1066&lt;24),"Fitnesss",AND(Table13[[#This Row],[Gender]]="others",R1066&lt;31),"Acceptable",AND(Table13[[#This Row],[Gender]]="others",R1066&lt;40),"Obese")</f>
        <v>Acceptable</v>
      </c>
      <c r="R1066" s="8">
        <v>24</v>
      </c>
      <c r="S1066" s="8">
        <v>1.5</v>
      </c>
      <c r="T1066" s="8">
        <v>3</v>
      </c>
      <c r="U1066" s="8">
        <v>2</v>
      </c>
      <c r="V1066" s="8" t="str">
        <f>IF(Table13[[#This Row],[BMI]]&lt;=18.5,"Underweight",IF(Table13[[#This Row],[BMI]]&lt;=24.9,"Normal",IF(Table13[[#This Row],[BMI]]&lt;=29.9,"Overweight",IF(Table13[[#This Row],[BMI]]&lt;=39,"Obese","Severly Obese"))))</f>
        <v>Normal</v>
      </c>
      <c r="W1066" s="18">
        <v>19.149999999999999</v>
      </c>
    </row>
    <row r="1067" spans="6:23" x14ac:dyDescent="0.3">
      <c r="F1067" s="17">
        <v>37</v>
      </c>
      <c r="G1067" s="8" t="str">
        <f>IF(Table13[[#This Row],[Age]]&lt;25,"18-24",IF(Table13[[#This Row],[Age]]&lt;35,"25-34",IF(Table13[[#This Row],[Age]]&lt;45,"35-44",IF(Table13[[#This Row],[Age]]&lt;55,"45-54","55-64"))))</f>
        <v>35-44</v>
      </c>
      <c r="H1067" s="8" t="s">
        <v>19</v>
      </c>
      <c r="I1067" s="8">
        <v>40</v>
      </c>
      <c r="J1067" s="8">
        <v>1.92</v>
      </c>
      <c r="K1067" s="8">
        <v>194</v>
      </c>
      <c r="L1067" s="8">
        <v>128</v>
      </c>
      <c r="M1067" s="8">
        <v>72</v>
      </c>
      <c r="N1067" s="8">
        <v>1.89</v>
      </c>
      <c r="O1067" s="8">
        <v>1753</v>
      </c>
      <c r="P1067" s="8" t="s">
        <v>18</v>
      </c>
      <c r="Q1067" s="8" t="str">
        <f>_xlfn.IFS(AND(Table13[[#This Row],[Gender]]="female",R1067&lt;20),"Athletes",AND(Table13[[#This Row],[Gender]]="female",R1067&lt;24),"Fitnesss",AND(Table13[[#This Row],[Gender]]="female",R1067&lt;31),"Acceptable",AND(Table13[[#This Row],[Gender]]="female",R1067&lt;40),"Obese",AND(Table13[[#This Row],[Gender]]="male",R1067&lt;13),"Athletes",AND(Table13[[#This Row],[Gender]]="male",R1067&lt;17),"Fitnesss",AND(Table13[[#This Row],[Gender]]="male",R1067&lt;24.9),"Acceptable",AND(Table13[[#This Row],[Gender]]="male",R1067&lt;40),"Obese",AND(Table13[[#This Row],[Gender]]="others",R1067&lt;20),"Athletes",AND(Table13[[#This Row],[Gender]]="others",R1067&lt;24),"Fitnesss",AND(Table13[[#This Row],[Gender]]="others",R1067&lt;31),"Acceptable",AND(Table13[[#This Row],[Gender]]="others",R1067&lt;40),"Obese")</f>
        <v>Athletes</v>
      </c>
      <c r="R1067" s="8">
        <v>10</v>
      </c>
      <c r="S1067" s="8">
        <v>3.4</v>
      </c>
      <c r="T1067" s="8">
        <v>5</v>
      </c>
      <c r="U1067" s="8">
        <v>1</v>
      </c>
      <c r="V1067" s="8" t="str">
        <f>IF(Table13[[#This Row],[BMI]]&lt;=18.5,"Underweight",IF(Table13[[#This Row],[BMI]]&lt;=24.9,"Normal",IF(Table13[[#This Row],[BMI]]&lt;=29.9,"Overweight",IF(Table13[[#This Row],[BMI]]&lt;=39,"Obese","Severly Obese"))))</f>
        <v>Underweight</v>
      </c>
      <c r="W1067" s="18">
        <v>15.24</v>
      </c>
    </row>
    <row r="1068" spans="6:23" x14ac:dyDescent="0.3">
      <c r="F1068" s="17">
        <v>30</v>
      </c>
      <c r="G1068" s="8" t="str">
        <f>IF(Table13[[#This Row],[Age]]&lt;25,"18-24",IF(Table13[[#This Row],[Age]]&lt;35,"25-34",IF(Table13[[#This Row],[Age]]&lt;45,"35-44",IF(Table13[[#This Row],[Age]]&lt;55,"45-54","55-64"))))</f>
        <v>25-34</v>
      </c>
      <c r="H1068" s="8" t="s">
        <v>17</v>
      </c>
      <c r="I1068" s="8">
        <v>85.4</v>
      </c>
      <c r="J1068" s="8">
        <v>1.71</v>
      </c>
      <c r="K1068" s="8">
        <v>188</v>
      </c>
      <c r="L1068" s="8">
        <v>169</v>
      </c>
      <c r="M1068" s="8">
        <v>74</v>
      </c>
      <c r="N1068" s="8">
        <v>1.17</v>
      </c>
      <c r="O1068" s="8">
        <v>744</v>
      </c>
      <c r="P1068" s="8" t="s">
        <v>21</v>
      </c>
      <c r="Q1068" s="8" t="str">
        <f>_xlfn.IFS(AND(Table13[[#This Row],[Gender]]="female",R1068&lt;20),"Athletes",AND(Table13[[#This Row],[Gender]]="female",R1068&lt;24),"Fitnesss",AND(Table13[[#This Row],[Gender]]="female",R1068&lt;31),"Acceptable",AND(Table13[[#This Row],[Gender]]="female",R1068&lt;40),"Obese",AND(Table13[[#This Row],[Gender]]="male",R1068&lt;13),"Athletes",AND(Table13[[#This Row],[Gender]]="male",R1068&lt;17),"Fitnesss",AND(Table13[[#This Row],[Gender]]="male",R1068&lt;24.9),"Acceptable",AND(Table13[[#This Row],[Gender]]="male",R1068&lt;40),"Obese",AND(Table13[[#This Row],[Gender]]="others",R1068&lt;20),"Athletes",AND(Table13[[#This Row],[Gender]]="others",R1068&lt;24),"Fitnesss",AND(Table13[[#This Row],[Gender]]="others",R1068&lt;31),"Acceptable",AND(Table13[[#This Row],[Gender]]="others",R1068&lt;40),"Obese")</f>
        <v>Fitnesss</v>
      </c>
      <c r="R1068" s="8">
        <v>21.6</v>
      </c>
      <c r="S1068" s="8">
        <v>3.6</v>
      </c>
      <c r="T1068" s="8">
        <v>4</v>
      </c>
      <c r="U1068" s="8">
        <v>2</v>
      </c>
      <c r="V1068" s="8" t="str">
        <f>IF(Table13[[#This Row],[BMI]]&lt;=18.5,"Underweight",IF(Table13[[#This Row],[BMI]]&lt;=24.9,"Normal",IF(Table13[[#This Row],[BMI]]&lt;=29.9,"Overweight",IF(Table13[[#This Row],[BMI]]&lt;=39,"Obese","Severly Obese"))))</f>
        <v>Normal</v>
      </c>
      <c r="W1068" s="18">
        <v>20.149999999999999</v>
      </c>
    </row>
    <row r="1069" spans="6:23" x14ac:dyDescent="0.3">
      <c r="F1069" s="17">
        <v>33</v>
      </c>
      <c r="G1069" s="8" t="str">
        <f>IF(Table13[[#This Row],[Age]]&lt;25,"18-24",IF(Table13[[#This Row],[Age]]&lt;35,"25-34",IF(Table13[[#This Row],[Age]]&lt;45,"35-44",IF(Table13[[#This Row],[Age]]&lt;55,"45-54","55-64"))))</f>
        <v>25-34</v>
      </c>
      <c r="H1069" s="8" t="s">
        <v>17</v>
      </c>
      <c r="I1069" s="8">
        <v>72.900000000000006</v>
      </c>
      <c r="J1069" s="8">
        <v>1.58</v>
      </c>
      <c r="K1069" s="8">
        <v>178</v>
      </c>
      <c r="L1069" s="8">
        <v>153</v>
      </c>
      <c r="M1069" s="8">
        <v>57</v>
      </c>
      <c r="N1069" s="8">
        <v>0.94</v>
      </c>
      <c r="O1069" s="8">
        <v>1139</v>
      </c>
      <c r="P1069" s="8" t="s">
        <v>21</v>
      </c>
      <c r="Q1069" s="8" t="str">
        <f>_xlfn.IFS(AND(Table13[[#This Row],[Gender]]="female",R1069&lt;20),"Athletes",AND(Table13[[#This Row],[Gender]]="female",R1069&lt;24),"Fitnesss",AND(Table13[[#This Row],[Gender]]="female",R1069&lt;31),"Acceptable",AND(Table13[[#This Row],[Gender]]="female",R1069&lt;40),"Obese",AND(Table13[[#This Row],[Gender]]="male",R1069&lt;13),"Athletes",AND(Table13[[#This Row],[Gender]]="male",R1069&lt;17),"Fitnesss",AND(Table13[[#This Row],[Gender]]="male",R1069&lt;24.9),"Acceptable",AND(Table13[[#This Row],[Gender]]="male",R1069&lt;40),"Obese",AND(Table13[[#This Row],[Gender]]="others",R1069&lt;20),"Athletes",AND(Table13[[#This Row],[Gender]]="others",R1069&lt;24),"Fitnesss",AND(Table13[[#This Row],[Gender]]="others",R1069&lt;31),"Acceptable",AND(Table13[[#This Row],[Gender]]="others",R1069&lt;40),"Obese")</f>
        <v>Acceptable</v>
      </c>
      <c r="R1069" s="8">
        <v>25.9</v>
      </c>
      <c r="S1069" s="8">
        <v>3.5</v>
      </c>
      <c r="T1069" s="8">
        <v>2</v>
      </c>
      <c r="U1069" s="8">
        <v>1</v>
      </c>
      <c r="V1069" s="8" t="str">
        <f>IF(Table13[[#This Row],[BMI]]&lt;=18.5,"Underweight",IF(Table13[[#This Row],[BMI]]&lt;=24.9,"Normal",IF(Table13[[#This Row],[BMI]]&lt;=29.9,"Overweight",IF(Table13[[#This Row],[BMI]]&lt;=39,"Obese","Severly Obese"))))</f>
        <v>Normal</v>
      </c>
      <c r="W1069" s="18">
        <v>18.97</v>
      </c>
    </row>
    <row r="1070" spans="6:23" x14ac:dyDescent="0.3">
      <c r="F1070" s="17">
        <v>25</v>
      </c>
      <c r="G1070" s="8" t="str">
        <f>IF(Table13[[#This Row],[Age]]&lt;25,"18-24",IF(Table13[[#This Row],[Age]]&lt;35,"25-34",IF(Table13[[#This Row],[Age]]&lt;45,"35-44",IF(Table13[[#This Row],[Age]]&lt;55,"45-54","55-64"))))</f>
        <v>25-34</v>
      </c>
      <c r="H1070" s="8" t="s">
        <v>17</v>
      </c>
      <c r="I1070" s="8">
        <v>48.8</v>
      </c>
      <c r="J1070" s="8">
        <v>1.84</v>
      </c>
      <c r="K1070" s="8">
        <v>186</v>
      </c>
      <c r="L1070" s="8">
        <v>168</v>
      </c>
      <c r="M1070" s="8">
        <v>65</v>
      </c>
      <c r="N1070" s="8">
        <v>1.68</v>
      </c>
      <c r="O1070" s="8">
        <v>972</v>
      </c>
      <c r="P1070" s="8" t="s">
        <v>18</v>
      </c>
      <c r="Q1070" s="8" t="str">
        <f>_xlfn.IFS(AND(Table13[[#This Row],[Gender]]="female",R1070&lt;20),"Athletes",AND(Table13[[#This Row],[Gender]]="female",R1070&lt;24),"Fitnesss",AND(Table13[[#This Row],[Gender]]="female",R1070&lt;31),"Acceptable",AND(Table13[[#This Row],[Gender]]="female",R1070&lt;40),"Obese",AND(Table13[[#This Row],[Gender]]="male",R1070&lt;13),"Athletes",AND(Table13[[#This Row],[Gender]]="male",R1070&lt;17),"Fitnesss",AND(Table13[[#This Row],[Gender]]="male",R1070&lt;24.9),"Acceptable",AND(Table13[[#This Row],[Gender]]="male",R1070&lt;40),"Obese",AND(Table13[[#This Row],[Gender]]="others",R1070&lt;20),"Athletes",AND(Table13[[#This Row],[Gender]]="others",R1070&lt;24),"Fitnesss",AND(Table13[[#This Row],[Gender]]="others",R1070&lt;31),"Acceptable",AND(Table13[[#This Row],[Gender]]="others",R1070&lt;40),"Obese")</f>
        <v>Acceptable</v>
      </c>
      <c r="R1070" s="8">
        <v>25</v>
      </c>
      <c r="S1070" s="8">
        <v>1.7</v>
      </c>
      <c r="T1070" s="8">
        <v>3</v>
      </c>
      <c r="U1070" s="8">
        <v>2</v>
      </c>
      <c r="V1070" s="8" t="str">
        <f>IF(Table13[[#This Row],[BMI]]&lt;=18.5,"Underweight",IF(Table13[[#This Row],[BMI]]&lt;=24.9,"Normal",IF(Table13[[#This Row],[BMI]]&lt;=29.9,"Overweight",IF(Table13[[#This Row],[BMI]]&lt;=39,"Obese","Severly Obese"))))</f>
        <v>Underweight</v>
      </c>
      <c r="W1070" s="18">
        <v>16.600000000000001</v>
      </c>
    </row>
    <row r="1071" spans="6:23" x14ac:dyDescent="0.3">
      <c r="F1071" s="17">
        <v>18</v>
      </c>
      <c r="G1071" s="8" t="str">
        <f>IF(Table13[[#This Row],[Age]]&lt;25,"18-24",IF(Table13[[#This Row],[Age]]&lt;35,"25-34",IF(Table13[[#This Row],[Age]]&lt;45,"35-44",IF(Table13[[#This Row],[Age]]&lt;55,"45-54","55-64"))))</f>
        <v>18-24</v>
      </c>
      <c r="H1071" s="8" t="s">
        <v>19</v>
      </c>
      <c r="I1071" s="8">
        <v>54.9</v>
      </c>
      <c r="J1071" s="8">
        <v>1.74</v>
      </c>
      <c r="K1071" s="8">
        <v>187</v>
      </c>
      <c r="L1071" s="8">
        <v>131</v>
      </c>
      <c r="M1071" s="8">
        <v>74</v>
      </c>
      <c r="N1071" s="8">
        <v>0.93</v>
      </c>
      <c r="O1071" s="8">
        <v>597</v>
      </c>
      <c r="P1071" s="8" t="s">
        <v>21</v>
      </c>
      <c r="Q1071" s="8" t="str">
        <f>_xlfn.IFS(AND(Table13[[#This Row],[Gender]]="female",R1071&lt;20),"Athletes",AND(Table13[[#This Row],[Gender]]="female",R1071&lt;24),"Fitnesss",AND(Table13[[#This Row],[Gender]]="female",R1071&lt;31),"Acceptable",AND(Table13[[#This Row],[Gender]]="female",R1071&lt;40),"Obese",AND(Table13[[#This Row],[Gender]]="male",R1071&lt;13),"Athletes",AND(Table13[[#This Row],[Gender]]="male",R1071&lt;17),"Fitnesss",AND(Table13[[#This Row],[Gender]]="male",R1071&lt;24.9),"Acceptable",AND(Table13[[#This Row],[Gender]]="male",R1071&lt;40),"Obese",AND(Table13[[#This Row],[Gender]]="others",R1071&lt;20),"Athletes",AND(Table13[[#This Row],[Gender]]="others",R1071&lt;24),"Fitnesss",AND(Table13[[#This Row],[Gender]]="others",R1071&lt;31),"Acceptable",AND(Table13[[#This Row],[Gender]]="others",R1071&lt;40),"Obese")</f>
        <v>Athletes</v>
      </c>
      <c r="R1071" s="8"/>
      <c r="S1071" s="8">
        <v>3.2</v>
      </c>
      <c r="T1071" s="8">
        <v>3</v>
      </c>
      <c r="U1071" s="8">
        <v>3</v>
      </c>
      <c r="V1071" s="8" t="str">
        <f>IF(Table13[[#This Row],[BMI]]&lt;=18.5,"Underweight",IF(Table13[[#This Row],[BMI]]&lt;=24.9,"Normal",IF(Table13[[#This Row],[BMI]]&lt;=29.9,"Overweight",IF(Table13[[#This Row],[BMI]]&lt;=39,"Obese","Severly Obese"))))</f>
        <v>Normal</v>
      </c>
      <c r="W1071" s="18">
        <v>18.89</v>
      </c>
    </row>
    <row r="1072" spans="6:23" x14ac:dyDescent="0.3">
      <c r="F1072" s="17">
        <v>38</v>
      </c>
      <c r="G1072" s="8" t="str">
        <f>IF(Table13[[#This Row],[Age]]&lt;25,"18-24",IF(Table13[[#This Row],[Age]]&lt;35,"25-34",IF(Table13[[#This Row],[Age]]&lt;45,"35-44",IF(Table13[[#This Row],[Age]]&lt;55,"45-54","55-64"))))</f>
        <v>35-44</v>
      </c>
      <c r="H1072" s="8" t="s">
        <v>19</v>
      </c>
      <c r="I1072" s="8">
        <v>53.6</v>
      </c>
      <c r="J1072" s="8">
        <v>1.7</v>
      </c>
      <c r="K1072" s="8">
        <v>188</v>
      </c>
      <c r="L1072" s="8">
        <v>126</v>
      </c>
      <c r="M1072" s="8">
        <v>73</v>
      </c>
      <c r="N1072" s="8">
        <v>0.97</v>
      </c>
      <c r="O1072" s="8">
        <v>1083</v>
      </c>
      <c r="P1072" s="8" t="s">
        <v>22</v>
      </c>
      <c r="Q1072" s="8" t="str">
        <f>_xlfn.IFS(AND(Table13[[#This Row],[Gender]]="female",R1072&lt;20),"Athletes",AND(Table13[[#This Row],[Gender]]="female",R1072&lt;24),"Fitnesss",AND(Table13[[#This Row],[Gender]]="female",R1072&lt;31),"Acceptable",AND(Table13[[#This Row],[Gender]]="female",R1072&lt;40),"Obese",AND(Table13[[#This Row],[Gender]]="male",R1072&lt;13),"Athletes",AND(Table13[[#This Row],[Gender]]="male",R1072&lt;17),"Fitnesss",AND(Table13[[#This Row],[Gender]]="male",R1072&lt;24.9),"Acceptable",AND(Table13[[#This Row],[Gender]]="male",R1072&lt;40),"Obese",AND(Table13[[#This Row],[Gender]]="others",R1072&lt;20),"Athletes",AND(Table13[[#This Row],[Gender]]="others",R1072&lt;24),"Fitnesss",AND(Table13[[#This Row],[Gender]]="others",R1072&lt;31),"Acceptable",AND(Table13[[#This Row],[Gender]]="others",R1072&lt;40),"Obese")</f>
        <v>Obese</v>
      </c>
      <c r="R1072" s="8">
        <v>30.4</v>
      </c>
      <c r="S1072" s="8">
        <v>3.4</v>
      </c>
      <c r="T1072" s="8">
        <v>4</v>
      </c>
      <c r="U1072" s="8">
        <v>2</v>
      </c>
      <c r="V1072" s="8" t="str">
        <f>IF(Table13[[#This Row],[BMI]]&lt;=18.5,"Underweight",IF(Table13[[#This Row],[BMI]]&lt;=24.9,"Normal",IF(Table13[[#This Row],[BMI]]&lt;=29.9,"Overweight",IF(Table13[[#This Row],[BMI]]&lt;=39,"Obese","Severly Obese"))))</f>
        <v>Underweight</v>
      </c>
      <c r="W1072" s="18">
        <v>12.32</v>
      </c>
    </row>
    <row r="1073" spans="6:23" x14ac:dyDescent="0.3">
      <c r="F1073" s="17">
        <v>47</v>
      </c>
      <c r="G1073" s="8" t="str">
        <f>IF(Table13[[#This Row],[Age]]&lt;25,"18-24",IF(Table13[[#This Row],[Age]]&lt;35,"25-34",IF(Table13[[#This Row],[Age]]&lt;45,"35-44",IF(Table13[[#This Row],[Age]]&lt;55,"45-54","55-64"))))</f>
        <v>45-54</v>
      </c>
      <c r="H1073" s="8" t="s">
        <v>19</v>
      </c>
      <c r="I1073" s="8">
        <v>77.900000000000006</v>
      </c>
      <c r="J1073" s="8">
        <v>1.76</v>
      </c>
      <c r="K1073" s="8">
        <v>164</v>
      </c>
      <c r="L1073" s="8">
        <v>139</v>
      </c>
      <c r="M1073" s="8">
        <v>59</v>
      </c>
      <c r="N1073" s="8">
        <v>1.29</v>
      </c>
      <c r="O1073" s="8">
        <v>1233</v>
      </c>
      <c r="P1073" s="8" t="s">
        <v>20</v>
      </c>
      <c r="Q1073" s="8" t="str">
        <f>_xlfn.IFS(AND(Table13[[#This Row],[Gender]]="female",R1073&lt;20),"Athletes",AND(Table13[[#This Row],[Gender]]="female",R1073&lt;24),"Fitnesss",AND(Table13[[#This Row],[Gender]]="female",R1073&lt;31),"Acceptable",AND(Table13[[#This Row],[Gender]]="female",R1073&lt;40),"Obese",AND(Table13[[#This Row],[Gender]]="male",R1073&lt;13),"Athletes",AND(Table13[[#This Row],[Gender]]="male",R1073&lt;17),"Fitnesss",AND(Table13[[#This Row],[Gender]]="male",R1073&lt;24.9),"Acceptable",AND(Table13[[#This Row],[Gender]]="male",R1073&lt;40),"Obese",AND(Table13[[#This Row],[Gender]]="others",R1073&lt;20),"Athletes",AND(Table13[[#This Row],[Gender]]="others",R1073&lt;24),"Fitnesss",AND(Table13[[#This Row],[Gender]]="others",R1073&lt;31),"Acceptable",AND(Table13[[#This Row],[Gender]]="others",R1073&lt;40),"Obese")</f>
        <v>Obese</v>
      </c>
      <c r="R1073" s="8">
        <v>34</v>
      </c>
      <c r="S1073" s="8">
        <v>2.8</v>
      </c>
      <c r="T1073" s="8">
        <v>2</v>
      </c>
      <c r="U1073" s="8">
        <v>1</v>
      </c>
      <c r="V1073" s="8" t="str">
        <f>IF(Table13[[#This Row],[BMI]]&lt;=18.5,"Underweight",IF(Table13[[#This Row],[BMI]]&lt;=24.9,"Normal",IF(Table13[[#This Row],[BMI]]&lt;=29.9,"Overweight",IF(Table13[[#This Row],[BMI]]&lt;=39,"Obese","Severly Obese"))))</f>
        <v>Underweight</v>
      </c>
      <c r="W1073" s="18">
        <v>15.38</v>
      </c>
    </row>
    <row r="1074" spans="6:23" x14ac:dyDescent="0.3">
      <c r="F1074" s="17">
        <v>35</v>
      </c>
      <c r="G1074" s="8" t="str">
        <f>IF(Table13[[#This Row],[Age]]&lt;25,"18-24",IF(Table13[[#This Row],[Age]]&lt;35,"25-34",IF(Table13[[#This Row],[Age]]&lt;45,"35-44",IF(Table13[[#This Row],[Age]]&lt;55,"45-54","55-64"))))</f>
        <v>35-44</v>
      </c>
      <c r="H1074" s="8" t="s">
        <v>19</v>
      </c>
      <c r="I1074" s="8">
        <v>68.5</v>
      </c>
      <c r="J1074" s="8">
        <v>1.73</v>
      </c>
      <c r="K1074" s="8">
        <v>175</v>
      </c>
      <c r="L1074" s="8">
        <v>142</v>
      </c>
      <c r="M1074" s="8">
        <v>58</v>
      </c>
      <c r="N1074" s="8">
        <v>1.2</v>
      </c>
      <c r="O1074" s="8">
        <v>840</v>
      </c>
      <c r="P1074" s="8" t="s">
        <v>20</v>
      </c>
      <c r="Q1074" s="8" t="str">
        <f>_xlfn.IFS(AND(Table13[[#This Row],[Gender]]="female",R1074&lt;20),"Athletes",AND(Table13[[#This Row],[Gender]]="female",R1074&lt;24),"Fitnesss",AND(Table13[[#This Row],[Gender]]="female",R1074&lt;31),"Acceptable",AND(Table13[[#This Row],[Gender]]="female",R1074&lt;40),"Obese",AND(Table13[[#This Row],[Gender]]="male",R1074&lt;13),"Athletes",AND(Table13[[#This Row],[Gender]]="male",R1074&lt;17),"Fitnesss",AND(Table13[[#This Row],[Gender]]="male",R1074&lt;24.9),"Acceptable",AND(Table13[[#This Row],[Gender]]="male",R1074&lt;40),"Obese",AND(Table13[[#This Row],[Gender]]="others",R1074&lt;20),"Athletes",AND(Table13[[#This Row],[Gender]]="others",R1074&lt;24),"Fitnesss",AND(Table13[[#This Row],[Gender]]="others",R1074&lt;31),"Acceptable",AND(Table13[[#This Row],[Gender]]="others",R1074&lt;40),"Obese")</f>
        <v>Acceptable</v>
      </c>
      <c r="R1074" s="8">
        <v>19.3</v>
      </c>
      <c r="S1074" s="8">
        <v>2.1</v>
      </c>
      <c r="T1074" s="8">
        <v>2</v>
      </c>
      <c r="U1074" s="8">
        <v>3</v>
      </c>
      <c r="V1074" s="8" t="str">
        <f>IF(Table13[[#This Row],[BMI]]&lt;=18.5,"Underweight",IF(Table13[[#This Row],[BMI]]&lt;=24.9,"Normal",IF(Table13[[#This Row],[BMI]]&lt;=29.9,"Overweight",IF(Table13[[#This Row],[BMI]]&lt;=39,"Obese","Severly Obese"))))</f>
        <v>Underweight</v>
      </c>
      <c r="W1074" s="18">
        <v>12.32</v>
      </c>
    </row>
    <row r="1075" spans="6:23" x14ac:dyDescent="0.3">
      <c r="F1075" s="17">
        <v>59</v>
      </c>
      <c r="G1075" s="8" t="str">
        <f>IF(Table13[[#This Row],[Age]]&lt;25,"18-24",IF(Table13[[#This Row],[Age]]&lt;35,"25-34",IF(Table13[[#This Row],[Age]]&lt;45,"35-44",IF(Table13[[#This Row],[Age]]&lt;55,"45-54","55-64"))))</f>
        <v>55-64</v>
      </c>
      <c r="H1075" s="8" t="s">
        <v>23</v>
      </c>
      <c r="I1075" s="8"/>
      <c r="J1075" s="8">
        <v>1.56</v>
      </c>
      <c r="K1075" s="8">
        <v>164</v>
      </c>
      <c r="L1075" s="8">
        <v>124</v>
      </c>
      <c r="M1075" s="8">
        <v>56</v>
      </c>
      <c r="N1075" s="8">
        <v>0.85</v>
      </c>
      <c r="O1075" s="8">
        <v>917</v>
      </c>
      <c r="P1075" s="8" t="s">
        <v>20</v>
      </c>
      <c r="Q1075" s="8" t="str">
        <f>_xlfn.IFS(AND(Table13[[#This Row],[Gender]]="female",R1075&lt;20),"Athletes",AND(Table13[[#This Row],[Gender]]="female",R1075&lt;24),"Fitnesss",AND(Table13[[#This Row],[Gender]]="female",R1075&lt;31),"Acceptable",AND(Table13[[#This Row],[Gender]]="female",R1075&lt;40),"Obese",AND(Table13[[#This Row],[Gender]]="male",R1075&lt;13),"Athletes",AND(Table13[[#This Row],[Gender]]="male",R1075&lt;17),"Fitnesss",AND(Table13[[#This Row],[Gender]]="male",R1075&lt;24.9),"Acceptable",AND(Table13[[#This Row],[Gender]]="male",R1075&lt;40),"Obese",AND(Table13[[#This Row],[Gender]]="others",R1075&lt;20),"Athletes",AND(Table13[[#This Row],[Gender]]="others",R1075&lt;24),"Fitnesss",AND(Table13[[#This Row],[Gender]]="others",R1075&lt;31),"Acceptable",AND(Table13[[#This Row],[Gender]]="others",R1075&lt;40),"Obese")</f>
        <v>Acceptable</v>
      </c>
      <c r="R1075" s="8">
        <v>29.4</v>
      </c>
      <c r="S1075" s="8">
        <v>3.7</v>
      </c>
      <c r="T1075" s="8">
        <v>2</v>
      </c>
      <c r="U1075" s="8"/>
      <c r="V1075" s="8" t="str">
        <f>IF(Table13[[#This Row],[BMI]]&lt;=18.5,"Underweight",IF(Table13[[#This Row],[BMI]]&lt;=24.9,"Normal",IF(Table13[[#This Row],[BMI]]&lt;=29.9,"Overweight",IF(Table13[[#This Row],[BMI]]&lt;=39,"Obese","Severly Obese"))))</f>
        <v>Underweight</v>
      </c>
      <c r="W1075" s="18">
        <v>18.27</v>
      </c>
    </row>
    <row r="1076" spans="6:23" x14ac:dyDescent="0.3">
      <c r="F1076" s="17">
        <v>28</v>
      </c>
      <c r="G1076" s="8" t="str">
        <f>IF(Table13[[#This Row],[Age]]&lt;25,"18-24",IF(Table13[[#This Row],[Age]]&lt;35,"25-34",IF(Table13[[#This Row],[Age]]&lt;45,"35-44",IF(Table13[[#This Row],[Age]]&lt;55,"45-54","55-64"))))</f>
        <v>25-34</v>
      </c>
      <c r="H1076" s="8" t="s">
        <v>23</v>
      </c>
      <c r="I1076" s="8">
        <v>77.2</v>
      </c>
      <c r="J1076" s="8">
        <v>1.86</v>
      </c>
      <c r="K1076" s="8">
        <v>180</v>
      </c>
      <c r="L1076" s="8">
        <v>133</v>
      </c>
      <c r="M1076" s="8">
        <v>18</v>
      </c>
      <c r="N1076" s="8">
        <v>1.55</v>
      </c>
      <c r="O1076" s="8">
        <v>1710</v>
      </c>
      <c r="P1076" s="8" t="s">
        <v>18</v>
      </c>
      <c r="Q1076" s="8" t="str">
        <f>_xlfn.IFS(AND(Table13[[#This Row],[Gender]]="female",R1076&lt;20),"Athletes",AND(Table13[[#This Row],[Gender]]="female",R1076&lt;24),"Fitnesss",AND(Table13[[#This Row],[Gender]]="female",R1076&lt;31),"Acceptable",AND(Table13[[#This Row],[Gender]]="female",R1076&lt;40),"Obese",AND(Table13[[#This Row],[Gender]]="male",R1076&lt;13),"Athletes",AND(Table13[[#This Row],[Gender]]="male",R1076&lt;17),"Fitnesss",AND(Table13[[#This Row],[Gender]]="male",R1076&lt;24.9),"Acceptable",AND(Table13[[#This Row],[Gender]]="male",R1076&lt;40),"Obese",AND(Table13[[#This Row],[Gender]]="others",R1076&lt;20),"Athletes",AND(Table13[[#This Row],[Gender]]="others",R1076&lt;24),"Fitnesss",AND(Table13[[#This Row],[Gender]]="others",R1076&lt;31),"Acceptable",AND(Table13[[#This Row],[Gender]]="others",R1076&lt;40),"Obese")</f>
        <v>Acceptable</v>
      </c>
      <c r="R1076" s="8">
        <v>26.5</v>
      </c>
      <c r="S1076" s="8">
        <v>1.6</v>
      </c>
      <c r="T1076" s="8">
        <v>4</v>
      </c>
      <c r="U1076" s="8">
        <v>3</v>
      </c>
      <c r="V1076" s="8" t="str">
        <f>IF(Table13[[#This Row],[BMI]]&lt;=18.5,"Underweight",IF(Table13[[#This Row],[BMI]]&lt;=24.9,"Normal",IF(Table13[[#This Row],[BMI]]&lt;=29.9,"Overweight",IF(Table13[[#This Row],[BMI]]&lt;=39,"Obese","Severly Obese"))))</f>
        <v>Underweight</v>
      </c>
      <c r="W1076" s="18">
        <v>17.34</v>
      </c>
    </row>
    <row r="1077" spans="6:23" x14ac:dyDescent="0.3">
      <c r="F1077" s="17">
        <v>32</v>
      </c>
      <c r="G1077" s="8" t="str">
        <f>IF(Table13[[#This Row],[Age]]&lt;25,"18-24",IF(Table13[[#This Row],[Age]]&lt;35,"25-34",IF(Table13[[#This Row],[Age]]&lt;45,"35-44",IF(Table13[[#This Row],[Age]]&lt;55,"45-54","55-64"))))</f>
        <v>25-34</v>
      </c>
      <c r="H1077" s="8" t="s">
        <v>17</v>
      </c>
      <c r="I1077" s="8">
        <v>113.1</v>
      </c>
      <c r="J1077" s="8">
        <v>1.73</v>
      </c>
      <c r="K1077" s="8">
        <v>165</v>
      </c>
      <c r="L1077" s="8">
        <v>135</v>
      </c>
      <c r="M1077" s="8">
        <v>58</v>
      </c>
      <c r="N1077" s="8">
        <v>1.5</v>
      </c>
      <c r="O1077" s="8">
        <v>1081</v>
      </c>
      <c r="P1077" s="8" t="s">
        <v>22</v>
      </c>
      <c r="Q1077" s="8" t="str">
        <f>_xlfn.IFS(AND(Table13[[#This Row],[Gender]]="female",R1077&lt;20),"Athletes",AND(Table13[[#This Row],[Gender]]="female",R1077&lt;24),"Fitnesss",AND(Table13[[#This Row],[Gender]]="female",R1077&lt;31),"Acceptable",AND(Table13[[#This Row],[Gender]]="female",R1077&lt;40),"Obese",AND(Table13[[#This Row],[Gender]]="male",R1077&lt;13),"Athletes",AND(Table13[[#This Row],[Gender]]="male",R1077&lt;17),"Fitnesss",AND(Table13[[#This Row],[Gender]]="male",R1077&lt;24.9),"Acceptable",AND(Table13[[#This Row],[Gender]]="male",R1077&lt;40),"Obese",AND(Table13[[#This Row],[Gender]]="others",R1077&lt;20),"Athletes",AND(Table13[[#This Row],[Gender]]="others",R1077&lt;24),"Fitnesss",AND(Table13[[#This Row],[Gender]]="others",R1077&lt;31),"Acceptable",AND(Table13[[#This Row],[Gender]]="others",R1077&lt;40),"Obese")</f>
        <v>Acceptable</v>
      </c>
      <c r="R1077" s="8">
        <v>26.2</v>
      </c>
      <c r="S1077" s="8">
        <v>3.3</v>
      </c>
      <c r="T1077" s="8">
        <v>4</v>
      </c>
      <c r="U1077" s="8">
        <v>1</v>
      </c>
      <c r="V1077" s="8" t="str">
        <f>IF(Table13[[#This Row],[BMI]]&lt;=18.5,"Underweight",IF(Table13[[#This Row],[BMI]]&lt;=24.9,"Normal",IF(Table13[[#This Row],[BMI]]&lt;=29.9,"Overweight",IF(Table13[[#This Row],[BMI]]&lt;=39,"Obese","Severly Obese"))))</f>
        <v>Underweight</v>
      </c>
      <c r="W1077" s="18">
        <v>12.32</v>
      </c>
    </row>
    <row r="1078" spans="6:23" x14ac:dyDescent="0.3">
      <c r="F1078" s="17">
        <v>27</v>
      </c>
      <c r="G1078" s="8" t="str">
        <f>IF(Table13[[#This Row],[Age]]&lt;25,"18-24",IF(Table13[[#This Row],[Age]]&lt;35,"25-34",IF(Table13[[#This Row],[Age]]&lt;45,"35-44",IF(Table13[[#This Row],[Age]]&lt;55,"45-54","55-64"))))</f>
        <v>25-34</v>
      </c>
      <c r="H1078" s="8" t="s">
        <v>17</v>
      </c>
      <c r="I1078" s="8">
        <v>53.7</v>
      </c>
      <c r="J1078" s="8">
        <v>1.75</v>
      </c>
      <c r="K1078" s="8">
        <v>167</v>
      </c>
      <c r="L1078" s="8">
        <v>137</v>
      </c>
      <c r="M1078" s="8">
        <v>74</v>
      </c>
      <c r="N1078" s="8">
        <v>2</v>
      </c>
      <c r="O1078" s="8">
        <v>788</v>
      </c>
      <c r="P1078" s="8" t="s">
        <v>22</v>
      </c>
      <c r="Q1078" s="8" t="str">
        <f>_xlfn.IFS(AND(Table13[[#This Row],[Gender]]="female",R1078&lt;20),"Athletes",AND(Table13[[#This Row],[Gender]]="female",R1078&lt;24),"Fitnesss",AND(Table13[[#This Row],[Gender]]="female",R1078&lt;31),"Acceptable",AND(Table13[[#This Row],[Gender]]="female",R1078&lt;40),"Obese",AND(Table13[[#This Row],[Gender]]="male",R1078&lt;13),"Athletes",AND(Table13[[#This Row],[Gender]]="male",R1078&lt;17),"Fitnesss",AND(Table13[[#This Row],[Gender]]="male",R1078&lt;24.9),"Acceptable",AND(Table13[[#This Row],[Gender]]="male",R1078&lt;40),"Obese",AND(Table13[[#This Row],[Gender]]="others",R1078&lt;20),"Athletes",AND(Table13[[#This Row],[Gender]]="others",R1078&lt;24),"Fitnesss",AND(Table13[[#This Row],[Gender]]="others",R1078&lt;31),"Acceptable",AND(Table13[[#This Row],[Gender]]="others",R1078&lt;40),"Obese")</f>
        <v>Athletes</v>
      </c>
      <c r="R1078" s="8">
        <v>13.3</v>
      </c>
      <c r="S1078" s="8">
        <v>2.6</v>
      </c>
      <c r="T1078" s="8">
        <v>3</v>
      </c>
      <c r="U1078" s="8"/>
      <c r="V1078" s="8" t="str">
        <f>IF(Table13[[#This Row],[BMI]]&lt;=18.5,"Underweight",IF(Table13[[#This Row],[BMI]]&lt;=24.9,"Normal",IF(Table13[[#This Row],[BMI]]&lt;=29.9,"Overweight",IF(Table13[[#This Row],[BMI]]&lt;=39,"Obese","Severly Obese"))))</f>
        <v>Underweight</v>
      </c>
      <c r="W1078" s="18">
        <v>16.239999999999998</v>
      </c>
    </row>
    <row r="1079" spans="6:23" x14ac:dyDescent="0.3">
      <c r="F1079" s="17">
        <v>25</v>
      </c>
      <c r="G1079" s="8" t="str">
        <f>IF(Table13[[#This Row],[Age]]&lt;25,"18-24",IF(Table13[[#This Row],[Age]]&lt;35,"25-34",IF(Table13[[#This Row],[Age]]&lt;45,"35-44",IF(Table13[[#This Row],[Age]]&lt;55,"45-54","55-64"))))</f>
        <v>25-34</v>
      </c>
      <c r="H1079" s="8" t="s">
        <v>19</v>
      </c>
      <c r="I1079" s="8">
        <v>61.3</v>
      </c>
      <c r="J1079" s="8">
        <v>1.77</v>
      </c>
      <c r="K1079" s="8">
        <v>173</v>
      </c>
      <c r="L1079" s="8">
        <v>167</v>
      </c>
      <c r="M1079" s="8">
        <v>50</v>
      </c>
      <c r="N1079" s="8">
        <v>1.88</v>
      </c>
      <c r="O1079" s="8">
        <v>1760</v>
      </c>
      <c r="P1079" s="8" t="s">
        <v>18</v>
      </c>
      <c r="Q1079" s="8" t="str">
        <f>_xlfn.IFS(AND(Table13[[#This Row],[Gender]]="female",R1079&lt;20),"Athletes",AND(Table13[[#This Row],[Gender]]="female",R1079&lt;24),"Fitnesss",AND(Table13[[#This Row],[Gender]]="female",R1079&lt;31),"Acceptable",AND(Table13[[#This Row],[Gender]]="female",R1079&lt;40),"Obese",AND(Table13[[#This Row],[Gender]]="male",R1079&lt;13),"Athletes",AND(Table13[[#This Row],[Gender]]="male",R1079&lt;17),"Fitnesss",AND(Table13[[#This Row],[Gender]]="male",R1079&lt;24.9),"Acceptable",AND(Table13[[#This Row],[Gender]]="male",R1079&lt;40),"Obese",AND(Table13[[#This Row],[Gender]]="others",R1079&lt;20),"Athletes",AND(Table13[[#This Row],[Gender]]="others",R1079&lt;24),"Fitnesss",AND(Table13[[#This Row],[Gender]]="others",R1079&lt;31),"Acceptable",AND(Table13[[#This Row],[Gender]]="others",R1079&lt;40),"Obese")</f>
        <v>Obese</v>
      </c>
      <c r="R1079" s="8">
        <v>35</v>
      </c>
      <c r="S1079" s="8">
        <v>3.1</v>
      </c>
      <c r="T1079" s="8">
        <v>4</v>
      </c>
      <c r="U1079" s="8">
        <v>2</v>
      </c>
      <c r="V1079" s="8" t="str">
        <f>IF(Table13[[#This Row],[BMI]]&lt;=18.5,"Underweight",IF(Table13[[#This Row],[BMI]]&lt;=24.9,"Normal",IF(Table13[[#This Row],[BMI]]&lt;=29.9,"Overweight",IF(Table13[[#This Row],[BMI]]&lt;=39,"Obese","Severly Obese"))))</f>
        <v>Underweight</v>
      </c>
      <c r="W1079" s="18">
        <v>17.690000000000001</v>
      </c>
    </row>
    <row r="1080" spans="6:23" x14ac:dyDescent="0.3">
      <c r="F1080" s="17">
        <v>38</v>
      </c>
      <c r="G1080" s="8" t="str">
        <f>IF(Table13[[#This Row],[Age]]&lt;25,"18-24",IF(Table13[[#This Row],[Age]]&lt;35,"25-34",IF(Table13[[#This Row],[Age]]&lt;45,"35-44",IF(Table13[[#This Row],[Age]]&lt;55,"45-54","55-64"))))</f>
        <v>35-44</v>
      </c>
      <c r="H1080" s="8" t="s">
        <v>19</v>
      </c>
      <c r="I1080" s="8">
        <v>41.1</v>
      </c>
      <c r="J1080" s="8">
        <v>1.67</v>
      </c>
      <c r="K1080" s="8">
        <v>184</v>
      </c>
      <c r="L1080" s="8">
        <v>133</v>
      </c>
      <c r="M1080" s="8">
        <v>74</v>
      </c>
      <c r="N1080" s="8">
        <v>0.63</v>
      </c>
      <c r="O1080" s="8">
        <v>804</v>
      </c>
      <c r="P1080" s="8" t="s">
        <v>21</v>
      </c>
      <c r="Q1080" s="8" t="str">
        <f>_xlfn.IFS(AND(Table13[[#This Row],[Gender]]="female",R1080&lt;20),"Athletes",AND(Table13[[#This Row],[Gender]]="female",R1080&lt;24),"Fitnesss",AND(Table13[[#This Row],[Gender]]="female",R1080&lt;31),"Acceptable",AND(Table13[[#This Row],[Gender]]="female",R1080&lt;40),"Obese",AND(Table13[[#This Row],[Gender]]="male",R1080&lt;13),"Athletes",AND(Table13[[#This Row],[Gender]]="male",R1080&lt;17),"Fitnesss",AND(Table13[[#This Row],[Gender]]="male",R1080&lt;24.9),"Acceptable",AND(Table13[[#This Row],[Gender]]="male",R1080&lt;40),"Obese",AND(Table13[[#This Row],[Gender]]="others",R1080&lt;20),"Athletes",AND(Table13[[#This Row],[Gender]]="others",R1080&lt;24),"Fitnesss",AND(Table13[[#This Row],[Gender]]="others",R1080&lt;31),"Acceptable",AND(Table13[[#This Row],[Gender]]="others",R1080&lt;40),"Obese")</f>
        <v>Obese</v>
      </c>
      <c r="R1080" s="8">
        <v>25.6</v>
      </c>
      <c r="S1080" s="8">
        <v>2.8</v>
      </c>
      <c r="T1080" s="8">
        <v>5</v>
      </c>
      <c r="U1080" s="8">
        <v>3</v>
      </c>
      <c r="V1080" s="8" t="str">
        <f>IF(Table13[[#This Row],[BMI]]&lt;=18.5,"Underweight",IF(Table13[[#This Row],[BMI]]&lt;=24.9,"Normal",IF(Table13[[#This Row],[BMI]]&lt;=29.9,"Overweight",IF(Table13[[#This Row],[BMI]]&lt;=39,"Obese","Severly Obese"))))</f>
        <v>Underweight</v>
      </c>
      <c r="W1080" s="18">
        <v>14.26</v>
      </c>
    </row>
    <row r="1081" spans="6:23" x14ac:dyDescent="0.3">
      <c r="F1081" s="17">
        <v>36</v>
      </c>
      <c r="G1081" s="8" t="str">
        <f>IF(Table13[[#This Row],[Age]]&lt;25,"18-24",IF(Table13[[#This Row],[Age]]&lt;35,"25-34",IF(Table13[[#This Row],[Age]]&lt;45,"35-44",IF(Table13[[#This Row],[Age]]&lt;55,"45-54","55-64"))))</f>
        <v>35-44</v>
      </c>
      <c r="H1081" s="8" t="s">
        <v>19</v>
      </c>
      <c r="I1081" s="8">
        <v>78.2</v>
      </c>
      <c r="J1081" s="8">
        <v>1.63</v>
      </c>
      <c r="K1081" s="8">
        <v>191</v>
      </c>
      <c r="L1081" s="8">
        <v>169</v>
      </c>
      <c r="M1081" s="8">
        <v>74</v>
      </c>
      <c r="N1081" s="8">
        <v>2</v>
      </c>
      <c r="O1081" s="8">
        <v>1381</v>
      </c>
      <c r="P1081" s="8" t="s">
        <v>20</v>
      </c>
      <c r="Q1081" s="8" t="str">
        <f>_xlfn.IFS(AND(Table13[[#This Row],[Gender]]="female",R1081&lt;20),"Athletes",AND(Table13[[#This Row],[Gender]]="female",R1081&lt;24),"Fitnesss",AND(Table13[[#This Row],[Gender]]="female",R1081&lt;31),"Acceptable",AND(Table13[[#This Row],[Gender]]="female",R1081&lt;40),"Obese",AND(Table13[[#This Row],[Gender]]="male",R1081&lt;13),"Athletes",AND(Table13[[#This Row],[Gender]]="male",R1081&lt;17),"Fitnesss",AND(Table13[[#This Row],[Gender]]="male",R1081&lt;24.9),"Acceptable",AND(Table13[[#This Row],[Gender]]="male",R1081&lt;40),"Obese",AND(Table13[[#This Row],[Gender]]="others",R1081&lt;20),"Athletes",AND(Table13[[#This Row],[Gender]]="others",R1081&lt;24),"Fitnesss",AND(Table13[[#This Row],[Gender]]="others",R1081&lt;31),"Acceptable",AND(Table13[[#This Row],[Gender]]="others",R1081&lt;40),"Obese")</f>
        <v>Acceptable</v>
      </c>
      <c r="R1081" s="8">
        <v>23.1</v>
      </c>
      <c r="S1081" s="8">
        <v>2.7</v>
      </c>
      <c r="T1081" s="8">
        <v>3</v>
      </c>
      <c r="U1081" s="8">
        <v>2</v>
      </c>
      <c r="V1081" s="8" t="str">
        <f>IF(Table13[[#This Row],[BMI]]&lt;=18.5,"Underweight",IF(Table13[[#This Row],[BMI]]&lt;=24.9,"Normal",IF(Table13[[#This Row],[BMI]]&lt;=29.9,"Overweight",IF(Table13[[#This Row],[BMI]]&lt;=39,"Obese","Severly Obese"))))</f>
        <v>Normal</v>
      </c>
      <c r="W1081" s="18">
        <v>21.82</v>
      </c>
    </row>
    <row r="1082" spans="6:23" x14ac:dyDescent="0.3">
      <c r="F1082" s="17">
        <v>35</v>
      </c>
      <c r="G1082" s="8" t="str">
        <f>IF(Table13[[#This Row],[Age]]&lt;25,"18-24",IF(Table13[[#This Row],[Age]]&lt;35,"25-34",IF(Table13[[#This Row],[Age]]&lt;45,"35-44",IF(Table13[[#This Row],[Age]]&lt;55,"45-54","55-64"))))</f>
        <v>35-44</v>
      </c>
      <c r="H1082" s="8" t="s">
        <v>19</v>
      </c>
      <c r="I1082" s="8">
        <v>94.6</v>
      </c>
      <c r="J1082" s="8">
        <v>1.69</v>
      </c>
      <c r="K1082" s="8">
        <v>167</v>
      </c>
      <c r="L1082" s="8">
        <v>158</v>
      </c>
      <c r="M1082" s="8">
        <v>57</v>
      </c>
      <c r="N1082" s="8">
        <v>0.75</v>
      </c>
      <c r="O1082" s="8">
        <v>1534</v>
      </c>
      <c r="P1082" s="8" t="s">
        <v>22</v>
      </c>
      <c r="Q1082" s="8" t="str">
        <f>_xlfn.IFS(AND(Table13[[#This Row],[Gender]]="female",R1082&lt;20),"Athletes",AND(Table13[[#This Row],[Gender]]="female",R1082&lt;24),"Fitnesss",AND(Table13[[#This Row],[Gender]]="female",R1082&lt;31),"Acceptable",AND(Table13[[#This Row],[Gender]]="female",R1082&lt;40),"Obese",AND(Table13[[#This Row],[Gender]]="male",R1082&lt;13),"Athletes",AND(Table13[[#This Row],[Gender]]="male",R1082&lt;17),"Fitnesss",AND(Table13[[#This Row],[Gender]]="male",R1082&lt;24.9),"Acceptable",AND(Table13[[#This Row],[Gender]]="male",R1082&lt;40),"Obese",AND(Table13[[#This Row],[Gender]]="others",R1082&lt;20),"Athletes",AND(Table13[[#This Row],[Gender]]="others",R1082&lt;24),"Fitnesss",AND(Table13[[#This Row],[Gender]]="others",R1082&lt;31),"Acceptable",AND(Table13[[#This Row],[Gender]]="others",R1082&lt;40),"Obese")</f>
        <v>Obese</v>
      </c>
      <c r="R1082" s="8">
        <v>33.1</v>
      </c>
      <c r="S1082" s="8">
        <v>2</v>
      </c>
      <c r="T1082" s="8">
        <v>4</v>
      </c>
      <c r="U1082" s="8">
        <v>2</v>
      </c>
      <c r="V1082" s="8" t="str">
        <f>IF(Table13[[#This Row],[BMI]]&lt;=18.5,"Underweight",IF(Table13[[#This Row],[BMI]]&lt;=24.9,"Normal",IF(Table13[[#This Row],[BMI]]&lt;=29.9,"Overweight",IF(Table13[[#This Row],[BMI]]&lt;=39,"Obese","Severly Obese"))))</f>
        <v>Normal</v>
      </c>
      <c r="W1082" s="18">
        <v>22.21</v>
      </c>
    </row>
    <row r="1083" spans="6:23" x14ac:dyDescent="0.3">
      <c r="F1083" s="17">
        <v>28</v>
      </c>
      <c r="G1083" s="8" t="str">
        <f>IF(Table13[[#This Row],[Age]]&lt;25,"18-24",IF(Table13[[#This Row],[Age]]&lt;35,"25-34",IF(Table13[[#This Row],[Age]]&lt;45,"35-44",IF(Table13[[#This Row],[Age]]&lt;55,"45-54","55-64"))))</f>
        <v>25-34</v>
      </c>
      <c r="H1083" s="8" t="s">
        <v>17</v>
      </c>
      <c r="I1083" s="8">
        <v>68.8</v>
      </c>
      <c r="J1083" s="8">
        <v>1.73</v>
      </c>
      <c r="K1083" s="8">
        <v>198</v>
      </c>
      <c r="L1083" s="8">
        <v>169</v>
      </c>
      <c r="M1083" s="8">
        <v>66</v>
      </c>
      <c r="N1083" s="8">
        <v>1.46</v>
      </c>
      <c r="O1083" s="8">
        <v>1279</v>
      </c>
      <c r="P1083" s="8" t="s">
        <v>22</v>
      </c>
      <c r="Q1083" s="8" t="str">
        <f>_xlfn.IFS(AND(Table13[[#This Row],[Gender]]="female",R1083&lt;20),"Athletes",AND(Table13[[#This Row],[Gender]]="female",R1083&lt;24),"Fitnesss",AND(Table13[[#This Row],[Gender]]="female",R1083&lt;31),"Acceptable",AND(Table13[[#This Row],[Gender]]="female",R1083&lt;40),"Obese",AND(Table13[[#This Row],[Gender]]="male",R1083&lt;13),"Athletes",AND(Table13[[#This Row],[Gender]]="male",R1083&lt;17),"Fitnesss",AND(Table13[[#This Row],[Gender]]="male",R1083&lt;24.9),"Acceptable",AND(Table13[[#This Row],[Gender]]="male",R1083&lt;40),"Obese",AND(Table13[[#This Row],[Gender]]="others",R1083&lt;20),"Athletes",AND(Table13[[#This Row],[Gender]]="others",R1083&lt;24),"Fitnesss",AND(Table13[[#This Row],[Gender]]="others",R1083&lt;31),"Acceptable",AND(Table13[[#This Row],[Gender]]="others",R1083&lt;40),"Obese")</f>
        <v>Obese</v>
      </c>
      <c r="R1083" s="8">
        <v>31.4</v>
      </c>
      <c r="S1083" s="8">
        <v>1.6</v>
      </c>
      <c r="T1083" s="8">
        <v>3</v>
      </c>
      <c r="U1083" s="8">
        <v>1</v>
      </c>
      <c r="V1083" s="8" t="str">
        <f>IF(Table13[[#This Row],[BMI]]&lt;=18.5,"Underweight",IF(Table13[[#This Row],[BMI]]&lt;=24.9,"Normal",IF(Table13[[#This Row],[BMI]]&lt;=29.9,"Overweight",IF(Table13[[#This Row],[BMI]]&lt;=39,"Obese","Severly Obese"))))</f>
        <v>Underweight</v>
      </c>
      <c r="W1083" s="18">
        <v>12.38</v>
      </c>
    </row>
    <row r="1084" spans="6:23" x14ac:dyDescent="0.3">
      <c r="F1084" s="17">
        <v>27</v>
      </c>
      <c r="G1084" s="8" t="str">
        <f>IF(Table13[[#This Row],[Age]]&lt;25,"18-24",IF(Table13[[#This Row],[Age]]&lt;35,"25-34",IF(Table13[[#This Row],[Age]]&lt;45,"35-44",IF(Table13[[#This Row],[Age]]&lt;55,"45-54","55-64"))))</f>
        <v>25-34</v>
      </c>
      <c r="H1084" s="8" t="s">
        <v>17</v>
      </c>
      <c r="I1084" s="8">
        <v>43.4</v>
      </c>
      <c r="J1084" s="8">
        <v>1.71</v>
      </c>
      <c r="K1084" s="8">
        <v>184</v>
      </c>
      <c r="L1084" s="8">
        <v>165</v>
      </c>
      <c r="M1084" s="8">
        <v>71</v>
      </c>
      <c r="N1084" s="8">
        <v>1.24</v>
      </c>
      <c r="O1084" s="8">
        <v>945</v>
      </c>
      <c r="P1084" s="8" t="s">
        <v>18</v>
      </c>
      <c r="Q1084" s="8" t="str">
        <f>_xlfn.IFS(AND(Table13[[#This Row],[Gender]]="female",R1084&lt;20),"Athletes",AND(Table13[[#This Row],[Gender]]="female",R1084&lt;24),"Fitnesss",AND(Table13[[#This Row],[Gender]]="female",R1084&lt;31),"Acceptable",AND(Table13[[#This Row],[Gender]]="female",R1084&lt;40),"Obese",AND(Table13[[#This Row],[Gender]]="male",R1084&lt;13),"Athletes",AND(Table13[[#This Row],[Gender]]="male",R1084&lt;17),"Fitnesss",AND(Table13[[#This Row],[Gender]]="male",R1084&lt;24.9),"Acceptable",AND(Table13[[#This Row],[Gender]]="male",R1084&lt;40),"Obese",AND(Table13[[#This Row],[Gender]]="others",R1084&lt;20),"Athletes",AND(Table13[[#This Row],[Gender]]="others",R1084&lt;24),"Fitnesss",AND(Table13[[#This Row],[Gender]]="others",R1084&lt;31),"Acceptable",AND(Table13[[#This Row],[Gender]]="others",R1084&lt;40),"Obese")</f>
        <v>Athletes</v>
      </c>
      <c r="R1084" s="8">
        <v>10</v>
      </c>
      <c r="S1084" s="8">
        <v>3.6</v>
      </c>
      <c r="T1084" s="8">
        <v>2</v>
      </c>
      <c r="U1084" s="8">
        <v>2</v>
      </c>
      <c r="V1084" s="8" t="str">
        <f>IF(Table13[[#This Row],[BMI]]&lt;=18.5,"Underweight",IF(Table13[[#This Row],[BMI]]&lt;=24.9,"Normal",IF(Table13[[#This Row],[BMI]]&lt;=29.9,"Overweight",IF(Table13[[#This Row],[BMI]]&lt;=39,"Obese","Severly Obese"))))</f>
        <v>Overweight</v>
      </c>
      <c r="W1084" s="18">
        <v>25.15</v>
      </c>
    </row>
    <row r="1085" spans="6:23" x14ac:dyDescent="0.3">
      <c r="F1085" s="17">
        <v>37</v>
      </c>
      <c r="G1085" s="8" t="str">
        <f>IF(Table13[[#This Row],[Age]]&lt;25,"18-24",IF(Table13[[#This Row],[Age]]&lt;35,"25-34",IF(Table13[[#This Row],[Age]]&lt;45,"35-44",IF(Table13[[#This Row],[Age]]&lt;55,"45-54","55-64"))))</f>
        <v>35-44</v>
      </c>
      <c r="H1085" s="8" t="s">
        <v>17</v>
      </c>
      <c r="I1085" s="8">
        <v>40</v>
      </c>
      <c r="J1085" s="8">
        <v>1.81</v>
      </c>
      <c r="K1085" s="8">
        <v>164</v>
      </c>
      <c r="L1085" s="8">
        <v>139</v>
      </c>
      <c r="M1085" s="8">
        <v>62</v>
      </c>
      <c r="N1085" s="8">
        <v>1.35</v>
      </c>
      <c r="O1085" s="8">
        <v>658</v>
      </c>
      <c r="P1085" s="8" t="s">
        <v>23</v>
      </c>
      <c r="Q1085" s="8" t="str">
        <f>_xlfn.IFS(AND(Table13[[#This Row],[Gender]]="female",R1085&lt;20),"Athletes",AND(Table13[[#This Row],[Gender]]="female",R1085&lt;24),"Fitnesss",AND(Table13[[#This Row],[Gender]]="female",R1085&lt;31),"Acceptable",AND(Table13[[#This Row],[Gender]]="female",R1085&lt;40),"Obese",AND(Table13[[#This Row],[Gender]]="male",R1085&lt;13),"Athletes",AND(Table13[[#This Row],[Gender]]="male",R1085&lt;17),"Fitnesss",AND(Table13[[#This Row],[Gender]]="male",R1085&lt;24.9),"Acceptable",AND(Table13[[#This Row],[Gender]]="male",R1085&lt;40),"Obese",AND(Table13[[#This Row],[Gender]]="others",R1085&lt;20),"Athletes",AND(Table13[[#This Row],[Gender]]="others",R1085&lt;24),"Fitnesss",AND(Table13[[#This Row],[Gender]]="others",R1085&lt;31),"Acceptable",AND(Table13[[#This Row],[Gender]]="others",R1085&lt;40),"Obese")</f>
        <v>Athletes</v>
      </c>
      <c r="R1085" s="8">
        <v>15.4</v>
      </c>
      <c r="S1085" s="8"/>
      <c r="T1085" s="8">
        <v>4</v>
      </c>
      <c r="U1085" s="8">
        <v>1</v>
      </c>
      <c r="V1085" s="8" t="str">
        <f>IF(Table13[[#This Row],[BMI]]&lt;=18.5,"Underweight",IF(Table13[[#This Row],[BMI]]&lt;=24.9,"Normal",IF(Table13[[#This Row],[BMI]]&lt;=29.9,"Overweight",IF(Table13[[#This Row],[BMI]]&lt;=39,"Obese","Severly Obese"))))</f>
        <v>Underweight</v>
      </c>
      <c r="W1085" s="18"/>
    </row>
    <row r="1086" spans="6:23" x14ac:dyDescent="0.3">
      <c r="F1086" s="17">
        <v>40</v>
      </c>
      <c r="G1086" s="8" t="str">
        <f>IF(Table13[[#This Row],[Age]]&lt;25,"18-24",IF(Table13[[#This Row],[Age]]&lt;35,"25-34",IF(Table13[[#This Row],[Age]]&lt;45,"35-44",IF(Table13[[#This Row],[Age]]&lt;55,"45-54","55-64"))))</f>
        <v>35-44</v>
      </c>
      <c r="H1086" s="8" t="s">
        <v>17</v>
      </c>
      <c r="I1086" s="8">
        <v>40</v>
      </c>
      <c r="J1086" s="8">
        <v>1.74</v>
      </c>
      <c r="K1086" s="8">
        <v>173</v>
      </c>
      <c r="L1086" s="8">
        <v>164</v>
      </c>
      <c r="M1086" s="8">
        <v>72</v>
      </c>
      <c r="N1086" s="8">
        <v>1.33</v>
      </c>
      <c r="O1086" s="8">
        <v>1194</v>
      </c>
      <c r="P1086" s="8" t="s">
        <v>21</v>
      </c>
      <c r="Q1086" s="8" t="str">
        <f>_xlfn.IFS(AND(Table13[[#This Row],[Gender]]="female",R1086&lt;20),"Athletes",AND(Table13[[#This Row],[Gender]]="female",R1086&lt;24),"Fitnesss",AND(Table13[[#This Row],[Gender]]="female",R1086&lt;31),"Acceptable",AND(Table13[[#This Row],[Gender]]="female",R1086&lt;40),"Obese",AND(Table13[[#This Row],[Gender]]="male",R1086&lt;13),"Athletes",AND(Table13[[#This Row],[Gender]]="male",R1086&lt;17),"Fitnesss",AND(Table13[[#This Row],[Gender]]="male",R1086&lt;24.9),"Acceptable",AND(Table13[[#This Row],[Gender]]="male",R1086&lt;40),"Obese",AND(Table13[[#This Row],[Gender]]="others",R1086&lt;20),"Athletes",AND(Table13[[#This Row],[Gender]]="others",R1086&lt;24),"Fitnesss",AND(Table13[[#This Row],[Gender]]="others",R1086&lt;31),"Acceptable",AND(Table13[[#This Row],[Gender]]="others",R1086&lt;40),"Obese")</f>
        <v>Fitnesss</v>
      </c>
      <c r="R1086" s="8">
        <v>22.7</v>
      </c>
      <c r="S1086" s="8">
        <v>1.5</v>
      </c>
      <c r="T1086" s="8">
        <v>4</v>
      </c>
      <c r="U1086" s="8">
        <v>1</v>
      </c>
      <c r="V1086" s="8" t="str">
        <f>IF(Table13[[#This Row],[BMI]]&lt;=18.5,"Underweight",IF(Table13[[#This Row],[BMI]]&lt;=24.9,"Normal",IF(Table13[[#This Row],[BMI]]&lt;=29.9,"Overweight",IF(Table13[[#This Row],[BMI]]&lt;=39,"Obese","Severly Obese"))))</f>
        <v>Underweight</v>
      </c>
      <c r="W1086" s="18">
        <v>12.32</v>
      </c>
    </row>
    <row r="1087" spans="6:23" x14ac:dyDescent="0.3">
      <c r="F1087" s="17">
        <v>24</v>
      </c>
      <c r="G1087" s="8" t="str">
        <f>IF(Table13[[#This Row],[Age]]&lt;25,"18-24",IF(Table13[[#This Row],[Age]]&lt;35,"25-34",IF(Table13[[#This Row],[Age]]&lt;45,"35-44",IF(Table13[[#This Row],[Age]]&lt;55,"45-54","55-64"))))</f>
        <v>18-24</v>
      </c>
      <c r="H1087" s="8" t="s">
        <v>19</v>
      </c>
      <c r="I1087" s="8">
        <v>70.3</v>
      </c>
      <c r="J1087" s="8">
        <v>1.87</v>
      </c>
      <c r="K1087" s="8">
        <v>191</v>
      </c>
      <c r="L1087" s="8">
        <v>127</v>
      </c>
      <c r="M1087" s="8">
        <v>62</v>
      </c>
      <c r="N1087" s="8">
        <v>1.75</v>
      </c>
      <c r="O1087" s="8">
        <v>1285</v>
      </c>
      <c r="P1087" s="8" t="s">
        <v>22</v>
      </c>
      <c r="Q1087" s="8" t="str">
        <f>_xlfn.IFS(AND(Table13[[#This Row],[Gender]]="female",R1087&lt;20),"Athletes",AND(Table13[[#This Row],[Gender]]="female",R1087&lt;24),"Fitnesss",AND(Table13[[#This Row],[Gender]]="female",R1087&lt;31),"Acceptable",AND(Table13[[#This Row],[Gender]]="female",R1087&lt;40),"Obese",AND(Table13[[#This Row],[Gender]]="male",R1087&lt;13),"Athletes",AND(Table13[[#This Row],[Gender]]="male",R1087&lt;17),"Fitnesss",AND(Table13[[#This Row],[Gender]]="male",R1087&lt;24.9),"Acceptable",AND(Table13[[#This Row],[Gender]]="male",R1087&lt;40),"Obese",AND(Table13[[#This Row],[Gender]]="others",R1087&lt;20),"Athletes",AND(Table13[[#This Row],[Gender]]="others",R1087&lt;24),"Fitnesss",AND(Table13[[#This Row],[Gender]]="others",R1087&lt;31),"Acceptable",AND(Table13[[#This Row],[Gender]]="others",R1087&lt;40),"Obese")</f>
        <v>Acceptable</v>
      </c>
      <c r="R1087" s="8">
        <v>23.9</v>
      </c>
      <c r="S1087" s="8">
        <v>1.5</v>
      </c>
      <c r="T1087" s="8">
        <v>2</v>
      </c>
      <c r="U1087" s="8">
        <v>3</v>
      </c>
      <c r="V1087" s="8" t="str">
        <f>IF(Table13[[#This Row],[BMI]]&lt;=18.5,"Underweight",IF(Table13[[#This Row],[BMI]]&lt;=24.9,"Normal",IF(Table13[[#This Row],[BMI]]&lt;=29.9,"Overweight",IF(Table13[[#This Row],[BMI]]&lt;=39,"Obese","Severly Obese"))))</f>
        <v>Underweight</v>
      </c>
      <c r="W1087" s="18">
        <v>14.32</v>
      </c>
    </row>
    <row r="1088" spans="6:23" x14ac:dyDescent="0.3">
      <c r="F1088" s="17">
        <v>18</v>
      </c>
      <c r="G1088" s="8" t="str">
        <f>IF(Table13[[#This Row],[Age]]&lt;25,"18-24",IF(Table13[[#This Row],[Age]]&lt;35,"25-34",IF(Table13[[#This Row],[Age]]&lt;45,"35-44",IF(Table13[[#This Row],[Age]]&lt;55,"45-54","55-64"))))</f>
        <v>18-24</v>
      </c>
      <c r="H1088" s="8" t="s">
        <v>19</v>
      </c>
      <c r="I1088" s="8">
        <v>64.7</v>
      </c>
      <c r="J1088" s="8">
        <v>1.67</v>
      </c>
      <c r="K1088" s="8">
        <v>167</v>
      </c>
      <c r="L1088" s="8">
        <v>152</v>
      </c>
      <c r="M1088" s="8">
        <v>74</v>
      </c>
      <c r="N1088" s="8">
        <v>1.38</v>
      </c>
      <c r="O1088" s="8">
        <v>1506</v>
      </c>
      <c r="P1088" s="8" t="s">
        <v>21</v>
      </c>
      <c r="Q1088" s="8" t="str">
        <f>_xlfn.IFS(AND(Table13[[#This Row],[Gender]]="female",R1088&lt;20),"Athletes",AND(Table13[[#This Row],[Gender]]="female",R1088&lt;24),"Fitnesss",AND(Table13[[#This Row],[Gender]]="female",R1088&lt;31),"Acceptable",AND(Table13[[#This Row],[Gender]]="female",R1088&lt;40),"Obese",AND(Table13[[#This Row],[Gender]]="male",R1088&lt;13),"Athletes",AND(Table13[[#This Row],[Gender]]="male",R1088&lt;17),"Fitnesss",AND(Table13[[#This Row],[Gender]]="male",R1088&lt;24.9),"Acceptable",AND(Table13[[#This Row],[Gender]]="male",R1088&lt;40),"Obese",AND(Table13[[#This Row],[Gender]]="others",R1088&lt;20),"Athletes",AND(Table13[[#This Row],[Gender]]="others",R1088&lt;24),"Fitnesss",AND(Table13[[#This Row],[Gender]]="others",R1088&lt;31),"Acceptable",AND(Table13[[#This Row],[Gender]]="others",R1088&lt;40),"Obese")</f>
        <v>Obese</v>
      </c>
      <c r="R1088" s="8">
        <v>26</v>
      </c>
      <c r="S1088" s="8">
        <v>1.7</v>
      </c>
      <c r="T1088" s="8">
        <v>4</v>
      </c>
      <c r="U1088" s="8">
        <v>3</v>
      </c>
      <c r="V1088" s="8" t="str">
        <f>IF(Table13[[#This Row],[BMI]]&lt;=18.5,"Underweight",IF(Table13[[#This Row],[BMI]]&lt;=24.9,"Normal",IF(Table13[[#This Row],[BMI]]&lt;=29.9,"Overweight",IF(Table13[[#This Row],[BMI]]&lt;=39,"Obese","Severly Obese"))))</f>
        <v>Normal</v>
      </c>
      <c r="W1088" s="18">
        <v>19.63</v>
      </c>
    </row>
    <row r="1089" spans="6:23" x14ac:dyDescent="0.3">
      <c r="F1089" s="17">
        <v>59</v>
      </c>
      <c r="G1089" s="8" t="str">
        <f>IF(Table13[[#This Row],[Age]]&lt;25,"18-24",IF(Table13[[#This Row],[Age]]&lt;35,"25-34",IF(Table13[[#This Row],[Age]]&lt;45,"35-44",IF(Table13[[#This Row],[Age]]&lt;55,"45-54","55-64"))))</f>
        <v>55-64</v>
      </c>
      <c r="H1089" s="8" t="s">
        <v>19</v>
      </c>
      <c r="I1089" s="8">
        <v>61</v>
      </c>
      <c r="J1089" s="8">
        <v>1.62</v>
      </c>
      <c r="K1089" s="8">
        <v>191</v>
      </c>
      <c r="L1089" s="8">
        <v>162</v>
      </c>
      <c r="M1089" s="8">
        <v>74</v>
      </c>
      <c r="N1089" s="8">
        <v>1.69</v>
      </c>
      <c r="O1089" s="8">
        <v>499</v>
      </c>
      <c r="P1089" s="8" t="s">
        <v>21</v>
      </c>
      <c r="Q1089" s="8" t="str">
        <f>_xlfn.IFS(AND(Table13[[#This Row],[Gender]]="female",R1089&lt;20),"Athletes",AND(Table13[[#This Row],[Gender]]="female",R1089&lt;24),"Fitnesss",AND(Table13[[#This Row],[Gender]]="female",R1089&lt;31),"Acceptable",AND(Table13[[#This Row],[Gender]]="female",R1089&lt;40),"Obese",AND(Table13[[#This Row],[Gender]]="male",R1089&lt;13),"Athletes",AND(Table13[[#This Row],[Gender]]="male",R1089&lt;17),"Fitnesss",AND(Table13[[#This Row],[Gender]]="male",R1089&lt;24.9),"Acceptable",AND(Table13[[#This Row],[Gender]]="male",R1089&lt;40),"Obese",AND(Table13[[#This Row],[Gender]]="others",R1089&lt;20),"Athletes",AND(Table13[[#This Row],[Gender]]="others",R1089&lt;24),"Fitnesss",AND(Table13[[#This Row],[Gender]]="others",R1089&lt;31),"Acceptable",AND(Table13[[#This Row],[Gender]]="others",R1089&lt;40),"Obese")</f>
        <v>Fitnesss</v>
      </c>
      <c r="R1089" s="8">
        <v>14.6</v>
      </c>
      <c r="S1089" s="8">
        <v>1.8</v>
      </c>
      <c r="T1089" s="8">
        <v>3</v>
      </c>
      <c r="U1089" s="8">
        <v>3</v>
      </c>
      <c r="V1089" s="8" t="str">
        <f>IF(Table13[[#This Row],[BMI]]&lt;=18.5,"Underweight",IF(Table13[[#This Row],[BMI]]&lt;=24.9,"Normal",IF(Table13[[#This Row],[BMI]]&lt;=29.9,"Overweight",IF(Table13[[#This Row],[BMI]]&lt;=39,"Obese","Severly Obese"))))</f>
        <v>Normal</v>
      </c>
      <c r="W1089" s="18">
        <v>21.37</v>
      </c>
    </row>
    <row r="1090" spans="6:23" x14ac:dyDescent="0.3">
      <c r="F1090" s="17">
        <v>37</v>
      </c>
      <c r="G1090" s="8" t="str">
        <f>IF(Table13[[#This Row],[Age]]&lt;25,"18-24",IF(Table13[[#This Row],[Age]]&lt;35,"25-34",IF(Table13[[#This Row],[Age]]&lt;45,"35-44",IF(Table13[[#This Row],[Age]]&lt;55,"45-54","55-64"))))</f>
        <v>35-44</v>
      </c>
      <c r="H1090" s="8" t="s">
        <v>17</v>
      </c>
      <c r="I1090" s="8">
        <v>44.2</v>
      </c>
      <c r="J1090" s="8">
        <v>1.61</v>
      </c>
      <c r="K1090" s="8">
        <v>168</v>
      </c>
      <c r="L1090" s="8">
        <v>164</v>
      </c>
      <c r="M1090" s="8">
        <v>73</v>
      </c>
      <c r="N1090" s="8">
        <v>1.1299999999999999</v>
      </c>
      <c r="O1090" s="8">
        <v>1011</v>
      </c>
      <c r="P1090" s="8" t="s">
        <v>22</v>
      </c>
      <c r="Q1090" s="8" t="str">
        <f>_xlfn.IFS(AND(Table13[[#This Row],[Gender]]="female",R1090&lt;20),"Athletes",AND(Table13[[#This Row],[Gender]]="female",R1090&lt;24),"Fitnesss",AND(Table13[[#This Row],[Gender]]="female",R1090&lt;31),"Acceptable",AND(Table13[[#This Row],[Gender]]="female",R1090&lt;40),"Obese",AND(Table13[[#This Row],[Gender]]="male",R1090&lt;13),"Athletes",AND(Table13[[#This Row],[Gender]]="male",R1090&lt;17),"Fitnesss",AND(Table13[[#This Row],[Gender]]="male",R1090&lt;24.9),"Acceptable",AND(Table13[[#This Row],[Gender]]="male",R1090&lt;40),"Obese",AND(Table13[[#This Row],[Gender]]="others",R1090&lt;20),"Athletes",AND(Table13[[#This Row],[Gender]]="others",R1090&lt;24),"Fitnesss",AND(Table13[[#This Row],[Gender]]="others",R1090&lt;31),"Acceptable",AND(Table13[[#This Row],[Gender]]="others",R1090&lt;40),"Obese")</f>
        <v>Acceptable</v>
      </c>
      <c r="R1090" s="8">
        <v>28.8</v>
      </c>
      <c r="S1090" s="8">
        <v>2.5</v>
      </c>
      <c r="T1090" s="8">
        <v>4</v>
      </c>
      <c r="U1090" s="8">
        <v>3</v>
      </c>
      <c r="V1090" s="8" t="str">
        <f>IF(Table13[[#This Row],[BMI]]&lt;=18.5,"Underweight",IF(Table13[[#This Row],[BMI]]&lt;=24.9,"Normal",IF(Table13[[#This Row],[BMI]]&lt;=29.9,"Overweight",IF(Table13[[#This Row],[BMI]]&lt;=39,"Obese","Severly Obese"))))</f>
        <v>Underweight</v>
      </c>
      <c r="W1090" s="18">
        <v>14.92</v>
      </c>
    </row>
    <row r="1091" spans="6:23" x14ac:dyDescent="0.3">
      <c r="F1091" s="17">
        <v>18</v>
      </c>
      <c r="G1091" s="8" t="str">
        <f>IF(Table13[[#This Row],[Age]]&lt;25,"18-24",IF(Table13[[#This Row],[Age]]&lt;35,"25-34",IF(Table13[[#This Row],[Age]]&lt;45,"35-44",IF(Table13[[#This Row],[Age]]&lt;55,"45-54","55-64"))))</f>
        <v>18-24</v>
      </c>
      <c r="H1091" s="8" t="s">
        <v>19</v>
      </c>
      <c r="I1091" s="8">
        <v>77.8</v>
      </c>
      <c r="J1091" s="8">
        <v>1.76</v>
      </c>
      <c r="K1091" s="8">
        <v>183</v>
      </c>
      <c r="L1091" s="8">
        <v>157</v>
      </c>
      <c r="M1091" s="8">
        <v>74</v>
      </c>
      <c r="N1091" s="8">
        <v>1.27</v>
      </c>
      <c r="O1091" s="8">
        <v>1086</v>
      </c>
      <c r="P1091" s="8" t="s">
        <v>21</v>
      </c>
      <c r="Q1091" s="8" t="str">
        <f>_xlfn.IFS(AND(Table13[[#This Row],[Gender]]="female",R1091&lt;20),"Athletes",AND(Table13[[#This Row],[Gender]]="female",R1091&lt;24),"Fitnesss",AND(Table13[[#This Row],[Gender]]="female",R1091&lt;31),"Acceptable",AND(Table13[[#This Row],[Gender]]="female",R1091&lt;40),"Obese",AND(Table13[[#This Row],[Gender]]="male",R1091&lt;13),"Athletes",AND(Table13[[#This Row],[Gender]]="male",R1091&lt;17),"Fitnesss",AND(Table13[[#This Row],[Gender]]="male",R1091&lt;24.9),"Acceptable",AND(Table13[[#This Row],[Gender]]="male",R1091&lt;40),"Obese",AND(Table13[[#This Row],[Gender]]="others",R1091&lt;20),"Athletes",AND(Table13[[#This Row],[Gender]]="others",R1091&lt;24),"Fitnesss",AND(Table13[[#This Row],[Gender]]="others",R1091&lt;31),"Acceptable",AND(Table13[[#This Row],[Gender]]="others",R1091&lt;40),"Obese")</f>
        <v>Acceptable</v>
      </c>
      <c r="R1091" s="8">
        <v>24.6</v>
      </c>
      <c r="S1091" s="8">
        <v>3.3</v>
      </c>
      <c r="T1091" s="8">
        <v>3</v>
      </c>
      <c r="U1091" s="8">
        <v>1</v>
      </c>
      <c r="V1091" s="8" t="str">
        <f>IF(Table13[[#This Row],[BMI]]&lt;=18.5,"Underweight",IF(Table13[[#This Row],[BMI]]&lt;=24.9,"Normal",IF(Table13[[#This Row],[BMI]]&lt;=29.9,"Overweight",IF(Table13[[#This Row],[BMI]]&lt;=39,"Obese","Severly Obese"))))</f>
        <v>Underweight</v>
      </c>
      <c r="W1091" s="18">
        <v>16.37</v>
      </c>
    </row>
    <row r="1092" spans="6:23" x14ac:dyDescent="0.3">
      <c r="F1092" s="17">
        <v>53</v>
      </c>
      <c r="G1092" s="8" t="str">
        <f>IF(Table13[[#This Row],[Age]]&lt;25,"18-24",IF(Table13[[#This Row],[Age]]&lt;35,"25-34",IF(Table13[[#This Row],[Age]]&lt;45,"35-44",IF(Table13[[#This Row],[Age]]&lt;55,"45-54","55-64"))))</f>
        <v>45-54</v>
      </c>
      <c r="H1092" s="8" t="s">
        <v>19</v>
      </c>
      <c r="I1092" s="8">
        <v>53.5</v>
      </c>
      <c r="J1092" s="8">
        <v>1.71</v>
      </c>
      <c r="K1092" s="8">
        <v>195</v>
      </c>
      <c r="L1092" s="8">
        <v>169</v>
      </c>
      <c r="M1092" s="8">
        <v>54</v>
      </c>
      <c r="N1092" s="8">
        <v>1.04</v>
      </c>
      <c r="O1092" s="8">
        <v>900</v>
      </c>
      <c r="P1092" s="8" t="s">
        <v>22</v>
      </c>
      <c r="Q1092" s="8" t="str">
        <f>_xlfn.IFS(AND(Table13[[#This Row],[Gender]]="female",R1092&lt;20),"Athletes",AND(Table13[[#This Row],[Gender]]="female",R1092&lt;24),"Fitnesss",AND(Table13[[#This Row],[Gender]]="female",R1092&lt;31),"Acceptable",AND(Table13[[#This Row],[Gender]]="female",R1092&lt;40),"Obese",AND(Table13[[#This Row],[Gender]]="male",R1092&lt;13),"Athletes",AND(Table13[[#This Row],[Gender]]="male",R1092&lt;17),"Fitnesss",AND(Table13[[#This Row],[Gender]]="male",R1092&lt;24.9),"Acceptable",AND(Table13[[#This Row],[Gender]]="male",R1092&lt;40),"Obese",AND(Table13[[#This Row],[Gender]]="others",R1092&lt;20),"Athletes",AND(Table13[[#This Row],[Gender]]="others",R1092&lt;24),"Fitnesss",AND(Table13[[#This Row],[Gender]]="others",R1092&lt;31),"Acceptable",AND(Table13[[#This Row],[Gender]]="others",R1092&lt;40),"Obese")</f>
        <v>Obese</v>
      </c>
      <c r="R1092" s="8">
        <v>25.1</v>
      </c>
      <c r="S1092" s="8">
        <v>2.7</v>
      </c>
      <c r="T1092" s="8">
        <v>3</v>
      </c>
      <c r="U1092" s="8">
        <v>2</v>
      </c>
      <c r="V1092" s="8" t="str">
        <f>IF(Table13[[#This Row],[BMI]]&lt;=18.5,"Underweight",IF(Table13[[#This Row],[BMI]]&lt;=24.9,"Normal",IF(Table13[[#This Row],[BMI]]&lt;=29.9,"Overweight",IF(Table13[[#This Row],[BMI]]&lt;=39,"Obese","Severly Obese"))))</f>
        <v>Obese</v>
      </c>
      <c r="W1092" s="18">
        <v>33.56</v>
      </c>
    </row>
    <row r="1093" spans="6:23" x14ac:dyDescent="0.3">
      <c r="F1093" s="17">
        <v>44</v>
      </c>
      <c r="G1093" s="8" t="str">
        <f>IF(Table13[[#This Row],[Age]]&lt;25,"18-24",IF(Table13[[#This Row],[Age]]&lt;35,"25-34",IF(Table13[[#This Row],[Age]]&lt;45,"35-44",IF(Table13[[#This Row],[Age]]&lt;55,"45-54","55-64"))))</f>
        <v>35-44</v>
      </c>
      <c r="H1093" s="8" t="s">
        <v>19</v>
      </c>
      <c r="I1093" s="8">
        <v>63.7</v>
      </c>
      <c r="J1093" s="8">
        <v>1.62</v>
      </c>
      <c r="K1093" s="8">
        <v>176</v>
      </c>
      <c r="L1093" s="8">
        <v>166</v>
      </c>
      <c r="M1093" s="8">
        <v>54</v>
      </c>
      <c r="N1093" s="8">
        <v>1.1599999999999999</v>
      </c>
      <c r="O1093" s="8">
        <v>1142</v>
      </c>
      <c r="P1093" s="8" t="s">
        <v>20</v>
      </c>
      <c r="Q1093" s="8" t="str">
        <f>_xlfn.IFS(AND(Table13[[#This Row],[Gender]]="female",R1093&lt;20),"Athletes",AND(Table13[[#This Row],[Gender]]="female",R1093&lt;24),"Fitnesss",AND(Table13[[#This Row],[Gender]]="female",R1093&lt;31),"Acceptable",AND(Table13[[#This Row],[Gender]]="female",R1093&lt;40),"Obese",AND(Table13[[#This Row],[Gender]]="male",R1093&lt;13),"Athletes",AND(Table13[[#This Row],[Gender]]="male",R1093&lt;17),"Fitnesss",AND(Table13[[#This Row],[Gender]]="male",R1093&lt;24.9),"Acceptable",AND(Table13[[#This Row],[Gender]]="male",R1093&lt;40),"Obese",AND(Table13[[#This Row],[Gender]]="others",R1093&lt;20),"Athletes",AND(Table13[[#This Row],[Gender]]="others",R1093&lt;24),"Fitnesss",AND(Table13[[#This Row],[Gender]]="others",R1093&lt;31),"Acceptable",AND(Table13[[#This Row],[Gender]]="others",R1093&lt;40),"Obese")</f>
        <v>Acceptable</v>
      </c>
      <c r="R1093" s="8">
        <v>23</v>
      </c>
      <c r="S1093" s="8">
        <v>3.2</v>
      </c>
      <c r="T1093" s="8">
        <v>5</v>
      </c>
      <c r="U1093" s="8">
        <v>2</v>
      </c>
      <c r="V1093" s="8" t="str">
        <f>IF(Table13[[#This Row],[BMI]]&lt;=18.5,"Underweight",IF(Table13[[#This Row],[BMI]]&lt;=24.9,"Normal",IF(Table13[[#This Row],[BMI]]&lt;=29.9,"Overweight",IF(Table13[[#This Row],[BMI]]&lt;=39,"Obese","Severly Obese"))))</f>
        <v>Underweight</v>
      </c>
      <c r="W1093" s="18">
        <v>12.32</v>
      </c>
    </row>
    <row r="1094" spans="6:23" x14ac:dyDescent="0.3">
      <c r="F1094" s="17">
        <v>28</v>
      </c>
      <c r="G1094" s="8" t="str">
        <f>IF(Table13[[#This Row],[Age]]&lt;25,"18-24",IF(Table13[[#This Row],[Age]]&lt;35,"25-34",IF(Table13[[#This Row],[Age]]&lt;45,"35-44",IF(Table13[[#This Row],[Age]]&lt;55,"45-54","55-64"))))</f>
        <v>25-34</v>
      </c>
      <c r="H1094" s="8" t="s">
        <v>17</v>
      </c>
      <c r="I1094" s="8">
        <v>64.099999999999994</v>
      </c>
      <c r="J1094" s="8">
        <v>1.82</v>
      </c>
      <c r="K1094" s="8">
        <v>170</v>
      </c>
      <c r="L1094" s="8">
        <v>120</v>
      </c>
      <c r="M1094" s="8">
        <v>57</v>
      </c>
      <c r="N1094" s="8">
        <v>1.53</v>
      </c>
      <c r="O1094" s="8">
        <v>686</v>
      </c>
      <c r="P1094" s="8" t="s">
        <v>22</v>
      </c>
      <c r="Q1094" s="8" t="str">
        <f>_xlfn.IFS(AND(Table13[[#This Row],[Gender]]="female",R1094&lt;20),"Athletes",AND(Table13[[#This Row],[Gender]]="female",R1094&lt;24),"Fitnesss",AND(Table13[[#This Row],[Gender]]="female",R1094&lt;31),"Acceptable",AND(Table13[[#This Row],[Gender]]="female",R1094&lt;40),"Obese",AND(Table13[[#This Row],[Gender]]="male",R1094&lt;13),"Athletes",AND(Table13[[#This Row],[Gender]]="male",R1094&lt;17),"Fitnesss",AND(Table13[[#This Row],[Gender]]="male",R1094&lt;24.9),"Acceptable",AND(Table13[[#This Row],[Gender]]="male",R1094&lt;40),"Obese",AND(Table13[[#This Row],[Gender]]="others",R1094&lt;20),"Athletes",AND(Table13[[#This Row],[Gender]]="others",R1094&lt;24),"Fitnesss",AND(Table13[[#This Row],[Gender]]="others",R1094&lt;31),"Acceptable",AND(Table13[[#This Row],[Gender]]="others",R1094&lt;40),"Obese")</f>
        <v>Athletes</v>
      </c>
      <c r="R1094" s="8">
        <v>16.3</v>
      </c>
      <c r="S1094" s="8">
        <v>2.7</v>
      </c>
      <c r="T1094" s="8">
        <v>2</v>
      </c>
      <c r="U1094" s="8"/>
      <c r="V1094" s="8" t="str">
        <f>IF(Table13[[#This Row],[BMI]]&lt;=18.5,"Underweight",IF(Table13[[#This Row],[BMI]]&lt;=24.9,"Normal",IF(Table13[[#This Row],[BMI]]&lt;=29.9,"Overweight",IF(Table13[[#This Row],[BMI]]&lt;=39,"Obese","Severly Obese"))))</f>
        <v>Underweight</v>
      </c>
      <c r="W1094" s="18">
        <v>13.85</v>
      </c>
    </row>
    <row r="1095" spans="6:23" x14ac:dyDescent="0.3">
      <c r="F1095" s="17">
        <v>18</v>
      </c>
      <c r="G1095" s="8" t="str">
        <f>IF(Table13[[#This Row],[Age]]&lt;25,"18-24",IF(Table13[[#This Row],[Age]]&lt;35,"25-34",IF(Table13[[#This Row],[Age]]&lt;45,"35-44",IF(Table13[[#This Row],[Age]]&lt;55,"45-54","55-64"))))</f>
        <v>18-24</v>
      </c>
      <c r="H1095" s="8" t="s">
        <v>17</v>
      </c>
      <c r="I1095" s="8">
        <v>54.5</v>
      </c>
      <c r="J1095" s="8">
        <v>1.67</v>
      </c>
      <c r="K1095" s="8">
        <v>196</v>
      </c>
      <c r="L1095" s="8">
        <v>148</v>
      </c>
      <c r="M1095" s="8">
        <v>73</v>
      </c>
      <c r="N1095" s="8">
        <v>1.21</v>
      </c>
      <c r="O1095" s="8">
        <v>819</v>
      </c>
      <c r="P1095" s="8" t="s">
        <v>18</v>
      </c>
      <c r="Q1095" s="8" t="str">
        <f>_xlfn.IFS(AND(Table13[[#This Row],[Gender]]="female",R1095&lt;20),"Athletes",AND(Table13[[#This Row],[Gender]]="female",R1095&lt;24),"Fitnesss",AND(Table13[[#This Row],[Gender]]="female",R1095&lt;31),"Acceptable",AND(Table13[[#This Row],[Gender]]="female",R1095&lt;40),"Obese",AND(Table13[[#This Row],[Gender]]="male",R1095&lt;13),"Athletes",AND(Table13[[#This Row],[Gender]]="male",R1095&lt;17),"Fitnesss",AND(Table13[[#This Row],[Gender]]="male",R1095&lt;24.9),"Acceptable",AND(Table13[[#This Row],[Gender]]="male",R1095&lt;40),"Obese",AND(Table13[[#This Row],[Gender]]="others",R1095&lt;20),"Athletes",AND(Table13[[#This Row],[Gender]]="others",R1095&lt;24),"Fitnesss",AND(Table13[[#This Row],[Gender]]="others",R1095&lt;31),"Acceptable",AND(Table13[[#This Row],[Gender]]="others",R1095&lt;40),"Obese")</f>
        <v>Acceptable</v>
      </c>
      <c r="R1095" s="8">
        <v>29.4</v>
      </c>
      <c r="S1095" s="8">
        <v>3.1</v>
      </c>
      <c r="T1095" s="8">
        <v>3</v>
      </c>
      <c r="U1095" s="8">
        <v>1</v>
      </c>
      <c r="V1095" s="8" t="str">
        <f>IF(Table13[[#This Row],[BMI]]&lt;=18.5,"Underweight",IF(Table13[[#This Row],[BMI]]&lt;=24.9,"Normal",IF(Table13[[#This Row],[BMI]]&lt;=29.9,"Overweight",IF(Table13[[#This Row],[BMI]]&lt;=39,"Obese","Severly Obese"))))</f>
        <v>Underweight</v>
      </c>
      <c r="W1095" s="18">
        <v>15.16</v>
      </c>
    </row>
    <row r="1096" spans="6:23" x14ac:dyDescent="0.3">
      <c r="F1096" s="17">
        <v>30</v>
      </c>
      <c r="G1096" s="8" t="str">
        <f>IF(Table13[[#This Row],[Age]]&lt;25,"18-24",IF(Table13[[#This Row],[Age]]&lt;35,"25-34",IF(Table13[[#This Row],[Age]]&lt;45,"35-44",IF(Table13[[#This Row],[Age]]&lt;55,"45-54","55-64"))))</f>
        <v>25-34</v>
      </c>
      <c r="H1096" s="8" t="s">
        <v>17</v>
      </c>
      <c r="I1096" s="8">
        <v>40</v>
      </c>
      <c r="J1096" s="8">
        <v>1.93</v>
      </c>
      <c r="K1096" s="8">
        <v>180</v>
      </c>
      <c r="L1096" s="8">
        <v>143</v>
      </c>
      <c r="M1096" s="8">
        <v>74</v>
      </c>
      <c r="N1096" s="8">
        <v>1.94</v>
      </c>
      <c r="O1096" s="8">
        <v>916</v>
      </c>
      <c r="P1096" s="8" t="s">
        <v>22</v>
      </c>
      <c r="Q1096" s="8" t="str">
        <f>_xlfn.IFS(AND(Table13[[#This Row],[Gender]]="female",R1096&lt;20),"Athletes",AND(Table13[[#This Row],[Gender]]="female",R1096&lt;24),"Fitnesss",AND(Table13[[#This Row],[Gender]]="female",R1096&lt;31),"Acceptable",AND(Table13[[#This Row],[Gender]]="female",R1096&lt;40),"Obese",AND(Table13[[#This Row],[Gender]]="male",R1096&lt;13),"Athletes",AND(Table13[[#This Row],[Gender]]="male",R1096&lt;17),"Fitnesss",AND(Table13[[#This Row],[Gender]]="male",R1096&lt;24.9),"Acceptable",AND(Table13[[#This Row],[Gender]]="male",R1096&lt;40),"Obese",AND(Table13[[#This Row],[Gender]]="others",R1096&lt;20),"Athletes",AND(Table13[[#This Row],[Gender]]="others",R1096&lt;24),"Fitnesss",AND(Table13[[#This Row],[Gender]]="others",R1096&lt;31),"Acceptable",AND(Table13[[#This Row],[Gender]]="others",R1096&lt;40),"Obese")</f>
        <v>Athletes</v>
      </c>
      <c r="R1096" s="8">
        <v>17.2</v>
      </c>
      <c r="S1096" s="8">
        <v>2.2999999999999998</v>
      </c>
      <c r="T1096" s="8">
        <v>2</v>
      </c>
      <c r="U1096" s="8">
        <v>1</v>
      </c>
      <c r="V1096" s="8" t="str">
        <f>IF(Table13[[#This Row],[BMI]]&lt;=18.5,"Underweight",IF(Table13[[#This Row],[BMI]]&lt;=24.9,"Normal",IF(Table13[[#This Row],[BMI]]&lt;=29.9,"Overweight",IF(Table13[[#This Row],[BMI]]&lt;=39,"Obese","Severly Obese"))))</f>
        <v>Underweight</v>
      </c>
      <c r="W1096" s="18">
        <v>12.32</v>
      </c>
    </row>
    <row r="1097" spans="6:23" x14ac:dyDescent="0.3">
      <c r="F1097" s="17">
        <v>25</v>
      </c>
      <c r="G1097" s="8" t="str">
        <f>IF(Table13[[#This Row],[Age]]&lt;25,"18-24",IF(Table13[[#This Row],[Age]]&lt;35,"25-34",IF(Table13[[#This Row],[Age]]&lt;45,"35-44",IF(Table13[[#This Row],[Age]]&lt;55,"45-54","55-64"))))</f>
        <v>25-34</v>
      </c>
      <c r="H1097" s="8" t="s">
        <v>17</v>
      </c>
      <c r="I1097" s="8">
        <v>68.8</v>
      </c>
      <c r="J1097" s="8">
        <v>1.73</v>
      </c>
      <c r="K1097" s="8">
        <v>182</v>
      </c>
      <c r="L1097" s="8">
        <v>133</v>
      </c>
      <c r="M1097" s="8">
        <v>74</v>
      </c>
      <c r="N1097" s="8">
        <v>1.65</v>
      </c>
      <c r="O1097" s="8">
        <v>851</v>
      </c>
      <c r="P1097" s="8" t="s">
        <v>18</v>
      </c>
      <c r="Q1097" s="8" t="str">
        <f>_xlfn.IFS(AND(Table13[[#This Row],[Gender]]="female",R1097&lt;20),"Athletes",AND(Table13[[#This Row],[Gender]]="female",R1097&lt;24),"Fitnesss",AND(Table13[[#This Row],[Gender]]="female",R1097&lt;31),"Acceptable",AND(Table13[[#This Row],[Gender]]="female",R1097&lt;40),"Obese",AND(Table13[[#This Row],[Gender]]="male",R1097&lt;13),"Athletes",AND(Table13[[#This Row],[Gender]]="male",R1097&lt;17),"Fitnesss",AND(Table13[[#This Row],[Gender]]="male",R1097&lt;24.9),"Acceptable",AND(Table13[[#This Row],[Gender]]="male",R1097&lt;40),"Obese",AND(Table13[[#This Row],[Gender]]="others",R1097&lt;20),"Athletes",AND(Table13[[#This Row],[Gender]]="others",R1097&lt;24),"Fitnesss",AND(Table13[[#This Row],[Gender]]="others",R1097&lt;31),"Acceptable",AND(Table13[[#This Row],[Gender]]="others",R1097&lt;40),"Obese")</f>
        <v>Acceptable</v>
      </c>
      <c r="R1097" s="8">
        <v>28.8</v>
      </c>
      <c r="S1097" s="8">
        <v>1.8</v>
      </c>
      <c r="T1097" s="8">
        <v>3</v>
      </c>
      <c r="U1097" s="8">
        <v>3</v>
      </c>
      <c r="V1097" s="8" t="str">
        <f>IF(Table13[[#This Row],[BMI]]&lt;=18.5,"Underweight",IF(Table13[[#This Row],[BMI]]&lt;=24.9,"Normal",IF(Table13[[#This Row],[BMI]]&lt;=29.9,"Overweight",IF(Table13[[#This Row],[BMI]]&lt;=39,"Obese","Severly Obese"))))</f>
        <v>Underweight</v>
      </c>
      <c r="W1097" s="18">
        <v>12.32</v>
      </c>
    </row>
    <row r="1098" spans="6:23" x14ac:dyDescent="0.3">
      <c r="F1098" s="17">
        <v>18</v>
      </c>
      <c r="G1098" s="8" t="str">
        <f>IF(Table13[[#This Row],[Age]]&lt;25,"18-24",IF(Table13[[#This Row],[Age]]&lt;35,"25-34",IF(Table13[[#This Row],[Age]]&lt;45,"35-44",IF(Table13[[#This Row],[Age]]&lt;55,"45-54","55-64"))))</f>
        <v>18-24</v>
      </c>
      <c r="H1098" s="8" t="s">
        <v>23</v>
      </c>
      <c r="I1098" s="8">
        <v>50.6</v>
      </c>
      <c r="J1098" s="8">
        <v>1.74</v>
      </c>
      <c r="K1098" s="8">
        <v>162</v>
      </c>
      <c r="L1098" s="8">
        <v>153</v>
      </c>
      <c r="M1098" s="8">
        <v>74</v>
      </c>
      <c r="N1098" s="8">
        <v>1.25</v>
      </c>
      <c r="O1098" s="8">
        <v>634</v>
      </c>
      <c r="P1098" s="8" t="s">
        <v>18</v>
      </c>
      <c r="Q1098" s="8" t="str">
        <f>_xlfn.IFS(AND(Table13[[#This Row],[Gender]]="female",R1098&lt;20),"Athletes",AND(Table13[[#This Row],[Gender]]="female",R1098&lt;24),"Fitnesss",AND(Table13[[#This Row],[Gender]]="female",R1098&lt;31),"Acceptable",AND(Table13[[#This Row],[Gender]]="female",R1098&lt;40),"Obese",AND(Table13[[#This Row],[Gender]]="male",R1098&lt;13),"Athletes",AND(Table13[[#This Row],[Gender]]="male",R1098&lt;17),"Fitnesss",AND(Table13[[#This Row],[Gender]]="male",R1098&lt;24.9),"Acceptable",AND(Table13[[#This Row],[Gender]]="male",R1098&lt;40),"Obese",AND(Table13[[#This Row],[Gender]]="others",R1098&lt;20),"Athletes",AND(Table13[[#This Row],[Gender]]="others",R1098&lt;24),"Fitnesss",AND(Table13[[#This Row],[Gender]]="others",R1098&lt;31),"Acceptable",AND(Table13[[#This Row],[Gender]]="others",R1098&lt;40),"Obese")</f>
        <v>Acceptable</v>
      </c>
      <c r="R1098" s="8">
        <v>29.3</v>
      </c>
      <c r="S1098" s="8">
        <v>1.5</v>
      </c>
      <c r="T1098" s="8">
        <v>4</v>
      </c>
      <c r="U1098" s="8"/>
      <c r="V1098" s="8" t="str">
        <f>IF(Table13[[#This Row],[BMI]]&lt;=18.5,"Underweight",IF(Table13[[#This Row],[BMI]]&lt;=24.9,"Normal",IF(Table13[[#This Row],[BMI]]&lt;=29.9,"Overweight",IF(Table13[[#This Row],[BMI]]&lt;=39,"Obese","Severly Obese"))))</f>
        <v>Underweight</v>
      </c>
      <c r="W1098" s="18">
        <v>17.25</v>
      </c>
    </row>
    <row r="1099" spans="6:23" x14ac:dyDescent="0.3">
      <c r="F1099" s="17">
        <v>53</v>
      </c>
      <c r="G1099" s="8" t="str">
        <f>IF(Table13[[#This Row],[Age]]&lt;25,"18-24",IF(Table13[[#This Row],[Age]]&lt;35,"25-34",IF(Table13[[#This Row],[Age]]&lt;45,"35-44",IF(Table13[[#This Row],[Age]]&lt;55,"45-54","55-64"))))</f>
        <v>45-54</v>
      </c>
      <c r="H1099" s="8" t="s">
        <v>17</v>
      </c>
      <c r="I1099" s="8">
        <v>68.900000000000006</v>
      </c>
      <c r="J1099" s="8">
        <v>1.6</v>
      </c>
      <c r="K1099" s="8">
        <v>191</v>
      </c>
      <c r="L1099" s="8">
        <v>155</v>
      </c>
      <c r="M1099" s="8">
        <v>70</v>
      </c>
      <c r="N1099" s="8">
        <v>0.89</v>
      </c>
      <c r="O1099" s="8">
        <v>874</v>
      </c>
      <c r="P1099" s="8" t="s">
        <v>22</v>
      </c>
      <c r="Q1099" s="8" t="str">
        <f>_xlfn.IFS(AND(Table13[[#This Row],[Gender]]="female",R1099&lt;20),"Athletes",AND(Table13[[#This Row],[Gender]]="female",R1099&lt;24),"Fitnesss",AND(Table13[[#This Row],[Gender]]="female",R1099&lt;31),"Acceptable",AND(Table13[[#This Row],[Gender]]="female",R1099&lt;40),"Obese",AND(Table13[[#This Row],[Gender]]="male",R1099&lt;13),"Athletes",AND(Table13[[#This Row],[Gender]]="male",R1099&lt;17),"Fitnesss",AND(Table13[[#This Row],[Gender]]="male",R1099&lt;24.9),"Acceptable",AND(Table13[[#This Row],[Gender]]="male",R1099&lt;40),"Obese",AND(Table13[[#This Row],[Gender]]="others",R1099&lt;20),"Athletes",AND(Table13[[#This Row],[Gender]]="others",R1099&lt;24),"Fitnesss",AND(Table13[[#This Row],[Gender]]="others",R1099&lt;31),"Acceptable",AND(Table13[[#This Row],[Gender]]="others",R1099&lt;40),"Obese")</f>
        <v>Athletes</v>
      </c>
      <c r="R1099" s="8">
        <v>10.199999999999999</v>
      </c>
      <c r="S1099" s="8">
        <v>1.6</v>
      </c>
      <c r="T1099" s="8">
        <v>3</v>
      </c>
      <c r="U1099" s="8">
        <v>2</v>
      </c>
      <c r="V1099" s="8" t="str">
        <f>IF(Table13[[#This Row],[BMI]]&lt;=18.5,"Underweight",IF(Table13[[#This Row],[BMI]]&lt;=24.9,"Normal",IF(Table13[[#This Row],[BMI]]&lt;=29.9,"Overweight",IF(Table13[[#This Row],[BMI]]&lt;=39,"Obese","Severly Obese"))))</f>
        <v>Overweight</v>
      </c>
      <c r="W1099" s="18">
        <v>27.19</v>
      </c>
    </row>
    <row r="1100" spans="6:23" x14ac:dyDescent="0.3">
      <c r="F1100" s="17">
        <v>25</v>
      </c>
      <c r="G1100" s="8" t="str">
        <f>IF(Table13[[#This Row],[Age]]&lt;25,"18-24",IF(Table13[[#This Row],[Age]]&lt;35,"25-34",IF(Table13[[#This Row],[Age]]&lt;45,"35-44",IF(Table13[[#This Row],[Age]]&lt;55,"45-54","55-64"))))</f>
        <v>25-34</v>
      </c>
      <c r="H1100" s="8" t="s">
        <v>19</v>
      </c>
      <c r="I1100" s="8">
        <v>100.4</v>
      </c>
      <c r="J1100" s="8">
        <v>1.76</v>
      </c>
      <c r="K1100" s="8">
        <v>173</v>
      </c>
      <c r="L1100" s="8">
        <v>169</v>
      </c>
      <c r="M1100" s="8">
        <v>58</v>
      </c>
      <c r="N1100" s="8">
        <v>0.85</v>
      </c>
      <c r="O1100" s="8">
        <v>1465</v>
      </c>
      <c r="P1100" s="8" t="s">
        <v>20</v>
      </c>
      <c r="Q1100" s="8" t="str">
        <f>_xlfn.IFS(AND(Table13[[#This Row],[Gender]]="female",R1100&lt;20),"Athletes",AND(Table13[[#This Row],[Gender]]="female",R1100&lt;24),"Fitnesss",AND(Table13[[#This Row],[Gender]]="female",R1100&lt;31),"Acceptable",AND(Table13[[#This Row],[Gender]]="female",R1100&lt;40),"Obese",AND(Table13[[#This Row],[Gender]]="male",R1100&lt;13),"Athletes",AND(Table13[[#This Row],[Gender]]="male",R1100&lt;17),"Fitnesss",AND(Table13[[#This Row],[Gender]]="male",R1100&lt;24.9),"Acceptable",AND(Table13[[#This Row],[Gender]]="male",R1100&lt;40),"Obese",AND(Table13[[#This Row],[Gender]]="others",R1100&lt;20),"Athletes",AND(Table13[[#This Row],[Gender]]="others",R1100&lt;24),"Fitnesss",AND(Table13[[#This Row],[Gender]]="others",R1100&lt;31),"Acceptable",AND(Table13[[#This Row],[Gender]]="others",R1100&lt;40),"Obese")</f>
        <v>Obese</v>
      </c>
      <c r="R1100" s="8">
        <v>30.4</v>
      </c>
      <c r="S1100" s="8">
        <v>1.8</v>
      </c>
      <c r="T1100" s="8">
        <v>3</v>
      </c>
      <c r="U1100" s="8">
        <v>1</v>
      </c>
      <c r="V1100" s="8" t="str">
        <f>IF(Table13[[#This Row],[BMI]]&lt;=18.5,"Underweight",IF(Table13[[#This Row],[BMI]]&lt;=24.9,"Normal",IF(Table13[[#This Row],[BMI]]&lt;=29.9,"Overweight",IF(Table13[[#This Row],[BMI]]&lt;=39,"Obese","Severly Obese"))))</f>
        <v>Underweight</v>
      </c>
      <c r="W1100" s="18">
        <v>17.45</v>
      </c>
    </row>
    <row r="1101" spans="6:23" x14ac:dyDescent="0.3">
      <c r="F1101" s="17">
        <v>58</v>
      </c>
      <c r="G1101" s="8" t="str">
        <f>IF(Table13[[#This Row],[Age]]&lt;25,"18-24",IF(Table13[[#This Row],[Age]]&lt;35,"25-34",IF(Table13[[#This Row],[Age]]&lt;45,"35-44",IF(Table13[[#This Row],[Age]]&lt;55,"45-54","55-64"))))</f>
        <v>55-64</v>
      </c>
      <c r="H1101" s="8" t="s">
        <v>17</v>
      </c>
      <c r="I1101" s="8">
        <v>105.7</v>
      </c>
      <c r="J1101" s="8">
        <v>1.65</v>
      </c>
      <c r="K1101" s="8">
        <v>171</v>
      </c>
      <c r="L1101" s="8">
        <v>136</v>
      </c>
      <c r="M1101" s="8">
        <v>71</v>
      </c>
      <c r="N1101" s="8">
        <v>1.22</v>
      </c>
      <c r="O1101" s="8">
        <v>841</v>
      </c>
      <c r="P1101" s="8" t="s">
        <v>20</v>
      </c>
      <c r="Q1101" s="8" t="str">
        <f>_xlfn.IFS(AND(Table13[[#This Row],[Gender]]="female",R1101&lt;20),"Athletes",AND(Table13[[#This Row],[Gender]]="female",R1101&lt;24),"Fitnesss",AND(Table13[[#This Row],[Gender]]="female",R1101&lt;31),"Acceptable",AND(Table13[[#This Row],[Gender]]="female",R1101&lt;40),"Obese",AND(Table13[[#This Row],[Gender]]="male",R1101&lt;13),"Athletes",AND(Table13[[#This Row],[Gender]]="male",R1101&lt;17),"Fitnesss",AND(Table13[[#This Row],[Gender]]="male",R1101&lt;24.9),"Acceptable",AND(Table13[[#This Row],[Gender]]="male",R1101&lt;40),"Obese",AND(Table13[[#This Row],[Gender]]="others",R1101&lt;20),"Athletes",AND(Table13[[#This Row],[Gender]]="others",R1101&lt;24),"Fitnesss",AND(Table13[[#This Row],[Gender]]="others",R1101&lt;31),"Acceptable",AND(Table13[[#This Row],[Gender]]="others",R1101&lt;40),"Obese")</f>
        <v>Obese</v>
      </c>
      <c r="R1101" s="8">
        <v>32</v>
      </c>
      <c r="S1101" s="8">
        <v>3.4</v>
      </c>
      <c r="T1101" s="8"/>
      <c r="U1101" s="8">
        <v>3</v>
      </c>
      <c r="V1101" s="8" t="str">
        <f>IF(Table13[[#This Row],[BMI]]&lt;=18.5,"Underweight",IF(Table13[[#This Row],[BMI]]&lt;=24.9,"Normal",IF(Table13[[#This Row],[BMI]]&lt;=29.9,"Overweight",IF(Table13[[#This Row],[BMI]]&lt;=39,"Obese","Severly Obese"))))</f>
        <v>Underweight</v>
      </c>
      <c r="W1101" s="18">
        <v>13.66</v>
      </c>
    </row>
    <row r="1102" spans="6:23" x14ac:dyDescent="0.3">
      <c r="F1102" s="17">
        <v>18</v>
      </c>
      <c r="G1102" s="8" t="str">
        <f>IF(Table13[[#This Row],[Age]]&lt;25,"18-24",IF(Table13[[#This Row],[Age]]&lt;35,"25-34",IF(Table13[[#This Row],[Age]]&lt;45,"35-44",IF(Table13[[#This Row],[Age]]&lt;55,"45-54","55-64"))))</f>
        <v>18-24</v>
      </c>
      <c r="H1102" s="8" t="s">
        <v>17</v>
      </c>
      <c r="I1102" s="8">
        <v>61.9</v>
      </c>
      <c r="J1102" s="8">
        <v>1.58</v>
      </c>
      <c r="K1102" s="8">
        <v>184</v>
      </c>
      <c r="L1102" s="8">
        <v>141</v>
      </c>
      <c r="M1102" s="8">
        <v>18</v>
      </c>
      <c r="N1102" s="8">
        <v>1.63</v>
      </c>
      <c r="O1102" s="8">
        <v>900</v>
      </c>
      <c r="P1102" s="8" t="s">
        <v>22</v>
      </c>
      <c r="Q1102" s="8" t="str">
        <f>_xlfn.IFS(AND(Table13[[#This Row],[Gender]]="female",R1102&lt;20),"Athletes",AND(Table13[[#This Row],[Gender]]="female",R1102&lt;24),"Fitnesss",AND(Table13[[#This Row],[Gender]]="female",R1102&lt;31),"Acceptable",AND(Table13[[#This Row],[Gender]]="female",R1102&lt;40),"Obese",AND(Table13[[#This Row],[Gender]]="male",R1102&lt;13),"Athletes",AND(Table13[[#This Row],[Gender]]="male",R1102&lt;17),"Fitnesss",AND(Table13[[#This Row],[Gender]]="male",R1102&lt;24.9),"Acceptable",AND(Table13[[#This Row],[Gender]]="male",R1102&lt;40),"Obese",AND(Table13[[#This Row],[Gender]]="others",R1102&lt;20),"Athletes",AND(Table13[[#This Row],[Gender]]="others",R1102&lt;24),"Fitnesss",AND(Table13[[#This Row],[Gender]]="others",R1102&lt;31),"Acceptable",AND(Table13[[#This Row],[Gender]]="others",R1102&lt;40),"Obese")</f>
        <v>Acceptable</v>
      </c>
      <c r="R1102" s="8">
        <v>25.2</v>
      </c>
      <c r="S1102" s="8">
        <v>3.7</v>
      </c>
      <c r="T1102" s="8">
        <v>2</v>
      </c>
      <c r="U1102" s="8">
        <v>1</v>
      </c>
      <c r="V1102" s="8" t="str">
        <f>IF(Table13[[#This Row],[BMI]]&lt;=18.5,"Underweight",IF(Table13[[#This Row],[BMI]]&lt;=24.9,"Normal",IF(Table13[[#This Row],[BMI]]&lt;=29.9,"Overweight",IF(Table13[[#This Row],[BMI]]&lt;=39,"Obese","Severly Obese"))))</f>
        <v>Underweight</v>
      </c>
      <c r="W1102" s="18">
        <v>18.23</v>
      </c>
    </row>
    <row r="1103" spans="6:23" x14ac:dyDescent="0.3">
      <c r="F1103" s="17">
        <v>50</v>
      </c>
      <c r="G1103" s="8" t="str">
        <f>IF(Table13[[#This Row],[Age]]&lt;25,"18-24",IF(Table13[[#This Row],[Age]]&lt;35,"25-34",IF(Table13[[#This Row],[Age]]&lt;45,"35-44",IF(Table13[[#This Row],[Age]]&lt;55,"45-54","55-64"))))</f>
        <v>45-54</v>
      </c>
      <c r="H1103" s="8" t="s">
        <v>17</v>
      </c>
      <c r="I1103" s="8">
        <v>60.4</v>
      </c>
      <c r="J1103" s="8">
        <v>1.72</v>
      </c>
      <c r="K1103" s="8">
        <v>184</v>
      </c>
      <c r="L1103" s="8">
        <v>124</v>
      </c>
      <c r="M1103" s="8">
        <v>74</v>
      </c>
      <c r="N1103" s="8">
        <v>2</v>
      </c>
      <c r="O1103" s="8">
        <v>494</v>
      </c>
      <c r="P1103" s="8" t="s">
        <v>22</v>
      </c>
      <c r="Q1103" s="8" t="str">
        <f>_xlfn.IFS(AND(Table13[[#This Row],[Gender]]="female",R1103&lt;20),"Athletes",AND(Table13[[#This Row],[Gender]]="female",R1103&lt;24),"Fitnesss",AND(Table13[[#This Row],[Gender]]="female",R1103&lt;31),"Acceptable",AND(Table13[[#This Row],[Gender]]="female",R1103&lt;40),"Obese",AND(Table13[[#This Row],[Gender]]="male",R1103&lt;13),"Athletes",AND(Table13[[#This Row],[Gender]]="male",R1103&lt;17),"Fitnesss",AND(Table13[[#This Row],[Gender]]="male",R1103&lt;24.9),"Acceptable",AND(Table13[[#This Row],[Gender]]="male",R1103&lt;40),"Obese",AND(Table13[[#This Row],[Gender]]="others",R1103&lt;20),"Athletes",AND(Table13[[#This Row],[Gender]]="others",R1103&lt;24),"Fitnesss",AND(Table13[[#This Row],[Gender]]="others",R1103&lt;31),"Acceptable",AND(Table13[[#This Row],[Gender]]="others",R1103&lt;40),"Obese")</f>
        <v>Acceptable</v>
      </c>
      <c r="R1103" s="8">
        <v>27.9</v>
      </c>
      <c r="S1103" s="8">
        <v>3</v>
      </c>
      <c r="T1103" s="8">
        <v>4</v>
      </c>
      <c r="U1103" s="8">
        <v>2</v>
      </c>
      <c r="V1103" s="8" t="str">
        <f>IF(Table13[[#This Row],[BMI]]&lt;=18.5,"Underweight",IF(Table13[[#This Row],[BMI]]&lt;=24.9,"Normal",IF(Table13[[#This Row],[BMI]]&lt;=29.9,"Overweight",IF(Table13[[#This Row],[BMI]]&lt;=39,"Obese","Severly Obese"))))</f>
        <v>Normal</v>
      </c>
      <c r="W1103" s="18">
        <v>20.81</v>
      </c>
    </row>
    <row r="1104" spans="6:23" x14ac:dyDescent="0.3">
      <c r="F1104" s="17">
        <v>23</v>
      </c>
      <c r="G1104" s="8" t="str">
        <f>IF(Table13[[#This Row],[Age]]&lt;25,"18-24",IF(Table13[[#This Row],[Age]]&lt;35,"25-34",IF(Table13[[#This Row],[Age]]&lt;45,"35-44",IF(Table13[[#This Row],[Age]]&lt;55,"45-54","55-64"))))</f>
        <v>18-24</v>
      </c>
      <c r="H1104" s="8" t="s">
        <v>19</v>
      </c>
      <c r="I1104" s="8">
        <v>56.2</v>
      </c>
      <c r="J1104" s="8">
        <v>1.58</v>
      </c>
      <c r="K1104" s="8">
        <v>184</v>
      </c>
      <c r="L1104" s="8">
        <v>141</v>
      </c>
      <c r="M1104" s="8">
        <v>71</v>
      </c>
      <c r="N1104" s="8">
        <v>2</v>
      </c>
      <c r="O1104" s="8">
        <v>640</v>
      </c>
      <c r="P1104" s="8" t="s">
        <v>20</v>
      </c>
      <c r="Q1104" s="8" t="str">
        <f>_xlfn.IFS(AND(Table13[[#This Row],[Gender]]="female",R1104&lt;20),"Athletes",AND(Table13[[#This Row],[Gender]]="female",R1104&lt;24),"Fitnesss",AND(Table13[[#This Row],[Gender]]="female",R1104&lt;31),"Acceptable",AND(Table13[[#This Row],[Gender]]="female",R1104&lt;40),"Obese",AND(Table13[[#This Row],[Gender]]="male",R1104&lt;13),"Athletes",AND(Table13[[#This Row],[Gender]]="male",R1104&lt;17),"Fitnesss",AND(Table13[[#This Row],[Gender]]="male",R1104&lt;24.9),"Acceptable",AND(Table13[[#This Row],[Gender]]="male",R1104&lt;40),"Obese",AND(Table13[[#This Row],[Gender]]="others",R1104&lt;20),"Athletes",AND(Table13[[#This Row],[Gender]]="others",R1104&lt;24),"Fitnesss",AND(Table13[[#This Row],[Gender]]="others",R1104&lt;31),"Acceptable",AND(Table13[[#This Row],[Gender]]="others",R1104&lt;40),"Obese")</f>
        <v>Obese</v>
      </c>
      <c r="R1104" s="8">
        <v>25.2</v>
      </c>
      <c r="S1104" s="8">
        <v>1.5</v>
      </c>
      <c r="T1104" s="8">
        <v>4</v>
      </c>
      <c r="U1104" s="8">
        <v>1</v>
      </c>
      <c r="V1104" s="8" t="str">
        <f>IF(Table13[[#This Row],[BMI]]&lt;=18.5,"Underweight",IF(Table13[[#This Row],[BMI]]&lt;=24.9,"Normal",IF(Table13[[#This Row],[BMI]]&lt;=29.9,"Overweight",IF(Table13[[#This Row],[BMI]]&lt;=39,"Obese","Severly Obese"))))</f>
        <v>Underweight</v>
      </c>
      <c r="W1104" s="18"/>
    </row>
    <row r="1105" spans="6:23" x14ac:dyDescent="0.3">
      <c r="F1105" s="17">
        <v>18</v>
      </c>
      <c r="G1105" s="8" t="str">
        <f>IF(Table13[[#This Row],[Age]]&lt;25,"18-24",IF(Table13[[#This Row],[Age]]&lt;35,"25-34",IF(Table13[[#This Row],[Age]]&lt;45,"35-44",IF(Table13[[#This Row],[Age]]&lt;55,"45-54","55-64"))))</f>
        <v>18-24</v>
      </c>
      <c r="H1105" s="8" t="s">
        <v>17</v>
      </c>
      <c r="I1105" s="8">
        <v>42.6</v>
      </c>
      <c r="J1105" s="8">
        <v>1.56</v>
      </c>
      <c r="K1105" s="8">
        <v>180</v>
      </c>
      <c r="L1105" s="8">
        <v>169</v>
      </c>
      <c r="M1105" s="8">
        <v>62</v>
      </c>
      <c r="N1105" s="8">
        <v>1.27</v>
      </c>
      <c r="O1105" s="8">
        <v>1497</v>
      </c>
      <c r="P1105" s="8" t="s">
        <v>18</v>
      </c>
      <c r="Q1105" s="8" t="str">
        <f>_xlfn.IFS(AND(Table13[[#This Row],[Gender]]="female",R1105&lt;20),"Athletes",AND(Table13[[#This Row],[Gender]]="female",R1105&lt;24),"Fitnesss",AND(Table13[[#This Row],[Gender]]="female",R1105&lt;31),"Acceptable",AND(Table13[[#This Row],[Gender]]="female",R1105&lt;40),"Obese",AND(Table13[[#This Row],[Gender]]="male",R1105&lt;13),"Athletes",AND(Table13[[#This Row],[Gender]]="male",R1105&lt;17),"Fitnesss",AND(Table13[[#This Row],[Gender]]="male",R1105&lt;24.9),"Acceptable",AND(Table13[[#This Row],[Gender]]="male",R1105&lt;40),"Obese",AND(Table13[[#This Row],[Gender]]="others",R1105&lt;20),"Athletes",AND(Table13[[#This Row],[Gender]]="others",R1105&lt;24),"Fitnesss",AND(Table13[[#This Row],[Gender]]="others",R1105&lt;31),"Acceptable",AND(Table13[[#This Row],[Gender]]="others",R1105&lt;40),"Obese")</f>
        <v>Acceptable</v>
      </c>
      <c r="R1105" s="8">
        <v>27.1</v>
      </c>
      <c r="S1105" s="8">
        <v>3.6</v>
      </c>
      <c r="T1105" s="8">
        <v>4</v>
      </c>
      <c r="U1105" s="8">
        <v>1</v>
      </c>
      <c r="V1105" s="8" t="str">
        <f>IF(Table13[[#This Row],[BMI]]&lt;=18.5,"Underweight",IF(Table13[[#This Row],[BMI]]&lt;=24.9,"Normal",IF(Table13[[#This Row],[BMI]]&lt;=29.9,"Overweight",IF(Table13[[#This Row],[BMI]]&lt;=39,"Obese","Severly Obese"))))</f>
        <v>Underweight</v>
      </c>
      <c r="W1105" s="18">
        <v>12.46</v>
      </c>
    </row>
    <row r="1106" spans="6:23" x14ac:dyDescent="0.3">
      <c r="F1106" s="17">
        <v>59</v>
      </c>
      <c r="G1106" s="8" t="str">
        <f>IF(Table13[[#This Row],[Age]]&lt;25,"18-24",IF(Table13[[#This Row],[Age]]&lt;35,"25-34",IF(Table13[[#This Row],[Age]]&lt;45,"35-44",IF(Table13[[#This Row],[Age]]&lt;55,"45-54","55-64"))))</f>
        <v>55-64</v>
      </c>
      <c r="H1106" s="8" t="s">
        <v>17</v>
      </c>
      <c r="I1106" s="8">
        <v>97.4</v>
      </c>
      <c r="J1106" s="8">
        <v>1.57</v>
      </c>
      <c r="K1106" s="8">
        <v>199</v>
      </c>
      <c r="L1106" s="8">
        <v>153</v>
      </c>
      <c r="M1106" s="8">
        <v>70</v>
      </c>
      <c r="N1106" s="8">
        <v>0.73</v>
      </c>
      <c r="O1106" s="8">
        <v>877</v>
      </c>
      <c r="P1106" s="8" t="s">
        <v>22</v>
      </c>
      <c r="Q1106" s="8" t="str">
        <f>_xlfn.IFS(AND(Table13[[#This Row],[Gender]]="female",R1106&lt;20),"Athletes",AND(Table13[[#This Row],[Gender]]="female",R1106&lt;24),"Fitnesss",AND(Table13[[#This Row],[Gender]]="female",R1106&lt;31),"Acceptable",AND(Table13[[#This Row],[Gender]]="female",R1106&lt;40),"Obese",AND(Table13[[#This Row],[Gender]]="male",R1106&lt;13),"Athletes",AND(Table13[[#This Row],[Gender]]="male",R1106&lt;17),"Fitnesss",AND(Table13[[#This Row],[Gender]]="male",R1106&lt;24.9),"Acceptable",AND(Table13[[#This Row],[Gender]]="male",R1106&lt;40),"Obese",AND(Table13[[#This Row],[Gender]]="others",R1106&lt;20),"Athletes",AND(Table13[[#This Row],[Gender]]="others",R1106&lt;24),"Fitnesss",AND(Table13[[#This Row],[Gender]]="others",R1106&lt;31),"Acceptable",AND(Table13[[#This Row],[Gender]]="others",R1106&lt;40),"Obese")</f>
        <v>Athletes</v>
      </c>
      <c r="R1106" s="8">
        <v>18.100000000000001</v>
      </c>
      <c r="S1106" s="8">
        <v>3.3</v>
      </c>
      <c r="T1106" s="8">
        <v>4</v>
      </c>
      <c r="U1106" s="8">
        <v>1</v>
      </c>
      <c r="V1106" s="8" t="str">
        <f>IF(Table13[[#This Row],[BMI]]&lt;=18.5,"Underweight",IF(Table13[[#This Row],[BMI]]&lt;=24.9,"Normal",IF(Table13[[#This Row],[BMI]]&lt;=29.9,"Overweight",IF(Table13[[#This Row],[BMI]]&lt;=39,"Obese","Severly Obese"))))</f>
        <v>Overweight</v>
      </c>
      <c r="W1106" s="18">
        <v>27.67</v>
      </c>
    </row>
    <row r="1107" spans="6:23" x14ac:dyDescent="0.3">
      <c r="F1107" s="17">
        <v>32</v>
      </c>
      <c r="G1107" s="8" t="str">
        <f>IF(Table13[[#This Row],[Age]]&lt;25,"18-24",IF(Table13[[#This Row],[Age]]&lt;35,"25-34",IF(Table13[[#This Row],[Age]]&lt;45,"35-44",IF(Table13[[#This Row],[Age]]&lt;55,"45-54","55-64"))))</f>
        <v>25-34</v>
      </c>
      <c r="H1107" s="8" t="s">
        <v>19</v>
      </c>
      <c r="I1107" s="8">
        <v>58.7</v>
      </c>
      <c r="J1107" s="8"/>
      <c r="K1107" s="8">
        <v>161</v>
      </c>
      <c r="L1107" s="8">
        <v>130</v>
      </c>
      <c r="M1107" s="8">
        <v>69</v>
      </c>
      <c r="N1107" s="8">
        <v>1.07</v>
      </c>
      <c r="O1107" s="8">
        <v>733</v>
      </c>
      <c r="P1107" s="8" t="s">
        <v>18</v>
      </c>
      <c r="Q1107" s="8" t="str">
        <f>_xlfn.IFS(AND(Table13[[#This Row],[Gender]]="female",R1107&lt;20),"Athletes",AND(Table13[[#This Row],[Gender]]="female",R1107&lt;24),"Fitnesss",AND(Table13[[#This Row],[Gender]]="female",R1107&lt;31),"Acceptable",AND(Table13[[#This Row],[Gender]]="female",R1107&lt;40),"Obese",AND(Table13[[#This Row],[Gender]]="male",R1107&lt;13),"Athletes",AND(Table13[[#This Row],[Gender]]="male",R1107&lt;17),"Fitnesss",AND(Table13[[#This Row],[Gender]]="male",R1107&lt;24.9),"Acceptable",AND(Table13[[#This Row],[Gender]]="male",R1107&lt;40),"Obese",AND(Table13[[#This Row],[Gender]]="others",R1107&lt;20),"Athletes",AND(Table13[[#This Row],[Gender]]="others",R1107&lt;24),"Fitnesss",AND(Table13[[#This Row],[Gender]]="others",R1107&lt;31),"Acceptable",AND(Table13[[#This Row],[Gender]]="others",R1107&lt;40),"Obese")</f>
        <v>Obese</v>
      </c>
      <c r="R1107" s="8">
        <v>28.6</v>
      </c>
      <c r="S1107" s="8">
        <v>1.9</v>
      </c>
      <c r="T1107" s="8">
        <v>3</v>
      </c>
      <c r="U1107" s="8">
        <v>3</v>
      </c>
      <c r="V1107" s="8" t="str">
        <f>IF(Table13[[#This Row],[BMI]]&lt;=18.5,"Underweight",IF(Table13[[#This Row],[BMI]]&lt;=24.9,"Normal",IF(Table13[[#This Row],[BMI]]&lt;=29.9,"Overweight",IF(Table13[[#This Row],[BMI]]&lt;=39,"Obese","Severly Obese"))))</f>
        <v>Underweight</v>
      </c>
      <c r="W1107" s="18">
        <v>12.87</v>
      </c>
    </row>
    <row r="1108" spans="6:23" x14ac:dyDescent="0.3">
      <c r="F1108" s="17">
        <v>21</v>
      </c>
      <c r="G1108" s="8" t="str">
        <f>IF(Table13[[#This Row],[Age]]&lt;25,"18-24",IF(Table13[[#This Row],[Age]]&lt;35,"25-34",IF(Table13[[#This Row],[Age]]&lt;45,"35-44",IF(Table13[[#This Row],[Age]]&lt;55,"45-54","55-64"))))</f>
        <v>18-24</v>
      </c>
      <c r="H1108" s="8" t="s">
        <v>19</v>
      </c>
      <c r="I1108" s="8">
        <v>46.4</v>
      </c>
      <c r="J1108" s="8">
        <v>2</v>
      </c>
      <c r="K1108" s="8">
        <v>198</v>
      </c>
      <c r="L1108" s="8">
        <v>135</v>
      </c>
      <c r="M1108" s="8">
        <v>74</v>
      </c>
      <c r="N1108" s="8">
        <v>1</v>
      </c>
      <c r="O1108" s="8">
        <v>497</v>
      </c>
      <c r="P1108" s="8" t="s">
        <v>20</v>
      </c>
      <c r="Q1108" s="8" t="str">
        <f>_xlfn.IFS(AND(Table13[[#This Row],[Gender]]="female",R1108&lt;20),"Athletes",AND(Table13[[#This Row],[Gender]]="female",R1108&lt;24),"Fitnesss",AND(Table13[[#This Row],[Gender]]="female",R1108&lt;31),"Acceptable",AND(Table13[[#This Row],[Gender]]="female",R1108&lt;40),"Obese",AND(Table13[[#This Row],[Gender]]="male",R1108&lt;13),"Athletes",AND(Table13[[#This Row],[Gender]]="male",R1108&lt;17),"Fitnesss",AND(Table13[[#This Row],[Gender]]="male",R1108&lt;24.9),"Acceptable",AND(Table13[[#This Row],[Gender]]="male",R1108&lt;40),"Obese",AND(Table13[[#This Row],[Gender]]="others",R1108&lt;20),"Athletes",AND(Table13[[#This Row],[Gender]]="others",R1108&lt;24),"Fitnesss",AND(Table13[[#This Row],[Gender]]="others",R1108&lt;31),"Acceptable",AND(Table13[[#This Row],[Gender]]="others",R1108&lt;40),"Obese")</f>
        <v>Obese</v>
      </c>
      <c r="R1108" s="8">
        <v>29.7</v>
      </c>
      <c r="S1108" s="8">
        <v>1.8</v>
      </c>
      <c r="T1108" s="8">
        <v>2</v>
      </c>
      <c r="U1108" s="8">
        <v>1</v>
      </c>
      <c r="V1108" s="8" t="str">
        <f>IF(Table13[[#This Row],[BMI]]&lt;=18.5,"Underweight",IF(Table13[[#This Row],[BMI]]&lt;=24.9,"Normal",IF(Table13[[#This Row],[BMI]]&lt;=29.9,"Overweight",IF(Table13[[#This Row],[BMI]]&lt;=39,"Obese","Severly Obese"))))</f>
        <v>Normal</v>
      </c>
      <c r="W1108" s="18">
        <v>23.07</v>
      </c>
    </row>
    <row r="1109" spans="6:23" x14ac:dyDescent="0.3">
      <c r="F1109" s="17">
        <v>32</v>
      </c>
      <c r="G1109" s="8" t="str">
        <f>IF(Table13[[#This Row],[Age]]&lt;25,"18-24",IF(Table13[[#This Row],[Age]]&lt;35,"25-34",IF(Table13[[#This Row],[Age]]&lt;45,"35-44",IF(Table13[[#This Row],[Age]]&lt;55,"45-54","55-64"))))</f>
        <v>25-34</v>
      </c>
      <c r="H1109" s="8" t="s">
        <v>19</v>
      </c>
      <c r="I1109" s="8">
        <v>57.4</v>
      </c>
      <c r="J1109" s="8">
        <v>1.66</v>
      </c>
      <c r="K1109" s="8">
        <v>189</v>
      </c>
      <c r="L1109" s="8">
        <v>136</v>
      </c>
      <c r="M1109" s="8">
        <v>62</v>
      </c>
      <c r="N1109" s="8">
        <v>1.55</v>
      </c>
      <c r="O1109" s="8">
        <v>1068</v>
      </c>
      <c r="P1109" s="8" t="s">
        <v>21</v>
      </c>
      <c r="Q1109" s="8" t="str">
        <f>_xlfn.IFS(AND(Table13[[#This Row],[Gender]]="female",R1109&lt;20),"Athletes",AND(Table13[[#This Row],[Gender]]="female",R1109&lt;24),"Fitnesss",AND(Table13[[#This Row],[Gender]]="female",R1109&lt;31),"Acceptable",AND(Table13[[#This Row],[Gender]]="female",R1109&lt;40),"Obese",AND(Table13[[#This Row],[Gender]]="male",R1109&lt;13),"Athletes",AND(Table13[[#This Row],[Gender]]="male",R1109&lt;17),"Fitnesss",AND(Table13[[#This Row],[Gender]]="male",R1109&lt;24.9),"Acceptable",AND(Table13[[#This Row],[Gender]]="male",R1109&lt;40),"Obese",AND(Table13[[#This Row],[Gender]]="others",R1109&lt;20),"Athletes",AND(Table13[[#This Row],[Gender]]="others",R1109&lt;24),"Fitnesss",AND(Table13[[#This Row],[Gender]]="others",R1109&lt;31),"Acceptable",AND(Table13[[#This Row],[Gender]]="others",R1109&lt;40),"Obese")</f>
        <v>Acceptable</v>
      </c>
      <c r="R1109" s="8">
        <v>24.6</v>
      </c>
      <c r="S1109" s="8">
        <v>3.4</v>
      </c>
      <c r="T1109" s="8">
        <v>2</v>
      </c>
      <c r="U1109" s="8">
        <v>2</v>
      </c>
      <c r="V1109" s="8" t="str">
        <f>IF(Table13[[#This Row],[BMI]]&lt;=18.5,"Underweight",IF(Table13[[#This Row],[BMI]]&lt;=24.9,"Normal",IF(Table13[[#This Row],[BMI]]&lt;=29.9,"Overweight",IF(Table13[[#This Row],[BMI]]&lt;=39,"Obese","Severly Obese"))))</f>
        <v>Underweight</v>
      </c>
      <c r="W1109" s="18"/>
    </row>
    <row r="1110" spans="6:23" x14ac:dyDescent="0.3">
      <c r="F1110" s="17">
        <v>38</v>
      </c>
      <c r="G1110" s="8" t="str">
        <f>IF(Table13[[#This Row],[Age]]&lt;25,"18-24",IF(Table13[[#This Row],[Age]]&lt;35,"25-34",IF(Table13[[#This Row],[Age]]&lt;45,"35-44",IF(Table13[[#This Row],[Age]]&lt;55,"45-54","55-64"))))</f>
        <v>35-44</v>
      </c>
      <c r="H1110" s="8" t="s">
        <v>19</v>
      </c>
      <c r="I1110" s="8">
        <v>87.9</v>
      </c>
      <c r="J1110" s="8">
        <v>1.75</v>
      </c>
      <c r="K1110" s="8">
        <v>183</v>
      </c>
      <c r="L1110" s="8">
        <v>130</v>
      </c>
      <c r="M1110" s="8">
        <v>74</v>
      </c>
      <c r="N1110" s="8">
        <v>1.54</v>
      </c>
      <c r="O1110" s="8">
        <v>1273</v>
      </c>
      <c r="P1110" s="8" t="s">
        <v>21</v>
      </c>
      <c r="Q1110" s="8" t="str">
        <f>_xlfn.IFS(AND(Table13[[#This Row],[Gender]]="female",R1110&lt;20),"Athletes",AND(Table13[[#This Row],[Gender]]="female",R1110&lt;24),"Fitnesss",AND(Table13[[#This Row],[Gender]]="female",R1110&lt;31),"Acceptable",AND(Table13[[#This Row],[Gender]]="female",R1110&lt;40),"Obese",AND(Table13[[#This Row],[Gender]]="male",R1110&lt;13),"Athletes",AND(Table13[[#This Row],[Gender]]="male",R1110&lt;17),"Fitnesss",AND(Table13[[#This Row],[Gender]]="male",R1110&lt;24.9),"Acceptable",AND(Table13[[#This Row],[Gender]]="male",R1110&lt;40),"Obese",AND(Table13[[#This Row],[Gender]]="others",R1110&lt;20),"Athletes",AND(Table13[[#This Row],[Gender]]="others",R1110&lt;24),"Fitnesss",AND(Table13[[#This Row],[Gender]]="others",R1110&lt;31),"Acceptable",AND(Table13[[#This Row],[Gender]]="others",R1110&lt;40),"Obese")</f>
        <v>Acceptable</v>
      </c>
      <c r="R1110" s="8">
        <v>24.2</v>
      </c>
      <c r="S1110" s="8">
        <v>1.6</v>
      </c>
      <c r="T1110" s="8">
        <v>3</v>
      </c>
      <c r="U1110" s="8">
        <v>1</v>
      </c>
      <c r="V1110" s="8" t="str">
        <f>IF(Table13[[#This Row],[BMI]]&lt;=18.5,"Underweight",IF(Table13[[#This Row],[BMI]]&lt;=24.9,"Normal",IF(Table13[[#This Row],[BMI]]&lt;=29.9,"Overweight",IF(Table13[[#This Row],[BMI]]&lt;=39,"Obese","Severly Obese"))))</f>
        <v>Underweight</v>
      </c>
      <c r="W1110" s="18">
        <v>12.32</v>
      </c>
    </row>
    <row r="1111" spans="6:23" x14ac:dyDescent="0.3">
      <c r="F1111" s="17">
        <v>40</v>
      </c>
      <c r="G1111" s="8" t="str">
        <f>IF(Table13[[#This Row],[Age]]&lt;25,"18-24",IF(Table13[[#This Row],[Age]]&lt;35,"25-34",IF(Table13[[#This Row],[Age]]&lt;45,"35-44",IF(Table13[[#This Row],[Age]]&lt;55,"45-54","55-64"))))</f>
        <v>35-44</v>
      </c>
      <c r="H1111" s="8" t="s">
        <v>19</v>
      </c>
      <c r="I1111" s="8">
        <v>87.8</v>
      </c>
      <c r="J1111" s="8">
        <v>1.64</v>
      </c>
      <c r="K1111" s="8">
        <v>161</v>
      </c>
      <c r="L1111" s="8">
        <v>145</v>
      </c>
      <c r="M1111" s="8">
        <v>59</v>
      </c>
      <c r="N1111" s="8">
        <v>1.63</v>
      </c>
      <c r="O1111" s="8">
        <v>849</v>
      </c>
      <c r="P1111" s="8" t="s">
        <v>20</v>
      </c>
      <c r="Q1111" s="8" t="str">
        <f>_xlfn.IFS(AND(Table13[[#This Row],[Gender]]="female",R1111&lt;20),"Athletes",AND(Table13[[#This Row],[Gender]]="female",R1111&lt;24),"Fitnesss",AND(Table13[[#This Row],[Gender]]="female",R1111&lt;31),"Acceptable",AND(Table13[[#This Row],[Gender]]="female",R1111&lt;40),"Obese",AND(Table13[[#This Row],[Gender]]="male",R1111&lt;13),"Athletes",AND(Table13[[#This Row],[Gender]]="male",R1111&lt;17),"Fitnesss",AND(Table13[[#This Row],[Gender]]="male",R1111&lt;24.9),"Acceptable",AND(Table13[[#This Row],[Gender]]="male",R1111&lt;40),"Obese",AND(Table13[[#This Row],[Gender]]="others",R1111&lt;20),"Athletes",AND(Table13[[#This Row],[Gender]]="others",R1111&lt;24),"Fitnesss",AND(Table13[[#This Row],[Gender]]="others",R1111&lt;31),"Acceptable",AND(Table13[[#This Row],[Gender]]="others",R1111&lt;40),"Obese")</f>
        <v>Acceptable</v>
      </c>
      <c r="R1111" s="8">
        <v>22.5</v>
      </c>
      <c r="S1111" s="8">
        <v>2.6</v>
      </c>
      <c r="T1111" s="8">
        <v>4</v>
      </c>
      <c r="U1111" s="8">
        <v>2</v>
      </c>
      <c r="V1111" s="8" t="str">
        <f>IF(Table13[[#This Row],[BMI]]&lt;=18.5,"Underweight",IF(Table13[[#This Row],[BMI]]&lt;=24.9,"Normal",IF(Table13[[#This Row],[BMI]]&lt;=29.9,"Overweight",IF(Table13[[#This Row],[BMI]]&lt;=39,"Obese","Severly Obese"))))</f>
        <v>Underweight</v>
      </c>
      <c r="W1111" s="18">
        <v>17.55</v>
      </c>
    </row>
    <row r="1112" spans="6:23" x14ac:dyDescent="0.3">
      <c r="F1112" s="17">
        <v>52</v>
      </c>
      <c r="G1112" s="8" t="str">
        <f>IF(Table13[[#This Row],[Age]]&lt;25,"18-24",IF(Table13[[#This Row],[Age]]&lt;35,"25-34",IF(Table13[[#This Row],[Age]]&lt;45,"35-44",IF(Table13[[#This Row],[Age]]&lt;55,"45-54","55-64"))))</f>
        <v>45-54</v>
      </c>
      <c r="H1112" s="8" t="s">
        <v>17</v>
      </c>
      <c r="I1112" s="8">
        <v>62.4</v>
      </c>
      <c r="J1112" s="8">
        <v>1.91</v>
      </c>
      <c r="K1112" s="8">
        <v>191</v>
      </c>
      <c r="L1112" s="8">
        <v>161</v>
      </c>
      <c r="M1112" s="8">
        <v>63</v>
      </c>
      <c r="N1112" s="8">
        <v>2</v>
      </c>
      <c r="O1112" s="8">
        <v>1783</v>
      </c>
      <c r="P1112" s="8" t="s">
        <v>22</v>
      </c>
      <c r="Q1112" s="8" t="str">
        <f>_xlfn.IFS(AND(Table13[[#This Row],[Gender]]="female",R1112&lt;20),"Athletes",AND(Table13[[#This Row],[Gender]]="female",R1112&lt;24),"Fitnesss",AND(Table13[[#This Row],[Gender]]="female",R1112&lt;31),"Acceptable",AND(Table13[[#This Row],[Gender]]="female",R1112&lt;40),"Obese",AND(Table13[[#This Row],[Gender]]="male",R1112&lt;13),"Athletes",AND(Table13[[#This Row],[Gender]]="male",R1112&lt;17),"Fitnesss",AND(Table13[[#This Row],[Gender]]="male",R1112&lt;24.9),"Acceptable",AND(Table13[[#This Row],[Gender]]="male",R1112&lt;40),"Obese",AND(Table13[[#This Row],[Gender]]="others",R1112&lt;20),"Athletes",AND(Table13[[#This Row],[Gender]]="others",R1112&lt;24),"Fitnesss",AND(Table13[[#This Row],[Gender]]="others",R1112&lt;31),"Acceptable",AND(Table13[[#This Row],[Gender]]="others",R1112&lt;40),"Obese")</f>
        <v>Acceptable</v>
      </c>
      <c r="R1112" s="8">
        <v>27.3</v>
      </c>
      <c r="S1112" s="8">
        <v>3.2</v>
      </c>
      <c r="T1112" s="8">
        <v>2</v>
      </c>
      <c r="U1112" s="8">
        <v>1</v>
      </c>
      <c r="V1112" s="8" t="str">
        <f>IF(Table13[[#This Row],[BMI]]&lt;=18.5,"Underweight",IF(Table13[[#This Row],[BMI]]&lt;=24.9,"Normal",IF(Table13[[#This Row],[BMI]]&lt;=29.9,"Overweight",IF(Table13[[#This Row],[BMI]]&lt;=39,"Obese","Severly Obese"))))</f>
        <v>Underweight</v>
      </c>
      <c r="W1112" s="18">
        <v>15.2</v>
      </c>
    </row>
    <row r="1113" spans="6:23" x14ac:dyDescent="0.3">
      <c r="F1113" s="17">
        <v>20</v>
      </c>
      <c r="G1113" s="8" t="str">
        <f>IF(Table13[[#This Row],[Age]]&lt;25,"18-24",IF(Table13[[#This Row],[Age]]&lt;35,"25-34",IF(Table13[[#This Row],[Age]]&lt;45,"35-44",IF(Table13[[#This Row],[Age]]&lt;55,"45-54","55-64"))))</f>
        <v>18-24</v>
      </c>
      <c r="H1113" s="8" t="s">
        <v>17</v>
      </c>
      <c r="I1113" s="8">
        <v>65.7</v>
      </c>
      <c r="J1113" s="8">
        <v>1.81</v>
      </c>
      <c r="K1113" s="8">
        <v>189</v>
      </c>
      <c r="L1113" s="8">
        <v>165</v>
      </c>
      <c r="M1113" s="8">
        <v>55</v>
      </c>
      <c r="N1113" s="8">
        <v>1.66</v>
      </c>
      <c r="O1113" s="8">
        <v>733</v>
      </c>
      <c r="P1113" s="8" t="s">
        <v>18</v>
      </c>
      <c r="Q1113" s="8" t="str">
        <f>_xlfn.IFS(AND(Table13[[#This Row],[Gender]]="female",R1113&lt;20),"Athletes",AND(Table13[[#This Row],[Gender]]="female",R1113&lt;24),"Fitnesss",AND(Table13[[#This Row],[Gender]]="female",R1113&lt;31),"Acceptable",AND(Table13[[#This Row],[Gender]]="female",R1113&lt;40),"Obese",AND(Table13[[#This Row],[Gender]]="male",R1113&lt;13),"Athletes",AND(Table13[[#This Row],[Gender]]="male",R1113&lt;17),"Fitnesss",AND(Table13[[#This Row],[Gender]]="male",R1113&lt;24.9),"Acceptable",AND(Table13[[#This Row],[Gender]]="male",R1113&lt;40),"Obese",AND(Table13[[#This Row],[Gender]]="others",R1113&lt;20),"Athletes",AND(Table13[[#This Row],[Gender]]="others",R1113&lt;24),"Fitnesss",AND(Table13[[#This Row],[Gender]]="others",R1113&lt;31),"Acceptable",AND(Table13[[#This Row],[Gender]]="others",R1113&lt;40),"Obese")</f>
        <v>Obese</v>
      </c>
      <c r="R1113" s="8">
        <v>35</v>
      </c>
      <c r="S1113" s="8">
        <v>3.5</v>
      </c>
      <c r="T1113" s="8">
        <v>4</v>
      </c>
      <c r="U1113" s="8">
        <v>2</v>
      </c>
      <c r="V1113" s="8" t="str">
        <f>IF(Table13[[#This Row],[BMI]]&lt;=18.5,"Underweight",IF(Table13[[#This Row],[BMI]]&lt;=24.9,"Normal",IF(Table13[[#This Row],[BMI]]&lt;=29.9,"Overweight",IF(Table13[[#This Row],[BMI]]&lt;=39,"Obese","Severly Obese"))))</f>
        <v>Overweight</v>
      </c>
      <c r="W1113" s="18">
        <v>25.06</v>
      </c>
    </row>
    <row r="1114" spans="6:23" x14ac:dyDescent="0.3">
      <c r="F1114" s="17">
        <v>23</v>
      </c>
      <c r="G1114" s="8" t="str">
        <f>IF(Table13[[#This Row],[Age]]&lt;25,"18-24",IF(Table13[[#This Row],[Age]]&lt;35,"25-34",IF(Table13[[#This Row],[Age]]&lt;45,"35-44",IF(Table13[[#This Row],[Age]]&lt;55,"45-54","55-64"))))</f>
        <v>18-24</v>
      </c>
      <c r="H1114" s="8" t="s">
        <v>17</v>
      </c>
      <c r="I1114" s="8">
        <v>51.4</v>
      </c>
      <c r="J1114" s="8">
        <v>2</v>
      </c>
      <c r="K1114" s="8">
        <v>182</v>
      </c>
      <c r="L1114" s="8">
        <v>158</v>
      </c>
      <c r="M1114" s="8">
        <v>65</v>
      </c>
      <c r="N1114" s="8">
        <v>1.07</v>
      </c>
      <c r="O1114" s="8">
        <v>738</v>
      </c>
      <c r="P1114" s="8" t="s">
        <v>18</v>
      </c>
      <c r="Q1114" s="8" t="str">
        <f>_xlfn.IFS(AND(Table13[[#This Row],[Gender]]="female",R1114&lt;20),"Athletes",AND(Table13[[#This Row],[Gender]]="female",R1114&lt;24),"Fitnesss",AND(Table13[[#This Row],[Gender]]="female",R1114&lt;31),"Acceptable",AND(Table13[[#This Row],[Gender]]="female",R1114&lt;40),"Obese",AND(Table13[[#This Row],[Gender]]="male",R1114&lt;13),"Athletes",AND(Table13[[#This Row],[Gender]]="male",R1114&lt;17),"Fitnesss",AND(Table13[[#This Row],[Gender]]="male",R1114&lt;24.9),"Acceptable",AND(Table13[[#This Row],[Gender]]="male",R1114&lt;40),"Obese",AND(Table13[[#This Row],[Gender]]="others",R1114&lt;20),"Athletes",AND(Table13[[#This Row],[Gender]]="others",R1114&lt;24),"Fitnesss",AND(Table13[[#This Row],[Gender]]="others",R1114&lt;31),"Acceptable",AND(Table13[[#This Row],[Gender]]="others",R1114&lt;40),"Obese")</f>
        <v>Obese</v>
      </c>
      <c r="R1114" s="8">
        <v>31.7</v>
      </c>
      <c r="S1114" s="8">
        <v>2.6</v>
      </c>
      <c r="T1114" s="8">
        <v>4</v>
      </c>
      <c r="U1114" s="8">
        <v>2</v>
      </c>
      <c r="V1114" s="8" t="str">
        <f>IF(Table13[[#This Row],[BMI]]&lt;=18.5,"Underweight",IF(Table13[[#This Row],[BMI]]&lt;=24.9,"Normal",IF(Table13[[#This Row],[BMI]]&lt;=29.9,"Overweight",IF(Table13[[#This Row],[BMI]]&lt;=39,"Obese","Severly Obese"))))</f>
        <v>Underweight</v>
      </c>
      <c r="W1114" s="18">
        <v>15.31</v>
      </c>
    </row>
    <row r="1115" spans="6:23" x14ac:dyDescent="0.3">
      <c r="F1115" s="17">
        <v>34</v>
      </c>
      <c r="G1115" s="8" t="str">
        <f>IF(Table13[[#This Row],[Age]]&lt;25,"18-24",IF(Table13[[#This Row],[Age]]&lt;35,"25-34",IF(Table13[[#This Row],[Age]]&lt;45,"35-44",IF(Table13[[#This Row],[Age]]&lt;55,"45-54","55-64"))))</f>
        <v>25-34</v>
      </c>
      <c r="H1115" s="8" t="s">
        <v>17</v>
      </c>
      <c r="I1115" s="8">
        <v>75.2</v>
      </c>
      <c r="J1115" s="8">
        <v>2</v>
      </c>
      <c r="K1115" s="8">
        <v>196</v>
      </c>
      <c r="L1115" s="8">
        <v>141</v>
      </c>
      <c r="M1115" s="8">
        <v>73</v>
      </c>
      <c r="N1115" s="8">
        <v>1.1299999999999999</v>
      </c>
      <c r="O1115" s="8">
        <v>753</v>
      </c>
      <c r="P1115" s="8" t="s">
        <v>21</v>
      </c>
      <c r="Q1115" s="8" t="str">
        <f>_xlfn.IFS(AND(Table13[[#This Row],[Gender]]="female",R1115&lt;20),"Athletes",AND(Table13[[#This Row],[Gender]]="female",R1115&lt;24),"Fitnesss",AND(Table13[[#This Row],[Gender]]="female",R1115&lt;31),"Acceptable",AND(Table13[[#This Row],[Gender]]="female",R1115&lt;40),"Obese",AND(Table13[[#This Row],[Gender]]="male",R1115&lt;13),"Athletes",AND(Table13[[#This Row],[Gender]]="male",R1115&lt;17),"Fitnesss",AND(Table13[[#This Row],[Gender]]="male",R1115&lt;24.9),"Acceptable",AND(Table13[[#This Row],[Gender]]="male",R1115&lt;40),"Obese",AND(Table13[[#This Row],[Gender]]="others",R1115&lt;20),"Athletes",AND(Table13[[#This Row],[Gender]]="others",R1115&lt;24),"Fitnesss",AND(Table13[[#This Row],[Gender]]="others",R1115&lt;31),"Acceptable",AND(Table13[[#This Row],[Gender]]="others",R1115&lt;40),"Obese")</f>
        <v>Obese</v>
      </c>
      <c r="R1115" s="8">
        <v>33.799999999999997</v>
      </c>
      <c r="S1115" s="8">
        <v>3.6</v>
      </c>
      <c r="T1115" s="8">
        <v>4</v>
      </c>
      <c r="U1115" s="8">
        <v>2</v>
      </c>
      <c r="V1115" s="8" t="str">
        <f>IF(Table13[[#This Row],[BMI]]&lt;=18.5,"Underweight",IF(Table13[[#This Row],[BMI]]&lt;=24.9,"Normal",IF(Table13[[#This Row],[BMI]]&lt;=29.9,"Overweight",IF(Table13[[#This Row],[BMI]]&lt;=39,"Obese","Severly Obese"))))</f>
        <v>Underweight</v>
      </c>
      <c r="W1115" s="18">
        <v>16.39</v>
      </c>
    </row>
    <row r="1116" spans="6:23" x14ac:dyDescent="0.3">
      <c r="F1116" s="17">
        <v>34</v>
      </c>
      <c r="G1116" s="8" t="str">
        <f>IF(Table13[[#This Row],[Age]]&lt;25,"18-24",IF(Table13[[#This Row],[Age]]&lt;35,"25-34",IF(Table13[[#This Row],[Age]]&lt;45,"35-44",IF(Table13[[#This Row],[Age]]&lt;55,"45-54","55-64"))))</f>
        <v>25-34</v>
      </c>
      <c r="H1116" s="8" t="s">
        <v>19</v>
      </c>
      <c r="I1116" s="8">
        <v>77.7</v>
      </c>
      <c r="J1116" s="8">
        <v>1.81</v>
      </c>
      <c r="K1116" s="8">
        <v>187</v>
      </c>
      <c r="L1116" s="8">
        <v>149</v>
      </c>
      <c r="M1116" s="8">
        <v>54</v>
      </c>
      <c r="N1116" s="8">
        <v>1.08</v>
      </c>
      <c r="O1116" s="8">
        <v>842</v>
      </c>
      <c r="P1116" s="8" t="s">
        <v>18</v>
      </c>
      <c r="Q1116" s="8" t="str">
        <f>_xlfn.IFS(AND(Table13[[#This Row],[Gender]]="female",R1116&lt;20),"Athletes",AND(Table13[[#This Row],[Gender]]="female",R1116&lt;24),"Fitnesss",AND(Table13[[#This Row],[Gender]]="female",R1116&lt;31),"Acceptable",AND(Table13[[#This Row],[Gender]]="female",R1116&lt;40),"Obese",AND(Table13[[#This Row],[Gender]]="male",R1116&lt;13),"Athletes",AND(Table13[[#This Row],[Gender]]="male",R1116&lt;17),"Fitnesss",AND(Table13[[#This Row],[Gender]]="male",R1116&lt;24.9),"Acceptable",AND(Table13[[#This Row],[Gender]]="male",R1116&lt;40),"Obese",AND(Table13[[#This Row],[Gender]]="others",R1116&lt;20),"Athletes",AND(Table13[[#This Row],[Gender]]="others",R1116&lt;24),"Fitnesss",AND(Table13[[#This Row],[Gender]]="others",R1116&lt;31),"Acceptable",AND(Table13[[#This Row],[Gender]]="others",R1116&lt;40),"Obese")</f>
        <v>Obese</v>
      </c>
      <c r="R1116" s="8">
        <v>33</v>
      </c>
      <c r="S1116" s="8">
        <v>3</v>
      </c>
      <c r="T1116" s="8">
        <v>2</v>
      </c>
      <c r="U1116" s="8">
        <v>3</v>
      </c>
      <c r="V1116" s="8" t="str">
        <f>IF(Table13[[#This Row],[BMI]]&lt;=18.5,"Underweight",IF(Table13[[#This Row],[BMI]]&lt;=24.9,"Normal",IF(Table13[[#This Row],[BMI]]&lt;=29.9,"Overweight",IF(Table13[[#This Row],[BMI]]&lt;=39,"Obese","Severly Obese"))))</f>
        <v>Underweight</v>
      </c>
      <c r="W1116" s="18">
        <v>12.32</v>
      </c>
    </row>
    <row r="1117" spans="6:23" x14ac:dyDescent="0.3">
      <c r="F1117" s="17">
        <v>23</v>
      </c>
      <c r="G1117" s="8" t="str">
        <f>IF(Table13[[#This Row],[Age]]&lt;25,"18-24",IF(Table13[[#This Row],[Age]]&lt;35,"25-34",IF(Table13[[#This Row],[Age]]&lt;45,"35-44",IF(Table13[[#This Row],[Age]]&lt;55,"45-54","55-64"))))</f>
        <v>18-24</v>
      </c>
      <c r="H1117" s="8" t="s">
        <v>17</v>
      </c>
      <c r="I1117" s="8">
        <v>40</v>
      </c>
      <c r="J1117" s="8">
        <v>1.89</v>
      </c>
      <c r="K1117" s="8">
        <v>162</v>
      </c>
      <c r="L1117" s="8">
        <v>126</v>
      </c>
      <c r="M1117" s="8">
        <v>60</v>
      </c>
      <c r="N1117" s="8">
        <v>0.74</v>
      </c>
      <c r="O1117" s="8">
        <v>1237</v>
      </c>
      <c r="P1117" s="8" t="s">
        <v>20</v>
      </c>
      <c r="Q1117" s="8" t="str">
        <f>_xlfn.IFS(AND(Table13[[#This Row],[Gender]]="female",R1117&lt;20),"Athletes",AND(Table13[[#This Row],[Gender]]="female",R1117&lt;24),"Fitnesss",AND(Table13[[#This Row],[Gender]]="female",R1117&lt;31),"Acceptable",AND(Table13[[#This Row],[Gender]]="female",R1117&lt;40),"Obese",AND(Table13[[#This Row],[Gender]]="male",R1117&lt;13),"Athletes",AND(Table13[[#This Row],[Gender]]="male",R1117&lt;17),"Fitnesss",AND(Table13[[#This Row],[Gender]]="male",R1117&lt;24.9),"Acceptable",AND(Table13[[#This Row],[Gender]]="male",R1117&lt;40),"Obese",AND(Table13[[#This Row],[Gender]]="others",R1117&lt;20),"Athletes",AND(Table13[[#This Row],[Gender]]="others",R1117&lt;24),"Fitnesss",AND(Table13[[#This Row],[Gender]]="others",R1117&lt;31),"Acceptable",AND(Table13[[#This Row],[Gender]]="others",R1117&lt;40),"Obese")</f>
        <v>Acceptable</v>
      </c>
      <c r="R1117" s="8">
        <v>24.7</v>
      </c>
      <c r="S1117" s="8">
        <v>2.9</v>
      </c>
      <c r="T1117" s="8">
        <v>3</v>
      </c>
      <c r="U1117" s="8">
        <v>1</v>
      </c>
      <c r="V1117" s="8" t="str">
        <f>IF(Table13[[#This Row],[BMI]]&lt;=18.5,"Underweight",IF(Table13[[#This Row],[BMI]]&lt;=24.9,"Normal",IF(Table13[[#This Row],[BMI]]&lt;=29.9,"Overweight",IF(Table13[[#This Row],[BMI]]&lt;=39,"Obese","Severly Obese"))))</f>
        <v>Underweight</v>
      </c>
      <c r="W1117" s="18">
        <v>17.09</v>
      </c>
    </row>
    <row r="1118" spans="6:23" x14ac:dyDescent="0.3">
      <c r="F1118" s="17">
        <v>43</v>
      </c>
      <c r="G1118" s="8" t="str">
        <f>IF(Table13[[#This Row],[Age]]&lt;25,"18-24",IF(Table13[[#This Row],[Age]]&lt;35,"25-34",IF(Table13[[#This Row],[Age]]&lt;45,"35-44",IF(Table13[[#This Row],[Age]]&lt;55,"45-54","55-64"))))</f>
        <v>35-44</v>
      </c>
      <c r="H1118" s="8" t="s">
        <v>17</v>
      </c>
      <c r="I1118" s="8">
        <v>80.5</v>
      </c>
      <c r="J1118" s="8">
        <v>1.68</v>
      </c>
      <c r="K1118" s="8">
        <v>190</v>
      </c>
      <c r="L1118" s="8">
        <v>135</v>
      </c>
      <c r="M1118" s="8">
        <v>58</v>
      </c>
      <c r="N1118" s="8">
        <v>1.1000000000000001</v>
      </c>
      <c r="O1118" s="8">
        <v>1099</v>
      </c>
      <c r="P1118" s="8" t="s">
        <v>22</v>
      </c>
      <c r="Q1118" s="8" t="str">
        <f>_xlfn.IFS(AND(Table13[[#This Row],[Gender]]="female",R1118&lt;20),"Athletes",AND(Table13[[#This Row],[Gender]]="female",R1118&lt;24),"Fitnesss",AND(Table13[[#This Row],[Gender]]="female",R1118&lt;31),"Acceptable",AND(Table13[[#This Row],[Gender]]="female",R1118&lt;40),"Obese",AND(Table13[[#This Row],[Gender]]="male",R1118&lt;13),"Athletes",AND(Table13[[#This Row],[Gender]]="male",R1118&lt;17),"Fitnesss",AND(Table13[[#This Row],[Gender]]="male",R1118&lt;24.9),"Acceptable",AND(Table13[[#This Row],[Gender]]="male",R1118&lt;40),"Obese",AND(Table13[[#This Row],[Gender]]="others",R1118&lt;20),"Athletes",AND(Table13[[#This Row],[Gender]]="others",R1118&lt;24),"Fitnesss",AND(Table13[[#This Row],[Gender]]="others",R1118&lt;31),"Acceptable",AND(Table13[[#This Row],[Gender]]="others",R1118&lt;40),"Obese")</f>
        <v>Fitnesss</v>
      </c>
      <c r="R1118" s="8">
        <v>21.7</v>
      </c>
      <c r="S1118" s="8">
        <v>2.1</v>
      </c>
      <c r="T1118" s="8">
        <v>5</v>
      </c>
      <c r="U1118" s="8">
        <v>1</v>
      </c>
      <c r="V1118" s="8" t="str">
        <f>IF(Table13[[#This Row],[BMI]]&lt;=18.5,"Underweight",IF(Table13[[#This Row],[BMI]]&lt;=24.9,"Normal",IF(Table13[[#This Row],[BMI]]&lt;=29.9,"Overweight",IF(Table13[[#This Row],[BMI]]&lt;=39,"Obese","Severly Obese"))))</f>
        <v>Overweight</v>
      </c>
      <c r="W1118" s="18">
        <v>25.52</v>
      </c>
    </row>
    <row r="1119" spans="6:23" x14ac:dyDescent="0.3">
      <c r="F1119" s="17">
        <v>18</v>
      </c>
      <c r="G1119" s="8" t="str">
        <f>IF(Table13[[#This Row],[Age]]&lt;25,"18-24",IF(Table13[[#This Row],[Age]]&lt;35,"25-34",IF(Table13[[#This Row],[Age]]&lt;45,"35-44",IF(Table13[[#This Row],[Age]]&lt;55,"45-54","55-64"))))</f>
        <v>18-24</v>
      </c>
      <c r="H1119" s="8" t="s">
        <v>19</v>
      </c>
      <c r="I1119" s="8">
        <v>40</v>
      </c>
      <c r="J1119" s="8">
        <v>1.78</v>
      </c>
      <c r="K1119" s="8">
        <v>167</v>
      </c>
      <c r="L1119" s="8">
        <v>133</v>
      </c>
      <c r="M1119" s="8">
        <v>62</v>
      </c>
      <c r="N1119" s="8">
        <v>0.86</v>
      </c>
      <c r="O1119" s="8">
        <v>963</v>
      </c>
      <c r="P1119" s="8" t="s">
        <v>22</v>
      </c>
      <c r="Q1119" s="8" t="str">
        <f>_xlfn.IFS(AND(Table13[[#This Row],[Gender]]="female",R1119&lt;20),"Athletes",AND(Table13[[#This Row],[Gender]]="female",R1119&lt;24),"Fitnesss",AND(Table13[[#This Row],[Gender]]="female",R1119&lt;31),"Acceptable",AND(Table13[[#This Row],[Gender]]="female",R1119&lt;40),"Obese",AND(Table13[[#This Row],[Gender]]="male",R1119&lt;13),"Athletes",AND(Table13[[#This Row],[Gender]]="male",R1119&lt;17),"Fitnesss",AND(Table13[[#This Row],[Gender]]="male",R1119&lt;24.9),"Acceptable",AND(Table13[[#This Row],[Gender]]="male",R1119&lt;40),"Obese",AND(Table13[[#This Row],[Gender]]="others",R1119&lt;20),"Athletes",AND(Table13[[#This Row],[Gender]]="others",R1119&lt;24),"Fitnesss",AND(Table13[[#This Row],[Gender]]="others",R1119&lt;31),"Acceptable",AND(Table13[[#This Row],[Gender]]="others",R1119&lt;40),"Obese")</f>
        <v>Fitnesss</v>
      </c>
      <c r="R1119" s="8">
        <v>16.899999999999999</v>
      </c>
      <c r="S1119" s="8">
        <v>3.7</v>
      </c>
      <c r="T1119" s="8">
        <v>4</v>
      </c>
      <c r="U1119" s="8">
        <v>3</v>
      </c>
      <c r="V1119" s="8" t="str">
        <f>IF(Table13[[#This Row],[BMI]]&lt;=18.5,"Underweight",IF(Table13[[#This Row],[BMI]]&lt;=24.9,"Normal",IF(Table13[[#This Row],[BMI]]&lt;=29.9,"Overweight",IF(Table13[[#This Row],[BMI]]&lt;=39,"Obese","Severly Obese"))))</f>
        <v>Normal</v>
      </c>
      <c r="W1119" s="18">
        <v>21.42</v>
      </c>
    </row>
    <row r="1120" spans="6:23" x14ac:dyDescent="0.3">
      <c r="F1120" s="17">
        <v>28</v>
      </c>
      <c r="G1120" s="8" t="str">
        <f>IF(Table13[[#This Row],[Age]]&lt;25,"18-24",IF(Table13[[#This Row],[Age]]&lt;35,"25-34",IF(Table13[[#This Row],[Age]]&lt;45,"35-44",IF(Table13[[#This Row],[Age]]&lt;55,"45-54","55-64"))))</f>
        <v>25-34</v>
      </c>
      <c r="H1120" s="8" t="s">
        <v>17</v>
      </c>
      <c r="I1120" s="8">
        <v>109.4</v>
      </c>
      <c r="J1120" s="8">
        <v>1.58</v>
      </c>
      <c r="K1120" s="8">
        <v>170</v>
      </c>
      <c r="L1120" s="8">
        <v>165</v>
      </c>
      <c r="M1120" s="8">
        <v>74</v>
      </c>
      <c r="N1120" s="8">
        <v>1.94</v>
      </c>
      <c r="O1120" s="8">
        <v>619</v>
      </c>
      <c r="P1120" s="8" t="s">
        <v>21</v>
      </c>
      <c r="Q1120" s="8" t="str">
        <f>_xlfn.IFS(AND(Table13[[#This Row],[Gender]]="female",R1120&lt;20),"Athletes",AND(Table13[[#This Row],[Gender]]="female",R1120&lt;24),"Fitnesss",AND(Table13[[#This Row],[Gender]]="female",R1120&lt;31),"Acceptable",AND(Table13[[#This Row],[Gender]]="female",R1120&lt;40),"Obese",AND(Table13[[#This Row],[Gender]]="male",R1120&lt;13),"Athletes",AND(Table13[[#This Row],[Gender]]="male",R1120&lt;17),"Fitnesss",AND(Table13[[#This Row],[Gender]]="male",R1120&lt;24.9),"Acceptable",AND(Table13[[#This Row],[Gender]]="male",R1120&lt;40),"Obese",AND(Table13[[#This Row],[Gender]]="others",R1120&lt;20),"Athletes",AND(Table13[[#This Row],[Gender]]="others",R1120&lt;24),"Fitnesss",AND(Table13[[#This Row],[Gender]]="others",R1120&lt;31),"Acceptable",AND(Table13[[#This Row],[Gender]]="others",R1120&lt;40),"Obese")</f>
        <v>Fitnesss</v>
      </c>
      <c r="R1120" s="8">
        <v>21.9</v>
      </c>
      <c r="S1120" s="8">
        <v>2.2000000000000002</v>
      </c>
      <c r="T1120" s="8">
        <v>5</v>
      </c>
      <c r="U1120" s="8">
        <v>1</v>
      </c>
      <c r="V1120" s="8" t="str">
        <f>IF(Table13[[#This Row],[BMI]]&lt;=18.5,"Underweight",IF(Table13[[#This Row],[BMI]]&lt;=24.9,"Normal",IF(Table13[[#This Row],[BMI]]&lt;=29.9,"Overweight",IF(Table13[[#This Row],[BMI]]&lt;=39,"Obese","Severly Obese"))))</f>
        <v>Normal</v>
      </c>
      <c r="W1120" s="18">
        <v>21.16</v>
      </c>
    </row>
    <row r="1121" spans="6:23" x14ac:dyDescent="0.3">
      <c r="F1121" s="17">
        <v>57</v>
      </c>
      <c r="G1121" s="8" t="str">
        <f>IF(Table13[[#This Row],[Age]]&lt;25,"18-24",IF(Table13[[#This Row],[Age]]&lt;35,"25-34",IF(Table13[[#This Row],[Age]]&lt;45,"35-44",IF(Table13[[#This Row],[Age]]&lt;55,"45-54","55-64"))))</f>
        <v>55-64</v>
      </c>
      <c r="H1121" s="8" t="s">
        <v>17</v>
      </c>
      <c r="I1121" s="8">
        <v>40</v>
      </c>
      <c r="J1121" s="8">
        <v>1.58</v>
      </c>
      <c r="K1121" s="8">
        <v>165</v>
      </c>
      <c r="L1121" s="8">
        <v>140</v>
      </c>
      <c r="M1121" s="8">
        <v>55</v>
      </c>
      <c r="N1121" s="8">
        <v>1.33</v>
      </c>
      <c r="O1121" s="8">
        <v>1783</v>
      </c>
      <c r="P1121" s="8" t="s">
        <v>18</v>
      </c>
      <c r="Q1121" s="8" t="str">
        <f>_xlfn.IFS(AND(Table13[[#This Row],[Gender]]="female",R1121&lt;20),"Athletes",AND(Table13[[#This Row],[Gender]]="female",R1121&lt;24),"Fitnesss",AND(Table13[[#This Row],[Gender]]="female",R1121&lt;31),"Acceptable",AND(Table13[[#This Row],[Gender]]="female",R1121&lt;40),"Obese",AND(Table13[[#This Row],[Gender]]="male",R1121&lt;13),"Athletes",AND(Table13[[#This Row],[Gender]]="male",R1121&lt;17),"Fitnesss",AND(Table13[[#This Row],[Gender]]="male",R1121&lt;24.9),"Acceptable",AND(Table13[[#This Row],[Gender]]="male",R1121&lt;40),"Obese",AND(Table13[[#This Row],[Gender]]="others",R1121&lt;20),"Athletes",AND(Table13[[#This Row],[Gender]]="others",R1121&lt;24),"Fitnesss",AND(Table13[[#This Row],[Gender]]="others",R1121&lt;31),"Acceptable",AND(Table13[[#This Row],[Gender]]="others",R1121&lt;40),"Obese")</f>
        <v>Acceptable</v>
      </c>
      <c r="R1121" s="8">
        <v>24.7</v>
      </c>
      <c r="S1121" s="8">
        <v>2.6</v>
      </c>
      <c r="T1121" s="8">
        <v>4</v>
      </c>
      <c r="U1121" s="8">
        <v>1</v>
      </c>
      <c r="V1121" s="8" t="str">
        <f>IF(Table13[[#This Row],[BMI]]&lt;=18.5,"Underweight",IF(Table13[[#This Row],[BMI]]&lt;=24.9,"Normal",IF(Table13[[#This Row],[BMI]]&lt;=29.9,"Overweight",IF(Table13[[#This Row],[BMI]]&lt;=39,"Obese","Severly Obese"))))</f>
        <v>Underweight</v>
      </c>
      <c r="W1121" s="18">
        <v>14.94</v>
      </c>
    </row>
    <row r="1122" spans="6:23" x14ac:dyDescent="0.3">
      <c r="F1122" s="17">
        <v>18</v>
      </c>
      <c r="G1122" s="8" t="str">
        <f>IF(Table13[[#This Row],[Age]]&lt;25,"18-24",IF(Table13[[#This Row],[Age]]&lt;35,"25-34",IF(Table13[[#This Row],[Age]]&lt;45,"35-44",IF(Table13[[#This Row],[Age]]&lt;55,"45-54","55-64"))))</f>
        <v>18-24</v>
      </c>
      <c r="H1122" s="8" t="s">
        <v>19</v>
      </c>
      <c r="I1122" s="8">
        <v>40</v>
      </c>
      <c r="J1122" s="8">
        <v>1.8</v>
      </c>
      <c r="K1122" s="8">
        <v>168</v>
      </c>
      <c r="L1122" s="8"/>
      <c r="M1122" s="8">
        <v>58</v>
      </c>
      <c r="N1122" s="8">
        <v>0.5</v>
      </c>
      <c r="O1122" s="8">
        <v>729</v>
      </c>
      <c r="P1122" s="8" t="s">
        <v>23</v>
      </c>
      <c r="Q1122" s="8" t="str">
        <f>_xlfn.IFS(AND(Table13[[#This Row],[Gender]]="female",R1122&lt;20),"Athletes",AND(Table13[[#This Row],[Gender]]="female",R1122&lt;24),"Fitnesss",AND(Table13[[#This Row],[Gender]]="female",R1122&lt;31),"Acceptable",AND(Table13[[#This Row],[Gender]]="female",R1122&lt;40),"Obese",AND(Table13[[#This Row],[Gender]]="male",R1122&lt;13),"Athletes",AND(Table13[[#This Row],[Gender]]="male",R1122&lt;17),"Fitnesss",AND(Table13[[#This Row],[Gender]]="male",R1122&lt;24.9),"Acceptable",AND(Table13[[#This Row],[Gender]]="male",R1122&lt;40),"Obese",AND(Table13[[#This Row],[Gender]]="others",R1122&lt;20),"Athletes",AND(Table13[[#This Row],[Gender]]="others",R1122&lt;24),"Fitnesss",AND(Table13[[#This Row],[Gender]]="others",R1122&lt;31),"Acceptable",AND(Table13[[#This Row],[Gender]]="others",R1122&lt;40),"Obese")</f>
        <v>Obese</v>
      </c>
      <c r="R1122" s="8">
        <v>32.5</v>
      </c>
      <c r="S1122" s="8">
        <v>3.7</v>
      </c>
      <c r="T1122" s="8">
        <v>3</v>
      </c>
      <c r="U1122" s="8">
        <v>3</v>
      </c>
      <c r="V1122" s="8" t="str">
        <f>IF(Table13[[#This Row],[BMI]]&lt;=18.5,"Underweight",IF(Table13[[#This Row],[BMI]]&lt;=24.9,"Normal",IF(Table13[[#This Row],[BMI]]&lt;=29.9,"Overweight",IF(Table13[[#This Row],[BMI]]&lt;=39,"Obese","Severly Obese"))))</f>
        <v>Underweight</v>
      </c>
      <c r="W1122" s="18">
        <v>12.32</v>
      </c>
    </row>
    <row r="1123" spans="6:23" x14ac:dyDescent="0.3">
      <c r="F1123" s="17">
        <v>44</v>
      </c>
      <c r="G1123" s="8" t="str">
        <f>IF(Table13[[#This Row],[Age]]&lt;25,"18-24",IF(Table13[[#This Row],[Age]]&lt;35,"25-34",IF(Table13[[#This Row],[Age]]&lt;45,"35-44",IF(Table13[[#This Row],[Age]]&lt;55,"45-54","55-64"))))</f>
        <v>35-44</v>
      </c>
      <c r="H1123" s="8" t="s">
        <v>17</v>
      </c>
      <c r="I1123" s="8">
        <v>79.5</v>
      </c>
      <c r="J1123" s="8">
        <v>1.73</v>
      </c>
      <c r="K1123" s="8">
        <v>184</v>
      </c>
      <c r="L1123" s="8">
        <v>155</v>
      </c>
      <c r="M1123" s="8">
        <v>56</v>
      </c>
      <c r="N1123" s="8">
        <v>1.57</v>
      </c>
      <c r="O1123" s="8">
        <v>1058</v>
      </c>
      <c r="P1123" s="8" t="s">
        <v>22</v>
      </c>
      <c r="Q1123" s="8" t="str">
        <f>_xlfn.IFS(AND(Table13[[#This Row],[Gender]]="female",R1123&lt;20),"Athletes",AND(Table13[[#This Row],[Gender]]="female",R1123&lt;24),"Fitnesss",AND(Table13[[#This Row],[Gender]]="female",R1123&lt;31),"Acceptable",AND(Table13[[#This Row],[Gender]]="female",R1123&lt;40),"Obese",AND(Table13[[#This Row],[Gender]]="male",R1123&lt;13),"Athletes",AND(Table13[[#This Row],[Gender]]="male",R1123&lt;17),"Fitnesss",AND(Table13[[#This Row],[Gender]]="male",R1123&lt;24.9),"Acceptable",AND(Table13[[#This Row],[Gender]]="male",R1123&lt;40),"Obese",AND(Table13[[#This Row],[Gender]]="others",R1123&lt;20),"Athletes",AND(Table13[[#This Row],[Gender]]="others",R1123&lt;24),"Fitnesss",AND(Table13[[#This Row],[Gender]]="others",R1123&lt;31),"Acceptable",AND(Table13[[#This Row],[Gender]]="others",R1123&lt;40),"Obese")</f>
        <v>Athletes</v>
      </c>
      <c r="R1123" s="8">
        <v>17.8</v>
      </c>
      <c r="S1123" s="8">
        <v>2.6</v>
      </c>
      <c r="T1123" s="8">
        <v>4</v>
      </c>
      <c r="U1123" s="8">
        <v>2</v>
      </c>
      <c r="V1123" s="8" t="str">
        <f>IF(Table13[[#This Row],[BMI]]&lt;=18.5,"Underweight",IF(Table13[[#This Row],[BMI]]&lt;=24.9,"Normal",IF(Table13[[#This Row],[BMI]]&lt;=29.9,"Overweight",IF(Table13[[#This Row],[BMI]]&lt;=39,"Obese","Severly Obese"))))</f>
        <v>Overweight</v>
      </c>
      <c r="W1123" s="18">
        <v>25.45</v>
      </c>
    </row>
    <row r="1124" spans="6:23" x14ac:dyDescent="0.3">
      <c r="F1124" s="17">
        <v>21</v>
      </c>
      <c r="G1124" s="8" t="str">
        <f>IF(Table13[[#This Row],[Age]]&lt;25,"18-24",IF(Table13[[#This Row],[Age]]&lt;35,"25-34",IF(Table13[[#This Row],[Age]]&lt;45,"35-44",IF(Table13[[#This Row],[Age]]&lt;55,"45-54","55-64"))))</f>
        <v>18-24</v>
      </c>
      <c r="H1124" s="8" t="s">
        <v>17</v>
      </c>
      <c r="I1124" s="8">
        <v>68.5</v>
      </c>
      <c r="J1124" s="8">
        <v>1.61</v>
      </c>
      <c r="K1124" s="8">
        <v>191</v>
      </c>
      <c r="L1124" s="8">
        <v>169</v>
      </c>
      <c r="M1124" s="8">
        <v>74</v>
      </c>
      <c r="N1124" s="8">
        <v>1.18</v>
      </c>
      <c r="O1124" s="8">
        <v>1278</v>
      </c>
      <c r="P1124" s="8" t="s">
        <v>22</v>
      </c>
      <c r="Q1124" s="8" t="str">
        <f>_xlfn.IFS(AND(Table13[[#This Row],[Gender]]="female",R1124&lt;20),"Athletes",AND(Table13[[#This Row],[Gender]]="female",R1124&lt;24),"Fitnesss",AND(Table13[[#This Row],[Gender]]="female",R1124&lt;31),"Acceptable",AND(Table13[[#This Row],[Gender]]="female",R1124&lt;40),"Obese",AND(Table13[[#This Row],[Gender]]="male",R1124&lt;13),"Athletes",AND(Table13[[#This Row],[Gender]]="male",R1124&lt;17),"Fitnesss",AND(Table13[[#This Row],[Gender]]="male",R1124&lt;24.9),"Acceptable",AND(Table13[[#This Row],[Gender]]="male",R1124&lt;40),"Obese",AND(Table13[[#This Row],[Gender]]="others",R1124&lt;20),"Athletes",AND(Table13[[#This Row],[Gender]]="others",R1124&lt;24),"Fitnesss",AND(Table13[[#This Row],[Gender]]="others",R1124&lt;31),"Acceptable",AND(Table13[[#This Row],[Gender]]="others",R1124&lt;40),"Obese")</f>
        <v>Athletes</v>
      </c>
      <c r="R1124" s="8">
        <v>19.899999999999999</v>
      </c>
      <c r="S1124" s="8">
        <v>3.1</v>
      </c>
      <c r="T1124" s="8">
        <v>3</v>
      </c>
      <c r="U1124" s="8">
        <v>2</v>
      </c>
      <c r="V1124" s="8" t="str">
        <f>IF(Table13[[#This Row],[BMI]]&lt;=18.5,"Underweight",IF(Table13[[#This Row],[BMI]]&lt;=24.9,"Normal",IF(Table13[[#This Row],[BMI]]&lt;=29.9,"Overweight",IF(Table13[[#This Row],[BMI]]&lt;=39,"Obese","Severly Obese"))))</f>
        <v>Normal</v>
      </c>
      <c r="W1124" s="18">
        <v>18.59</v>
      </c>
    </row>
    <row r="1125" spans="6:23" x14ac:dyDescent="0.3">
      <c r="F1125" s="17">
        <v>39</v>
      </c>
      <c r="G1125" s="8" t="str">
        <f>IF(Table13[[#This Row],[Age]]&lt;25,"18-24",IF(Table13[[#This Row],[Age]]&lt;35,"25-34",IF(Table13[[#This Row],[Age]]&lt;45,"35-44",IF(Table13[[#This Row],[Age]]&lt;55,"45-54","55-64"))))</f>
        <v>35-44</v>
      </c>
      <c r="H1125" s="8" t="s">
        <v>23</v>
      </c>
      <c r="I1125" s="8">
        <v>65.599999999999994</v>
      </c>
      <c r="J1125" s="8">
        <v>1.75</v>
      </c>
      <c r="K1125" s="8">
        <v>164</v>
      </c>
      <c r="L1125" s="8">
        <v>158</v>
      </c>
      <c r="M1125" s="8">
        <v>66</v>
      </c>
      <c r="N1125" s="8">
        <v>1.0900000000000001</v>
      </c>
      <c r="O1125" s="8">
        <v>1593</v>
      </c>
      <c r="P1125" s="8" t="s">
        <v>20</v>
      </c>
      <c r="Q1125" s="8" t="str">
        <f>_xlfn.IFS(AND(Table13[[#This Row],[Gender]]="female",R1125&lt;20),"Athletes",AND(Table13[[#This Row],[Gender]]="female",R1125&lt;24),"Fitnesss",AND(Table13[[#This Row],[Gender]]="female",R1125&lt;31),"Acceptable",AND(Table13[[#This Row],[Gender]]="female",R1125&lt;40),"Obese",AND(Table13[[#This Row],[Gender]]="male",R1125&lt;13),"Athletes",AND(Table13[[#This Row],[Gender]]="male",R1125&lt;17),"Fitnesss",AND(Table13[[#This Row],[Gender]]="male",R1125&lt;24.9),"Acceptable",AND(Table13[[#This Row],[Gender]]="male",R1125&lt;40),"Obese",AND(Table13[[#This Row],[Gender]]="others",R1125&lt;20),"Athletes",AND(Table13[[#This Row],[Gender]]="others",R1125&lt;24),"Fitnesss",AND(Table13[[#This Row],[Gender]]="others",R1125&lt;31),"Acceptable",AND(Table13[[#This Row],[Gender]]="others",R1125&lt;40),"Obese")</f>
        <v>Fitnesss</v>
      </c>
      <c r="R1125" s="8">
        <v>23.7</v>
      </c>
      <c r="S1125" s="8">
        <v>3.1</v>
      </c>
      <c r="T1125" s="8">
        <v>4</v>
      </c>
      <c r="U1125" s="8">
        <v>2</v>
      </c>
      <c r="V1125" s="8" t="str">
        <f>IF(Table13[[#This Row],[BMI]]&lt;=18.5,"Underweight",IF(Table13[[#This Row],[BMI]]&lt;=24.9,"Normal",IF(Table13[[#This Row],[BMI]]&lt;=29.9,"Overweight",IF(Table13[[#This Row],[BMI]]&lt;=39,"Obese","Severly Obese"))))</f>
        <v>Normal</v>
      </c>
      <c r="W1125" s="18">
        <v>23.89</v>
      </c>
    </row>
    <row r="1126" spans="6:23" x14ac:dyDescent="0.3">
      <c r="F1126" s="17">
        <v>44</v>
      </c>
      <c r="G1126" s="8" t="str">
        <f>IF(Table13[[#This Row],[Age]]&lt;25,"18-24",IF(Table13[[#This Row],[Age]]&lt;35,"25-34",IF(Table13[[#This Row],[Age]]&lt;45,"35-44",IF(Table13[[#This Row],[Age]]&lt;55,"45-54","55-64"))))</f>
        <v>35-44</v>
      </c>
      <c r="H1126" s="8" t="s">
        <v>17</v>
      </c>
      <c r="I1126" s="8">
        <v>87.5</v>
      </c>
      <c r="J1126" s="8">
        <v>1.88</v>
      </c>
      <c r="K1126" s="8">
        <v>173</v>
      </c>
      <c r="L1126" s="8">
        <v>132</v>
      </c>
      <c r="M1126" s="8">
        <v>66</v>
      </c>
      <c r="N1126" s="8">
        <v>1.21</v>
      </c>
      <c r="O1126" s="8">
        <v>1643</v>
      </c>
      <c r="P1126" s="8" t="s">
        <v>18</v>
      </c>
      <c r="Q1126" s="8" t="str">
        <f>_xlfn.IFS(AND(Table13[[#This Row],[Gender]]="female",R1126&lt;20),"Athletes",AND(Table13[[#This Row],[Gender]]="female",R1126&lt;24),"Fitnesss",AND(Table13[[#This Row],[Gender]]="female",R1126&lt;31),"Acceptable",AND(Table13[[#This Row],[Gender]]="female",R1126&lt;40),"Obese",AND(Table13[[#This Row],[Gender]]="male",R1126&lt;13),"Athletes",AND(Table13[[#This Row],[Gender]]="male",R1126&lt;17),"Fitnesss",AND(Table13[[#This Row],[Gender]]="male",R1126&lt;24.9),"Acceptable",AND(Table13[[#This Row],[Gender]]="male",R1126&lt;40),"Obese",AND(Table13[[#This Row],[Gender]]="others",R1126&lt;20),"Athletes",AND(Table13[[#This Row],[Gender]]="others",R1126&lt;24),"Fitnesss",AND(Table13[[#This Row],[Gender]]="others",R1126&lt;31),"Acceptable",AND(Table13[[#This Row],[Gender]]="others",R1126&lt;40),"Obese")</f>
        <v>Acceptable</v>
      </c>
      <c r="R1126" s="8">
        <v>26.9</v>
      </c>
      <c r="S1126" s="8">
        <v>3.1</v>
      </c>
      <c r="T1126" s="8">
        <v>2</v>
      </c>
      <c r="U1126" s="8">
        <v>2</v>
      </c>
      <c r="V1126" s="8" t="str">
        <f>IF(Table13[[#This Row],[BMI]]&lt;=18.5,"Underweight",IF(Table13[[#This Row],[BMI]]&lt;=24.9,"Normal",IF(Table13[[#This Row],[BMI]]&lt;=29.9,"Overweight",IF(Table13[[#This Row],[BMI]]&lt;=39,"Obese","Severly Obese"))))</f>
        <v>Normal</v>
      </c>
      <c r="W1126" s="18">
        <v>21.72</v>
      </c>
    </row>
    <row r="1127" spans="6:23" x14ac:dyDescent="0.3">
      <c r="F1127" s="17">
        <v>56</v>
      </c>
      <c r="G1127" s="8" t="str">
        <f>IF(Table13[[#This Row],[Age]]&lt;25,"18-24",IF(Table13[[#This Row],[Age]]&lt;35,"25-34",IF(Table13[[#This Row],[Age]]&lt;45,"35-44",IF(Table13[[#This Row],[Age]]&lt;55,"45-54","55-64"))))</f>
        <v>55-64</v>
      </c>
      <c r="H1127" s="8" t="s">
        <v>19</v>
      </c>
      <c r="I1127" s="8">
        <v>54.5</v>
      </c>
      <c r="J1127" s="8">
        <v>1.76</v>
      </c>
      <c r="K1127" s="8">
        <v>196</v>
      </c>
      <c r="L1127" s="8">
        <v>148</v>
      </c>
      <c r="M1127" s="8">
        <v>74</v>
      </c>
      <c r="N1127" s="8">
        <v>1.4</v>
      </c>
      <c r="O1127" s="8">
        <v>659</v>
      </c>
      <c r="P1127" s="8" t="s">
        <v>21</v>
      </c>
      <c r="Q1127" s="8" t="str">
        <f>_xlfn.IFS(AND(Table13[[#This Row],[Gender]]="female",R1127&lt;20),"Athletes",AND(Table13[[#This Row],[Gender]]="female",R1127&lt;24),"Fitnesss",AND(Table13[[#This Row],[Gender]]="female",R1127&lt;31),"Acceptable",AND(Table13[[#This Row],[Gender]]="female",R1127&lt;40),"Obese",AND(Table13[[#This Row],[Gender]]="male",R1127&lt;13),"Athletes",AND(Table13[[#This Row],[Gender]]="male",R1127&lt;17),"Fitnesss",AND(Table13[[#This Row],[Gender]]="male",R1127&lt;24.9),"Acceptable",AND(Table13[[#This Row],[Gender]]="male",R1127&lt;40),"Obese",AND(Table13[[#This Row],[Gender]]="others",R1127&lt;20),"Athletes",AND(Table13[[#This Row],[Gender]]="others",R1127&lt;24),"Fitnesss",AND(Table13[[#This Row],[Gender]]="others",R1127&lt;31),"Acceptable",AND(Table13[[#This Row],[Gender]]="others",R1127&lt;40),"Obese")</f>
        <v>Obese</v>
      </c>
      <c r="R1127" s="8">
        <v>32.1</v>
      </c>
      <c r="S1127" s="8">
        <v>2.8</v>
      </c>
      <c r="T1127" s="8">
        <v>4</v>
      </c>
      <c r="U1127" s="8">
        <v>2</v>
      </c>
      <c r="V1127" s="8" t="str">
        <f>IF(Table13[[#This Row],[BMI]]&lt;=18.5,"Underweight",IF(Table13[[#This Row],[BMI]]&lt;=24.9,"Normal",IF(Table13[[#This Row],[BMI]]&lt;=29.9,"Overweight",IF(Table13[[#This Row],[BMI]]&lt;=39,"Obese","Severly Obese"))))</f>
        <v>Overweight</v>
      </c>
      <c r="W1127" s="18">
        <v>27.02</v>
      </c>
    </row>
    <row r="1128" spans="6:23" x14ac:dyDescent="0.3">
      <c r="F1128" s="17">
        <v>33</v>
      </c>
      <c r="G1128" s="8" t="str">
        <f>IF(Table13[[#This Row],[Age]]&lt;25,"18-24",IF(Table13[[#This Row],[Age]]&lt;35,"25-34",IF(Table13[[#This Row],[Age]]&lt;45,"35-44",IF(Table13[[#This Row],[Age]]&lt;55,"45-54","55-64"))))</f>
        <v>25-34</v>
      </c>
      <c r="H1128" s="8" t="s">
        <v>17</v>
      </c>
      <c r="I1128" s="8">
        <v>55.4</v>
      </c>
      <c r="J1128" s="8">
        <v>1.6</v>
      </c>
      <c r="K1128" s="8">
        <v>185</v>
      </c>
      <c r="L1128" s="8">
        <v>144</v>
      </c>
      <c r="M1128" s="8">
        <v>67</v>
      </c>
      <c r="N1128" s="8">
        <v>2</v>
      </c>
      <c r="O1128" s="8">
        <v>1015</v>
      </c>
      <c r="P1128" s="8" t="s">
        <v>21</v>
      </c>
      <c r="Q1128" s="8" t="str">
        <f>_xlfn.IFS(AND(Table13[[#This Row],[Gender]]="female",R1128&lt;20),"Athletes",AND(Table13[[#This Row],[Gender]]="female",R1128&lt;24),"Fitnesss",AND(Table13[[#This Row],[Gender]]="female",R1128&lt;31),"Acceptable",AND(Table13[[#This Row],[Gender]]="female",R1128&lt;40),"Obese",AND(Table13[[#This Row],[Gender]]="male",R1128&lt;13),"Athletes",AND(Table13[[#This Row],[Gender]]="male",R1128&lt;17),"Fitnesss",AND(Table13[[#This Row],[Gender]]="male",R1128&lt;24.9),"Acceptable",AND(Table13[[#This Row],[Gender]]="male",R1128&lt;40),"Obese",AND(Table13[[#This Row],[Gender]]="others",R1128&lt;20),"Athletes",AND(Table13[[#This Row],[Gender]]="others",R1128&lt;24),"Fitnesss",AND(Table13[[#This Row],[Gender]]="others",R1128&lt;31),"Acceptable",AND(Table13[[#This Row],[Gender]]="others",R1128&lt;40),"Obese")</f>
        <v>Acceptable</v>
      </c>
      <c r="R1128" s="8">
        <v>30.6</v>
      </c>
      <c r="S1128" s="8">
        <v>2.7</v>
      </c>
      <c r="T1128" s="8">
        <v>4</v>
      </c>
      <c r="U1128" s="8">
        <v>3</v>
      </c>
      <c r="V1128" s="8" t="str">
        <f>IF(Table13[[#This Row],[BMI]]&lt;=18.5,"Underweight",IF(Table13[[#This Row],[BMI]]&lt;=24.9,"Normal",IF(Table13[[#This Row],[BMI]]&lt;=29.9,"Overweight",IF(Table13[[#This Row],[BMI]]&lt;=39,"Obese","Severly Obese"))))</f>
        <v>Normal</v>
      </c>
      <c r="W1128" s="18">
        <v>20.82</v>
      </c>
    </row>
    <row r="1129" spans="6:23" x14ac:dyDescent="0.3">
      <c r="F1129" s="17">
        <v>32</v>
      </c>
      <c r="G1129" s="8" t="str">
        <f>IF(Table13[[#This Row],[Age]]&lt;25,"18-24",IF(Table13[[#This Row],[Age]]&lt;35,"25-34",IF(Table13[[#This Row],[Age]]&lt;45,"35-44",IF(Table13[[#This Row],[Age]]&lt;55,"45-54","55-64"))))</f>
        <v>25-34</v>
      </c>
      <c r="H1129" s="8" t="s">
        <v>19</v>
      </c>
      <c r="I1129" s="8">
        <v>85.7</v>
      </c>
      <c r="J1129" s="8">
        <v>1.53</v>
      </c>
      <c r="K1129" s="8">
        <v>185</v>
      </c>
      <c r="L1129" s="8">
        <v>133</v>
      </c>
      <c r="M1129" s="8">
        <v>52</v>
      </c>
      <c r="N1129" s="8">
        <v>1.02</v>
      </c>
      <c r="O1129" s="8">
        <v>1108</v>
      </c>
      <c r="P1129" s="8" t="s">
        <v>20</v>
      </c>
      <c r="Q1129" s="8" t="str">
        <f>_xlfn.IFS(AND(Table13[[#This Row],[Gender]]="female",R1129&lt;20),"Athletes",AND(Table13[[#This Row],[Gender]]="female",R1129&lt;24),"Fitnesss",AND(Table13[[#This Row],[Gender]]="female",R1129&lt;31),"Acceptable",AND(Table13[[#This Row],[Gender]]="female",R1129&lt;40),"Obese",AND(Table13[[#This Row],[Gender]]="male",R1129&lt;13),"Athletes",AND(Table13[[#This Row],[Gender]]="male",R1129&lt;17),"Fitnesss",AND(Table13[[#This Row],[Gender]]="male",R1129&lt;24.9),"Acceptable",AND(Table13[[#This Row],[Gender]]="male",R1129&lt;40),"Obese",AND(Table13[[#This Row],[Gender]]="others",R1129&lt;20),"Athletes",AND(Table13[[#This Row],[Gender]]="others",R1129&lt;24),"Fitnesss",AND(Table13[[#This Row],[Gender]]="others",R1129&lt;31),"Acceptable",AND(Table13[[#This Row],[Gender]]="others",R1129&lt;40),"Obese")</f>
        <v>Acceptable</v>
      </c>
      <c r="R1129" s="8">
        <v>24</v>
      </c>
      <c r="S1129" s="8">
        <v>3.4</v>
      </c>
      <c r="T1129" s="8">
        <v>3</v>
      </c>
      <c r="U1129" s="8">
        <v>3</v>
      </c>
      <c r="V1129" s="8" t="str">
        <f>IF(Table13[[#This Row],[BMI]]&lt;=18.5,"Underweight",IF(Table13[[#This Row],[BMI]]&lt;=24.9,"Normal",IF(Table13[[#This Row],[BMI]]&lt;=29.9,"Overweight",IF(Table13[[#This Row],[BMI]]&lt;=39,"Obese","Severly Obese"))))</f>
        <v>Underweight</v>
      </c>
      <c r="W1129" s="18">
        <v>14.19</v>
      </c>
    </row>
    <row r="1130" spans="6:23" x14ac:dyDescent="0.3">
      <c r="F1130" s="17">
        <v>34</v>
      </c>
      <c r="G1130" s="8" t="str">
        <f>IF(Table13[[#This Row],[Age]]&lt;25,"18-24",IF(Table13[[#This Row],[Age]]&lt;35,"25-34",IF(Table13[[#This Row],[Age]]&lt;45,"35-44",IF(Table13[[#This Row],[Age]]&lt;55,"45-54","55-64"))))</f>
        <v>25-34</v>
      </c>
      <c r="H1130" s="8" t="s">
        <v>17</v>
      </c>
      <c r="I1130" s="8">
        <v>58.2</v>
      </c>
      <c r="J1130" s="8">
        <v>1.7</v>
      </c>
      <c r="K1130" s="8">
        <v>189</v>
      </c>
      <c r="L1130" s="8">
        <v>134</v>
      </c>
      <c r="M1130" s="8">
        <v>55</v>
      </c>
      <c r="N1130" s="8">
        <v>0.73</v>
      </c>
      <c r="O1130" s="8">
        <v>785</v>
      </c>
      <c r="P1130" s="8" t="s">
        <v>21</v>
      </c>
      <c r="Q1130" s="8" t="str">
        <f>_xlfn.IFS(AND(Table13[[#This Row],[Gender]]="female",R1130&lt;20),"Athletes",AND(Table13[[#This Row],[Gender]]="female",R1130&lt;24),"Fitnesss",AND(Table13[[#This Row],[Gender]]="female",R1130&lt;31),"Acceptable",AND(Table13[[#This Row],[Gender]]="female",R1130&lt;40),"Obese",AND(Table13[[#This Row],[Gender]]="male",R1130&lt;13),"Athletes",AND(Table13[[#This Row],[Gender]]="male",R1130&lt;17),"Fitnesss",AND(Table13[[#This Row],[Gender]]="male",R1130&lt;24.9),"Acceptable",AND(Table13[[#This Row],[Gender]]="male",R1130&lt;40),"Obese",AND(Table13[[#This Row],[Gender]]="others",R1130&lt;20),"Athletes",AND(Table13[[#This Row],[Gender]]="others",R1130&lt;24),"Fitnesss",AND(Table13[[#This Row],[Gender]]="others",R1130&lt;31),"Acceptable",AND(Table13[[#This Row],[Gender]]="others",R1130&lt;40),"Obese")</f>
        <v>Acceptable</v>
      </c>
      <c r="R1130" s="8">
        <v>24</v>
      </c>
      <c r="S1130" s="8">
        <v>1.6</v>
      </c>
      <c r="T1130" s="8">
        <v>4</v>
      </c>
      <c r="U1130" s="8">
        <v>2</v>
      </c>
      <c r="V1130" s="8" t="str">
        <f>IF(Table13[[#This Row],[BMI]]&lt;=18.5,"Underweight",IF(Table13[[#This Row],[BMI]]&lt;=24.9,"Normal",IF(Table13[[#This Row],[BMI]]&lt;=29.9,"Overweight",IF(Table13[[#This Row],[BMI]]&lt;=39,"Obese","Severly Obese"))))</f>
        <v>Underweight</v>
      </c>
      <c r="W1130" s="18">
        <v>12.46</v>
      </c>
    </row>
    <row r="1131" spans="6:23" x14ac:dyDescent="0.3">
      <c r="F1131" s="17">
        <v>30</v>
      </c>
      <c r="G1131" s="8" t="str">
        <f>IF(Table13[[#This Row],[Age]]&lt;25,"18-24",IF(Table13[[#This Row],[Age]]&lt;35,"25-34",IF(Table13[[#This Row],[Age]]&lt;45,"35-44",IF(Table13[[#This Row],[Age]]&lt;55,"45-54","55-64"))))</f>
        <v>25-34</v>
      </c>
      <c r="H1131" s="8" t="s">
        <v>19</v>
      </c>
      <c r="I1131" s="8">
        <v>72.5</v>
      </c>
      <c r="J1131" s="8">
        <v>1.91</v>
      </c>
      <c r="K1131" s="8">
        <v>189</v>
      </c>
      <c r="L1131" s="8">
        <v>142</v>
      </c>
      <c r="M1131" s="8">
        <v>58</v>
      </c>
      <c r="N1131" s="8">
        <v>1.44</v>
      </c>
      <c r="O1131" s="8">
        <v>976</v>
      </c>
      <c r="P1131" s="8" t="s">
        <v>20</v>
      </c>
      <c r="Q1131" s="8" t="str">
        <f>_xlfn.IFS(AND(Table13[[#This Row],[Gender]]="female",R1131&lt;20),"Athletes",AND(Table13[[#This Row],[Gender]]="female",R1131&lt;24),"Fitnesss",AND(Table13[[#This Row],[Gender]]="female",R1131&lt;31),"Acceptable",AND(Table13[[#This Row],[Gender]]="female",R1131&lt;40),"Obese",AND(Table13[[#This Row],[Gender]]="male",R1131&lt;13),"Athletes",AND(Table13[[#This Row],[Gender]]="male",R1131&lt;17),"Fitnesss",AND(Table13[[#This Row],[Gender]]="male",R1131&lt;24.9),"Acceptable",AND(Table13[[#This Row],[Gender]]="male",R1131&lt;40),"Obese",AND(Table13[[#This Row],[Gender]]="others",R1131&lt;20),"Athletes",AND(Table13[[#This Row],[Gender]]="others",R1131&lt;24),"Fitnesss",AND(Table13[[#This Row],[Gender]]="others",R1131&lt;31),"Acceptable",AND(Table13[[#This Row],[Gender]]="others",R1131&lt;40),"Obese")</f>
        <v>Obese</v>
      </c>
      <c r="R1131" s="8">
        <v>28.2</v>
      </c>
      <c r="S1131" s="8">
        <v>3.6</v>
      </c>
      <c r="T1131" s="8">
        <v>2</v>
      </c>
      <c r="U1131" s="8">
        <v>2</v>
      </c>
      <c r="V1131" s="8" t="str">
        <f>IF(Table13[[#This Row],[BMI]]&lt;=18.5,"Underweight",IF(Table13[[#This Row],[BMI]]&lt;=24.9,"Normal",IF(Table13[[#This Row],[BMI]]&lt;=29.9,"Overweight",IF(Table13[[#This Row],[BMI]]&lt;=39,"Obese","Severly Obese"))))</f>
        <v>Overweight</v>
      </c>
      <c r="W1131" s="18">
        <v>26.6</v>
      </c>
    </row>
    <row r="1132" spans="6:23" x14ac:dyDescent="0.3">
      <c r="F1132" s="17">
        <v>26</v>
      </c>
      <c r="G1132" s="8" t="str">
        <f>IF(Table13[[#This Row],[Age]]&lt;25,"18-24",IF(Table13[[#This Row],[Age]]&lt;35,"25-34",IF(Table13[[#This Row],[Age]]&lt;45,"35-44",IF(Table13[[#This Row],[Age]]&lt;55,"45-54","55-64"))))</f>
        <v>25-34</v>
      </c>
      <c r="H1132" s="8" t="s">
        <v>23</v>
      </c>
      <c r="I1132" s="8">
        <v>77.2</v>
      </c>
      <c r="J1132" s="8">
        <v>1.64</v>
      </c>
      <c r="K1132" s="8">
        <v>168</v>
      </c>
      <c r="L1132" s="8">
        <v>162</v>
      </c>
      <c r="M1132" s="8">
        <v>64</v>
      </c>
      <c r="N1132" s="8">
        <v>1.25</v>
      </c>
      <c r="O1132" s="8">
        <v>438</v>
      </c>
      <c r="P1132" s="8" t="s">
        <v>18</v>
      </c>
      <c r="Q1132" s="8" t="str">
        <f>_xlfn.IFS(AND(Table13[[#This Row],[Gender]]="female",R1132&lt;20),"Athletes",AND(Table13[[#This Row],[Gender]]="female",R1132&lt;24),"Fitnesss",AND(Table13[[#This Row],[Gender]]="female",R1132&lt;31),"Acceptable",AND(Table13[[#This Row],[Gender]]="female",R1132&lt;40),"Obese",AND(Table13[[#This Row],[Gender]]="male",R1132&lt;13),"Athletes",AND(Table13[[#This Row],[Gender]]="male",R1132&lt;17),"Fitnesss",AND(Table13[[#This Row],[Gender]]="male",R1132&lt;24.9),"Acceptable",AND(Table13[[#This Row],[Gender]]="male",R1132&lt;40),"Obese",AND(Table13[[#This Row],[Gender]]="others",R1132&lt;20),"Athletes",AND(Table13[[#This Row],[Gender]]="others",R1132&lt;24),"Fitnesss",AND(Table13[[#This Row],[Gender]]="others",R1132&lt;31),"Acceptable",AND(Table13[[#This Row],[Gender]]="others",R1132&lt;40),"Obese")</f>
        <v>Fitnesss</v>
      </c>
      <c r="R1132" s="8">
        <v>22.7</v>
      </c>
      <c r="S1132" s="8">
        <v>2.4</v>
      </c>
      <c r="T1132" s="8">
        <v>4</v>
      </c>
      <c r="U1132" s="8">
        <v>2</v>
      </c>
      <c r="V1132" s="8" t="str">
        <f>IF(Table13[[#This Row],[BMI]]&lt;=18.5,"Underweight",IF(Table13[[#This Row],[BMI]]&lt;=24.9,"Normal",IF(Table13[[#This Row],[BMI]]&lt;=29.9,"Overweight",IF(Table13[[#This Row],[BMI]]&lt;=39,"Obese","Severly Obese"))))</f>
        <v>Obese</v>
      </c>
      <c r="W1132" s="18">
        <v>30.85</v>
      </c>
    </row>
    <row r="1133" spans="6:23" x14ac:dyDescent="0.3">
      <c r="F1133" s="17">
        <v>20</v>
      </c>
      <c r="G1133" s="8" t="str">
        <f>IF(Table13[[#This Row],[Age]]&lt;25,"18-24",IF(Table13[[#This Row],[Age]]&lt;35,"25-34",IF(Table13[[#This Row],[Age]]&lt;45,"35-44",IF(Table13[[#This Row],[Age]]&lt;55,"45-54","55-64"))))</f>
        <v>18-24</v>
      </c>
      <c r="H1133" s="8" t="s">
        <v>19</v>
      </c>
      <c r="I1133" s="8">
        <v>90.3</v>
      </c>
      <c r="J1133" s="8">
        <v>1.68</v>
      </c>
      <c r="K1133" s="8">
        <v>169</v>
      </c>
      <c r="L1133" s="8">
        <v>135</v>
      </c>
      <c r="M1133" s="8">
        <v>59</v>
      </c>
      <c r="N1133" s="8">
        <v>1.1000000000000001</v>
      </c>
      <c r="O1133" s="8">
        <v>758</v>
      </c>
      <c r="P1133" s="8" t="s">
        <v>20</v>
      </c>
      <c r="Q1133" s="8" t="str">
        <f>_xlfn.IFS(AND(Table13[[#This Row],[Gender]]="female",R1133&lt;20),"Athletes",AND(Table13[[#This Row],[Gender]]="female",R1133&lt;24),"Fitnesss",AND(Table13[[#This Row],[Gender]]="female",R1133&lt;31),"Acceptable",AND(Table13[[#This Row],[Gender]]="female",R1133&lt;40),"Obese",AND(Table13[[#This Row],[Gender]]="male",R1133&lt;13),"Athletes",AND(Table13[[#This Row],[Gender]]="male",R1133&lt;17),"Fitnesss",AND(Table13[[#This Row],[Gender]]="male",R1133&lt;24.9),"Acceptable",AND(Table13[[#This Row],[Gender]]="male",R1133&lt;40),"Obese",AND(Table13[[#This Row],[Gender]]="others",R1133&lt;20),"Athletes",AND(Table13[[#This Row],[Gender]]="others",R1133&lt;24),"Fitnesss",AND(Table13[[#This Row],[Gender]]="others",R1133&lt;31),"Acceptable",AND(Table13[[#This Row],[Gender]]="others",R1133&lt;40),"Obese")</f>
        <v>Athletes</v>
      </c>
      <c r="R1133" s="8">
        <v>10.5</v>
      </c>
      <c r="S1133" s="8">
        <v>1.7</v>
      </c>
      <c r="T1133" s="8">
        <v>4</v>
      </c>
      <c r="U1133" s="8">
        <v>1</v>
      </c>
      <c r="V1133" s="8" t="str">
        <f>IF(Table13[[#This Row],[BMI]]&lt;=18.5,"Underweight",IF(Table13[[#This Row],[BMI]]&lt;=24.9,"Normal",IF(Table13[[#This Row],[BMI]]&lt;=29.9,"Overweight",IF(Table13[[#This Row],[BMI]]&lt;=39,"Obese","Severly Obese"))))</f>
        <v>Obese</v>
      </c>
      <c r="W1133" s="18">
        <v>31.04</v>
      </c>
    </row>
    <row r="1134" spans="6:23" x14ac:dyDescent="0.3">
      <c r="F1134" s="17">
        <v>42</v>
      </c>
      <c r="G1134" s="8" t="str">
        <f>IF(Table13[[#This Row],[Age]]&lt;25,"18-24",IF(Table13[[#This Row],[Age]]&lt;35,"25-34",IF(Table13[[#This Row],[Age]]&lt;45,"35-44",IF(Table13[[#This Row],[Age]]&lt;55,"45-54","55-64"))))</f>
        <v>35-44</v>
      </c>
      <c r="H1134" s="8" t="s">
        <v>17</v>
      </c>
      <c r="I1134" s="8">
        <v>95.2</v>
      </c>
      <c r="J1134" s="8">
        <v>1.76</v>
      </c>
      <c r="K1134" s="8">
        <v>178</v>
      </c>
      <c r="L1134" s="8">
        <v>158</v>
      </c>
      <c r="M1134" s="8">
        <v>56</v>
      </c>
      <c r="N1134" s="8">
        <v>1.21</v>
      </c>
      <c r="O1134" s="8">
        <v>770</v>
      </c>
      <c r="P1134" s="8" t="s">
        <v>20</v>
      </c>
      <c r="Q1134" s="8" t="str">
        <f>_xlfn.IFS(AND(Table13[[#This Row],[Gender]]="female",R1134&lt;20),"Athletes",AND(Table13[[#This Row],[Gender]]="female",R1134&lt;24),"Fitnesss",AND(Table13[[#This Row],[Gender]]="female",R1134&lt;31),"Acceptable",AND(Table13[[#This Row],[Gender]]="female",R1134&lt;40),"Obese",AND(Table13[[#This Row],[Gender]]="male",R1134&lt;13),"Athletes",AND(Table13[[#This Row],[Gender]]="male",R1134&lt;17),"Fitnesss",AND(Table13[[#This Row],[Gender]]="male",R1134&lt;24.9),"Acceptable",AND(Table13[[#This Row],[Gender]]="male",R1134&lt;40),"Obese",AND(Table13[[#This Row],[Gender]]="others",R1134&lt;20),"Athletes",AND(Table13[[#This Row],[Gender]]="others",R1134&lt;24),"Fitnesss",AND(Table13[[#This Row],[Gender]]="others",R1134&lt;31),"Acceptable",AND(Table13[[#This Row],[Gender]]="others",R1134&lt;40),"Obese")</f>
        <v>Acceptable</v>
      </c>
      <c r="R1134" s="8">
        <v>25.3</v>
      </c>
      <c r="S1134" s="8">
        <v>2</v>
      </c>
      <c r="T1134" s="8">
        <v>2</v>
      </c>
      <c r="U1134" s="8">
        <v>3</v>
      </c>
      <c r="V1134" s="8" t="str">
        <f>IF(Table13[[#This Row],[BMI]]&lt;=18.5,"Underweight",IF(Table13[[#This Row],[BMI]]&lt;=24.9,"Normal",IF(Table13[[#This Row],[BMI]]&lt;=29.9,"Overweight",IF(Table13[[#This Row],[BMI]]&lt;=39,"Obese","Severly Obese"))))</f>
        <v>Underweight</v>
      </c>
      <c r="W1134" s="18">
        <v>16.059999999999999</v>
      </c>
    </row>
    <row r="1135" spans="6:23" x14ac:dyDescent="0.3">
      <c r="F1135" s="17">
        <v>26</v>
      </c>
      <c r="G1135" s="8" t="str">
        <f>IF(Table13[[#This Row],[Age]]&lt;25,"18-24",IF(Table13[[#This Row],[Age]]&lt;35,"25-34",IF(Table13[[#This Row],[Age]]&lt;45,"35-44",IF(Table13[[#This Row],[Age]]&lt;55,"45-54","55-64"))))</f>
        <v>25-34</v>
      </c>
      <c r="H1135" s="8" t="s">
        <v>19</v>
      </c>
      <c r="I1135" s="8">
        <v>75</v>
      </c>
      <c r="J1135" s="8">
        <v>1.91</v>
      </c>
      <c r="K1135" s="8">
        <v>181</v>
      </c>
      <c r="L1135" s="8">
        <v>168</v>
      </c>
      <c r="M1135" s="8">
        <v>74</v>
      </c>
      <c r="N1135" s="8">
        <v>1.1000000000000001</v>
      </c>
      <c r="O1135" s="8">
        <v>943</v>
      </c>
      <c r="P1135" s="8" t="s">
        <v>21</v>
      </c>
      <c r="Q1135" s="8" t="str">
        <f>_xlfn.IFS(AND(Table13[[#This Row],[Gender]]="female",R1135&lt;20),"Athletes",AND(Table13[[#This Row],[Gender]]="female",R1135&lt;24),"Fitnesss",AND(Table13[[#This Row],[Gender]]="female",R1135&lt;31),"Acceptable",AND(Table13[[#This Row],[Gender]]="female",R1135&lt;40),"Obese",AND(Table13[[#This Row],[Gender]]="male",R1135&lt;13),"Athletes",AND(Table13[[#This Row],[Gender]]="male",R1135&lt;17),"Fitnesss",AND(Table13[[#This Row],[Gender]]="male",R1135&lt;24.9),"Acceptable",AND(Table13[[#This Row],[Gender]]="male",R1135&lt;40),"Obese",AND(Table13[[#This Row],[Gender]]="others",R1135&lt;20),"Athletes",AND(Table13[[#This Row],[Gender]]="others",R1135&lt;24),"Fitnesss",AND(Table13[[#This Row],[Gender]]="others",R1135&lt;31),"Acceptable",AND(Table13[[#This Row],[Gender]]="others",R1135&lt;40),"Obese")</f>
        <v>Acceptable</v>
      </c>
      <c r="R1135" s="8">
        <v>24.8</v>
      </c>
      <c r="S1135" s="8">
        <v>2</v>
      </c>
      <c r="T1135" s="8">
        <v>3</v>
      </c>
      <c r="U1135" s="8">
        <v>2</v>
      </c>
      <c r="V1135" s="8" t="str">
        <f>IF(Table13[[#This Row],[BMI]]&lt;=18.5,"Underweight",IF(Table13[[#This Row],[BMI]]&lt;=24.9,"Normal",IF(Table13[[#This Row],[BMI]]&lt;=29.9,"Overweight",IF(Table13[[#This Row],[BMI]]&lt;=39,"Obese","Severly Obese"))))</f>
        <v>Normal</v>
      </c>
      <c r="W1135" s="18">
        <v>21.87</v>
      </c>
    </row>
    <row r="1136" spans="6:23" x14ac:dyDescent="0.3">
      <c r="F1136" s="17">
        <v>26</v>
      </c>
      <c r="G1136" s="8" t="str">
        <f>IF(Table13[[#This Row],[Age]]&lt;25,"18-24",IF(Table13[[#This Row],[Age]]&lt;35,"25-34",IF(Table13[[#This Row],[Age]]&lt;45,"35-44",IF(Table13[[#This Row],[Age]]&lt;55,"45-54","55-64"))))</f>
        <v>25-34</v>
      </c>
      <c r="H1136" s="8" t="s">
        <v>19</v>
      </c>
      <c r="I1136" s="8">
        <v>61.5</v>
      </c>
      <c r="J1136" s="8">
        <v>1.51</v>
      </c>
      <c r="K1136" s="8">
        <v>185</v>
      </c>
      <c r="L1136" s="8">
        <v>155</v>
      </c>
      <c r="M1136" s="8">
        <v>74</v>
      </c>
      <c r="N1136" s="8">
        <v>1.35</v>
      </c>
      <c r="O1136" s="8">
        <v>1079</v>
      </c>
      <c r="P1136" s="8" t="s">
        <v>20</v>
      </c>
      <c r="Q1136" s="8" t="str">
        <f>_xlfn.IFS(AND(Table13[[#This Row],[Gender]]="female",R1136&lt;20),"Athletes",AND(Table13[[#This Row],[Gender]]="female",R1136&lt;24),"Fitnesss",AND(Table13[[#This Row],[Gender]]="female",R1136&lt;31),"Acceptable",AND(Table13[[#This Row],[Gender]]="female",R1136&lt;40),"Obese",AND(Table13[[#This Row],[Gender]]="male",R1136&lt;13),"Athletes",AND(Table13[[#This Row],[Gender]]="male",R1136&lt;17),"Fitnesss",AND(Table13[[#This Row],[Gender]]="male",R1136&lt;24.9),"Acceptable",AND(Table13[[#This Row],[Gender]]="male",R1136&lt;40),"Obese",AND(Table13[[#This Row],[Gender]]="others",R1136&lt;20),"Athletes",AND(Table13[[#This Row],[Gender]]="others",R1136&lt;24),"Fitnesss",AND(Table13[[#This Row],[Gender]]="others",R1136&lt;31),"Acceptable",AND(Table13[[#This Row],[Gender]]="others",R1136&lt;40),"Obese")</f>
        <v>Obese</v>
      </c>
      <c r="R1136" s="8">
        <v>31.4</v>
      </c>
      <c r="S1136" s="8">
        <v>3.4</v>
      </c>
      <c r="T1136" s="8">
        <v>4</v>
      </c>
      <c r="U1136" s="8">
        <v>2</v>
      </c>
      <c r="V1136" s="8" t="str">
        <f>IF(Table13[[#This Row],[BMI]]&lt;=18.5,"Underweight",IF(Table13[[#This Row],[BMI]]&lt;=24.9,"Normal",IF(Table13[[#This Row],[BMI]]&lt;=29.9,"Overweight",IF(Table13[[#This Row],[BMI]]&lt;=39,"Obese","Severly Obese"))))</f>
        <v>Normal</v>
      </c>
      <c r="W1136" s="18">
        <v>21.29</v>
      </c>
    </row>
    <row r="1137" spans="6:23" x14ac:dyDescent="0.3">
      <c r="F1137" s="17">
        <v>28</v>
      </c>
      <c r="G1137" s="8" t="str">
        <f>IF(Table13[[#This Row],[Age]]&lt;25,"18-24",IF(Table13[[#This Row],[Age]]&lt;35,"25-34",IF(Table13[[#This Row],[Age]]&lt;45,"35-44",IF(Table13[[#This Row],[Age]]&lt;55,"45-54","55-64"))))</f>
        <v>25-34</v>
      </c>
      <c r="H1137" s="8" t="s">
        <v>17</v>
      </c>
      <c r="I1137" s="8">
        <v>101.9</v>
      </c>
      <c r="J1137" s="8">
        <v>1.5</v>
      </c>
      <c r="K1137" s="8">
        <v>196</v>
      </c>
      <c r="L1137" s="8">
        <v>164</v>
      </c>
      <c r="M1137" s="8">
        <v>56</v>
      </c>
      <c r="N1137" s="8">
        <v>1.87</v>
      </c>
      <c r="O1137" s="8">
        <v>1211</v>
      </c>
      <c r="P1137" s="8" t="s">
        <v>20</v>
      </c>
      <c r="Q1137" s="8" t="str">
        <f>_xlfn.IFS(AND(Table13[[#This Row],[Gender]]="female",R1137&lt;20),"Athletes",AND(Table13[[#This Row],[Gender]]="female",R1137&lt;24),"Fitnesss",AND(Table13[[#This Row],[Gender]]="female",R1137&lt;31),"Acceptable",AND(Table13[[#This Row],[Gender]]="female",R1137&lt;40),"Obese",AND(Table13[[#This Row],[Gender]]="male",R1137&lt;13),"Athletes",AND(Table13[[#This Row],[Gender]]="male",R1137&lt;17),"Fitnesss",AND(Table13[[#This Row],[Gender]]="male",R1137&lt;24.9),"Acceptable",AND(Table13[[#This Row],[Gender]]="male",R1137&lt;40),"Obese",AND(Table13[[#This Row],[Gender]]="others",R1137&lt;20),"Athletes",AND(Table13[[#This Row],[Gender]]="others",R1137&lt;24),"Fitnesss",AND(Table13[[#This Row],[Gender]]="others",R1137&lt;31),"Acceptable",AND(Table13[[#This Row],[Gender]]="others",R1137&lt;40),"Obese")</f>
        <v>Fitnesss</v>
      </c>
      <c r="R1137" s="8">
        <v>23.8</v>
      </c>
      <c r="S1137" s="8">
        <v>3.2</v>
      </c>
      <c r="T1137" s="8">
        <v>2</v>
      </c>
      <c r="U1137" s="8">
        <v>2</v>
      </c>
      <c r="V1137" s="8" t="str">
        <f>IF(Table13[[#This Row],[BMI]]&lt;=18.5,"Underweight",IF(Table13[[#This Row],[BMI]]&lt;=24.9,"Normal",IF(Table13[[#This Row],[BMI]]&lt;=29.9,"Overweight",IF(Table13[[#This Row],[BMI]]&lt;=39,"Obese","Severly Obese"))))</f>
        <v>Underweight</v>
      </c>
      <c r="W1137" s="18">
        <v>15.07</v>
      </c>
    </row>
    <row r="1138" spans="6:23" x14ac:dyDescent="0.3">
      <c r="F1138" s="17">
        <v>54</v>
      </c>
      <c r="G1138" s="8" t="str">
        <f>IF(Table13[[#This Row],[Age]]&lt;25,"18-24",IF(Table13[[#This Row],[Age]]&lt;35,"25-34",IF(Table13[[#This Row],[Age]]&lt;45,"35-44",IF(Table13[[#This Row],[Age]]&lt;55,"45-54","55-64"))))</f>
        <v>45-54</v>
      </c>
      <c r="H1138" s="8" t="s">
        <v>17</v>
      </c>
      <c r="I1138" s="8">
        <v>41.4</v>
      </c>
      <c r="J1138" s="8">
        <v>1.6</v>
      </c>
      <c r="K1138" s="8">
        <v>163</v>
      </c>
      <c r="L1138" s="8">
        <v>169</v>
      </c>
      <c r="M1138" s="8">
        <v>71</v>
      </c>
      <c r="N1138" s="8">
        <v>1.62</v>
      </c>
      <c r="O1138" s="8">
        <v>1385</v>
      </c>
      <c r="P1138" s="8" t="s">
        <v>22</v>
      </c>
      <c r="Q1138" s="8" t="str">
        <f>_xlfn.IFS(AND(Table13[[#This Row],[Gender]]="female",R1138&lt;20),"Athletes",AND(Table13[[#This Row],[Gender]]="female",R1138&lt;24),"Fitnesss",AND(Table13[[#This Row],[Gender]]="female",R1138&lt;31),"Acceptable",AND(Table13[[#This Row],[Gender]]="female",R1138&lt;40),"Obese",AND(Table13[[#This Row],[Gender]]="male",R1138&lt;13),"Athletes",AND(Table13[[#This Row],[Gender]]="male",R1138&lt;17),"Fitnesss",AND(Table13[[#This Row],[Gender]]="male",R1138&lt;24.9),"Acceptable",AND(Table13[[#This Row],[Gender]]="male",R1138&lt;40),"Obese",AND(Table13[[#This Row],[Gender]]="others",R1138&lt;20),"Athletes",AND(Table13[[#This Row],[Gender]]="others",R1138&lt;24),"Fitnesss",AND(Table13[[#This Row],[Gender]]="others",R1138&lt;31),"Acceptable",AND(Table13[[#This Row],[Gender]]="others",R1138&lt;40),"Obese")</f>
        <v>Athletes</v>
      </c>
      <c r="R1138" s="8">
        <v>10</v>
      </c>
      <c r="S1138" s="8">
        <v>1.6</v>
      </c>
      <c r="T1138" s="8">
        <v>5</v>
      </c>
      <c r="U1138" s="8">
        <v>3</v>
      </c>
      <c r="V1138" s="8" t="str">
        <f>IF(Table13[[#This Row],[BMI]]&lt;=18.5,"Underweight",IF(Table13[[#This Row],[BMI]]&lt;=24.9,"Normal",IF(Table13[[#This Row],[BMI]]&lt;=29.9,"Overweight",IF(Table13[[#This Row],[BMI]]&lt;=39,"Obese","Severly Obese"))))</f>
        <v>Normal</v>
      </c>
      <c r="W1138" s="18">
        <v>20.92</v>
      </c>
    </row>
    <row r="1139" spans="6:23" x14ac:dyDescent="0.3">
      <c r="F1139" s="17">
        <v>18</v>
      </c>
      <c r="G1139" s="8" t="str">
        <f>IF(Table13[[#This Row],[Age]]&lt;25,"18-24",IF(Table13[[#This Row],[Age]]&lt;35,"25-34",IF(Table13[[#This Row],[Age]]&lt;45,"35-44",IF(Table13[[#This Row],[Age]]&lt;55,"45-54","55-64"))))</f>
        <v>18-24</v>
      </c>
      <c r="H1139" s="8" t="s">
        <v>19</v>
      </c>
      <c r="I1139" s="8">
        <v>71.3</v>
      </c>
      <c r="J1139" s="8">
        <v>1.78</v>
      </c>
      <c r="K1139" s="8">
        <v>167</v>
      </c>
      <c r="L1139" s="8">
        <v>129</v>
      </c>
      <c r="M1139" s="8">
        <v>72</v>
      </c>
      <c r="N1139" s="8">
        <v>0.86</v>
      </c>
      <c r="O1139" s="8">
        <v>1238</v>
      </c>
      <c r="P1139" s="8" t="s">
        <v>18</v>
      </c>
      <c r="Q1139" s="8" t="str">
        <f>_xlfn.IFS(AND(Table13[[#This Row],[Gender]]="female",R1139&lt;20),"Athletes",AND(Table13[[#This Row],[Gender]]="female",R1139&lt;24),"Fitnesss",AND(Table13[[#This Row],[Gender]]="female",R1139&lt;31),"Acceptable",AND(Table13[[#This Row],[Gender]]="female",R1139&lt;40),"Obese",AND(Table13[[#This Row],[Gender]]="male",R1139&lt;13),"Athletes",AND(Table13[[#This Row],[Gender]]="male",R1139&lt;17),"Fitnesss",AND(Table13[[#This Row],[Gender]]="male",R1139&lt;24.9),"Acceptable",AND(Table13[[#This Row],[Gender]]="male",R1139&lt;40),"Obese",AND(Table13[[#This Row],[Gender]]="others",R1139&lt;20),"Athletes",AND(Table13[[#This Row],[Gender]]="others",R1139&lt;24),"Fitnesss",AND(Table13[[#This Row],[Gender]]="others",R1139&lt;31),"Acceptable",AND(Table13[[#This Row],[Gender]]="others",R1139&lt;40),"Obese")</f>
        <v>Acceptable</v>
      </c>
      <c r="R1139" s="8">
        <v>20.6</v>
      </c>
      <c r="S1139" s="8">
        <v>1.5</v>
      </c>
      <c r="T1139" s="8">
        <v>4</v>
      </c>
      <c r="U1139" s="8">
        <v>3</v>
      </c>
      <c r="V1139" s="8" t="str">
        <f>IF(Table13[[#This Row],[BMI]]&lt;=18.5,"Underweight",IF(Table13[[#This Row],[BMI]]&lt;=24.9,"Normal",IF(Table13[[#This Row],[BMI]]&lt;=29.9,"Overweight",IF(Table13[[#This Row],[BMI]]&lt;=39,"Obese","Severly Obese"))))</f>
        <v>Obese</v>
      </c>
      <c r="W1139" s="18">
        <v>34.18</v>
      </c>
    </row>
    <row r="1140" spans="6:23" x14ac:dyDescent="0.3">
      <c r="F1140" s="17">
        <v>42</v>
      </c>
      <c r="G1140" s="8" t="str">
        <f>IF(Table13[[#This Row],[Age]]&lt;25,"18-24",IF(Table13[[#This Row],[Age]]&lt;35,"25-34",IF(Table13[[#This Row],[Age]]&lt;45,"35-44",IF(Table13[[#This Row],[Age]]&lt;55,"45-54","55-64"))))</f>
        <v>35-44</v>
      </c>
      <c r="H1140" s="8" t="s">
        <v>19</v>
      </c>
      <c r="I1140" s="8">
        <v>46.2</v>
      </c>
      <c r="J1140" s="8">
        <v>1.72</v>
      </c>
      <c r="K1140" s="8">
        <v>167</v>
      </c>
      <c r="L1140" s="8">
        <v>130</v>
      </c>
      <c r="M1140" s="8">
        <v>69</v>
      </c>
      <c r="N1140" s="8">
        <v>1.19</v>
      </c>
      <c r="O1140" s="8">
        <v>945</v>
      </c>
      <c r="P1140" s="8" t="s">
        <v>21</v>
      </c>
      <c r="Q1140" s="8" t="str">
        <f>_xlfn.IFS(AND(Table13[[#This Row],[Gender]]="female",R1140&lt;20),"Athletes",AND(Table13[[#This Row],[Gender]]="female",R1140&lt;24),"Fitnesss",AND(Table13[[#This Row],[Gender]]="female",R1140&lt;31),"Acceptable",AND(Table13[[#This Row],[Gender]]="female",R1140&lt;40),"Obese",AND(Table13[[#This Row],[Gender]]="male",R1140&lt;13),"Athletes",AND(Table13[[#This Row],[Gender]]="male",R1140&lt;17),"Fitnesss",AND(Table13[[#This Row],[Gender]]="male",R1140&lt;24.9),"Acceptable",AND(Table13[[#This Row],[Gender]]="male",R1140&lt;40),"Obese",AND(Table13[[#This Row],[Gender]]="others",R1140&lt;20),"Athletes",AND(Table13[[#This Row],[Gender]]="others",R1140&lt;24),"Fitnesss",AND(Table13[[#This Row],[Gender]]="others",R1140&lt;31),"Acceptable",AND(Table13[[#This Row],[Gender]]="others",R1140&lt;40),"Obese")</f>
        <v>Acceptable</v>
      </c>
      <c r="R1140" s="8">
        <v>24.6</v>
      </c>
      <c r="S1140" s="8">
        <v>2.9</v>
      </c>
      <c r="T1140" s="8">
        <v>2</v>
      </c>
      <c r="U1140" s="8">
        <v>3</v>
      </c>
      <c r="V1140" s="8" t="str">
        <f>IF(Table13[[#This Row],[BMI]]&lt;=18.5,"Underweight",IF(Table13[[#This Row],[BMI]]&lt;=24.9,"Normal",IF(Table13[[#This Row],[BMI]]&lt;=29.9,"Overweight",IF(Table13[[#This Row],[BMI]]&lt;=39,"Obese","Severly Obese"))))</f>
        <v>Normal</v>
      </c>
      <c r="W1140" s="18">
        <v>19.47</v>
      </c>
    </row>
    <row r="1141" spans="6:23" x14ac:dyDescent="0.3">
      <c r="F1141" s="17">
        <v>24</v>
      </c>
      <c r="G1141" s="8" t="str">
        <f>IF(Table13[[#This Row],[Age]]&lt;25,"18-24",IF(Table13[[#This Row],[Age]]&lt;35,"25-34",IF(Table13[[#This Row],[Age]]&lt;45,"35-44",IF(Table13[[#This Row],[Age]]&lt;55,"45-54","55-64"))))</f>
        <v>18-24</v>
      </c>
      <c r="H1141" s="8" t="s">
        <v>19</v>
      </c>
      <c r="I1141" s="8">
        <v>64</v>
      </c>
      <c r="J1141" s="8">
        <v>1.83</v>
      </c>
      <c r="K1141" s="8">
        <v>187</v>
      </c>
      <c r="L1141" s="8">
        <v>155</v>
      </c>
      <c r="M1141" s="8">
        <v>74</v>
      </c>
      <c r="N1141" s="8">
        <v>1.79</v>
      </c>
      <c r="O1141" s="8">
        <v>406</v>
      </c>
      <c r="P1141" s="8" t="s">
        <v>22</v>
      </c>
      <c r="Q1141" s="8" t="str">
        <f>_xlfn.IFS(AND(Table13[[#This Row],[Gender]]="female",R1141&lt;20),"Athletes",AND(Table13[[#This Row],[Gender]]="female",R1141&lt;24),"Fitnesss",AND(Table13[[#This Row],[Gender]]="female",R1141&lt;31),"Acceptable",AND(Table13[[#This Row],[Gender]]="female",R1141&lt;40),"Obese",AND(Table13[[#This Row],[Gender]]="male",R1141&lt;13),"Athletes",AND(Table13[[#This Row],[Gender]]="male",R1141&lt;17),"Fitnesss",AND(Table13[[#This Row],[Gender]]="male",R1141&lt;24.9),"Acceptable",AND(Table13[[#This Row],[Gender]]="male",R1141&lt;40),"Obese",AND(Table13[[#This Row],[Gender]]="others",R1141&lt;20),"Athletes",AND(Table13[[#This Row],[Gender]]="others",R1141&lt;24),"Fitnesss",AND(Table13[[#This Row],[Gender]]="others",R1141&lt;31),"Acceptable",AND(Table13[[#This Row],[Gender]]="others",R1141&lt;40),"Obese")</f>
        <v>Obese</v>
      </c>
      <c r="R1141" s="8">
        <v>27.7</v>
      </c>
      <c r="S1141" s="8">
        <v>1.5</v>
      </c>
      <c r="T1141" s="8">
        <v>3</v>
      </c>
      <c r="U1141" s="8"/>
      <c r="V1141" s="8" t="str">
        <f>IF(Table13[[#This Row],[BMI]]&lt;=18.5,"Underweight",IF(Table13[[#This Row],[BMI]]&lt;=24.9,"Normal",IF(Table13[[#This Row],[BMI]]&lt;=29.9,"Overweight",IF(Table13[[#This Row],[BMI]]&lt;=39,"Obese","Severly Obese"))))</f>
        <v>Obese</v>
      </c>
      <c r="W1141" s="18">
        <v>31.31</v>
      </c>
    </row>
    <row r="1142" spans="6:23" x14ac:dyDescent="0.3">
      <c r="F1142" s="17">
        <v>54</v>
      </c>
      <c r="G1142" s="8" t="str">
        <f>IF(Table13[[#This Row],[Age]]&lt;25,"18-24",IF(Table13[[#This Row],[Age]]&lt;35,"25-34",IF(Table13[[#This Row],[Age]]&lt;45,"35-44",IF(Table13[[#This Row],[Age]]&lt;55,"45-54","55-64"))))</f>
        <v>45-54</v>
      </c>
      <c r="H1142" s="8" t="s">
        <v>19</v>
      </c>
      <c r="I1142" s="8">
        <v>47.2</v>
      </c>
      <c r="J1142" s="8">
        <v>1.75</v>
      </c>
      <c r="K1142" s="8">
        <v>160</v>
      </c>
      <c r="L1142" s="8">
        <v>134</v>
      </c>
      <c r="M1142" s="8">
        <v>68</v>
      </c>
      <c r="N1142" s="8">
        <v>1.18</v>
      </c>
      <c r="O1142" s="8">
        <v>1001</v>
      </c>
      <c r="P1142" s="8" t="s">
        <v>22</v>
      </c>
      <c r="Q1142" s="8" t="str">
        <f>_xlfn.IFS(AND(Table13[[#This Row],[Gender]]="female",R1142&lt;20),"Athletes",AND(Table13[[#This Row],[Gender]]="female",R1142&lt;24),"Fitnesss",AND(Table13[[#This Row],[Gender]]="female",R1142&lt;31),"Acceptable",AND(Table13[[#This Row],[Gender]]="female",R1142&lt;40),"Obese",AND(Table13[[#This Row],[Gender]]="male",R1142&lt;13),"Athletes",AND(Table13[[#This Row],[Gender]]="male",R1142&lt;17),"Fitnesss",AND(Table13[[#This Row],[Gender]]="male",R1142&lt;24.9),"Acceptable",AND(Table13[[#This Row],[Gender]]="male",R1142&lt;40),"Obese",AND(Table13[[#This Row],[Gender]]="others",R1142&lt;20),"Athletes",AND(Table13[[#This Row],[Gender]]="others",R1142&lt;24),"Fitnesss",AND(Table13[[#This Row],[Gender]]="others",R1142&lt;31),"Acceptable",AND(Table13[[#This Row],[Gender]]="others",R1142&lt;40),"Obese")</f>
        <v>Acceptable</v>
      </c>
      <c r="R1142" s="8">
        <v>23.9</v>
      </c>
      <c r="S1142" s="8">
        <v>1.9</v>
      </c>
      <c r="T1142" s="8">
        <v>4</v>
      </c>
      <c r="U1142" s="8">
        <v>1</v>
      </c>
      <c r="V1142" s="8" t="str">
        <f>IF(Table13[[#This Row],[BMI]]&lt;=18.5,"Underweight",IF(Table13[[#This Row],[BMI]]&lt;=24.9,"Normal",IF(Table13[[#This Row],[BMI]]&lt;=29.9,"Overweight",IF(Table13[[#This Row],[BMI]]&lt;=39,"Obese","Severly Obese"))))</f>
        <v>Normal</v>
      </c>
      <c r="W1142" s="18">
        <v>20</v>
      </c>
    </row>
    <row r="1143" spans="6:23" x14ac:dyDescent="0.3">
      <c r="F1143" s="17">
        <v>53</v>
      </c>
      <c r="G1143" s="8" t="str">
        <f>IF(Table13[[#This Row],[Age]]&lt;25,"18-24",IF(Table13[[#This Row],[Age]]&lt;35,"25-34",IF(Table13[[#This Row],[Age]]&lt;45,"35-44",IF(Table13[[#This Row],[Age]]&lt;55,"45-54","55-64"))))</f>
        <v>45-54</v>
      </c>
      <c r="H1143" s="8" t="s">
        <v>19</v>
      </c>
      <c r="I1143" s="8">
        <v>95.5</v>
      </c>
      <c r="J1143" s="8">
        <v>1.52</v>
      </c>
      <c r="K1143" s="8">
        <v>164</v>
      </c>
      <c r="L1143" s="8">
        <v>169</v>
      </c>
      <c r="M1143" s="8">
        <v>52</v>
      </c>
      <c r="N1143" s="8">
        <v>1.31</v>
      </c>
      <c r="O1143" s="8">
        <v>1009</v>
      </c>
      <c r="P1143" s="8" t="s">
        <v>22</v>
      </c>
      <c r="Q1143" s="8" t="str">
        <f>_xlfn.IFS(AND(Table13[[#This Row],[Gender]]="female",R1143&lt;20),"Athletes",AND(Table13[[#This Row],[Gender]]="female",R1143&lt;24),"Fitnesss",AND(Table13[[#This Row],[Gender]]="female",R1143&lt;31),"Acceptable",AND(Table13[[#This Row],[Gender]]="female",R1143&lt;40),"Obese",AND(Table13[[#This Row],[Gender]]="male",R1143&lt;13),"Athletes",AND(Table13[[#This Row],[Gender]]="male",R1143&lt;17),"Fitnesss",AND(Table13[[#This Row],[Gender]]="male",R1143&lt;24.9),"Acceptable",AND(Table13[[#This Row],[Gender]]="male",R1143&lt;40),"Obese",AND(Table13[[#This Row],[Gender]]="others",R1143&lt;20),"Athletes",AND(Table13[[#This Row],[Gender]]="others",R1143&lt;24),"Fitnesss",AND(Table13[[#This Row],[Gender]]="others",R1143&lt;31),"Acceptable",AND(Table13[[#This Row],[Gender]]="others",R1143&lt;40),"Obese")</f>
        <v>Acceptable</v>
      </c>
      <c r="R1143" s="8">
        <v>21.8</v>
      </c>
      <c r="S1143" s="8">
        <v>1.9</v>
      </c>
      <c r="T1143" s="8"/>
      <c r="U1143" s="8">
        <v>3</v>
      </c>
      <c r="V1143" s="8" t="str">
        <f>IF(Table13[[#This Row],[BMI]]&lt;=18.5,"Underweight",IF(Table13[[#This Row],[BMI]]&lt;=24.9,"Normal",IF(Table13[[#This Row],[BMI]]&lt;=29.9,"Overweight",IF(Table13[[#This Row],[BMI]]&lt;=39,"Obese","Severly Obese"))))</f>
        <v>Underweight</v>
      </c>
      <c r="W1143" s="18">
        <v>12.32</v>
      </c>
    </row>
    <row r="1144" spans="6:23" x14ac:dyDescent="0.3">
      <c r="F1144" s="17">
        <v>33</v>
      </c>
      <c r="G1144" s="8" t="str">
        <f>IF(Table13[[#This Row],[Age]]&lt;25,"18-24",IF(Table13[[#This Row],[Age]]&lt;35,"25-34",IF(Table13[[#This Row],[Age]]&lt;45,"35-44",IF(Table13[[#This Row],[Age]]&lt;55,"45-54","55-64"))))</f>
        <v>25-34</v>
      </c>
      <c r="H1144" s="8" t="s">
        <v>17</v>
      </c>
      <c r="I1144" s="8">
        <v>40</v>
      </c>
      <c r="J1144" s="8">
        <v>1.79</v>
      </c>
      <c r="K1144" s="8">
        <v>194</v>
      </c>
      <c r="L1144" s="8">
        <v>162</v>
      </c>
      <c r="M1144" s="8">
        <v>60</v>
      </c>
      <c r="N1144" s="8">
        <v>1.39</v>
      </c>
      <c r="O1144" s="8">
        <v>1012</v>
      </c>
      <c r="P1144" s="8" t="s">
        <v>20</v>
      </c>
      <c r="Q1144" s="8" t="str">
        <f>_xlfn.IFS(AND(Table13[[#This Row],[Gender]]="female",R1144&lt;20),"Athletes",AND(Table13[[#This Row],[Gender]]="female",R1144&lt;24),"Fitnesss",AND(Table13[[#This Row],[Gender]]="female",R1144&lt;31),"Acceptable",AND(Table13[[#This Row],[Gender]]="female",R1144&lt;40),"Obese",AND(Table13[[#This Row],[Gender]]="male",R1144&lt;13),"Athletes",AND(Table13[[#This Row],[Gender]]="male",R1144&lt;17),"Fitnesss",AND(Table13[[#This Row],[Gender]]="male",R1144&lt;24.9),"Acceptable",AND(Table13[[#This Row],[Gender]]="male",R1144&lt;40),"Obese",AND(Table13[[#This Row],[Gender]]="others",R1144&lt;20),"Athletes",AND(Table13[[#This Row],[Gender]]="others",R1144&lt;24),"Fitnesss",AND(Table13[[#This Row],[Gender]]="others",R1144&lt;31),"Acceptable",AND(Table13[[#This Row],[Gender]]="others",R1144&lt;40),"Obese")</f>
        <v>Fitnesss</v>
      </c>
      <c r="R1144" s="8">
        <v>23.7</v>
      </c>
      <c r="S1144" s="8">
        <v>2.8</v>
      </c>
      <c r="T1144" s="8">
        <v>4</v>
      </c>
      <c r="U1144" s="8"/>
      <c r="V1144" s="8" t="str">
        <f>IF(Table13[[#This Row],[BMI]]&lt;=18.5,"Underweight",IF(Table13[[#This Row],[BMI]]&lt;=24.9,"Normal",IF(Table13[[#This Row],[BMI]]&lt;=29.9,"Overweight",IF(Table13[[#This Row],[BMI]]&lt;=39,"Obese","Severly Obese"))))</f>
        <v>Underweight</v>
      </c>
      <c r="W1144" s="18">
        <v>13.81</v>
      </c>
    </row>
    <row r="1145" spans="6:23" x14ac:dyDescent="0.3">
      <c r="F1145" s="17">
        <v>52</v>
      </c>
      <c r="G1145" s="8" t="str">
        <f>IF(Table13[[#This Row],[Age]]&lt;25,"18-24",IF(Table13[[#This Row],[Age]]&lt;35,"25-34",IF(Table13[[#This Row],[Age]]&lt;45,"35-44",IF(Table13[[#This Row],[Age]]&lt;55,"45-54","55-64"))))</f>
        <v>45-54</v>
      </c>
      <c r="H1145" s="8" t="s">
        <v>17</v>
      </c>
      <c r="I1145" s="8">
        <v>81.099999999999994</v>
      </c>
      <c r="J1145" s="8">
        <v>1.74</v>
      </c>
      <c r="K1145" s="8">
        <v>184</v>
      </c>
      <c r="L1145" s="8">
        <v>168</v>
      </c>
      <c r="M1145" s="8">
        <v>74</v>
      </c>
      <c r="N1145" s="8"/>
      <c r="O1145" s="8">
        <v>1080</v>
      </c>
      <c r="P1145" s="8" t="s">
        <v>23</v>
      </c>
      <c r="Q1145" s="8" t="str">
        <f>_xlfn.IFS(AND(Table13[[#This Row],[Gender]]="female",R1145&lt;20),"Athletes",AND(Table13[[#This Row],[Gender]]="female",R1145&lt;24),"Fitnesss",AND(Table13[[#This Row],[Gender]]="female",R1145&lt;31),"Acceptable",AND(Table13[[#This Row],[Gender]]="female",R1145&lt;40),"Obese",AND(Table13[[#This Row],[Gender]]="male",R1145&lt;13),"Athletes",AND(Table13[[#This Row],[Gender]]="male",R1145&lt;17),"Fitnesss",AND(Table13[[#This Row],[Gender]]="male",R1145&lt;24.9),"Acceptable",AND(Table13[[#This Row],[Gender]]="male",R1145&lt;40),"Obese",AND(Table13[[#This Row],[Gender]]="others",R1145&lt;20),"Athletes",AND(Table13[[#This Row],[Gender]]="others",R1145&lt;24),"Fitnesss",AND(Table13[[#This Row],[Gender]]="others",R1145&lt;31),"Acceptable",AND(Table13[[#This Row],[Gender]]="others",R1145&lt;40),"Obese")</f>
        <v>Fitnesss</v>
      </c>
      <c r="R1145" s="8">
        <v>23.6</v>
      </c>
      <c r="S1145" s="8">
        <v>3.4</v>
      </c>
      <c r="T1145" s="8">
        <v>5</v>
      </c>
      <c r="U1145" s="8">
        <v>1</v>
      </c>
      <c r="V1145" s="8" t="str">
        <f>IF(Table13[[#This Row],[BMI]]&lt;=18.5,"Underweight",IF(Table13[[#This Row],[BMI]]&lt;=24.9,"Normal",IF(Table13[[#This Row],[BMI]]&lt;=29.9,"Overweight",IF(Table13[[#This Row],[BMI]]&lt;=39,"Obese","Severly Obese"))))</f>
        <v>Underweight</v>
      </c>
      <c r="W1145" s="18">
        <v>12.32</v>
      </c>
    </row>
    <row r="1146" spans="6:23" x14ac:dyDescent="0.3">
      <c r="F1146" s="17">
        <v>51</v>
      </c>
      <c r="G1146" s="8" t="str">
        <f>IF(Table13[[#This Row],[Age]]&lt;25,"18-24",IF(Table13[[#This Row],[Age]]&lt;35,"25-34",IF(Table13[[#This Row],[Age]]&lt;45,"35-44",IF(Table13[[#This Row],[Age]]&lt;55,"45-54","55-64"))))</f>
        <v>45-54</v>
      </c>
      <c r="H1146" s="8" t="s">
        <v>17</v>
      </c>
      <c r="I1146" s="8">
        <v>72.099999999999994</v>
      </c>
      <c r="J1146" s="8"/>
      <c r="K1146" s="8">
        <v>162</v>
      </c>
      <c r="L1146" s="8">
        <v>160</v>
      </c>
      <c r="M1146" s="8">
        <v>70</v>
      </c>
      <c r="N1146" s="8">
        <v>1.21</v>
      </c>
      <c r="O1146" s="8">
        <v>1186</v>
      </c>
      <c r="P1146" s="8" t="s">
        <v>20</v>
      </c>
      <c r="Q1146" s="8" t="str">
        <f>_xlfn.IFS(AND(Table13[[#This Row],[Gender]]="female",R1146&lt;20),"Athletes",AND(Table13[[#This Row],[Gender]]="female",R1146&lt;24),"Fitnesss",AND(Table13[[#This Row],[Gender]]="female",R1146&lt;31),"Acceptable",AND(Table13[[#This Row],[Gender]]="female",R1146&lt;40),"Obese",AND(Table13[[#This Row],[Gender]]="male",R1146&lt;13),"Athletes",AND(Table13[[#This Row],[Gender]]="male",R1146&lt;17),"Fitnesss",AND(Table13[[#This Row],[Gender]]="male",R1146&lt;24.9),"Acceptable",AND(Table13[[#This Row],[Gender]]="male",R1146&lt;40),"Obese",AND(Table13[[#This Row],[Gender]]="others",R1146&lt;20),"Athletes",AND(Table13[[#This Row],[Gender]]="others",R1146&lt;24),"Fitnesss",AND(Table13[[#This Row],[Gender]]="others",R1146&lt;31),"Acceptable",AND(Table13[[#This Row],[Gender]]="others",R1146&lt;40),"Obese")</f>
        <v>Athletes</v>
      </c>
      <c r="R1146" s="8">
        <v>17.600000000000001</v>
      </c>
      <c r="S1146" s="8">
        <v>3.2</v>
      </c>
      <c r="T1146" s="8">
        <v>3</v>
      </c>
      <c r="U1146" s="8">
        <v>2</v>
      </c>
      <c r="V1146" s="8" t="str">
        <f>IF(Table13[[#This Row],[BMI]]&lt;=18.5,"Underweight",IF(Table13[[#This Row],[BMI]]&lt;=24.9,"Normal",IF(Table13[[#This Row],[BMI]]&lt;=29.9,"Overweight",IF(Table13[[#This Row],[BMI]]&lt;=39,"Obese","Severly Obese"))))</f>
        <v>Underweight</v>
      </c>
      <c r="W1146" s="18">
        <v>12.66</v>
      </c>
    </row>
    <row r="1147" spans="6:23" x14ac:dyDescent="0.3">
      <c r="F1147" s="17">
        <v>47</v>
      </c>
      <c r="G1147" s="8" t="str">
        <f>IF(Table13[[#This Row],[Age]]&lt;25,"18-24",IF(Table13[[#This Row],[Age]]&lt;35,"25-34",IF(Table13[[#This Row],[Age]]&lt;45,"35-44",IF(Table13[[#This Row],[Age]]&lt;55,"45-54","55-64"))))</f>
        <v>45-54</v>
      </c>
      <c r="H1147" s="8" t="s">
        <v>19</v>
      </c>
      <c r="I1147" s="8">
        <v>100.5</v>
      </c>
      <c r="J1147" s="8">
        <v>1.56</v>
      </c>
      <c r="K1147" s="8">
        <v>185</v>
      </c>
      <c r="L1147" s="8">
        <v>133</v>
      </c>
      <c r="M1147" s="8">
        <v>64</v>
      </c>
      <c r="N1147" s="8">
        <v>0.87</v>
      </c>
      <c r="O1147" s="8">
        <v>872</v>
      </c>
      <c r="P1147" s="8" t="s">
        <v>20</v>
      </c>
      <c r="Q1147" s="8" t="str">
        <f>_xlfn.IFS(AND(Table13[[#This Row],[Gender]]="female",R1147&lt;20),"Athletes",AND(Table13[[#This Row],[Gender]]="female",R1147&lt;24),"Fitnesss",AND(Table13[[#This Row],[Gender]]="female",R1147&lt;31),"Acceptable",AND(Table13[[#This Row],[Gender]]="female",R1147&lt;40),"Obese",AND(Table13[[#This Row],[Gender]]="male",R1147&lt;13),"Athletes",AND(Table13[[#This Row],[Gender]]="male",R1147&lt;17),"Fitnesss",AND(Table13[[#This Row],[Gender]]="male",R1147&lt;24.9),"Acceptable",AND(Table13[[#This Row],[Gender]]="male",R1147&lt;40),"Obese",AND(Table13[[#This Row],[Gender]]="others",R1147&lt;20),"Athletes",AND(Table13[[#This Row],[Gender]]="others",R1147&lt;24),"Fitnesss",AND(Table13[[#This Row],[Gender]]="others",R1147&lt;31),"Acceptable",AND(Table13[[#This Row],[Gender]]="others",R1147&lt;40),"Obese")</f>
        <v>Acceptable</v>
      </c>
      <c r="R1147" s="8">
        <v>22.1</v>
      </c>
      <c r="S1147" s="8">
        <v>1.5</v>
      </c>
      <c r="T1147" s="8">
        <v>4</v>
      </c>
      <c r="U1147" s="8">
        <v>2</v>
      </c>
      <c r="V1147" s="8" t="str">
        <f>IF(Table13[[#This Row],[BMI]]&lt;=18.5,"Underweight",IF(Table13[[#This Row],[BMI]]&lt;=24.9,"Normal",IF(Table13[[#This Row],[BMI]]&lt;=29.9,"Overweight",IF(Table13[[#This Row],[BMI]]&lt;=39,"Obese","Severly Obese"))))</f>
        <v>Underweight</v>
      </c>
      <c r="W1147" s="18"/>
    </row>
    <row r="1148" spans="6:23" x14ac:dyDescent="0.3">
      <c r="F1148" s="17">
        <v>55</v>
      </c>
      <c r="G1148" s="8" t="str">
        <f>IF(Table13[[#This Row],[Age]]&lt;25,"18-24",IF(Table13[[#This Row],[Age]]&lt;35,"25-34",IF(Table13[[#This Row],[Age]]&lt;45,"35-44",IF(Table13[[#This Row],[Age]]&lt;55,"45-54","55-64"))))</f>
        <v>55-64</v>
      </c>
      <c r="H1148" s="8" t="s">
        <v>17</v>
      </c>
      <c r="I1148" s="8">
        <v>129.9</v>
      </c>
      <c r="J1148" s="8">
        <v>1.89</v>
      </c>
      <c r="K1148" s="8">
        <v>177</v>
      </c>
      <c r="L1148" s="8">
        <v>157</v>
      </c>
      <c r="M1148" s="8">
        <v>66</v>
      </c>
      <c r="N1148" s="8">
        <v>0.81</v>
      </c>
      <c r="O1148" s="8">
        <v>1154</v>
      </c>
      <c r="P1148" s="8" t="s">
        <v>20</v>
      </c>
      <c r="Q1148" s="8" t="str">
        <f>_xlfn.IFS(AND(Table13[[#This Row],[Gender]]="female",R1148&lt;20),"Athletes",AND(Table13[[#This Row],[Gender]]="female",R1148&lt;24),"Fitnesss",AND(Table13[[#This Row],[Gender]]="female",R1148&lt;31),"Acceptable",AND(Table13[[#This Row],[Gender]]="female",R1148&lt;40),"Obese",AND(Table13[[#This Row],[Gender]]="male",R1148&lt;13),"Athletes",AND(Table13[[#This Row],[Gender]]="male",R1148&lt;17),"Fitnesss",AND(Table13[[#This Row],[Gender]]="male",R1148&lt;24.9),"Acceptable",AND(Table13[[#This Row],[Gender]]="male",R1148&lt;40),"Obese",AND(Table13[[#This Row],[Gender]]="others",R1148&lt;20),"Athletes",AND(Table13[[#This Row],[Gender]]="others",R1148&lt;24),"Fitnesss",AND(Table13[[#This Row],[Gender]]="others",R1148&lt;31),"Acceptable",AND(Table13[[#This Row],[Gender]]="others",R1148&lt;40),"Obese")</f>
        <v>Athletes</v>
      </c>
      <c r="R1148" s="8">
        <v>15.2</v>
      </c>
      <c r="S1148" s="8">
        <v>2.4</v>
      </c>
      <c r="T1148" s="8">
        <v>4</v>
      </c>
      <c r="U1148" s="8">
        <v>2</v>
      </c>
      <c r="V1148" s="8" t="str">
        <f>IF(Table13[[#This Row],[BMI]]&lt;=18.5,"Underweight",IF(Table13[[#This Row],[BMI]]&lt;=24.9,"Normal",IF(Table13[[#This Row],[BMI]]&lt;=29.9,"Overweight",IF(Table13[[#This Row],[BMI]]&lt;=39,"Obese","Severly Obese"))))</f>
        <v>Normal</v>
      </c>
      <c r="W1148" s="18">
        <v>20.100000000000001</v>
      </c>
    </row>
    <row r="1149" spans="6:23" x14ac:dyDescent="0.3">
      <c r="F1149" s="17">
        <v>28</v>
      </c>
      <c r="G1149" s="8" t="str">
        <f>IF(Table13[[#This Row],[Age]]&lt;25,"18-24",IF(Table13[[#This Row],[Age]]&lt;35,"25-34",IF(Table13[[#This Row],[Age]]&lt;45,"35-44",IF(Table13[[#This Row],[Age]]&lt;55,"45-54","55-64"))))</f>
        <v>25-34</v>
      </c>
      <c r="H1149" s="8" t="s">
        <v>19</v>
      </c>
      <c r="I1149" s="8">
        <v>75.7</v>
      </c>
      <c r="J1149" s="8">
        <v>1.85</v>
      </c>
      <c r="K1149" s="8">
        <v>160</v>
      </c>
      <c r="L1149" s="8">
        <v>157</v>
      </c>
      <c r="M1149" s="8">
        <v>64</v>
      </c>
      <c r="N1149" s="8">
        <v>1.59</v>
      </c>
      <c r="O1149" s="8">
        <v>1179</v>
      </c>
      <c r="P1149" s="8" t="s">
        <v>23</v>
      </c>
      <c r="Q1149" s="8" t="str">
        <f>_xlfn.IFS(AND(Table13[[#This Row],[Gender]]="female",R1149&lt;20),"Athletes",AND(Table13[[#This Row],[Gender]]="female",R1149&lt;24),"Fitnesss",AND(Table13[[#This Row],[Gender]]="female",R1149&lt;31),"Acceptable",AND(Table13[[#This Row],[Gender]]="female",R1149&lt;40),"Obese",AND(Table13[[#This Row],[Gender]]="male",R1149&lt;13),"Athletes",AND(Table13[[#This Row],[Gender]]="male",R1149&lt;17),"Fitnesss",AND(Table13[[#This Row],[Gender]]="male",R1149&lt;24.9),"Acceptable",AND(Table13[[#This Row],[Gender]]="male",R1149&lt;40),"Obese",AND(Table13[[#This Row],[Gender]]="others",R1149&lt;20),"Athletes",AND(Table13[[#This Row],[Gender]]="others",R1149&lt;24),"Fitnesss",AND(Table13[[#This Row],[Gender]]="others",R1149&lt;31),"Acceptable",AND(Table13[[#This Row],[Gender]]="others",R1149&lt;40),"Obese")</f>
        <v>Obese</v>
      </c>
      <c r="R1149" s="8">
        <v>29.7</v>
      </c>
      <c r="S1149" s="8">
        <v>1.5</v>
      </c>
      <c r="T1149" s="8">
        <v>3</v>
      </c>
      <c r="U1149" s="8">
        <v>2</v>
      </c>
      <c r="V1149" s="8" t="str">
        <f>IF(Table13[[#This Row],[BMI]]&lt;=18.5,"Underweight",IF(Table13[[#This Row],[BMI]]&lt;=24.9,"Normal",IF(Table13[[#This Row],[BMI]]&lt;=29.9,"Overweight",IF(Table13[[#This Row],[BMI]]&lt;=39,"Obese","Severly Obese"))))</f>
        <v>Obese</v>
      </c>
      <c r="W1149" s="18">
        <v>37.5</v>
      </c>
    </row>
    <row r="1150" spans="6:23" x14ac:dyDescent="0.3">
      <c r="F1150" s="17">
        <v>18</v>
      </c>
      <c r="G1150" s="8" t="str">
        <f>IF(Table13[[#This Row],[Age]]&lt;25,"18-24",IF(Table13[[#This Row],[Age]]&lt;35,"25-34",IF(Table13[[#This Row],[Age]]&lt;45,"35-44",IF(Table13[[#This Row],[Age]]&lt;55,"45-54","55-64"))))</f>
        <v>18-24</v>
      </c>
      <c r="H1150" s="8" t="s">
        <v>17</v>
      </c>
      <c r="I1150" s="8">
        <v>69</v>
      </c>
      <c r="J1150" s="8">
        <v>1.66</v>
      </c>
      <c r="K1150" s="8">
        <v>196</v>
      </c>
      <c r="L1150" s="8">
        <v>141</v>
      </c>
      <c r="M1150" s="8">
        <v>56</v>
      </c>
      <c r="N1150" s="8">
        <v>1.46</v>
      </c>
      <c r="O1150" s="8">
        <v>1251</v>
      </c>
      <c r="P1150" s="8" t="s">
        <v>22</v>
      </c>
      <c r="Q1150" s="8" t="str">
        <f>_xlfn.IFS(AND(Table13[[#This Row],[Gender]]="female",R1150&lt;20),"Athletes",AND(Table13[[#This Row],[Gender]]="female",R1150&lt;24),"Fitnesss",AND(Table13[[#This Row],[Gender]]="female",R1150&lt;31),"Acceptable",AND(Table13[[#This Row],[Gender]]="female",R1150&lt;40),"Obese",AND(Table13[[#This Row],[Gender]]="male",R1150&lt;13),"Athletes",AND(Table13[[#This Row],[Gender]]="male",R1150&lt;17),"Fitnesss",AND(Table13[[#This Row],[Gender]]="male",R1150&lt;24.9),"Acceptable",AND(Table13[[#This Row],[Gender]]="male",R1150&lt;40),"Obese",AND(Table13[[#This Row],[Gender]]="others",R1150&lt;20),"Athletes",AND(Table13[[#This Row],[Gender]]="others",R1150&lt;24),"Fitnesss",AND(Table13[[#This Row],[Gender]]="others",R1150&lt;31),"Acceptable",AND(Table13[[#This Row],[Gender]]="others",R1150&lt;40),"Obese")</f>
        <v>Acceptable</v>
      </c>
      <c r="R1150" s="8">
        <v>25.7</v>
      </c>
      <c r="S1150" s="8">
        <v>2.4</v>
      </c>
      <c r="T1150" s="8">
        <v>4</v>
      </c>
      <c r="U1150" s="8">
        <v>2</v>
      </c>
      <c r="V1150" s="8" t="str">
        <f>IF(Table13[[#This Row],[BMI]]&lt;=18.5,"Underweight",IF(Table13[[#This Row],[BMI]]&lt;=24.9,"Normal",IF(Table13[[#This Row],[BMI]]&lt;=29.9,"Overweight",IF(Table13[[#This Row],[BMI]]&lt;=39,"Obese","Severly Obese"))))</f>
        <v>Underweight</v>
      </c>
      <c r="W1150" s="18">
        <v>18.23</v>
      </c>
    </row>
    <row r="1151" spans="6:23" x14ac:dyDescent="0.3">
      <c r="F1151" s="17">
        <v>19</v>
      </c>
      <c r="G1151" s="8" t="str">
        <f>IF(Table13[[#This Row],[Age]]&lt;25,"18-24",IF(Table13[[#This Row],[Age]]&lt;35,"25-34",IF(Table13[[#This Row],[Age]]&lt;45,"35-44",IF(Table13[[#This Row],[Age]]&lt;55,"45-54","55-64"))))</f>
        <v>18-24</v>
      </c>
      <c r="H1151" s="8" t="s">
        <v>19</v>
      </c>
      <c r="I1151" s="8">
        <v>72.5</v>
      </c>
      <c r="J1151" s="8">
        <v>1.73</v>
      </c>
      <c r="K1151" s="8">
        <v>184</v>
      </c>
      <c r="L1151" s="8">
        <v>135</v>
      </c>
      <c r="M1151" s="8">
        <v>71</v>
      </c>
      <c r="N1151" s="8">
        <v>1.1200000000000001</v>
      </c>
      <c r="O1151" s="8">
        <v>1392</v>
      </c>
      <c r="P1151" s="8" t="s">
        <v>21</v>
      </c>
      <c r="Q1151" s="8" t="str">
        <f>_xlfn.IFS(AND(Table13[[#This Row],[Gender]]="female",R1151&lt;20),"Athletes",AND(Table13[[#This Row],[Gender]]="female",R1151&lt;24),"Fitnesss",AND(Table13[[#This Row],[Gender]]="female",R1151&lt;31),"Acceptable",AND(Table13[[#This Row],[Gender]]="female",R1151&lt;40),"Obese",AND(Table13[[#This Row],[Gender]]="male",R1151&lt;13),"Athletes",AND(Table13[[#This Row],[Gender]]="male",R1151&lt;17),"Fitnesss",AND(Table13[[#This Row],[Gender]]="male",R1151&lt;24.9),"Acceptable",AND(Table13[[#This Row],[Gender]]="male",R1151&lt;40),"Obese",AND(Table13[[#This Row],[Gender]]="others",R1151&lt;20),"Athletes",AND(Table13[[#This Row],[Gender]]="others",R1151&lt;24),"Fitnesss",AND(Table13[[#This Row],[Gender]]="others",R1151&lt;31),"Acceptable",AND(Table13[[#This Row],[Gender]]="others",R1151&lt;40),"Obese")</f>
        <v>Athletes</v>
      </c>
      <c r="R1151" s="8">
        <v>11.9</v>
      </c>
      <c r="S1151" s="8">
        <v>3.5</v>
      </c>
      <c r="T1151" s="8">
        <v>3</v>
      </c>
      <c r="U1151" s="8">
        <v>1</v>
      </c>
      <c r="V1151" s="8" t="str">
        <f>IF(Table13[[#This Row],[BMI]]&lt;=18.5,"Underweight",IF(Table13[[#This Row],[BMI]]&lt;=24.9,"Normal",IF(Table13[[#This Row],[BMI]]&lt;=29.9,"Overweight",IF(Table13[[#This Row],[BMI]]&lt;=39,"Obese","Severly Obese"))))</f>
        <v>Overweight</v>
      </c>
      <c r="W1151" s="18">
        <v>29.87</v>
      </c>
    </row>
    <row r="1152" spans="6:23" x14ac:dyDescent="0.3">
      <c r="F1152" s="17">
        <v>30</v>
      </c>
      <c r="G1152" s="8" t="str">
        <f>IF(Table13[[#This Row],[Age]]&lt;25,"18-24",IF(Table13[[#This Row],[Age]]&lt;35,"25-34",IF(Table13[[#This Row],[Age]]&lt;45,"35-44",IF(Table13[[#This Row],[Age]]&lt;55,"45-54","55-64"))))</f>
        <v>25-34</v>
      </c>
      <c r="H1152" s="8" t="s">
        <v>23</v>
      </c>
      <c r="I1152" s="8">
        <v>50.8</v>
      </c>
      <c r="J1152" s="8">
        <v>1.81</v>
      </c>
      <c r="K1152" s="8">
        <v>196</v>
      </c>
      <c r="L1152" s="8">
        <v>132</v>
      </c>
      <c r="M1152" s="8">
        <v>74</v>
      </c>
      <c r="N1152" s="8">
        <v>1.28</v>
      </c>
      <c r="O1152" s="8">
        <v>794</v>
      </c>
      <c r="P1152" s="8" t="s">
        <v>22</v>
      </c>
      <c r="Q1152" s="8" t="str">
        <f>_xlfn.IFS(AND(Table13[[#This Row],[Gender]]="female",R1152&lt;20),"Athletes",AND(Table13[[#This Row],[Gender]]="female",R1152&lt;24),"Fitnesss",AND(Table13[[#This Row],[Gender]]="female",R1152&lt;31),"Acceptable",AND(Table13[[#This Row],[Gender]]="female",R1152&lt;40),"Obese",AND(Table13[[#This Row],[Gender]]="male",R1152&lt;13),"Athletes",AND(Table13[[#This Row],[Gender]]="male",R1152&lt;17),"Fitnesss",AND(Table13[[#This Row],[Gender]]="male",R1152&lt;24.9),"Acceptable",AND(Table13[[#This Row],[Gender]]="male",R1152&lt;40),"Obese",AND(Table13[[#This Row],[Gender]]="others",R1152&lt;20),"Athletes",AND(Table13[[#This Row],[Gender]]="others",R1152&lt;24),"Fitnesss",AND(Table13[[#This Row],[Gender]]="others",R1152&lt;31),"Acceptable",AND(Table13[[#This Row],[Gender]]="others",R1152&lt;40),"Obese")</f>
        <v>Athletes</v>
      </c>
      <c r="R1152" s="8">
        <v>14.5</v>
      </c>
      <c r="S1152" s="8">
        <v>3.2</v>
      </c>
      <c r="T1152" s="8">
        <v>3</v>
      </c>
      <c r="U1152" s="8">
        <v>3</v>
      </c>
      <c r="V1152" s="8" t="str">
        <f>IF(Table13[[#This Row],[BMI]]&lt;=18.5,"Underweight",IF(Table13[[#This Row],[BMI]]&lt;=24.9,"Normal",IF(Table13[[#This Row],[BMI]]&lt;=29.9,"Overweight",IF(Table13[[#This Row],[BMI]]&lt;=39,"Obese","Severly Obese"))))</f>
        <v>Normal</v>
      </c>
      <c r="W1152" s="18">
        <v>22.58</v>
      </c>
    </row>
    <row r="1153" spans="6:23" x14ac:dyDescent="0.3">
      <c r="F1153" s="17">
        <v>40</v>
      </c>
      <c r="G1153" s="8" t="str">
        <f>IF(Table13[[#This Row],[Age]]&lt;25,"18-24",IF(Table13[[#This Row],[Age]]&lt;35,"25-34",IF(Table13[[#This Row],[Age]]&lt;45,"35-44",IF(Table13[[#This Row],[Age]]&lt;55,"45-54","55-64"))))</f>
        <v>35-44</v>
      </c>
      <c r="H1153" s="8" t="s">
        <v>17</v>
      </c>
      <c r="I1153" s="8">
        <v>68.2</v>
      </c>
      <c r="J1153" s="8">
        <v>1.5</v>
      </c>
      <c r="K1153" s="8">
        <v>197</v>
      </c>
      <c r="L1153" s="8">
        <v>153</v>
      </c>
      <c r="M1153" s="8">
        <v>71</v>
      </c>
      <c r="N1153" s="8">
        <v>1.24</v>
      </c>
      <c r="O1153" s="8">
        <v>484</v>
      </c>
      <c r="P1153" s="8" t="s">
        <v>20</v>
      </c>
      <c r="Q1153" s="8" t="str">
        <f>_xlfn.IFS(AND(Table13[[#This Row],[Gender]]="female",R1153&lt;20),"Athletes",AND(Table13[[#This Row],[Gender]]="female",R1153&lt;24),"Fitnesss",AND(Table13[[#This Row],[Gender]]="female",R1153&lt;31),"Acceptable",AND(Table13[[#This Row],[Gender]]="female",R1153&lt;40),"Obese",AND(Table13[[#This Row],[Gender]]="male",R1153&lt;13),"Athletes",AND(Table13[[#This Row],[Gender]]="male",R1153&lt;17),"Fitnesss",AND(Table13[[#This Row],[Gender]]="male",R1153&lt;24.9),"Acceptable",AND(Table13[[#This Row],[Gender]]="male",R1153&lt;40),"Obese",AND(Table13[[#This Row],[Gender]]="others",R1153&lt;20),"Athletes",AND(Table13[[#This Row],[Gender]]="others",R1153&lt;24),"Fitnesss",AND(Table13[[#This Row],[Gender]]="others",R1153&lt;31),"Acceptable",AND(Table13[[#This Row],[Gender]]="others",R1153&lt;40),"Obese")</f>
        <v>Acceptable</v>
      </c>
      <c r="R1153" s="8">
        <v>24.1</v>
      </c>
      <c r="S1153" s="8">
        <v>3.5</v>
      </c>
      <c r="T1153" s="8">
        <v>4</v>
      </c>
      <c r="U1153" s="8">
        <v>2</v>
      </c>
      <c r="V1153" s="8" t="str">
        <f>IF(Table13[[#This Row],[BMI]]&lt;=18.5,"Underweight",IF(Table13[[#This Row],[BMI]]&lt;=24.9,"Normal",IF(Table13[[#This Row],[BMI]]&lt;=29.9,"Overweight",IF(Table13[[#This Row],[BMI]]&lt;=39,"Obese","Severly Obese"))))</f>
        <v>Underweight</v>
      </c>
      <c r="W1153" s="18">
        <v>12.45</v>
      </c>
    </row>
    <row r="1154" spans="6:23" x14ac:dyDescent="0.3">
      <c r="F1154" s="17">
        <v>49</v>
      </c>
      <c r="G1154" s="8" t="str">
        <f>IF(Table13[[#This Row],[Age]]&lt;25,"18-24",IF(Table13[[#This Row],[Age]]&lt;35,"25-34",IF(Table13[[#This Row],[Age]]&lt;45,"35-44",IF(Table13[[#This Row],[Age]]&lt;55,"45-54","55-64"))))</f>
        <v>45-54</v>
      </c>
      <c r="H1154" s="8" t="s">
        <v>17</v>
      </c>
      <c r="I1154" s="8">
        <v>105</v>
      </c>
      <c r="J1154" s="8">
        <v>1.63</v>
      </c>
      <c r="K1154" s="8">
        <v>170</v>
      </c>
      <c r="L1154" s="8">
        <v>139</v>
      </c>
      <c r="M1154" s="8">
        <v>70</v>
      </c>
      <c r="N1154" s="8">
        <v>1.53</v>
      </c>
      <c r="O1154" s="8">
        <v>1065</v>
      </c>
      <c r="P1154" s="8" t="s">
        <v>20</v>
      </c>
      <c r="Q1154" s="8" t="str">
        <f>_xlfn.IFS(AND(Table13[[#This Row],[Gender]]="female",R1154&lt;20),"Athletes",AND(Table13[[#This Row],[Gender]]="female",R1154&lt;24),"Fitnesss",AND(Table13[[#This Row],[Gender]]="female",R1154&lt;31),"Acceptable",AND(Table13[[#This Row],[Gender]]="female",R1154&lt;40),"Obese",AND(Table13[[#This Row],[Gender]]="male",R1154&lt;13),"Athletes",AND(Table13[[#This Row],[Gender]]="male",R1154&lt;17),"Fitnesss",AND(Table13[[#This Row],[Gender]]="male",R1154&lt;24.9),"Acceptable",AND(Table13[[#This Row],[Gender]]="male",R1154&lt;40),"Obese",AND(Table13[[#This Row],[Gender]]="others",R1154&lt;20),"Athletes",AND(Table13[[#This Row],[Gender]]="others",R1154&lt;24),"Fitnesss",AND(Table13[[#This Row],[Gender]]="others",R1154&lt;31),"Acceptable",AND(Table13[[#This Row],[Gender]]="others",R1154&lt;40),"Obese")</f>
        <v>Acceptable</v>
      </c>
      <c r="R1154" s="8">
        <v>24</v>
      </c>
      <c r="S1154" s="8">
        <v>1.5</v>
      </c>
      <c r="T1154" s="8">
        <v>4</v>
      </c>
      <c r="U1154" s="8">
        <v>2</v>
      </c>
      <c r="V1154" s="8" t="str">
        <f>IF(Table13[[#This Row],[BMI]]&lt;=18.5,"Underweight",IF(Table13[[#This Row],[BMI]]&lt;=24.9,"Normal",IF(Table13[[#This Row],[BMI]]&lt;=29.9,"Overweight",IF(Table13[[#This Row],[BMI]]&lt;=39,"Obese","Severly Obese"))))</f>
        <v>Normal</v>
      </c>
      <c r="W1154" s="18">
        <v>18.89</v>
      </c>
    </row>
    <row r="1155" spans="6:23" x14ac:dyDescent="0.3">
      <c r="F1155" s="17">
        <v>57</v>
      </c>
      <c r="G1155" s="8" t="str">
        <f>IF(Table13[[#This Row],[Age]]&lt;25,"18-24",IF(Table13[[#This Row],[Age]]&lt;35,"25-34",IF(Table13[[#This Row],[Age]]&lt;45,"35-44",IF(Table13[[#This Row],[Age]]&lt;55,"45-54","55-64"))))</f>
        <v>55-64</v>
      </c>
      <c r="H1155" s="8" t="s">
        <v>17</v>
      </c>
      <c r="I1155" s="8">
        <v>129.9</v>
      </c>
      <c r="J1155" s="8">
        <v>1.88</v>
      </c>
      <c r="K1155" s="8">
        <v>162</v>
      </c>
      <c r="L1155" s="8">
        <v>148</v>
      </c>
      <c r="M1155" s="8">
        <v>56</v>
      </c>
      <c r="N1155" s="8">
        <v>1.71</v>
      </c>
      <c r="O1155" s="8">
        <v>1233</v>
      </c>
      <c r="P1155" s="8" t="s">
        <v>18</v>
      </c>
      <c r="Q1155" s="8" t="str">
        <f>_xlfn.IFS(AND(Table13[[#This Row],[Gender]]="female",R1155&lt;20),"Athletes",AND(Table13[[#This Row],[Gender]]="female",R1155&lt;24),"Fitnesss",AND(Table13[[#This Row],[Gender]]="female",R1155&lt;31),"Acceptable",AND(Table13[[#This Row],[Gender]]="female",R1155&lt;40),"Obese",AND(Table13[[#This Row],[Gender]]="male",R1155&lt;13),"Athletes",AND(Table13[[#This Row],[Gender]]="male",R1155&lt;17),"Fitnesss",AND(Table13[[#This Row],[Gender]]="male",R1155&lt;24.9),"Acceptable",AND(Table13[[#This Row],[Gender]]="male",R1155&lt;40),"Obese",AND(Table13[[#This Row],[Gender]]="others",R1155&lt;20),"Athletes",AND(Table13[[#This Row],[Gender]]="others",R1155&lt;24),"Fitnesss",AND(Table13[[#This Row],[Gender]]="others",R1155&lt;31),"Acceptable",AND(Table13[[#This Row],[Gender]]="others",R1155&lt;40),"Obese")</f>
        <v>Acceptable</v>
      </c>
      <c r="R1155" s="8">
        <v>24</v>
      </c>
      <c r="S1155" s="8">
        <v>1.8</v>
      </c>
      <c r="T1155" s="8">
        <v>3</v>
      </c>
      <c r="U1155" s="8">
        <v>1</v>
      </c>
      <c r="V1155" s="8" t="str">
        <f>IF(Table13[[#This Row],[BMI]]&lt;=18.5,"Underweight",IF(Table13[[#This Row],[BMI]]&lt;=24.9,"Normal",IF(Table13[[#This Row],[BMI]]&lt;=29.9,"Overweight",IF(Table13[[#This Row],[BMI]]&lt;=39,"Obese","Severly Obese"))))</f>
        <v>Underweight</v>
      </c>
      <c r="W1155" s="18"/>
    </row>
    <row r="1156" spans="6:23" x14ac:dyDescent="0.3">
      <c r="F1156" s="17">
        <v>27</v>
      </c>
      <c r="G1156" s="8" t="str">
        <f>IF(Table13[[#This Row],[Age]]&lt;25,"18-24",IF(Table13[[#This Row],[Age]]&lt;35,"25-34",IF(Table13[[#This Row],[Age]]&lt;45,"35-44",IF(Table13[[#This Row],[Age]]&lt;55,"45-54","55-64"))))</f>
        <v>25-34</v>
      </c>
      <c r="H1156" s="8" t="s">
        <v>17</v>
      </c>
      <c r="I1156" s="8">
        <v>61.1</v>
      </c>
      <c r="J1156" s="8">
        <v>1.59</v>
      </c>
      <c r="K1156" s="8" t="s">
        <v>24</v>
      </c>
      <c r="L1156" s="8">
        <v>139</v>
      </c>
      <c r="M1156" s="8">
        <v>68</v>
      </c>
      <c r="N1156" s="8">
        <v>1.0900000000000001</v>
      </c>
      <c r="O1156" s="8">
        <v>669</v>
      </c>
      <c r="P1156" s="8" t="s">
        <v>22</v>
      </c>
      <c r="Q1156" s="8" t="str">
        <f>_xlfn.IFS(AND(Table13[[#This Row],[Gender]]="female",R1156&lt;20),"Athletes",AND(Table13[[#This Row],[Gender]]="female",R1156&lt;24),"Fitnesss",AND(Table13[[#This Row],[Gender]]="female",R1156&lt;31),"Acceptable",AND(Table13[[#This Row],[Gender]]="female",R1156&lt;40),"Obese",AND(Table13[[#This Row],[Gender]]="male",R1156&lt;13),"Athletes",AND(Table13[[#This Row],[Gender]]="male",R1156&lt;17),"Fitnesss",AND(Table13[[#This Row],[Gender]]="male",R1156&lt;24.9),"Acceptable",AND(Table13[[#This Row],[Gender]]="male",R1156&lt;40),"Obese",AND(Table13[[#This Row],[Gender]]="others",R1156&lt;20),"Athletes",AND(Table13[[#This Row],[Gender]]="others",R1156&lt;24),"Fitnesss",AND(Table13[[#This Row],[Gender]]="others",R1156&lt;31),"Acceptable",AND(Table13[[#This Row],[Gender]]="others",R1156&lt;40),"Obese")</f>
        <v>Athletes</v>
      </c>
      <c r="R1156" s="8">
        <v>16.7</v>
      </c>
      <c r="S1156" s="8">
        <v>1.5</v>
      </c>
      <c r="T1156" s="8">
        <v>3</v>
      </c>
      <c r="U1156" s="8">
        <v>2</v>
      </c>
      <c r="V1156" s="8" t="str">
        <f>IF(Table13[[#This Row],[BMI]]&lt;=18.5,"Underweight",IF(Table13[[#This Row],[BMI]]&lt;=24.9,"Normal",IF(Table13[[#This Row],[BMI]]&lt;=29.9,"Overweight",IF(Table13[[#This Row],[BMI]]&lt;=39,"Obese","Severly Obese"))))</f>
        <v>Underweight</v>
      </c>
      <c r="W1156" s="18">
        <v>12.32</v>
      </c>
    </row>
    <row r="1157" spans="6:23" x14ac:dyDescent="0.3">
      <c r="F1157" s="17">
        <v>27</v>
      </c>
      <c r="G1157" s="8" t="str">
        <f>IF(Table13[[#This Row],[Age]]&lt;25,"18-24",IF(Table13[[#This Row],[Age]]&lt;35,"25-34",IF(Table13[[#This Row],[Age]]&lt;45,"35-44",IF(Table13[[#This Row],[Age]]&lt;55,"45-54","55-64"))))</f>
        <v>25-34</v>
      </c>
      <c r="H1157" s="8" t="s">
        <v>19</v>
      </c>
      <c r="I1157" s="8"/>
      <c r="J1157" s="8">
        <v>1.81</v>
      </c>
      <c r="K1157" s="8">
        <v>176</v>
      </c>
      <c r="L1157" s="8">
        <v>169</v>
      </c>
      <c r="M1157" s="8">
        <v>64</v>
      </c>
      <c r="N1157" s="8">
        <v>1.37</v>
      </c>
      <c r="O1157" s="8">
        <v>1783</v>
      </c>
      <c r="P1157" s="8" t="s">
        <v>22</v>
      </c>
      <c r="Q1157" s="8" t="str">
        <f>_xlfn.IFS(AND(Table13[[#This Row],[Gender]]="female",R1157&lt;20),"Athletes",AND(Table13[[#This Row],[Gender]]="female",R1157&lt;24),"Fitnesss",AND(Table13[[#This Row],[Gender]]="female",R1157&lt;31),"Acceptable",AND(Table13[[#This Row],[Gender]]="female",R1157&lt;40),"Obese",AND(Table13[[#This Row],[Gender]]="male",R1157&lt;13),"Athletes",AND(Table13[[#This Row],[Gender]]="male",R1157&lt;17),"Fitnesss",AND(Table13[[#This Row],[Gender]]="male",R1157&lt;24.9),"Acceptable",AND(Table13[[#This Row],[Gender]]="male",R1157&lt;40),"Obese",AND(Table13[[#This Row],[Gender]]="others",R1157&lt;20),"Athletes",AND(Table13[[#This Row],[Gender]]="others",R1157&lt;24),"Fitnesss",AND(Table13[[#This Row],[Gender]]="others",R1157&lt;31),"Acceptable",AND(Table13[[#This Row],[Gender]]="others",R1157&lt;40),"Obese")</f>
        <v>Obese</v>
      </c>
      <c r="R1157" s="8">
        <v>28.5</v>
      </c>
      <c r="S1157" s="8">
        <v>1.5</v>
      </c>
      <c r="T1157" s="8">
        <v>3</v>
      </c>
      <c r="U1157" s="8">
        <v>3</v>
      </c>
      <c r="V1157" s="8" t="str">
        <f>IF(Table13[[#This Row],[BMI]]&lt;=18.5,"Underweight",IF(Table13[[#This Row],[BMI]]&lt;=24.9,"Normal",IF(Table13[[#This Row],[BMI]]&lt;=29.9,"Overweight",IF(Table13[[#This Row],[BMI]]&lt;=39,"Obese","Severly Obese"))))</f>
        <v>Underweight</v>
      </c>
      <c r="W1157" s="18">
        <v>16.600000000000001</v>
      </c>
    </row>
    <row r="1158" spans="6:23" x14ac:dyDescent="0.3">
      <c r="F1158" s="17">
        <v>50</v>
      </c>
      <c r="G1158" s="8" t="str">
        <f>IF(Table13[[#This Row],[Age]]&lt;25,"18-24",IF(Table13[[#This Row],[Age]]&lt;35,"25-34",IF(Table13[[#This Row],[Age]]&lt;45,"35-44",IF(Table13[[#This Row],[Age]]&lt;55,"45-54","55-64"))))</f>
        <v>45-54</v>
      </c>
      <c r="H1158" s="8" t="s">
        <v>19</v>
      </c>
      <c r="I1158" s="8">
        <v>62.5</v>
      </c>
      <c r="J1158" s="8">
        <v>1.67</v>
      </c>
      <c r="K1158" s="8">
        <v>172</v>
      </c>
      <c r="L1158" s="8">
        <v>121</v>
      </c>
      <c r="M1158" s="8">
        <v>56</v>
      </c>
      <c r="N1158" s="8">
        <v>1.1399999999999999</v>
      </c>
      <c r="O1158" s="8">
        <v>1415</v>
      </c>
      <c r="P1158" s="8" t="s">
        <v>20</v>
      </c>
      <c r="Q1158" s="8" t="str">
        <f>_xlfn.IFS(AND(Table13[[#This Row],[Gender]]="female",R1158&lt;20),"Athletes",AND(Table13[[#This Row],[Gender]]="female",R1158&lt;24),"Fitnesss",AND(Table13[[#This Row],[Gender]]="female",R1158&lt;31),"Acceptable",AND(Table13[[#This Row],[Gender]]="female",R1158&lt;40),"Obese",AND(Table13[[#This Row],[Gender]]="male",R1158&lt;13),"Athletes",AND(Table13[[#This Row],[Gender]]="male",R1158&lt;17),"Fitnesss",AND(Table13[[#This Row],[Gender]]="male",R1158&lt;24.9),"Acceptable",AND(Table13[[#This Row],[Gender]]="male",R1158&lt;40),"Obese",AND(Table13[[#This Row],[Gender]]="others",R1158&lt;20),"Athletes",AND(Table13[[#This Row],[Gender]]="others",R1158&lt;24),"Fitnesss",AND(Table13[[#This Row],[Gender]]="others",R1158&lt;31),"Acceptable",AND(Table13[[#This Row],[Gender]]="others",R1158&lt;40),"Obese")</f>
        <v>Acceptable</v>
      </c>
      <c r="R1158" s="8">
        <v>20.9</v>
      </c>
      <c r="S1158" s="8">
        <v>2.5</v>
      </c>
      <c r="T1158" s="8">
        <v>5</v>
      </c>
      <c r="U1158" s="8">
        <v>2</v>
      </c>
      <c r="V1158" s="8" t="str">
        <f>IF(Table13[[#This Row],[BMI]]&lt;=18.5,"Underweight",IF(Table13[[#This Row],[BMI]]&lt;=24.9,"Normal",IF(Table13[[#This Row],[BMI]]&lt;=29.9,"Overweight",IF(Table13[[#This Row],[BMI]]&lt;=39,"Obese","Severly Obese"))))</f>
        <v>Overweight</v>
      </c>
      <c r="W1158" s="18">
        <v>28.47</v>
      </c>
    </row>
    <row r="1159" spans="6:23" x14ac:dyDescent="0.3">
      <c r="F1159" s="17">
        <v>59</v>
      </c>
      <c r="G1159" s="8" t="str">
        <f>IF(Table13[[#This Row],[Age]]&lt;25,"18-24",IF(Table13[[#This Row],[Age]]&lt;35,"25-34",IF(Table13[[#This Row],[Age]]&lt;45,"35-44",IF(Table13[[#This Row],[Age]]&lt;55,"45-54","55-64"))))</f>
        <v>55-64</v>
      </c>
      <c r="H1159" s="8" t="s">
        <v>19</v>
      </c>
      <c r="I1159" s="8">
        <v>62.4</v>
      </c>
      <c r="J1159" s="8">
        <v>1.71</v>
      </c>
      <c r="K1159" s="8">
        <v>197</v>
      </c>
      <c r="L1159" s="8"/>
      <c r="M1159" s="8">
        <v>74</v>
      </c>
      <c r="N1159" s="8">
        <v>1.47</v>
      </c>
      <c r="O1159" s="8">
        <v>705</v>
      </c>
      <c r="P1159" s="8" t="s">
        <v>20</v>
      </c>
      <c r="Q1159" s="8" t="str">
        <f>_xlfn.IFS(AND(Table13[[#This Row],[Gender]]="female",R1159&lt;20),"Athletes",AND(Table13[[#This Row],[Gender]]="female",R1159&lt;24),"Fitnesss",AND(Table13[[#This Row],[Gender]]="female",R1159&lt;31),"Acceptable",AND(Table13[[#This Row],[Gender]]="female",R1159&lt;40),"Obese",AND(Table13[[#This Row],[Gender]]="male",R1159&lt;13),"Athletes",AND(Table13[[#This Row],[Gender]]="male",R1159&lt;17),"Fitnesss",AND(Table13[[#This Row],[Gender]]="male",R1159&lt;24.9),"Acceptable",AND(Table13[[#This Row],[Gender]]="male",R1159&lt;40),"Obese",AND(Table13[[#This Row],[Gender]]="others",R1159&lt;20),"Athletes",AND(Table13[[#This Row],[Gender]]="others",R1159&lt;24),"Fitnesss",AND(Table13[[#This Row],[Gender]]="others",R1159&lt;31),"Acceptable",AND(Table13[[#This Row],[Gender]]="others",R1159&lt;40),"Obese")</f>
        <v>Obese</v>
      </c>
      <c r="R1159" s="8">
        <v>32</v>
      </c>
      <c r="S1159" s="8">
        <v>2.4</v>
      </c>
      <c r="T1159" s="8">
        <v>4</v>
      </c>
      <c r="U1159" s="8">
        <v>2</v>
      </c>
      <c r="V1159" s="8" t="str">
        <f>IF(Table13[[#This Row],[BMI]]&lt;=18.5,"Underweight",IF(Table13[[#This Row],[BMI]]&lt;=24.9,"Normal",IF(Table13[[#This Row],[BMI]]&lt;=29.9,"Overweight",IF(Table13[[#This Row],[BMI]]&lt;=39,"Obese","Severly Obese"))))</f>
        <v>Normal</v>
      </c>
      <c r="W1159" s="18">
        <v>19.22</v>
      </c>
    </row>
    <row r="1160" spans="6:23" x14ac:dyDescent="0.3">
      <c r="F1160" s="17">
        <v>26</v>
      </c>
      <c r="G1160" s="8" t="str">
        <f>IF(Table13[[#This Row],[Age]]&lt;25,"18-24",IF(Table13[[#This Row],[Age]]&lt;35,"25-34",IF(Table13[[#This Row],[Age]]&lt;45,"35-44",IF(Table13[[#This Row],[Age]]&lt;55,"45-54","55-64"))))</f>
        <v>25-34</v>
      </c>
      <c r="H1160" s="8" t="s">
        <v>19</v>
      </c>
      <c r="I1160" s="8">
        <v>72.400000000000006</v>
      </c>
      <c r="J1160" s="8">
        <v>1.68</v>
      </c>
      <c r="K1160" s="8">
        <v>196</v>
      </c>
      <c r="L1160" s="8">
        <v>169</v>
      </c>
      <c r="M1160" s="8">
        <v>53</v>
      </c>
      <c r="N1160" s="8">
        <v>2</v>
      </c>
      <c r="O1160" s="8">
        <v>1082</v>
      </c>
      <c r="P1160" s="8" t="s">
        <v>21</v>
      </c>
      <c r="Q1160" s="8" t="str">
        <f>_xlfn.IFS(AND(Table13[[#This Row],[Gender]]="female",R1160&lt;20),"Athletes",AND(Table13[[#This Row],[Gender]]="female",R1160&lt;24),"Fitnesss",AND(Table13[[#This Row],[Gender]]="female",R1160&lt;31),"Acceptable",AND(Table13[[#This Row],[Gender]]="female",R1160&lt;40),"Obese",AND(Table13[[#This Row],[Gender]]="male",R1160&lt;13),"Athletes",AND(Table13[[#This Row],[Gender]]="male",R1160&lt;17),"Fitnesss",AND(Table13[[#This Row],[Gender]]="male",R1160&lt;24.9),"Acceptable",AND(Table13[[#This Row],[Gender]]="male",R1160&lt;40),"Obese",AND(Table13[[#This Row],[Gender]]="others",R1160&lt;20),"Athletes",AND(Table13[[#This Row],[Gender]]="others",R1160&lt;24),"Fitnesss",AND(Table13[[#This Row],[Gender]]="others",R1160&lt;31),"Acceptable",AND(Table13[[#This Row],[Gender]]="others",R1160&lt;40),"Obese")</f>
        <v>Obese</v>
      </c>
      <c r="R1160" s="8">
        <v>29.8</v>
      </c>
      <c r="S1160" s="8">
        <v>2.5</v>
      </c>
      <c r="T1160" s="8">
        <v>2</v>
      </c>
      <c r="U1160" s="8">
        <v>3</v>
      </c>
      <c r="V1160" s="8" t="str">
        <f>IF(Table13[[#This Row],[BMI]]&lt;=18.5,"Underweight",IF(Table13[[#This Row],[BMI]]&lt;=24.9,"Normal",IF(Table13[[#This Row],[BMI]]&lt;=29.9,"Overweight",IF(Table13[[#This Row],[BMI]]&lt;=39,"Obese","Severly Obese"))))</f>
        <v>Normal</v>
      </c>
      <c r="W1160" s="18">
        <v>21.68</v>
      </c>
    </row>
    <row r="1161" spans="6:23" x14ac:dyDescent="0.3">
      <c r="F1161" s="17">
        <v>55</v>
      </c>
      <c r="G1161" s="8" t="str">
        <f>IF(Table13[[#This Row],[Age]]&lt;25,"18-24",IF(Table13[[#This Row],[Age]]&lt;35,"25-34",IF(Table13[[#This Row],[Age]]&lt;45,"35-44",IF(Table13[[#This Row],[Age]]&lt;55,"45-54","55-64"))))</f>
        <v>55-64</v>
      </c>
      <c r="H1161" s="8" t="s">
        <v>17</v>
      </c>
      <c r="I1161" s="8">
        <v>93.1</v>
      </c>
      <c r="J1161" s="8">
        <v>1.82</v>
      </c>
      <c r="K1161" s="8">
        <v>172</v>
      </c>
      <c r="L1161" s="8">
        <v>148</v>
      </c>
      <c r="M1161" s="8">
        <v>60</v>
      </c>
      <c r="N1161" s="8">
        <v>1.22</v>
      </c>
      <c r="O1161" s="8">
        <v>1039</v>
      </c>
      <c r="P1161" s="8" t="s">
        <v>21</v>
      </c>
      <c r="Q1161" s="8" t="str">
        <f>_xlfn.IFS(AND(Table13[[#This Row],[Gender]]="female",R1161&lt;20),"Athletes",AND(Table13[[#This Row],[Gender]]="female",R1161&lt;24),"Fitnesss",AND(Table13[[#This Row],[Gender]]="female",R1161&lt;31),"Acceptable",AND(Table13[[#This Row],[Gender]]="female",R1161&lt;40),"Obese",AND(Table13[[#This Row],[Gender]]="male",R1161&lt;13),"Athletes",AND(Table13[[#This Row],[Gender]]="male",R1161&lt;17),"Fitnesss",AND(Table13[[#This Row],[Gender]]="male",R1161&lt;24.9),"Acceptable",AND(Table13[[#This Row],[Gender]]="male",R1161&lt;40),"Obese",AND(Table13[[#This Row],[Gender]]="others",R1161&lt;20),"Athletes",AND(Table13[[#This Row],[Gender]]="others",R1161&lt;24),"Fitnesss",AND(Table13[[#This Row],[Gender]]="others",R1161&lt;31),"Acceptable",AND(Table13[[#This Row],[Gender]]="others",R1161&lt;40),"Obese")</f>
        <v>Athletes</v>
      </c>
      <c r="R1161" s="8">
        <v>17.3</v>
      </c>
      <c r="S1161" s="8">
        <v>2.6</v>
      </c>
      <c r="T1161" s="8">
        <v>4</v>
      </c>
      <c r="U1161" s="8">
        <v>1</v>
      </c>
      <c r="V1161" s="8" t="str">
        <f>IF(Table13[[#This Row],[BMI]]&lt;=18.5,"Underweight",IF(Table13[[#This Row],[BMI]]&lt;=24.9,"Normal",IF(Table13[[#This Row],[BMI]]&lt;=29.9,"Overweight",IF(Table13[[#This Row],[BMI]]&lt;=39,"Obese","Severly Obese"))))</f>
        <v>Normal</v>
      </c>
      <c r="W1161" s="18">
        <v>20.51</v>
      </c>
    </row>
    <row r="1162" spans="6:23" x14ac:dyDescent="0.3">
      <c r="F1162" s="17">
        <v>48</v>
      </c>
      <c r="G1162" s="8" t="str">
        <f>IF(Table13[[#This Row],[Age]]&lt;25,"18-24",IF(Table13[[#This Row],[Age]]&lt;35,"25-34",IF(Table13[[#This Row],[Age]]&lt;45,"35-44",IF(Table13[[#This Row],[Age]]&lt;55,"45-54","55-64"))))</f>
        <v>45-54</v>
      </c>
      <c r="H1162" s="8" t="s">
        <v>17</v>
      </c>
      <c r="I1162" s="8">
        <v>122.3</v>
      </c>
      <c r="J1162" s="8">
        <v>1.71</v>
      </c>
      <c r="K1162" s="8">
        <v>183</v>
      </c>
      <c r="L1162" s="8">
        <v>120</v>
      </c>
      <c r="M1162" s="8">
        <v>63</v>
      </c>
      <c r="N1162" s="8">
        <v>0.79</v>
      </c>
      <c r="O1162" s="8">
        <v>992</v>
      </c>
      <c r="P1162" s="8" t="s">
        <v>23</v>
      </c>
      <c r="Q1162" s="8" t="str">
        <f>_xlfn.IFS(AND(Table13[[#This Row],[Gender]]="female",R1162&lt;20),"Athletes",AND(Table13[[#This Row],[Gender]]="female",R1162&lt;24),"Fitnesss",AND(Table13[[#This Row],[Gender]]="female",R1162&lt;31),"Acceptable",AND(Table13[[#This Row],[Gender]]="female",R1162&lt;40),"Obese",AND(Table13[[#This Row],[Gender]]="male",R1162&lt;13),"Athletes",AND(Table13[[#This Row],[Gender]]="male",R1162&lt;17),"Fitnesss",AND(Table13[[#This Row],[Gender]]="male",R1162&lt;24.9),"Acceptable",AND(Table13[[#This Row],[Gender]]="male",R1162&lt;40),"Obese",AND(Table13[[#This Row],[Gender]]="others",R1162&lt;20),"Athletes",AND(Table13[[#This Row],[Gender]]="others",R1162&lt;24),"Fitnesss",AND(Table13[[#This Row],[Gender]]="others",R1162&lt;31),"Acceptable",AND(Table13[[#This Row],[Gender]]="others",R1162&lt;40),"Obese")</f>
        <v>Athletes</v>
      </c>
      <c r="R1162" s="8">
        <v>10</v>
      </c>
      <c r="S1162" s="8">
        <v>2.6</v>
      </c>
      <c r="T1162" s="8">
        <v>4</v>
      </c>
      <c r="U1162" s="8">
        <v>1</v>
      </c>
      <c r="V1162" s="8" t="str">
        <f>IF(Table13[[#This Row],[BMI]]&lt;=18.5,"Underweight",IF(Table13[[#This Row],[BMI]]&lt;=24.9,"Normal",IF(Table13[[#This Row],[BMI]]&lt;=29.9,"Overweight",IF(Table13[[#This Row],[BMI]]&lt;=39,"Obese","Severly Obese"))))</f>
        <v>Normal</v>
      </c>
      <c r="W1162" s="18">
        <v>18.899999999999999</v>
      </c>
    </row>
    <row r="1163" spans="6:23" x14ac:dyDescent="0.3">
      <c r="F1163" s="17">
        <v>29</v>
      </c>
      <c r="G1163" s="8" t="str">
        <f>IF(Table13[[#This Row],[Age]]&lt;25,"18-24",IF(Table13[[#This Row],[Age]]&lt;35,"25-34",IF(Table13[[#This Row],[Age]]&lt;45,"35-44",IF(Table13[[#This Row],[Age]]&lt;55,"45-54","55-64"))))</f>
        <v>25-34</v>
      </c>
      <c r="H1163" s="8" t="s">
        <v>17</v>
      </c>
      <c r="I1163" s="8">
        <v>70.8</v>
      </c>
      <c r="J1163" s="8">
        <v>1.85</v>
      </c>
      <c r="K1163" s="8">
        <v>160</v>
      </c>
      <c r="L1163" s="8">
        <v>142</v>
      </c>
      <c r="M1163" s="8">
        <v>52</v>
      </c>
      <c r="N1163" s="8">
        <v>1.5</v>
      </c>
      <c r="O1163" s="8">
        <v>1624</v>
      </c>
      <c r="P1163" s="8" t="s">
        <v>22</v>
      </c>
      <c r="Q1163" s="8" t="str">
        <f>_xlfn.IFS(AND(Table13[[#This Row],[Gender]]="female",R1163&lt;20),"Athletes",AND(Table13[[#This Row],[Gender]]="female",R1163&lt;24),"Fitnesss",AND(Table13[[#This Row],[Gender]]="female",R1163&lt;31),"Acceptable",AND(Table13[[#This Row],[Gender]]="female",R1163&lt;40),"Obese",AND(Table13[[#This Row],[Gender]]="male",R1163&lt;13),"Athletes",AND(Table13[[#This Row],[Gender]]="male",R1163&lt;17),"Fitnesss",AND(Table13[[#This Row],[Gender]]="male",R1163&lt;24.9),"Acceptable",AND(Table13[[#This Row],[Gender]]="male",R1163&lt;40),"Obese",AND(Table13[[#This Row],[Gender]]="others",R1163&lt;20),"Athletes",AND(Table13[[#This Row],[Gender]]="others",R1163&lt;24),"Fitnesss",AND(Table13[[#This Row],[Gender]]="others",R1163&lt;31),"Acceptable",AND(Table13[[#This Row],[Gender]]="others",R1163&lt;40),"Obese")</f>
        <v>Athletes</v>
      </c>
      <c r="R1163" s="8">
        <v>14.2</v>
      </c>
      <c r="S1163" s="8">
        <v>3.5</v>
      </c>
      <c r="T1163" s="8">
        <v>2</v>
      </c>
      <c r="U1163" s="8">
        <v>3</v>
      </c>
      <c r="V1163" s="8" t="str">
        <f>IF(Table13[[#This Row],[BMI]]&lt;=18.5,"Underweight",IF(Table13[[#This Row],[BMI]]&lt;=24.9,"Normal",IF(Table13[[#This Row],[BMI]]&lt;=29.9,"Overweight",IF(Table13[[#This Row],[BMI]]&lt;=39,"Obese","Severly Obese"))))</f>
        <v>Underweight</v>
      </c>
      <c r="W1163" s="18">
        <v>15.46</v>
      </c>
    </row>
    <row r="1164" spans="6:23" x14ac:dyDescent="0.3">
      <c r="F1164" s="17">
        <v>52</v>
      </c>
      <c r="G1164" s="8" t="str">
        <f>IF(Table13[[#This Row],[Age]]&lt;25,"18-24",IF(Table13[[#This Row],[Age]]&lt;35,"25-34",IF(Table13[[#This Row],[Age]]&lt;45,"35-44",IF(Table13[[#This Row],[Age]]&lt;55,"45-54","55-64"))))</f>
        <v>45-54</v>
      </c>
      <c r="H1164" s="8" t="s">
        <v>19</v>
      </c>
      <c r="I1164" s="8">
        <v>51.5</v>
      </c>
      <c r="J1164" s="8">
        <v>1.6</v>
      </c>
      <c r="K1164" s="8">
        <v>184</v>
      </c>
      <c r="L1164" s="8">
        <v>162</v>
      </c>
      <c r="M1164" s="8">
        <v>65</v>
      </c>
      <c r="N1164" s="8">
        <v>1.46</v>
      </c>
      <c r="O1164" s="8">
        <v>1339</v>
      </c>
      <c r="P1164" s="8" t="s">
        <v>20</v>
      </c>
      <c r="Q1164" s="8" t="str">
        <f>_xlfn.IFS(AND(Table13[[#This Row],[Gender]]="female",R1164&lt;20),"Athletes",AND(Table13[[#This Row],[Gender]]="female",R1164&lt;24),"Fitnesss",AND(Table13[[#This Row],[Gender]]="female",R1164&lt;31),"Acceptable",AND(Table13[[#This Row],[Gender]]="female",R1164&lt;40),"Obese",AND(Table13[[#This Row],[Gender]]="male",R1164&lt;13),"Athletes",AND(Table13[[#This Row],[Gender]]="male",R1164&lt;17),"Fitnesss",AND(Table13[[#This Row],[Gender]]="male",R1164&lt;24.9),"Acceptable",AND(Table13[[#This Row],[Gender]]="male",R1164&lt;40),"Obese",AND(Table13[[#This Row],[Gender]]="others",R1164&lt;20),"Athletes",AND(Table13[[#This Row],[Gender]]="others",R1164&lt;24),"Fitnesss",AND(Table13[[#This Row],[Gender]]="others",R1164&lt;31),"Acceptable",AND(Table13[[#This Row],[Gender]]="others",R1164&lt;40),"Obese")</f>
        <v>Obese</v>
      </c>
      <c r="R1164" s="8">
        <v>25.2</v>
      </c>
      <c r="S1164" s="8">
        <v>3.2</v>
      </c>
      <c r="T1164" s="8">
        <v>4</v>
      </c>
      <c r="U1164" s="8">
        <v>3</v>
      </c>
      <c r="V1164" s="8" t="str">
        <f>IF(Table13[[#This Row],[BMI]]&lt;=18.5,"Underweight",IF(Table13[[#This Row],[BMI]]&lt;=24.9,"Normal",IF(Table13[[#This Row],[BMI]]&lt;=29.9,"Overweight",IF(Table13[[#This Row],[BMI]]&lt;=39,"Obese","Severly Obese"))))</f>
        <v>Underweight</v>
      </c>
      <c r="W1164" s="18">
        <v>12.32</v>
      </c>
    </row>
    <row r="1165" spans="6:23" x14ac:dyDescent="0.3">
      <c r="F1165" s="17">
        <v>18</v>
      </c>
      <c r="G1165" s="8" t="str">
        <f>IF(Table13[[#This Row],[Age]]&lt;25,"18-24",IF(Table13[[#This Row],[Age]]&lt;35,"25-34",IF(Table13[[#This Row],[Age]]&lt;45,"35-44",IF(Table13[[#This Row],[Age]]&lt;55,"45-54","55-64"))))</f>
        <v>18-24</v>
      </c>
      <c r="H1165" s="8" t="s">
        <v>17</v>
      </c>
      <c r="I1165" s="8">
        <v>57.1</v>
      </c>
      <c r="J1165" s="8">
        <v>1.61</v>
      </c>
      <c r="K1165" s="8">
        <v>198</v>
      </c>
      <c r="L1165" s="8">
        <v>129</v>
      </c>
      <c r="M1165" s="8">
        <v>66</v>
      </c>
      <c r="N1165" s="8">
        <v>0.94</v>
      </c>
      <c r="O1165" s="8">
        <v>1064</v>
      </c>
      <c r="P1165" s="8" t="s">
        <v>20</v>
      </c>
      <c r="Q1165" s="8" t="str">
        <f>_xlfn.IFS(AND(Table13[[#This Row],[Gender]]="female",R1165&lt;20),"Athletes",AND(Table13[[#This Row],[Gender]]="female",R1165&lt;24),"Fitnesss",AND(Table13[[#This Row],[Gender]]="female",R1165&lt;31),"Acceptable",AND(Table13[[#This Row],[Gender]]="female",R1165&lt;40),"Obese",AND(Table13[[#This Row],[Gender]]="male",R1165&lt;13),"Athletes",AND(Table13[[#This Row],[Gender]]="male",R1165&lt;17),"Fitnesss",AND(Table13[[#This Row],[Gender]]="male",R1165&lt;24.9),"Acceptable",AND(Table13[[#This Row],[Gender]]="male",R1165&lt;40),"Obese",AND(Table13[[#This Row],[Gender]]="others",R1165&lt;20),"Athletes",AND(Table13[[#This Row],[Gender]]="others",R1165&lt;24),"Fitnesss",AND(Table13[[#This Row],[Gender]]="others",R1165&lt;31),"Acceptable",AND(Table13[[#This Row],[Gender]]="others",R1165&lt;40),"Obese")</f>
        <v>Obese</v>
      </c>
      <c r="R1165" s="8">
        <v>31.7</v>
      </c>
      <c r="S1165" s="8">
        <v>2.4</v>
      </c>
      <c r="T1165" s="8">
        <v>2</v>
      </c>
      <c r="U1165" s="8">
        <v>3</v>
      </c>
      <c r="V1165" s="8" t="str">
        <f>IF(Table13[[#This Row],[BMI]]&lt;=18.5,"Underweight",IF(Table13[[#This Row],[BMI]]&lt;=24.9,"Normal",IF(Table13[[#This Row],[BMI]]&lt;=29.9,"Overweight",IF(Table13[[#This Row],[BMI]]&lt;=39,"Obese","Severly Obese"))))</f>
        <v>Normal</v>
      </c>
      <c r="W1165" s="18">
        <v>19.32</v>
      </c>
    </row>
    <row r="1166" spans="6:23" x14ac:dyDescent="0.3">
      <c r="F1166" s="17">
        <v>36</v>
      </c>
      <c r="G1166" s="8" t="str">
        <f>IF(Table13[[#This Row],[Age]]&lt;25,"18-24",IF(Table13[[#This Row],[Age]]&lt;35,"25-34",IF(Table13[[#This Row],[Age]]&lt;45,"35-44",IF(Table13[[#This Row],[Age]]&lt;55,"45-54","55-64"))))</f>
        <v>35-44</v>
      </c>
      <c r="H1166" s="8" t="s">
        <v>17</v>
      </c>
      <c r="I1166" s="8">
        <v>64.400000000000006</v>
      </c>
      <c r="J1166" s="8">
        <v>1.97</v>
      </c>
      <c r="K1166" s="8">
        <v>166</v>
      </c>
      <c r="L1166" s="8">
        <v>153</v>
      </c>
      <c r="M1166" s="8">
        <v>59</v>
      </c>
      <c r="N1166" s="8">
        <v>1.45</v>
      </c>
      <c r="O1166" s="8">
        <v>1132</v>
      </c>
      <c r="P1166" s="8" t="s">
        <v>21</v>
      </c>
      <c r="Q1166" s="8" t="str">
        <f>_xlfn.IFS(AND(Table13[[#This Row],[Gender]]="female",R1166&lt;20),"Athletes",AND(Table13[[#This Row],[Gender]]="female",R1166&lt;24),"Fitnesss",AND(Table13[[#This Row],[Gender]]="female",R1166&lt;31),"Acceptable",AND(Table13[[#This Row],[Gender]]="female",R1166&lt;40),"Obese",AND(Table13[[#This Row],[Gender]]="male",R1166&lt;13),"Athletes",AND(Table13[[#This Row],[Gender]]="male",R1166&lt;17),"Fitnesss",AND(Table13[[#This Row],[Gender]]="male",R1166&lt;24.9),"Acceptable",AND(Table13[[#This Row],[Gender]]="male",R1166&lt;40),"Obese",AND(Table13[[#This Row],[Gender]]="others",R1166&lt;20),"Athletes",AND(Table13[[#This Row],[Gender]]="others",R1166&lt;24),"Fitnesss",AND(Table13[[#This Row],[Gender]]="others",R1166&lt;31),"Acceptable",AND(Table13[[#This Row],[Gender]]="others",R1166&lt;40),"Obese")</f>
        <v>Acceptable</v>
      </c>
      <c r="R1166" s="8">
        <v>27.9</v>
      </c>
      <c r="S1166" s="8">
        <v>2.9</v>
      </c>
      <c r="T1166" s="8">
        <v>3</v>
      </c>
      <c r="U1166" s="8">
        <v>1</v>
      </c>
      <c r="V1166" s="8" t="str">
        <f>IF(Table13[[#This Row],[BMI]]&lt;=18.5,"Underweight",IF(Table13[[#This Row],[BMI]]&lt;=24.9,"Normal",IF(Table13[[#This Row],[BMI]]&lt;=29.9,"Overweight",IF(Table13[[#This Row],[BMI]]&lt;=39,"Obese","Severly Obese"))))</f>
        <v>Normal</v>
      </c>
      <c r="W1166" s="18">
        <v>23.33</v>
      </c>
    </row>
    <row r="1167" spans="6:23" x14ac:dyDescent="0.3">
      <c r="F1167" s="17">
        <v>52</v>
      </c>
      <c r="G1167" s="8" t="str">
        <f>IF(Table13[[#This Row],[Age]]&lt;25,"18-24",IF(Table13[[#This Row],[Age]]&lt;35,"25-34",IF(Table13[[#This Row],[Age]]&lt;45,"35-44",IF(Table13[[#This Row],[Age]]&lt;55,"45-54","55-64"))))</f>
        <v>45-54</v>
      </c>
      <c r="H1167" s="8" t="s">
        <v>19</v>
      </c>
      <c r="I1167" s="8">
        <v>63</v>
      </c>
      <c r="J1167" s="8">
        <v>1.72</v>
      </c>
      <c r="K1167" s="8">
        <v>184</v>
      </c>
      <c r="L1167" s="8">
        <v>131</v>
      </c>
      <c r="M1167" s="8">
        <v>54</v>
      </c>
      <c r="N1167" s="8">
        <v>1.48</v>
      </c>
      <c r="O1167" s="8">
        <v>804</v>
      </c>
      <c r="P1167" s="8" t="s">
        <v>20</v>
      </c>
      <c r="Q1167" s="8" t="str">
        <f>_xlfn.IFS(AND(Table13[[#This Row],[Gender]]="female",R1167&lt;20),"Athletes",AND(Table13[[#This Row],[Gender]]="female",R1167&lt;24),"Fitnesss",AND(Table13[[#This Row],[Gender]]="female",R1167&lt;31),"Acceptable",AND(Table13[[#This Row],[Gender]]="female",R1167&lt;40),"Obese",AND(Table13[[#This Row],[Gender]]="male",R1167&lt;13),"Athletes",AND(Table13[[#This Row],[Gender]]="male",R1167&lt;17),"Fitnesss",AND(Table13[[#This Row],[Gender]]="male",R1167&lt;24.9),"Acceptable",AND(Table13[[#This Row],[Gender]]="male",R1167&lt;40),"Obese",AND(Table13[[#This Row],[Gender]]="others",R1167&lt;20),"Athletes",AND(Table13[[#This Row],[Gender]]="others",R1167&lt;24),"Fitnesss",AND(Table13[[#This Row],[Gender]]="others",R1167&lt;31),"Acceptable",AND(Table13[[#This Row],[Gender]]="others",R1167&lt;40),"Obese")</f>
        <v>Acceptable</v>
      </c>
      <c r="R1167" s="8">
        <v>21.5</v>
      </c>
      <c r="S1167" s="8">
        <v>1.5</v>
      </c>
      <c r="T1167" s="8">
        <v>4</v>
      </c>
      <c r="U1167" s="8">
        <v>3</v>
      </c>
      <c r="V1167" s="8" t="str">
        <f>IF(Table13[[#This Row],[BMI]]&lt;=18.5,"Underweight",IF(Table13[[#This Row],[BMI]]&lt;=24.9,"Normal",IF(Table13[[#This Row],[BMI]]&lt;=29.9,"Overweight",IF(Table13[[#This Row],[BMI]]&lt;=39,"Obese","Severly Obese"))))</f>
        <v>Obese</v>
      </c>
      <c r="W1167" s="18">
        <v>34.06</v>
      </c>
    </row>
    <row r="1168" spans="6:23" x14ac:dyDescent="0.3">
      <c r="F1168" s="17">
        <v>29</v>
      </c>
      <c r="G1168" s="8" t="str">
        <f>IF(Table13[[#This Row],[Age]]&lt;25,"18-24",IF(Table13[[#This Row],[Age]]&lt;35,"25-34",IF(Table13[[#This Row],[Age]]&lt;45,"35-44",IF(Table13[[#This Row],[Age]]&lt;55,"45-54","55-64"))))</f>
        <v>25-34</v>
      </c>
      <c r="H1168" s="8" t="s">
        <v>19</v>
      </c>
      <c r="I1168" s="8">
        <v>77.2</v>
      </c>
      <c r="J1168" s="8">
        <v>1.89</v>
      </c>
      <c r="K1168" s="8">
        <v>192</v>
      </c>
      <c r="L1168" s="8">
        <v>152</v>
      </c>
      <c r="M1168" s="8">
        <v>58</v>
      </c>
      <c r="N1168" s="8">
        <v>2</v>
      </c>
      <c r="O1168" s="8">
        <v>858</v>
      </c>
      <c r="P1168" s="8" t="s">
        <v>21</v>
      </c>
      <c r="Q1168" s="8" t="str">
        <f>_xlfn.IFS(AND(Table13[[#This Row],[Gender]]="female",R1168&lt;20),"Athletes",AND(Table13[[#This Row],[Gender]]="female",R1168&lt;24),"Fitnesss",AND(Table13[[#This Row],[Gender]]="female",R1168&lt;31),"Acceptable",AND(Table13[[#This Row],[Gender]]="female",R1168&lt;40),"Obese",AND(Table13[[#This Row],[Gender]]="male",R1168&lt;13),"Athletes",AND(Table13[[#This Row],[Gender]]="male",R1168&lt;17),"Fitnesss",AND(Table13[[#This Row],[Gender]]="male",R1168&lt;24.9),"Acceptable",AND(Table13[[#This Row],[Gender]]="male",R1168&lt;40),"Obese",AND(Table13[[#This Row],[Gender]]="others",R1168&lt;20),"Athletes",AND(Table13[[#This Row],[Gender]]="others",R1168&lt;24),"Fitnesss",AND(Table13[[#This Row],[Gender]]="others",R1168&lt;31),"Acceptable",AND(Table13[[#This Row],[Gender]]="others",R1168&lt;40),"Obese")</f>
        <v>Obese</v>
      </c>
      <c r="R1168" s="8">
        <v>25.6</v>
      </c>
      <c r="S1168" s="8">
        <v>3.2</v>
      </c>
      <c r="T1168" s="8">
        <v>3</v>
      </c>
      <c r="U1168" s="8">
        <v>2</v>
      </c>
      <c r="V1168" s="8" t="str">
        <f>IF(Table13[[#This Row],[BMI]]&lt;=18.5,"Underweight",IF(Table13[[#This Row],[BMI]]&lt;=24.9,"Normal",IF(Table13[[#This Row],[BMI]]&lt;=29.9,"Overweight",IF(Table13[[#This Row],[BMI]]&lt;=39,"Obese","Severly Obese"))))</f>
        <v>Normal</v>
      </c>
      <c r="W1168" s="18">
        <v>19.23</v>
      </c>
    </row>
    <row r="1169" spans="6:23" x14ac:dyDescent="0.3">
      <c r="F1169" s="17">
        <v>18</v>
      </c>
      <c r="G1169" s="8" t="str">
        <f>IF(Table13[[#This Row],[Age]]&lt;25,"18-24",IF(Table13[[#This Row],[Age]]&lt;35,"25-34",IF(Table13[[#This Row],[Age]]&lt;45,"35-44",IF(Table13[[#This Row],[Age]]&lt;55,"45-54","55-64"))))</f>
        <v>18-24</v>
      </c>
      <c r="H1169" s="8" t="s">
        <v>17</v>
      </c>
      <c r="I1169" s="8">
        <v>40</v>
      </c>
      <c r="J1169" s="8">
        <v>1.66</v>
      </c>
      <c r="K1169" s="8">
        <v>190</v>
      </c>
      <c r="L1169" s="8">
        <v>147</v>
      </c>
      <c r="M1169" s="8">
        <v>50</v>
      </c>
      <c r="N1169" s="8">
        <v>1.6</v>
      </c>
      <c r="O1169" s="8">
        <v>1287</v>
      </c>
      <c r="P1169" s="8" t="s">
        <v>20</v>
      </c>
      <c r="Q1169" s="8" t="str">
        <f>_xlfn.IFS(AND(Table13[[#This Row],[Gender]]="female",R1169&lt;20),"Athletes",AND(Table13[[#This Row],[Gender]]="female",R1169&lt;24),"Fitnesss",AND(Table13[[#This Row],[Gender]]="female",R1169&lt;31),"Acceptable",AND(Table13[[#This Row],[Gender]]="female",R1169&lt;40),"Obese",AND(Table13[[#This Row],[Gender]]="male",R1169&lt;13),"Athletes",AND(Table13[[#This Row],[Gender]]="male",R1169&lt;17),"Fitnesss",AND(Table13[[#This Row],[Gender]]="male",R1169&lt;24.9),"Acceptable",AND(Table13[[#This Row],[Gender]]="male",R1169&lt;40),"Obese",AND(Table13[[#This Row],[Gender]]="others",R1169&lt;20),"Athletes",AND(Table13[[#This Row],[Gender]]="others",R1169&lt;24),"Fitnesss",AND(Table13[[#This Row],[Gender]]="others",R1169&lt;31),"Acceptable",AND(Table13[[#This Row],[Gender]]="others",R1169&lt;40),"Obese")</f>
        <v>Acceptable</v>
      </c>
      <c r="R1169" s="8">
        <v>27.6</v>
      </c>
      <c r="S1169" s="8">
        <v>1.9</v>
      </c>
      <c r="T1169" s="8">
        <v>5</v>
      </c>
      <c r="U1169" s="8">
        <v>3</v>
      </c>
      <c r="V1169" s="8" t="str">
        <f>IF(Table13[[#This Row],[BMI]]&lt;=18.5,"Underweight",IF(Table13[[#This Row],[BMI]]&lt;=24.9,"Normal",IF(Table13[[#This Row],[BMI]]&lt;=29.9,"Overweight",IF(Table13[[#This Row],[BMI]]&lt;=39,"Obese","Severly Obese"))))</f>
        <v>Normal</v>
      </c>
      <c r="W1169" s="18">
        <v>22.99</v>
      </c>
    </row>
    <row r="1170" spans="6:23" x14ac:dyDescent="0.3">
      <c r="F1170" s="17">
        <v>30</v>
      </c>
      <c r="G1170" s="8" t="str">
        <f>IF(Table13[[#This Row],[Age]]&lt;25,"18-24",IF(Table13[[#This Row],[Age]]&lt;35,"25-34",IF(Table13[[#This Row],[Age]]&lt;45,"35-44",IF(Table13[[#This Row],[Age]]&lt;55,"45-54","55-64"))))</f>
        <v>25-34</v>
      </c>
      <c r="H1170" s="8" t="s">
        <v>17</v>
      </c>
      <c r="I1170" s="8">
        <v>76.3</v>
      </c>
      <c r="J1170" s="8">
        <v>2</v>
      </c>
      <c r="K1170" s="8">
        <v>193</v>
      </c>
      <c r="L1170" s="8">
        <v>132</v>
      </c>
      <c r="M1170" s="8">
        <v>59</v>
      </c>
      <c r="N1170" s="8">
        <v>1.1100000000000001</v>
      </c>
      <c r="O1170" s="8">
        <v>548</v>
      </c>
      <c r="P1170" s="8" t="s">
        <v>21</v>
      </c>
      <c r="Q1170" s="8" t="str">
        <f>_xlfn.IFS(AND(Table13[[#This Row],[Gender]]="female",R1170&lt;20),"Athletes",AND(Table13[[#This Row],[Gender]]="female",R1170&lt;24),"Fitnesss",AND(Table13[[#This Row],[Gender]]="female",R1170&lt;31),"Acceptable",AND(Table13[[#This Row],[Gender]]="female",R1170&lt;40),"Obese",AND(Table13[[#This Row],[Gender]]="male",R1170&lt;13),"Athletes",AND(Table13[[#This Row],[Gender]]="male",R1170&lt;17),"Fitnesss",AND(Table13[[#This Row],[Gender]]="male",R1170&lt;24.9),"Acceptable",AND(Table13[[#This Row],[Gender]]="male",R1170&lt;40),"Obese",AND(Table13[[#This Row],[Gender]]="others",R1170&lt;20),"Athletes",AND(Table13[[#This Row],[Gender]]="others",R1170&lt;24),"Fitnesss",AND(Table13[[#This Row],[Gender]]="others",R1170&lt;31),"Acceptable",AND(Table13[[#This Row],[Gender]]="others",R1170&lt;40),"Obese")</f>
        <v>Obese</v>
      </c>
      <c r="R1170" s="8">
        <v>34.9</v>
      </c>
      <c r="S1170" s="8">
        <v>3.2</v>
      </c>
      <c r="T1170" s="8">
        <v>3</v>
      </c>
      <c r="U1170" s="8">
        <v>1</v>
      </c>
      <c r="V1170" s="8" t="str">
        <f>IF(Table13[[#This Row],[BMI]]&lt;=18.5,"Underweight",IF(Table13[[#This Row],[BMI]]&lt;=24.9,"Normal",IF(Table13[[#This Row],[BMI]]&lt;=29.9,"Overweight",IF(Table13[[#This Row],[BMI]]&lt;=39,"Obese","Severly Obese"))))</f>
        <v>Underweight</v>
      </c>
      <c r="W1170" s="18">
        <v>17.54</v>
      </c>
    </row>
    <row r="1171" spans="6:23" x14ac:dyDescent="0.3">
      <c r="F1171" s="17">
        <v>29</v>
      </c>
      <c r="G1171" s="8" t="str">
        <f>IF(Table13[[#This Row],[Age]]&lt;25,"18-24",IF(Table13[[#This Row],[Age]]&lt;35,"25-34",IF(Table13[[#This Row],[Age]]&lt;45,"35-44",IF(Table13[[#This Row],[Age]]&lt;55,"45-54","55-64"))))</f>
        <v>25-34</v>
      </c>
      <c r="H1171" s="8" t="s">
        <v>17</v>
      </c>
      <c r="I1171" s="8">
        <v>71.2</v>
      </c>
      <c r="J1171" s="8">
        <v>1.8</v>
      </c>
      <c r="K1171" s="8">
        <v>176</v>
      </c>
      <c r="L1171" s="8">
        <v>139</v>
      </c>
      <c r="M1171" s="8">
        <v>68</v>
      </c>
      <c r="N1171" s="8">
        <v>1.4</v>
      </c>
      <c r="O1171" s="8">
        <v>354</v>
      </c>
      <c r="P1171" s="8" t="s">
        <v>20</v>
      </c>
      <c r="Q1171" s="8" t="str">
        <f>_xlfn.IFS(AND(Table13[[#This Row],[Gender]]="female",R1171&lt;20),"Athletes",AND(Table13[[#This Row],[Gender]]="female",R1171&lt;24),"Fitnesss",AND(Table13[[#This Row],[Gender]]="female",R1171&lt;31),"Acceptable",AND(Table13[[#This Row],[Gender]]="female",R1171&lt;40),"Obese",AND(Table13[[#This Row],[Gender]]="male",R1171&lt;13),"Athletes",AND(Table13[[#This Row],[Gender]]="male",R1171&lt;17),"Fitnesss",AND(Table13[[#This Row],[Gender]]="male",R1171&lt;24.9),"Acceptable",AND(Table13[[#This Row],[Gender]]="male",R1171&lt;40),"Obese",AND(Table13[[#This Row],[Gender]]="others",R1171&lt;20),"Athletes",AND(Table13[[#This Row],[Gender]]="others",R1171&lt;24),"Fitnesss",AND(Table13[[#This Row],[Gender]]="others",R1171&lt;31),"Acceptable",AND(Table13[[#This Row],[Gender]]="others",R1171&lt;40),"Obese")</f>
        <v>Athletes</v>
      </c>
      <c r="R1171" s="8">
        <v>10</v>
      </c>
      <c r="S1171" s="8">
        <v>3.4</v>
      </c>
      <c r="T1171" s="8">
        <v>2</v>
      </c>
      <c r="U1171" s="8">
        <v>3</v>
      </c>
      <c r="V1171" s="8" t="str">
        <f>IF(Table13[[#This Row],[BMI]]&lt;=18.5,"Underweight",IF(Table13[[#This Row],[BMI]]&lt;=24.9,"Normal",IF(Table13[[#This Row],[BMI]]&lt;=29.9,"Overweight",IF(Table13[[#This Row],[BMI]]&lt;=39,"Obese","Severly Obese"))))</f>
        <v>Obese</v>
      </c>
      <c r="W1171" s="18">
        <v>31.75</v>
      </c>
    </row>
    <row r="1172" spans="6:23" x14ac:dyDescent="0.3">
      <c r="F1172" s="17">
        <v>55</v>
      </c>
      <c r="G1172" s="8" t="str">
        <f>IF(Table13[[#This Row],[Age]]&lt;25,"18-24",IF(Table13[[#This Row],[Age]]&lt;35,"25-34",IF(Table13[[#This Row],[Age]]&lt;45,"35-44",IF(Table13[[#This Row],[Age]]&lt;55,"45-54","55-64"))))</f>
        <v>55-64</v>
      </c>
      <c r="H1172" s="8" t="s">
        <v>19</v>
      </c>
      <c r="I1172" s="8">
        <v>104.9</v>
      </c>
      <c r="J1172" s="8">
        <v>1.56</v>
      </c>
      <c r="K1172" s="8">
        <v>187</v>
      </c>
      <c r="L1172" s="8">
        <v>155</v>
      </c>
      <c r="M1172" s="8">
        <v>58</v>
      </c>
      <c r="N1172" s="8">
        <v>0.87</v>
      </c>
      <c r="O1172" s="8">
        <v>1260</v>
      </c>
      <c r="P1172" s="8" t="s">
        <v>18</v>
      </c>
      <c r="Q1172" s="8" t="str">
        <f>_xlfn.IFS(AND(Table13[[#This Row],[Gender]]="female",R1172&lt;20),"Athletes",AND(Table13[[#This Row],[Gender]]="female",R1172&lt;24),"Fitnesss",AND(Table13[[#This Row],[Gender]]="female",R1172&lt;31),"Acceptable",AND(Table13[[#This Row],[Gender]]="female",R1172&lt;40),"Obese",AND(Table13[[#This Row],[Gender]]="male",R1172&lt;13),"Athletes",AND(Table13[[#This Row],[Gender]]="male",R1172&lt;17),"Fitnesss",AND(Table13[[#This Row],[Gender]]="male",R1172&lt;24.9),"Acceptable",AND(Table13[[#This Row],[Gender]]="male",R1172&lt;40),"Obese",AND(Table13[[#This Row],[Gender]]="others",R1172&lt;20),"Athletes",AND(Table13[[#This Row],[Gender]]="others",R1172&lt;24),"Fitnesss",AND(Table13[[#This Row],[Gender]]="others",R1172&lt;31),"Acceptable",AND(Table13[[#This Row],[Gender]]="others",R1172&lt;40),"Obese")</f>
        <v>Obese</v>
      </c>
      <c r="R1172" s="8">
        <v>27.8</v>
      </c>
      <c r="S1172" s="8">
        <v>3.5</v>
      </c>
      <c r="T1172" s="8">
        <v>3</v>
      </c>
      <c r="U1172" s="8">
        <v>1</v>
      </c>
      <c r="V1172" s="8" t="str">
        <f>IF(Table13[[#This Row],[BMI]]&lt;=18.5,"Underweight",IF(Table13[[#This Row],[BMI]]&lt;=24.9,"Normal",IF(Table13[[#This Row],[BMI]]&lt;=29.9,"Overweight",IF(Table13[[#This Row],[BMI]]&lt;=39,"Obese","Severly Obese"))))</f>
        <v>Underweight</v>
      </c>
      <c r="W1172" s="18">
        <v>12.68</v>
      </c>
    </row>
    <row r="1173" spans="6:23" x14ac:dyDescent="0.3">
      <c r="F1173" s="17">
        <v>34</v>
      </c>
      <c r="G1173" s="8" t="str">
        <f>IF(Table13[[#This Row],[Age]]&lt;25,"18-24",IF(Table13[[#This Row],[Age]]&lt;35,"25-34",IF(Table13[[#This Row],[Age]]&lt;45,"35-44",IF(Table13[[#This Row],[Age]]&lt;55,"45-54","55-64"))))</f>
        <v>25-34</v>
      </c>
      <c r="H1173" s="8" t="s">
        <v>17</v>
      </c>
      <c r="I1173" s="8">
        <v>102.1</v>
      </c>
      <c r="J1173" s="8">
        <v>1.53</v>
      </c>
      <c r="K1173" s="8">
        <v>178</v>
      </c>
      <c r="L1173" s="8">
        <v>152</v>
      </c>
      <c r="M1173" s="8">
        <v>50</v>
      </c>
      <c r="N1173" s="8">
        <v>2</v>
      </c>
      <c r="O1173" s="8">
        <v>1783</v>
      </c>
      <c r="P1173" s="8" t="s">
        <v>18</v>
      </c>
      <c r="Q1173" s="8" t="str">
        <f>_xlfn.IFS(AND(Table13[[#This Row],[Gender]]="female",R1173&lt;20),"Athletes",AND(Table13[[#This Row],[Gender]]="female",R1173&lt;24),"Fitnesss",AND(Table13[[#This Row],[Gender]]="female",R1173&lt;31),"Acceptable",AND(Table13[[#This Row],[Gender]]="female",R1173&lt;40),"Obese",AND(Table13[[#This Row],[Gender]]="male",R1173&lt;13),"Athletes",AND(Table13[[#This Row],[Gender]]="male",R1173&lt;17),"Fitnesss",AND(Table13[[#This Row],[Gender]]="male",R1173&lt;24.9),"Acceptable",AND(Table13[[#This Row],[Gender]]="male",R1173&lt;40),"Obese",AND(Table13[[#This Row],[Gender]]="others",R1173&lt;20),"Athletes",AND(Table13[[#This Row],[Gender]]="others",R1173&lt;24),"Fitnesss",AND(Table13[[#This Row],[Gender]]="others",R1173&lt;31),"Acceptable",AND(Table13[[#This Row],[Gender]]="others",R1173&lt;40),"Obese")</f>
        <v>Acceptable</v>
      </c>
      <c r="R1173" s="8">
        <v>26.5</v>
      </c>
      <c r="S1173" s="8">
        <v>2.1</v>
      </c>
      <c r="T1173" s="8">
        <v>3</v>
      </c>
      <c r="U1173" s="8">
        <v>1</v>
      </c>
      <c r="V1173" s="8" t="str">
        <f>IF(Table13[[#This Row],[BMI]]&lt;=18.5,"Underweight",IF(Table13[[#This Row],[BMI]]&lt;=24.9,"Normal",IF(Table13[[#This Row],[BMI]]&lt;=29.9,"Overweight",IF(Table13[[#This Row],[BMI]]&lt;=39,"Obese","Severly Obese"))))</f>
        <v>Obese</v>
      </c>
      <c r="W1173" s="18">
        <v>38.340000000000003</v>
      </c>
    </row>
    <row r="1174" spans="6:23" x14ac:dyDescent="0.3">
      <c r="F1174" s="17">
        <v>31</v>
      </c>
      <c r="G1174" s="8" t="str">
        <f>IF(Table13[[#This Row],[Age]]&lt;25,"18-24",IF(Table13[[#This Row],[Age]]&lt;35,"25-34",IF(Table13[[#This Row],[Age]]&lt;45,"35-44",IF(Table13[[#This Row],[Age]]&lt;55,"45-54","55-64"))))</f>
        <v>25-34</v>
      </c>
      <c r="H1174" s="8" t="s">
        <v>17</v>
      </c>
      <c r="I1174" s="8">
        <v>63.6</v>
      </c>
      <c r="J1174" s="8">
        <v>1.57</v>
      </c>
      <c r="K1174" s="8">
        <v>165</v>
      </c>
      <c r="L1174" s="8">
        <v>169</v>
      </c>
      <c r="M1174" s="8">
        <v>74</v>
      </c>
      <c r="N1174" s="8">
        <v>1.0900000000000001</v>
      </c>
      <c r="O1174" s="8">
        <v>1148</v>
      </c>
      <c r="P1174" s="8" t="s">
        <v>18</v>
      </c>
      <c r="Q1174" s="8" t="str">
        <f>_xlfn.IFS(AND(Table13[[#This Row],[Gender]]="female",R1174&lt;20),"Athletes",AND(Table13[[#This Row],[Gender]]="female",R1174&lt;24),"Fitnesss",AND(Table13[[#This Row],[Gender]]="female",R1174&lt;31),"Acceptable",AND(Table13[[#This Row],[Gender]]="female",R1174&lt;40),"Obese",AND(Table13[[#This Row],[Gender]]="male",R1174&lt;13),"Athletes",AND(Table13[[#This Row],[Gender]]="male",R1174&lt;17),"Fitnesss",AND(Table13[[#This Row],[Gender]]="male",R1174&lt;24.9),"Acceptable",AND(Table13[[#This Row],[Gender]]="male",R1174&lt;40),"Obese",AND(Table13[[#This Row],[Gender]]="others",R1174&lt;20),"Athletes",AND(Table13[[#This Row],[Gender]]="others",R1174&lt;24),"Fitnesss",AND(Table13[[#This Row],[Gender]]="others",R1174&lt;31),"Acceptable",AND(Table13[[#This Row],[Gender]]="others",R1174&lt;40),"Obese")</f>
        <v>Athletes</v>
      </c>
      <c r="R1174" s="8">
        <v>15.1</v>
      </c>
      <c r="S1174" s="8">
        <v>3.4</v>
      </c>
      <c r="T1174" s="8">
        <v>4</v>
      </c>
      <c r="U1174" s="8">
        <v>1</v>
      </c>
      <c r="V1174" s="8" t="str">
        <f>IF(Table13[[#This Row],[BMI]]&lt;=18.5,"Underweight",IF(Table13[[#This Row],[BMI]]&lt;=24.9,"Normal",IF(Table13[[#This Row],[BMI]]&lt;=29.9,"Overweight",IF(Table13[[#This Row],[BMI]]&lt;=39,"Obese","Severly Obese"))))</f>
        <v>Underweight</v>
      </c>
      <c r="W1174" s="18">
        <v>13.15</v>
      </c>
    </row>
    <row r="1175" spans="6:23" x14ac:dyDescent="0.3">
      <c r="F1175" s="17">
        <v>26</v>
      </c>
      <c r="G1175" s="8" t="str">
        <f>IF(Table13[[#This Row],[Age]]&lt;25,"18-24",IF(Table13[[#This Row],[Age]]&lt;35,"25-34",IF(Table13[[#This Row],[Age]]&lt;45,"35-44",IF(Table13[[#This Row],[Age]]&lt;55,"45-54","55-64"))))</f>
        <v>25-34</v>
      </c>
      <c r="H1175" s="8" t="s">
        <v>19</v>
      </c>
      <c r="I1175" s="8">
        <v>68.599999999999994</v>
      </c>
      <c r="J1175" s="8">
        <v>1.7</v>
      </c>
      <c r="K1175" s="8">
        <v>172</v>
      </c>
      <c r="L1175" s="8">
        <v>167</v>
      </c>
      <c r="M1175" s="8">
        <v>57</v>
      </c>
      <c r="N1175" s="8">
        <v>1.32</v>
      </c>
      <c r="O1175" s="8">
        <v>501</v>
      </c>
      <c r="P1175" s="8" t="s">
        <v>22</v>
      </c>
      <c r="Q1175" s="8" t="str">
        <f>_xlfn.IFS(AND(Table13[[#This Row],[Gender]]="female",R1175&lt;20),"Athletes",AND(Table13[[#This Row],[Gender]]="female",R1175&lt;24),"Fitnesss",AND(Table13[[#This Row],[Gender]]="female",R1175&lt;31),"Acceptable",AND(Table13[[#This Row],[Gender]]="female",R1175&lt;40),"Obese",AND(Table13[[#This Row],[Gender]]="male",R1175&lt;13),"Athletes",AND(Table13[[#This Row],[Gender]]="male",R1175&lt;17),"Fitnesss",AND(Table13[[#This Row],[Gender]]="male",R1175&lt;24.9),"Acceptable",AND(Table13[[#This Row],[Gender]]="male",R1175&lt;40),"Obese",AND(Table13[[#This Row],[Gender]]="others",R1175&lt;20),"Athletes",AND(Table13[[#This Row],[Gender]]="others",R1175&lt;24),"Fitnesss",AND(Table13[[#This Row],[Gender]]="others",R1175&lt;31),"Acceptable",AND(Table13[[#This Row],[Gender]]="others",R1175&lt;40),"Obese")</f>
        <v>Obese</v>
      </c>
      <c r="R1175" s="8">
        <v>25.4</v>
      </c>
      <c r="S1175" s="8">
        <v>1.5</v>
      </c>
      <c r="T1175" s="8">
        <v>3</v>
      </c>
      <c r="U1175" s="8">
        <v>2</v>
      </c>
      <c r="V1175" s="8" t="str">
        <f>IF(Table13[[#This Row],[BMI]]&lt;=18.5,"Underweight",IF(Table13[[#This Row],[BMI]]&lt;=24.9,"Normal",IF(Table13[[#This Row],[BMI]]&lt;=29.9,"Overweight",IF(Table13[[#This Row],[BMI]]&lt;=39,"Obese","Severly Obese"))))</f>
        <v>Underweight</v>
      </c>
      <c r="W1175" s="18">
        <v>18.29</v>
      </c>
    </row>
    <row r="1176" spans="6:23" x14ac:dyDescent="0.3">
      <c r="F1176" s="17">
        <v>33</v>
      </c>
      <c r="G1176" s="8" t="str">
        <f>IF(Table13[[#This Row],[Age]]&lt;25,"18-24",IF(Table13[[#This Row],[Age]]&lt;35,"25-34",IF(Table13[[#This Row],[Age]]&lt;45,"35-44",IF(Table13[[#This Row],[Age]]&lt;55,"45-54","55-64"))))</f>
        <v>25-34</v>
      </c>
      <c r="H1176" s="8" t="s">
        <v>19</v>
      </c>
      <c r="I1176" s="8">
        <v>46</v>
      </c>
      <c r="J1176" s="8">
        <v>1.71</v>
      </c>
      <c r="K1176" s="8">
        <v>163</v>
      </c>
      <c r="L1176" s="8">
        <v>145</v>
      </c>
      <c r="M1176" s="8">
        <v>54</v>
      </c>
      <c r="N1176" s="8">
        <v>1.29</v>
      </c>
      <c r="O1176" s="8">
        <v>671</v>
      </c>
      <c r="P1176" s="8" t="s">
        <v>22</v>
      </c>
      <c r="Q1176" s="8" t="str">
        <f>_xlfn.IFS(AND(Table13[[#This Row],[Gender]]="female",R1176&lt;20),"Athletes",AND(Table13[[#This Row],[Gender]]="female",R1176&lt;24),"Fitnesss",AND(Table13[[#This Row],[Gender]]="female",R1176&lt;31),"Acceptable",AND(Table13[[#This Row],[Gender]]="female",R1176&lt;40),"Obese",AND(Table13[[#This Row],[Gender]]="male",R1176&lt;13),"Athletes",AND(Table13[[#This Row],[Gender]]="male",R1176&lt;17),"Fitnesss",AND(Table13[[#This Row],[Gender]]="male",R1176&lt;24.9),"Acceptable",AND(Table13[[#This Row],[Gender]]="male",R1176&lt;40),"Obese",AND(Table13[[#This Row],[Gender]]="others",R1176&lt;20),"Athletes",AND(Table13[[#This Row],[Gender]]="others",R1176&lt;24),"Fitnesss",AND(Table13[[#This Row],[Gender]]="others",R1176&lt;31),"Acceptable",AND(Table13[[#This Row],[Gender]]="others",R1176&lt;40),"Obese")</f>
        <v>Acceptable</v>
      </c>
      <c r="R1176" s="8">
        <v>21.4</v>
      </c>
      <c r="S1176" s="8">
        <v>3.1</v>
      </c>
      <c r="T1176" s="8">
        <v>2</v>
      </c>
      <c r="U1176" s="8">
        <v>3</v>
      </c>
      <c r="V1176" s="8" t="str">
        <f>IF(Table13[[#This Row],[BMI]]&lt;=18.5,"Underweight",IF(Table13[[#This Row],[BMI]]&lt;=24.9,"Normal",IF(Table13[[#This Row],[BMI]]&lt;=29.9,"Overweight",IF(Table13[[#This Row],[BMI]]&lt;=39,"Obese","Severly Obese"))))</f>
        <v>Underweight</v>
      </c>
      <c r="W1176" s="18">
        <v>14.68</v>
      </c>
    </row>
    <row r="1177" spans="6:23" x14ac:dyDescent="0.3">
      <c r="F1177" s="17">
        <v>39</v>
      </c>
      <c r="G1177" s="8" t="str">
        <f>IF(Table13[[#This Row],[Age]]&lt;25,"18-24",IF(Table13[[#This Row],[Age]]&lt;35,"25-34",IF(Table13[[#This Row],[Age]]&lt;45,"35-44",IF(Table13[[#This Row],[Age]]&lt;55,"45-54","55-64"))))</f>
        <v>35-44</v>
      </c>
      <c r="H1177" s="8" t="s">
        <v>17</v>
      </c>
      <c r="I1177" s="8">
        <v>88.6</v>
      </c>
      <c r="J1177" s="8">
        <v>1.8</v>
      </c>
      <c r="K1177" s="8">
        <v>181</v>
      </c>
      <c r="L1177" s="8">
        <v>158</v>
      </c>
      <c r="M1177" s="8">
        <v>71</v>
      </c>
      <c r="N1177" s="8">
        <v>1.29</v>
      </c>
      <c r="O1177" s="8">
        <v>1296</v>
      </c>
      <c r="P1177" s="8" t="s">
        <v>18</v>
      </c>
      <c r="Q1177" s="8" t="str">
        <f>_xlfn.IFS(AND(Table13[[#This Row],[Gender]]="female",R1177&lt;20),"Athletes",AND(Table13[[#This Row],[Gender]]="female",R1177&lt;24),"Fitnesss",AND(Table13[[#This Row],[Gender]]="female",R1177&lt;31),"Acceptable",AND(Table13[[#This Row],[Gender]]="female",R1177&lt;40),"Obese",AND(Table13[[#This Row],[Gender]]="male",R1177&lt;13),"Athletes",AND(Table13[[#This Row],[Gender]]="male",R1177&lt;17),"Fitnesss",AND(Table13[[#This Row],[Gender]]="male",R1177&lt;24.9),"Acceptable",AND(Table13[[#This Row],[Gender]]="male",R1177&lt;40),"Obese",AND(Table13[[#This Row],[Gender]]="others",R1177&lt;20),"Athletes",AND(Table13[[#This Row],[Gender]]="others",R1177&lt;24),"Fitnesss",AND(Table13[[#This Row],[Gender]]="others",R1177&lt;31),"Acceptable",AND(Table13[[#This Row],[Gender]]="others",R1177&lt;40),"Obese")</f>
        <v>Acceptable</v>
      </c>
      <c r="R1177" s="8">
        <v>24.3</v>
      </c>
      <c r="S1177" s="8">
        <v>2.8</v>
      </c>
      <c r="T1177" s="8">
        <v>4</v>
      </c>
      <c r="U1177" s="8">
        <v>1</v>
      </c>
      <c r="V1177" s="8" t="str">
        <f>IF(Table13[[#This Row],[BMI]]&lt;=18.5,"Underweight",IF(Table13[[#This Row],[BMI]]&lt;=24.9,"Normal",IF(Table13[[#This Row],[BMI]]&lt;=29.9,"Overweight",IF(Table13[[#This Row],[BMI]]&lt;=39,"Obese","Severly Obese"))))</f>
        <v>Underweight</v>
      </c>
      <c r="W1177" s="18"/>
    </row>
    <row r="1178" spans="6:23" x14ac:dyDescent="0.3">
      <c r="F1178" s="17">
        <v>36</v>
      </c>
      <c r="G1178" s="8" t="str">
        <f>IF(Table13[[#This Row],[Age]]&lt;25,"18-24",IF(Table13[[#This Row],[Age]]&lt;35,"25-34",IF(Table13[[#This Row],[Age]]&lt;45,"35-44",IF(Table13[[#This Row],[Age]]&lt;55,"45-54","55-64"))))</f>
        <v>35-44</v>
      </c>
      <c r="H1178" s="8" t="s">
        <v>19</v>
      </c>
      <c r="I1178" s="8">
        <v>79.7</v>
      </c>
      <c r="J1178" s="8">
        <v>1.75</v>
      </c>
      <c r="K1178" s="8">
        <v>168</v>
      </c>
      <c r="L1178" s="8">
        <v>132</v>
      </c>
      <c r="M1178" s="8">
        <v>74</v>
      </c>
      <c r="N1178" s="8">
        <v>1.67</v>
      </c>
      <c r="O1178" s="8">
        <v>445</v>
      </c>
      <c r="P1178" s="8" t="s">
        <v>18</v>
      </c>
      <c r="Q1178" s="8" t="str">
        <f>_xlfn.IFS(AND(Table13[[#This Row],[Gender]]="female",R1178&lt;20),"Athletes",AND(Table13[[#This Row],[Gender]]="female",R1178&lt;24),"Fitnesss",AND(Table13[[#This Row],[Gender]]="female",R1178&lt;31),"Acceptable",AND(Table13[[#This Row],[Gender]]="female",R1178&lt;40),"Obese",AND(Table13[[#This Row],[Gender]]="male",R1178&lt;13),"Athletes",AND(Table13[[#This Row],[Gender]]="male",R1178&lt;17),"Fitnesss",AND(Table13[[#This Row],[Gender]]="male",R1178&lt;24.9),"Acceptable",AND(Table13[[#This Row],[Gender]]="male",R1178&lt;40),"Obese",AND(Table13[[#This Row],[Gender]]="others",R1178&lt;20),"Athletes",AND(Table13[[#This Row],[Gender]]="others",R1178&lt;24),"Fitnesss",AND(Table13[[#This Row],[Gender]]="others",R1178&lt;31),"Acceptable",AND(Table13[[#This Row],[Gender]]="others",R1178&lt;40),"Obese")</f>
        <v>Acceptable</v>
      </c>
      <c r="R1178" s="8">
        <v>23.9</v>
      </c>
      <c r="S1178" s="8">
        <v>3.4</v>
      </c>
      <c r="T1178" s="8">
        <v>4</v>
      </c>
      <c r="U1178" s="8">
        <v>2</v>
      </c>
      <c r="V1178" s="8" t="str">
        <f>IF(Table13[[#This Row],[BMI]]&lt;=18.5,"Underweight",IF(Table13[[#This Row],[BMI]]&lt;=24.9,"Normal",IF(Table13[[#This Row],[BMI]]&lt;=29.9,"Overweight",IF(Table13[[#This Row],[BMI]]&lt;=39,"Obese","Severly Obese"))))</f>
        <v>Overweight</v>
      </c>
      <c r="W1178" s="18">
        <v>25.28</v>
      </c>
    </row>
    <row r="1179" spans="6:23" x14ac:dyDescent="0.3">
      <c r="F1179" s="17">
        <v>33</v>
      </c>
      <c r="G1179" s="8" t="str">
        <f>IF(Table13[[#This Row],[Age]]&lt;25,"18-24",IF(Table13[[#This Row],[Age]]&lt;35,"25-34",IF(Table13[[#This Row],[Age]]&lt;45,"35-44",IF(Table13[[#This Row],[Age]]&lt;55,"45-54","55-64"))))</f>
        <v>25-34</v>
      </c>
      <c r="H1179" s="8" t="s">
        <v>17</v>
      </c>
      <c r="I1179" s="8">
        <v>108.7</v>
      </c>
      <c r="J1179" s="8">
        <v>1.75</v>
      </c>
      <c r="K1179" s="8">
        <v>199</v>
      </c>
      <c r="L1179" s="8">
        <v>131</v>
      </c>
      <c r="M1179" s="8">
        <v>74</v>
      </c>
      <c r="N1179" s="8">
        <v>0.86</v>
      </c>
      <c r="O1179" s="8">
        <v>1080</v>
      </c>
      <c r="P1179" s="8" t="s">
        <v>22</v>
      </c>
      <c r="Q1179" s="8" t="str">
        <f>_xlfn.IFS(AND(Table13[[#This Row],[Gender]]="female",R1179&lt;20),"Athletes",AND(Table13[[#This Row],[Gender]]="female",R1179&lt;24),"Fitnesss",AND(Table13[[#This Row],[Gender]]="female",R1179&lt;31),"Acceptable",AND(Table13[[#This Row],[Gender]]="female",R1179&lt;40),"Obese",AND(Table13[[#This Row],[Gender]]="male",R1179&lt;13),"Athletes",AND(Table13[[#This Row],[Gender]]="male",R1179&lt;17),"Fitnesss",AND(Table13[[#This Row],[Gender]]="male",R1179&lt;24.9),"Acceptable",AND(Table13[[#This Row],[Gender]]="male",R1179&lt;40),"Obese",AND(Table13[[#This Row],[Gender]]="others",R1179&lt;20),"Athletes",AND(Table13[[#This Row],[Gender]]="others",R1179&lt;24),"Fitnesss",AND(Table13[[#This Row],[Gender]]="others",R1179&lt;31),"Acceptable",AND(Table13[[#This Row],[Gender]]="others",R1179&lt;40),"Obese")</f>
        <v>Acceptable</v>
      </c>
      <c r="R1179" s="8">
        <v>24.1</v>
      </c>
      <c r="S1179" s="8">
        <v>1.9</v>
      </c>
      <c r="T1179" s="8">
        <v>3</v>
      </c>
      <c r="U1179" s="8">
        <v>1</v>
      </c>
      <c r="V1179" s="8" t="str">
        <f>IF(Table13[[#This Row],[BMI]]&lt;=18.5,"Underweight",IF(Table13[[#This Row],[BMI]]&lt;=24.9,"Normal",IF(Table13[[#This Row],[BMI]]&lt;=29.9,"Overweight",IF(Table13[[#This Row],[BMI]]&lt;=39,"Obese","Severly Obese"))))</f>
        <v>Underweight</v>
      </c>
      <c r="W1179" s="18">
        <v>16.46</v>
      </c>
    </row>
    <row r="1180" spans="6:23" x14ac:dyDescent="0.3">
      <c r="F1180" s="17">
        <v>45</v>
      </c>
      <c r="G1180" s="8" t="str">
        <f>IF(Table13[[#This Row],[Age]]&lt;25,"18-24",IF(Table13[[#This Row],[Age]]&lt;35,"25-34",IF(Table13[[#This Row],[Age]]&lt;45,"35-44",IF(Table13[[#This Row],[Age]]&lt;55,"45-54","55-64"))))</f>
        <v>45-54</v>
      </c>
      <c r="H1180" s="8" t="s">
        <v>17</v>
      </c>
      <c r="I1180" s="8">
        <v>61.4</v>
      </c>
      <c r="J1180" s="8">
        <v>1.76</v>
      </c>
      <c r="K1180" s="8">
        <v>194</v>
      </c>
      <c r="L1180" s="8">
        <v>120</v>
      </c>
      <c r="M1180" s="8">
        <v>68</v>
      </c>
      <c r="N1180" s="8">
        <v>1.22</v>
      </c>
      <c r="O1180" s="8">
        <v>909</v>
      </c>
      <c r="P1180" s="8" t="s">
        <v>18</v>
      </c>
      <c r="Q1180" s="8" t="str">
        <f>_xlfn.IFS(AND(Table13[[#This Row],[Gender]]="female",R1180&lt;20),"Athletes",AND(Table13[[#This Row],[Gender]]="female",R1180&lt;24),"Fitnesss",AND(Table13[[#This Row],[Gender]]="female",R1180&lt;31),"Acceptable",AND(Table13[[#This Row],[Gender]]="female",R1180&lt;40),"Obese",AND(Table13[[#This Row],[Gender]]="male",R1180&lt;13),"Athletes",AND(Table13[[#This Row],[Gender]]="male",R1180&lt;17),"Fitnesss",AND(Table13[[#This Row],[Gender]]="male",R1180&lt;24.9),"Acceptable",AND(Table13[[#This Row],[Gender]]="male",R1180&lt;40),"Obese",AND(Table13[[#This Row],[Gender]]="others",R1180&lt;20),"Athletes",AND(Table13[[#This Row],[Gender]]="others",R1180&lt;24),"Fitnesss",AND(Table13[[#This Row],[Gender]]="others",R1180&lt;31),"Acceptable",AND(Table13[[#This Row],[Gender]]="others",R1180&lt;40),"Obese")</f>
        <v>Fitnesss</v>
      </c>
      <c r="R1180" s="8">
        <v>21.4</v>
      </c>
      <c r="S1180" s="8">
        <v>2.8</v>
      </c>
      <c r="T1180" s="8">
        <v>2</v>
      </c>
      <c r="U1180" s="8">
        <v>1</v>
      </c>
      <c r="V1180" s="8" t="str">
        <f>IF(Table13[[#This Row],[BMI]]&lt;=18.5,"Underweight",IF(Table13[[#This Row],[BMI]]&lt;=24.9,"Normal",IF(Table13[[#This Row],[BMI]]&lt;=29.9,"Overweight",IF(Table13[[#This Row],[BMI]]&lt;=39,"Obese","Severly Obese"))))</f>
        <v>Normal</v>
      </c>
      <c r="W1180" s="18">
        <v>21.75</v>
      </c>
    </row>
    <row r="1181" spans="6:23" x14ac:dyDescent="0.3">
      <c r="F1181" s="17">
        <v>21</v>
      </c>
      <c r="G1181" s="8" t="str">
        <f>IF(Table13[[#This Row],[Age]]&lt;25,"18-24",IF(Table13[[#This Row],[Age]]&lt;35,"25-34",IF(Table13[[#This Row],[Age]]&lt;45,"35-44",IF(Table13[[#This Row],[Age]]&lt;55,"45-54","55-64"))))</f>
        <v>18-24</v>
      </c>
      <c r="H1181" s="8" t="s">
        <v>17</v>
      </c>
      <c r="I1181" s="8">
        <v>69.2</v>
      </c>
      <c r="J1181" s="8">
        <v>1.87</v>
      </c>
      <c r="K1181" s="8">
        <v>168</v>
      </c>
      <c r="L1181" s="8">
        <v>127</v>
      </c>
      <c r="M1181" s="8">
        <v>68</v>
      </c>
      <c r="N1181" s="8">
        <v>1.47</v>
      </c>
      <c r="O1181" s="8">
        <v>1275</v>
      </c>
      <c r="P1181" s="8" t="s">
        <v>22</v>
      </c>
      <c r="Q1181" s="8" t="str">
        <f>_xlfn.IFS(AND(Table13[[#This Row],[Gender]]="female",R1181&lt;20),"Athletes",AND(Table13[[#This Row],[Gender]]="female",R1181&lt;24),"Fitnesss",AND(Table13[[#This Row],[Gender]]="female",R1181&lt;31),"Acceptable",AND(Table13[[#This Row],[Gender]]="female",R1181&lt;40),"Obese",AND(Table13[[#This Row],[Gender]]="male",R1181&lt;13),"Athletes",AND(Table13[[#This Row],[Gender]]="male",R1181&lt;17),"Fitnesss",AND(Table13[[#This Row],[Gender]]="male",R1181&lt;24.9),"Acceptable",AND(Table13[[#This Row],[Gender]]="male",R1181&lt;40),"Obese",AND(Table13[[#This Row],[Gender]]="others",R1181&lt;20),"Athletes",AND(Table13[[#This Row],[Gender]]="others",R1181&lt;24),"Fitnesss",AND(Table13[[#This Row],[Gender]]="others",R1181&lt;31),"Acceptable",AND(Table13[[#This Row],[Gender]]="others",R1181&lt;40),"Obese")</f>
        <v>Acceptable</v>
      </c>
      <c r="R1181" s="8">
        <v>24.1</v>
      </c>
      <c r="S1181" s="8">
        <v>2.9</v>
      </c>
      <c r="T1181" s="8">
        <v>5</v>
      </c>
      <c r="U1181" s="8">
        <v>3</v>
      </c>
      <c r="V1181" s="8" t="str">
        <f>IF(Table13[[#This Row],[BMI]]&lt;=18.5,"Underweight",IF(Table13[[#This Row],[BMI]]&lt;=24.9,"Normal",IF(Table13[[#This Row],[BMI]]&lt;=29.9,"Overweight",IF(Table13[[#This Row],[BMI]]&lt;=39,"Obese","Severly Obese"))))</f>
        <v>Underweight</v>
      </c>
      <c r="W1181" s="18">
        <v>14.59</v>
      </c>
    </row>
    <row r="1182" spans="6:23" x14ac:dyDescent="0.3">
      <c r="F1182" s="17">
        <v>52</v>
      </c>
      <c r="G1182" s="8" t="str">
        <f>IF(Table13[[#This Row],[Age]]&lt;25,"18-24",IF(Table13[[#This Row],[Age]]&lt;35,"25-34",IF(Table13[[#This Row],[Age]]&lt;45,"35-44",IF(Table13[[#This Row],[Age]]&lt;55,"45-54","55-64"))))</f>
        <v>45-54</v>
      </c>
      <c r="H1182" s="8" t="s">
        <v>19</v>
      </c>
      <c r="I1182" s="8">
        <v>67.400000000000006</v>
      </c>
      <c r="J1182" s="8">
        <v>1.72</v>
      </c>
      <c r="K1182" s="8">
        <v>160</v>
      </c>
      <c r="L1182" s="8">
        <v>134</v>
      </c>
      <c r="M1182" s="8">
        <v>51</v>
      </c>
      <c r="N1182" s="8">
        <v>1.49</v>
      </c>
      <c r="O1182" s="8">
        <v>1307</v>
      </c>
      <c r="P1182" s="8" t="s">
        <v>18</v>
      </c>
      <c r="Q1182" s="8" t="str">
        <f>_xlfn.IFS(AND(Table13[[#This Row],[Gender]]="female",R1182&lt;20),"Athletes",AND(Table13[[#This Row],[Gender]]="female",R1182&lt;24),"Fitnesss",AND(Table13[[#This Row],[Gender]]="female",R1182&lt;31),"Acceptable",AND(Table13[[#This Row],[Gender]]="female",R1182&lt;40),"Obese",AND(Table13[[#This Row],[Gender]]="male",R1182&lt;13),"Athletes",AND(Table13[[#This Row],[Gender]]="male",R1182&lt;17),"Fitnesss",AND(Table13[[#This Row],[Gender]]="male",R1182&lt;24.9),"Acceptable",AND(Table13[[#This Row],[Gender]]="male",R1182&lt;40),"Obese",AND(Table13[[#This Row],[Gender]]="others",R1182&lt;20),"Athletes",AND(Table13[[#This Row],[Gender]]="others",R1182&lt;24),"Fitnesss",AND(Table13[[#This Row],[Gender]]="others",R1182&lt;31),"Acceptable",AND(Table13[[#This Row],[Gender]]="others",R1182&lt;40),"Obese")</f>
        <v>Acceptable</v>
      </c>
      <c r="R1182" s="8">
        <v>17</v>
      </c>
      <c r="S1182" s="8">
        <v>2.6</v>
      </c>
      <c r="T1182" s="8">
        <v>2</v>
      </c>
      <c r="U1182" s="8">
        <v>2</v>
      </c>
      <c r="V1182" s="8" t="str">
        <f>IF(Table13[[#This Row],[BMI]]&lt;=18.5,"Underweight",IF(Table13[[#This Row],[BMI]]&lt;=24.9,"Normal",IF(Table13[[#This Row],[BMI]]&lt;=29.9,"Overweight",IF(Table13[[#This Row],[BMI]]&lt;=39,"Obese","Severly Obese"))))</f>
        <v>Underweight</v>
      </c>
      <c r="W1182" s="18">
        <v>15.39</v>
      </c>
    </row>
    <row r="1183" spans="6:23" x14ac:dyDescent="0.3">
      <c r="F1183" s="17">
        <v>29</v>
      </c>
      <c r="G1183" s="8" t="str">
        <f>IF(Table13[[#This Row],[Age]]&lt;25,"18-24",IF(Table13[[#This Row],[Age]]&lt;35,"25-34",IF(Table13[[#This Row],[Age]]&lt;45,"35-44",IF(Table13[[#This Row],[Age]]&lt;55,"45-54","55-64"))))</f>
        <v>25-34</v>
      </c>
      <c r="H1183" s="8" t="s">
        <v>17</v>
      </c>
      <c r="I1183" s="8">
        <v>40</v>
      </c>
      <c r="J1183" s="8">
        <v>1.64</v>
      </c>
      <c r="K1183" s="8">
        <v>178</v>
      </c>
      <c r="L1183" s="8">
        <v>130</v>
      </c>
      <c r="M1183" s="8">
        <v>69</v>
      </c>
      <c r="N1183" s="8">
        <v>1.1499999999999999</v>
      </c>
      <c r="O1183" s="8">
        <v>1093</v>
      </c>
      <c r="P1183" s="8" t="s">
        <v>21</v>
      </c>
      <c r="Q1183" s="8" t="str">
        <f>_xlfn.IFS(AND(Table13[[#This Row],[Gender]]="female",R1183&lt;20),"Athletes",AND(Table13[[#This Row],[Gender]]="female",R1183&lt;24),"Fitnesss",AND(Table13[[#This Row],[Gender]]="female",R1183&lt;31),"Acceptable",AND(Table13[[#This Row],[Gender]]="female",R1183&lt;40),"Obese",AND(Table13[[#This Row],[Gender]]="male",R1183&lt;13),"Athletes",AND(Table13[[#This Row],[Gender]]="male",R1183&lt;17),"Fitnesss",AND(Table13[[#This Row],[Gender]]="male",R1183&lt;24.9),"Acceptable",AND(Table13[[#This Row],[Gender]]="male",R1183&lt;40),"Obese",AND(Table13[[#This Row],[Gender]]="others",R1183&lt;20),"Athletes",AND(Table13[[#This Row],[Gender]]="others",R1183&lt;24),"Fitnesss",AND(Table13[[#This Row],[Gender]]="others",R1183&lt;31),"Acceptable",AND(Table13[[#This Row],[Gender]]="others",R1183&lt;40),"Obese")</f>
        <v>Acceptable</v>
      </c>
      <c r="R1183" s="8">
        <v>27.4</v>
      </c>
      <c r="S1183" s="8">
        <v>3.4</v>
      </c>
      <c r="T1183" s="8">
        <v>3</v>
      </c>
      <c r="U1183" s="8">
        <v>2</v>
      </c>
      <c r="V1183" s="8" t="str">
        <f>IF(Table13[[#This Row],[BMI]]&lt;=18.5,"Underweight",IF(Table13[[#This Row],[BMI]]&lt;=24.9,"Normal",IF(Table13[[#This Row],[BMI]]&lt;=29.9,"Overweight",IF(Table13[[#This Row],[BMI]]&lt;=39,"Obese","Severly Obese"))))</f>
        <v>Underweight</v>
      </c>
      <c r="W1183" s="18">
        <v>14.89</v>
      </c>
    </row>
    <row r="1184" spans="6:23" x14ac:dyDescent="0.3">
      <c r="F1184" s="17">
        <v>47</v>
      </c>
      <c r="G1184" s="8" t="str">
        <f>IF(Table13[[#This Row],[Age]]&lt;25,"18-24",IF(Table13[[#This Row],[Age]]&lt;35,"25-34",IF(Table13[[#This Row],[Age]]&lt;45,"35-44",IF(Table13[[#This Row],[Age]]&lt;55,"45-54","55-64"))))</f>
        <v>45-54</v>
      </c>
      <c r="H1184" s="8" t="s">
        <v>17</v>
      </c>
      <c r="I1184" s="8">
        <v>46</v>
      </c>
      <c r="J1184" s="8">
        <v>1.58</v>
      </c>
      <c r="K1184" s="8">
        <v>172</v>
      </c>
      <c r="L1184" s="8">
        <v>147</v>
      </c>
      <c r="M1184" s="8">
        <v>72</v>
      </c>
      <c r="N1184" s="8">
        <v>1.37</v>
      </c>
      <c r="O1184" s="8">
        <v>1098</v>
      </c>
      <c r="P1184" s="8" t="s">
        <v>18</v>
      </c>
      <c r="Q1184" s="8" t="str">
        <f>_xlfn.IFS(AND(Table13[[#This Row],[Gender]]="female",R1184&lt;20),"Athletes",AND(Table13[[#This Row],[Gender]]="female",R1184&lt;24),"Fitnesss",AND(Table13[[#This Row],[Gender]]="female",R1184&lt;31),"Acceptable",AND(Table13[[#This Row],[Gender]]="female",R1184&lt;40),"Obese",AND(Table13[[#This Row],[Gender]]="male",R1184&lt;13),"Athletes",AND(Table13[[#This Row],[Gender]]="male",R1184&lt;17),"Fitnesss",AND(Table13[[#This Row],[Gender]]="male",R1184&lt;24.9),"Acceptable",AND(Table13[[#This Row],[Gender]]="male",R1184&lt;40),"Obese",AND(Table13[[#This Row],[Gender]]="others",R1184&lt;20),"Athletes",AND(Table13[[#This Row],[Gender]]="others",R1184&lt;24),"Fitnesss",AND(Table13[[#This Row],[Gender]]="others",R1184&lt;31),"Acceptable",AND(Table13[[#This Row],[Gender]]="others",R1184&lt;40),"Obese")</f>
        <v>Acceptable</v>
      </c>
      <c r="R1184" s="8">
        <v>28.5</v>
      </c>
      <c r="S1184" s="8">
        <v>3.7</v>
      </c>
      <c r="T1184" s="8">
        <v>2</v>
      </c>
      <c r="U1184" s="8">
        <v>3</v>
      </c>
      <c r="V1184" s="8" t="str">
        <f>IF(Table13[[#This Row],[BMI]]&lt;=18.5,"Underweight",IF(Table13[[#This Row],[BMI]]&lt;=24.9,"Normal",IF(Table13[[#This Row],[BMI]]&lt;=29.9,"Overweight",IF(Table13[[#This Row],[BMI]]&lt;=39,"Obese","Severly Obese"))))</f>
        <v>Underweight</v>
      </c>
      <c r="W1184" s="18">
        <v>15.45</v>
      </c>
    </row>
    <row r="1185" spans="6:23" x14ac:dyDescent="0.3">
      <c r="F1185" s="17">
        <v>34</v>
      </c>
      <c r="G1185" s="8" t="str">
        <f>IF(Table13[[#This Row],[Age]]&lt;25,"18-24",IF(Table13[[#This Row],[Age]]&lt;35,"25-34",IF(Table13[[#This Row],[Age]]&lt;45,"35-44",IF(Table13[[#This Row],[Age]]&lt;55,"45-54","55-64"))))</f>
        <v>25-34</v>
      </c>
      <c r="H1185" s="8" t="s">
        <v>19</v>
      </c>
      <c r="I1185" s="8">
        <v>89.1</v>
      </c>
      <c r="J1185" s="8">
        <v>1.78</v>
      </c>
      <c r="K1185" s="8">
        <v>174</v>
      </c>
      <c r="L1185" s="8">
        <v>120</v>
      </c>
      <c r="M1185" s="8">
        <v>51</v>
      </c>
      <c r="N1185" s="8">
        <v>1.52</v>
      </c>
      <c r="O1185" s="8">
        <v>574</v>
      </c>
      <c r="P1185" s="8" t="s">
        <v>20</v>
      </c>
      <c r="Q1185" s="8" t="str">
        <f>_xlfn.IFS(AND(Table13[[#This Row],[Gender]]="female",R1185&lt;20),"Athletes",AND(Table13[[#This Row],[Gender]]="female",R1185&lt;24),"Fitnesss",AND(Table13[[#This Row],[Gender]]="female",R1185&lt;31),"Acceptable",AND(Table13[[#This Row],[Gender]]="female",R1185&lt;40),"Obese",AND(Table13[[#This Row],[Gender]]="male",R1185&lt;13),"Athletes",AND(Table13[[#This Row],[Gender]]="male",R1185&lt;17),"Fitnesss",AND(Table13[[#This Row],[Gender]]="male",R1185&lt;24.9),"Acceptable",AND(Table13[[#This Row],[Gender]]="male",R1185&lt;40),"Obese",AND(Table13[[#This Row],[Gender]]="others",R1185&lt;20),"Athletes",AND(Table13[[#This Row],[Gender]]="others",R1185&lt;24),"Fitnesss",AND(Table13[[#This Row],[Gender]]="others",R1185&lt;31),"Acceptable",AND(Table13[[#This Row],[Gender]]="others",R1185&lt;40),"Obese")</f>
        <v>Obese</v>
      </c>
      <c r="R1185" s="8">
        <v>27.6</v>
      </c>
      <c r="S1185" s="8">
        <v>1.5</v>
      </c>
      <c r="T1185" s="8">
        <v>4</v>
      </c>
      <c r="U1185" s="8">
        <v>2</v>
      </c>
      <c r="V1185" s="8" t="str">
        <f>IF(Table13[[#This Row],[BMI]]&lt;=18.5,"Underweight",IF(Table13[[#This Row],[BMI]]&lt;=24.9,"Normal",IF(Table13[[#This Row],[BMI]]&lt;=29.9,"Overweight",IF(Table13[[#This Row],[BMI]]&lt;=39,"Obese","Severly Obese"))))</f>
        <v>Normal</v>
      </c>
      <c r="W1185" s="18">
        <v>20.61</v>
      </c>
    </row>
    <row r="1186" spans="6:23" x14ac:dyDescent="0.3">
      <c r="F1186" s="17">
        <v>57</v>
      </c>
      <c r="G1186" s="8" t="str">
        <f>IF(Table13[[#This Row],[Age]]&lt;25,"18-24",IF(Table13[[#This Row],[Age]]&lt;35,"25-34",IF(Table13[[#This Row],[Age]]&lt;45,"35-44",IF(Table13[[#This Row],[Age]]&lt;55,"45-54","55-64"))))</f>
        <v>55-64</v>
      </c>
      <c r="H1186" s="8" t="s">
        <v>19</v>
      </c>
      <c r="I1186" s="8">
        <v>70.400000000000006</v>
      </c>
      <c r="J1186" s="8">
        <v>1.72</v>
      </c>
      <c r="K1186" s="8">
        <v>181</v>
      </c>
      <c r="L1186" s="8">
        <v>161</v>
      </c>
      <c r="M1186" s="8">
        <v>57</v>
      </c>
      <c r="N1186" s="8">
        <v>1.3</v>
      </c>
      <c r="O1186" s="8">
        <v>983</v>
      </c>
      <c r="P1186" s="8" t="s">
        <v>22</v>
      </c>
      <c r="Q1186" s="8" t="str">
        <f>_xlfn.IFS(AND(Table13[[#This Row],[Gender]]="female",R1186&lt;20),"Athletes",AND(Table13[[#This Row],[Gender]]="female",R1186&lt;24),"Fitnesss",AND(Table13[[#This Row],[Gender]]="female",R1186&lt;31),"Acceptable",AND(Table13[[#This Row],[Gender]]="female",R1186&lt;40),"Obese",AND(Table13[[#This Row],[Gender]]="male",R1186&lt;13),"Athletes",AND(Table13[[#This Row],[Gender]]="male",R1186&lt;17),"Fitnesss",AND(Table13[[#This Row],[Gender]]="male",R1186&lt;24.9),"Acceptable",AND(Table13[[#This Row],[Gender]]="male",R1186&lt;40),"Obese",AND(Table13[[#This Row],[Gender]]="others",R1186&lt;20),"Athletes",AND(Table13[[#This Row],[Gender]]="others",R1186&lt;24),"Fitnesss",AND(Table13[[#This Row],[Gender]]="others",R1186&lt;31),"Acceptable",AND(Table13[[#This Row],[Gender]]="others",R1186&lt;40),"Obese")</f>
        <v>Obese</v>
      </c>
      <c r="R1186" s="8">
        <v>29.9</v>
      </c>
      <c r="S1186" s="8">
        <v>3.6</v>
      </c>
      <c r="T1186" s="8">
        <v>3</v>
      </c>
      <c r="U1186" s="8">
        <v>2</v>
      </c>
      <c r="V1186" s="8" t="str">
        <f>IF(Table13[[#This Row],[BMI]]&lt;=18.5,"Underweight",IF(Table13[[#This Row],[BMI]]&lt;=24.9,"Normal",IF(Table13[[#This Row],[BMI]]&lt;=29.9,"Overweight",IF(Table13[[#This Row],[BMI]]&lt;=39,"Obese","Severly Obese"))))</f>
        <v>Normal</v>
      </c>
      <c r="W1186" s="18">
        <v>22.21</v>
      </c>
    </row>
    <row r="1187" spans="6:23" x14ac:dyDescent="0.3">
      <c r="F1187" s="17">
        <v>24</v>
      </c>
      <c r="G1187" s="8" t="str">
        <f>IF(Table13[[#This Row],[Age]]&lt;25,"18-24",IF(Table13[[#This Row],[Age]]&lt;35,"25-34",IF(Table13[[#This Row],[Age]]&lt;45,"35-44",IF(Table13[[#This Row],[Age]]&lt;55,"45-54","55-64"))))</f>
        <v>18-24</v>
      </c>
      <c r="H1187" s="8" t="s">
        <v>19</v>
      </c>
      <c r="I1187" s="8">
        <v>65.7</v>
      </c>
      <c r="J1187" s="8">
        <v>1.84</v>
      </c>
      <c r="K1187" s="8">
        <v>165</v>
      </c>
      <c r="L1187" s="8">
        <v>146</v>
      </c>
      <c r="M1187" s="8">
        <v>74</v>
      </c>
      <c r="N1187" s="8">
        <v>1.59</v>
      </c>
      <c r="O1187" s="8">
        <v>954</v>
      </c>
      <c r="P1187" s="8" t="s">
        <v>20</v>
      </c>
      <c r="Q1187" s="8" t="str">
        <f>_xlfn.IFS(AND(Table13[[#This Row],[Gender]]="female",R1187&lt;20),"Athletes",AND(Table13[[#This Row],[Gender]]="female",R1187&lt;24),"Fitnesss",AND(Table13[[#This Row],[Gender]]="female",R1187&lt;31),"Acceptable",AND(Table13[[#This Row],[Gender]]="female",R1187&lt;40),"Obese",AND(Table13[[#This Row],[Gender]]="male",R1187&lt;13),"Athletes",AND(Table13[[#This Row],[Gender]]="male",R1187&lt;17),"Fitnesss",AND(Table13[[#This Row],[Gender]]="male",R1187&lt;24.9),"Acceptable",AND(Table13[[#This Row],[Gender]]="male",R1187&lt;40),"Obese",AND(Table13[[#This Row],[Gender]]="others",R1187&lt;20),"Athletes",AND(Table13[[#This Row],[Gender]]="others",R1187&lt;24),"Fitnesss",AND(Table13[[#This Row],[Gender]]="others",R1187&lt;31),"Acceptable",AND(Table13[[#This Row],[Gender]]="others",R1187&lt;40),"Obese")</f>
        <v>Acceptable</v>
      </c>
      <c r="R1187" s="8">
        <v>17.8</v>
      </c>
      <c r="S1187" s="8">
        <v>2.8</v>
      </c>
      <c r="T1187" s="8">
        <v>5</v>
      </c>
      <c r="U1187" s="8">
        <v>2</v>
      </c>
      <c r="V1187" s="8" t="str">
        <f>IF(Table13[[#This Row],[BMI]]&lt;=18.5,"Underweight",IF(Table13[[#This Row],[BMI]]&lt;=24.9,"Normal",IF(Table13[[#This Row],[BMI]]&lt;=29.9,"Overweight",IF(Table13[[#This Row],[BMI]]&lt;=39,"Obese","Severly Obese"))))</f>
        <v>Underweight</v>
      </c>
      <c r="W1187" s="18">
        <v>16.059999999999999</v>
      </c>
    </row>
    <row r="1188" spans="6:23" x14ac:dyDescent="0.3">
      <c r="F1188" s="17">
        <v>26</v>
      </c>
      <c r="G1188" s="8" t="str">
        <f>IF(Table13[[#This Row],[Age]]&lt;25,"18-24",IF(Table13[[#This Row],[Age]]&lt;35,"25-34",IF(Table13[[#This Row],[Age]]&lt;45,"35-44",IF(Table13[[#This Row],[Age]]&lt;55,"45-54","55-64"))))</f>
        <v>25-34</v>
      </c>
      <c r="H1188" s="8" t="s">
        <v>19</v>
      </c>
      <c r="I1188" s="8">
        <v>82.2</v>
      </c>
      <c r="J1188" s="8">
        <v>1.69</v>
      </c>
      <c r="K1188" s="8">
        <v>189</v>
      </c>
      <c r="L1188" s="8">
        <v>139</v>
      </c>
      <c r="M1188" s="8">
        <v>70</v>
      </c>
      <c r="N1188" s="8">
        <v>1.45</v>
      </c>
      <c r="O1188" s="8">
        <v>1184</v>
      </c>
      <c r="P1188" s="8" t="s">
        <v>22</v>
      </c>
      <c r="Q1188" s="8" t="str">
        <f>_xlfn.IFS(AND(Table13[[#This Row],[Gender]]="female",R1188&lt;20),"Athletes",AND(Table13[[#This Row],[Gender]]="female",R1188&lt;24),"Fitnesss",AND(Table13[[#This Row],[Gender]]="female",R1188&lt;31),"Acceptable",AND(Table13[[#This Row],[Gender]]="female",R1188&lt;40),"Obese",AND(Table13[[#This Row],[Gender]]="male",R1188&lt;13),"Athletes",AND(Table13[[#This Row],[Gender]]="male",R1188&lt;17),"Fitnesss",AND(Table13[[#This Row],[Gender]]="male",R1188&lt;24.9),"Acceptable",AND(Table13[[#This Row],[Gender]]="male",R1188&lt;40),"Obese",AND(Table13[[#This Row],[Gender]]="others",R1188&lt;20),"Athletes",AND(Table13[[#This Row],[Gender]]="others",R1188&lt;24),"Fitnesss",AND(Table13[[#This Row],[Gender]]="others",R1188&lt;31),"Acceptable",AND(Table13[[#This Row],[Gender]]="others",R1188&lt;40),"Obese")</f>
        <v>Athletes</v>
      </c>
      <c r="R1188" s="8">
        <v>10</v>
      </c>
      <c r="S1188" s="8">
        <v>2.5</v>
      </c>
      <c r="T1188" s="8">
        <v>5</v>
      </c>
      <c r="U1188" s="8">
        <v>2</v>
      </c>
      <c r="V1188" s="8" t="str">
        <f>IF(Table13[[#This Row],[BMI]]&lt;=18.5,"Underweight",IF(Table13[[#This Row],[BMI]]&lt;=24.9,"Normal",IF(Table13[[#This Row],[BMI]]&lt;=29.9,"Overweight",IF(Table13[[#This Row],[BMI]]&lt;=39,"Obese","Severly Obese"))))</f>
        <v>Underweight</v>
      </c>
      <c r="W1188" s="18">
        <v>18.010000000000002</v>
      </c>
    </row>
    <row r="1189" spans="6:23" x14ac:dyDescent="0.3">
      <c r="F1189" s="17">
        <v>32</v>
      </c>
      <c r="G1189" s="8" t="str">
        <f>IF(Table13[[#This Row],[Age]]&lt;25,"18-24",IF(Table13[[#This Row],[Age]]&lt;35,"25-34",IF(Table13[[#This Row],[Age]]&lt;45,"35-44",IF(Table13[[#This Row],[Age]]&lt;55,"45-54","55-64"))))</f>
        <v>25-34</v>
      </c>
      <c r="H1189" s="8" t="s">
        <v>23</v>
      </c>
      <c r="I1189" s="8">
        <v>52.2</v>
      </c>
      <c r="J1189" s="8">
        <v>1.73</v>
      </c>
      <c r="K1189" s="8">
        <v>196</v>
      </c>
      <c r="L1189" s="8">
        <v>134</v>
      </c>
      <c r="M1189" s="8">
        <v>74</v>
      </c>
      <c r="N1189" s="8">
        <v>2</v>
      </c>
      <c r="O1189" s="8">
        <v>684</v>
      </c>
      <c r="P1189" s="8" t="s">
        <v>18</v>
      </c>
      <c r="Q1189" s="8" t="str">
        <f>_xlfn.IFS(AND(Table13[[#This Row],[Gender]]="female",R1189&lt;20),"Athletes",AND(Table13[[#This Row],[Gender]]="female",R1189&lt;24),"Fitnesss",AND(Table13[[#This Row],[Gender]]="female",R1189&lt;31),"Acceptable",AND(Table13[[#This Row],[Gender]]="female",R1189&lt;40),"Obese",AND(Table13[[#This Row],[Gender]]="male",R1189&lt;13),"Athletes",AND(Table13[[#This Row],[Gender]]="male",R1189&lt;17),"Fitnesss",AND(Table13[[#This Row],[Gender]]="male",R1189&lt;24.9),"Acceptable",AND(Table13[[#This Row],[Gender]]="male",R1189&lt;40),"Obese",AND(Table13[[#This Row],[Gender]]="others",R1189&lt;20),"Athletes",AND(Table13[[#This Row],[Gender]]="others",R1189&lt;24),"Fitnesss",AND(Table13[[#This Row],[Gender]]="others",R1189&lt;31),"Acceptable",AND(Table13[[#This Row],[Gender]]="others",R1189&lt;40),"Obese")</f>
        <v>Acceptable</v>
      </c>
      <c r="R1189" s="8">
        <v>27.4</v>
      </c>
      <c r="S1189" s="8">
        <v>2</v>
      </c>
      <c r="T1189" s="8">
        <v>3</v>
      </c>
      <c r="U1189" s="8">
        <v>1</v>
      </c>
      <c r="V1189" s="8" t="str">
        <f>IF(Table13[[#This Row],[BMI]]&lt;=18.5,"Underweight",IF(Table13[[#This Row],[BMI]]&lt;=24.9,"Normal",IF(Table13[[#This Row],[BMI]]&lt;=29.9,"Overweight",IF(Table13[[#This Row],[BMI]]&lt;=39,"Obese","Severly Obese"))))</f>
        <v>Normal</v>
      </c>
      <c r="W1189" s="18">
        <v>21.27</v>
      </c>
    </row>
    <row r="1190" spans="6:23" x14ac:dyDescent="0.3">
      <c r="F1190" s="17">
        <v>54</v>
      </c>
      <c r="G1190" s="8" t="str">
        <f>IF(Table13[[#This Row],[Age]]&lt;25,"18-24",IF(Table13[[#This Row],[Age]]&lt;35,"25-34",IF(Table13[[#This Row],[Age]]&lt;45,"35-44",IF(Table13[[#This Row],[Age]]&lt;55,"45-54","55-64"))))</f>
        <v>45-54</v>
      </c>
      <c r="H1190" s="8" t="s">
        <v>19</v>
      </c>
      <c r="I1190" s="8">
        <v>128.69999999999999</v>
      </c>
      <c r="J1190" s="8">
        <v>1.91</v>
      </c>
      <c r="K1190" s="8">
        <v>192</v>
      </c>
      <c r="L1190" s="8"/>
      <c r="M1190" s="8">
        <v>58</v>
      </c>
      <c r="N1190" s="8">
        <v>1.97</v>
      </c>
      <c r="O1190" s="8">
        <v>1049</v>
      </c>
      <c r="P1190" s="8" t="s">
        <v>20</v>
      </c>
      <c r="Q1190" s="8" t="str">
        <f>_xlfn.IFS(AND(Table13[[#This Row],[Gender]]="female",R1190&lt;20),"Athletes",AND(Table13[[#This Row],[Gender]]="female",R1190&lt;24),"Fitnesss",AND(Table13[[#This Row],[Gender]]="female",R1190&lt;31),"Acceptable",AND(Table13[[#This Row],[Gender]]="female",R1190&lt;40),"Obese",AND(Table13[[#This Row],[Gender]]="male",R1190&lt;13),"Athletes",AND(Table13[[#This Row],[Gender]]="male",R1190&lt;17),"Fitnesss",AND(Table13[[#This Row],[Gender]]="male",R1190&lt;24.9),"Acceptable",AND(Table13[[#This Row],[Gender]]="male",R1190&lt;40),"Obese",AND(Table13[[#This Row],[Gender]]="others",R1190&lt;20),"Athletes",AND(Table13[[#This Row],[Gender]]="others",R1190&lt;24),"Fitnesss",AND(Table13[[#This Row],[Gender]]="others",R1190&lt;31),"Acceptable",AND(Table13[[#This Row],[Gender]]="others",R1190&lt;40),"Obese")</f>
        <v>Acceptable</v>
      </c>
      <c r="R1190" s="8">
        <v>22.9</v>
      </c>
      <c r="S1190" s="8">
        <v>2.7</v>
      </c>
      <c r="T1190" s="8">
        <v>4</v>
      </c>
      <c r="U1190" s="8">
        <v>2</v>
      </c>
      <c r="V1190" s="8" t="str">
        <f>IF(Table13[[#This Row],[BMI]]&lt;=18.5,"Underweight",IF(Table13[[#This Row],[BMI]]&lt;=24.9,"Normal",IF(Table13[[#This Row],[BMI]]&lt;=29.9,"Overweight",IF(Table13[[#This Row],[BMI]]&lt;=39,"Obese","Severly Obese"))))</f>
        <v>Normal</v>
      </c>
      <c r="W1190" s="18">
        <v>23.32</v>
      </c>
    </row>
    <row r="1191" spans="6:23" x14ac:dyDescent="0.3">
      <c r="F1191" s="17">
        <v>18</v>
      </c>
      <c r="G1191" s="8" t="str">
        <f>IF(Table13[[#This Row],[Age]]&lt;25,"18-24",IF(Table13[[#This Row],[Age]]&lt;35,"25-34",IF(Table13[[#This Row],[Age]]&lt;45,"35-44",IF(Table13[[#This Row],[Age]]&lt;55,"45-54","55-64"))))</f>
        <v>18-24</v>
      </c>
      <c r="H1191" s="8" t="s">
        <v>17</v>
      </c>
      <c r="I1191" s="8"/>
      <c r="J1191" s="8">
        <v>1.64</v>
      </c>
      <c r="K1191" s="8">
        <v>196</v>
      </c>
      <c r="L1191" s="8">
        <v>169</v>
      </c>
      <c r="M1191" s="8">
        <v>74</v>
      </c>
      <c r="N1191" s="8">
        <v>0.9</v>
      </c>
      <c r="O1191" s="8">
        <v>921</v>
      </c>
      <c r="P1191" s="8" t="s">
        <v>18</v>
      </c>
      <c r="Q1191" s="8" t="str">
        <f>_xlfn.IFS(AND(Table13[[#This Row],[Gender]]="female",R1191&lt;20),"Athletes",AND(Table13[[#This Row],[Gender]]="female",R1191&lt;24),"Fitnesss",AND(Table13[[#This Row],[Gender]]="female",R1191&lt;31),"Acceptable",AND(Table13[[#This Row],[Gender]]="female",R1191&lt;40),"Obese",AND(Table13[[#This Row],[Gender]]="male",R1191&lt;13),"Athletes",AND(Table13[[#This Row],[Gender]]="male",R1191&lt;17),"Fitnesss",AND(Table13[[#This Row],[Gender]]="male",R1191&lt;24.9),"Acceptable",AND(Table13[[#This Row],[Gender]]="male",R1191&lt;40),"Obese",AND(Table13[[#This Row],[Gender]]="others",R1191&lt;20),"Athletes",AND(Table13[[#This Row],[Gender]]="others",R1191&lt;24),"Fitnesss",AND(Table13[[#This Row],[Gender]]="others",R1191&lt;31),"Acceptable",AND(Table13[[#This Row],[Gender]]="others",R1191&lt;40),"Obese")</f>
        <v>Acceptable</v>
      </c>
      <c r="R1191" s="8">
        <v>25.8</v>
      </c>
      <c r="S1191" s="8">
        <v>3.3</v>
      </c>
      <c r="T1191" s="8">
        <v>5</v>
      </c>
      <c r="U1191" s="8">
        <v>2</v>
      </c>
      <c r="V1191" s="8" t="str">
        <f>IF(Table13[[#This Row],[BMI]]&lt;=18.5,"Underweight",IF(Table13[[#This Row],[BMI]]&lt;=24.9,"Normal",IF(Table13[[#This Row],[BMI]]&lt;=29.9,"Overweight",IF(Table13[[#This Row],[BMI]]&lt;=39,"Obese","Severly Obese"))))</f>
        <v>Normal</v>
      </c>
      <c r="W1191" s="18">
        <v>20.03</v>
      </c>
    </row>
    <row r="1192" spans="6:23" x14ac:dyDescent="0.3">
      <c r="F1192" s="17">
        <v>18</v>
      </c>
      <c r="G1192" s="8" t="str">
        <f>IF(Table13[[#This Row],[Age]]&lt;25,"18-24",IF(Table13[[#This Row],[Age]]&lt;35,"25-34",IF(Table13[[#This Row],[Age]]&lt;45,"35-44",IF(Table13[[#This Row],[Age]]&lt;55,"45-54","55-64"))))</f>
        <v>18-24</v>
      </c>
      <c r="H1192" s="8" t="s">
        <v>17</v>
      </c>
      <c r="I1192" s="8">
        <v>110.3</v>
      </c>
      <c r="J1192" s="8">
        <v>1.76</v>
      </c>
      <c r="K1192" s="8">
        <v>168</v>
      </c>
      <c r="L1192" s="8">
        <v>169</v>
      </c>
      <c r="M1192" s="8">
        <v>55</v>
      </c>
      <c r="N1192" s="8">
        <v>1.86</v>
      </c>
      <c r="O1192" s="8">
        <v>1391</v>
      </c>
      <c r="P1192" s="8" t="s">
        <v>18</v>
      </c>
      <c r="Q1192" s="8" t="str">
        <f>_xlfn.IFS(AND(Table13[[#This Row],[Gender]]="female",R1192&lt;20),"Athletes",AND(Table13[[#This Row],[Gender]]="female",R1192&lt;24),"Fitnesss",AND(Table13[[#This Row],[Gender]]="female",R1192&lt;31),"Acceptable",AND(Table13[[#This Row],[Gender]]="female",R1192&lt;40),"Obese",AND(Table13[[#This Row],[Gender]]="male",R1192&lt;13),"Athletes",AND(Table13[[#This Row],[Gender]]="male",R1192&lt;17),"Fitnesss",AND(Table13[[#This Row],[Gender]]="male",R1192&lt;24.9),"Acceptable",AND(Table13[[#This Row],[Gender]]="male",R1192&lt;40),"Obese",AND(Table13[[#This Row],[Gender]]="others",R1192&lt;20),"Athletes",AND(Table13[[#This Row],[Gender]]="others",R1192&lt;24),"Fitnesss",AND(Table13[[#This Row],[Gender]]="others",R1192&lt;31),"Acceptable",AND(Table13[[#This Row],[Gender]]="others",R1192&lt;40),"Obese")</f>
        <v>Obese</v>
      </c>
      <c r="R1192" s="8">
        <v>33</v>
      </c>
      <c r="S1192" s="8">
        <v>3.5</v>
      </c>
      <c r="T1192" s="8">
        <v>5</v>
      </c>
      <c r="U1192" s="8">
        <v>3</v>
      </c>
      <c r="V1192" s="8" t="str">
        <f>IF(Table13[[#This Row],[BMI]]&lt;=18.5,"Underweight",IF(Table13[[#This Row],[BMI]]&lt;=24.9,"Normal",IF(Table13[[#This Row],[BMI]]&lt;=29.9,"Overweight",IF(Table13[[#This Row],[BMI]]&lt;=39,"Obese","Severly Obese"))))</f>
        <v>Underweight</v>
      </c>
      <c r="W1192" s="18">
        <v>16.38</v>
      </c>
    </row>
    <row r="1193" spans="6:23" x14ac:dyDescent="0.3">
      <c r="F1193" s="17">
        <v>54</v>
      </c>
      <c r="G1193" s="8" t="str">
        <f>IF(Table13[[#This Row],[Age]]&lt;25,"18-24",IF(Table13[[#This Row],[Age]]&lt;35,"25-34",IF(Table13[[#This Row],[Age]]&lt;45,"35-44",IF(Table13[[#This Row],[Age]]&lt;55,"45-54","55-64"))))</f>
        <v>45-54</v>
      </c>
      <c r="H1193" s="8" t="s">
        <v>19</v>
      </c>
      <c r="I1193" s="8">
        <v>42.7</v>
      </c>
      <c r="J1193" s="8">
        <v>1.72</v>
      </c>
      <c r="K1193" s="8">
        <v>191</v>
      </c>
      <c r="L1193" s="8">
        <v>153</v>
      </c>
      <c r="M1193" s="8">
        <v>74</v>
      </c>
      <c r="N1193" s="8">
        <v>2</v>
      </c>
      <c r="O1193" s="8">
        <v>987</v>
      </c>
      <c r="P1193" s="8" t="s">
        <v>22</v>
      </c>
      <c r="Q1193" s="8" t="str">
        <f>_xlfn.IFS(AND(Table13[[#This Row],[Gender]]="female",R1193&lt;20),"Athletes",AND(Table13[[#This Row],[Gender]]="female",R1193&lt;24),"Fitnesss",AND(Table13[[#This Row],[Gender]]="female",R1193&lt;31),"Acceptable",AND(Table13[[#This Row],[Gender]]="female",R1193&lt;40),"Obese",AND(Table13[[#This Row],[Gender]]="male",R1193&lt;13),"Athletes",AND(Table13[[#This Row],[Gender]]="male",R1193&lt;17),"Fitnesss",AND(Table13[[#This Row],[Gender]]="male",R1193&lt;24.9),"Acceptable",AND(Table13[[#This Row],[Gender]]="male",R1193&lt;40),"Obese",AND(Table13[[#This Row],[Gender]]="others",R1193&lt;20),"Athletes",AND(Table13[[#This Row],[Gender]]="others",R1193&lt;24),"Fitnesss",AND(Table13[[#This Row],[Gender]]="others",R1193&lt;31),"Acceptable",AND(Table13[[#This Row],[Gender]]="others",R1193&lt;40),"Obese")</f>
        <v>Fitnesss</v>
      </c>
      <c r="R1193" s="8">
        <v>13.6</v>
      </c>
      <c r="S1193" s="8">
        <v>1.5</v>
      </c>
      <c r="T1193" s="8">
        <v>5</v>
      </c>
      <c r="U1193" s="8">
        <v>2</v>
      </c>
      <c r="V1193" s="8" t="str">
        <f>IF(Table13[[#This Row],[BMI]]&lt;=18.5,"Underweight",IF(Table13[[#This Row],[BMI]]&lt;=24.9,"Normal",IF(Table13[[#This Row],[BMI]]&lt;=29.9,"Overweight",IF(Table13[[#This Row],[BMI]]&lt;=39,"Obese","Severly Obese"))))</f>
        <v>Normal</v>
      </c>
      <c r="W1193" s="18">
        <v>19.11</v>
      </c>
    </row>
    <row r="1194" spans="6:23" x14ac:dyDescent="0.3">
      <c r="F1194" s="17">
        <v>35</v>
      </c>
      <c r="G1194" s="8" t="str">
        <f>IF(Table13[[#This Row],[Age]]&lt;25,"18-24",IF(Table13[[#This Row],[Age]]&lt;35,"25-34",IF(Table13[[#This Row],[Age]]&lt;45,"35-44",IF(Table13[[#This Row],[Age]]&lt;55,"45-54","55-64"))))</f>
        <v>35-44</v>
      </c>
      <c r="H1194" s="8" t="s">
        <v>17</v>
      </c>
      <c r="I1194" s="8">
        <v>98</v>
      </c>
      <c r="J1194" s="8">
        <v>1.59</v>
      </c>
      <c r="K1194" s="8">
        <v>179</v>
      </c>
      <c r="L1194" s="8">
        <v>141</v>
      </c>
      <c r="M1194" s="8">
        <v>62</v>
      </c>
      <c r="N1194" s="8">
        <v>1.04</v>
      </c>
      <c r="O1194" s="8">
        <v>729</v>
      </c>
      <c r="P1194" s="8" t="s">
        <v>20</v>
      </c>
      <c r="Q1194" s="8" t="str">
        <f>_xlfn.IFS(AND(Table13[[#This Row],[Gender]]="female",R1194&lt;20),"Athletes",AND(Table13[[#This Row],[Gender]]="female",R1194&lt;24),"Fitnesss",AND(Table13[[#This Row],[Gender]]="female",R1194&lt;31),"Acceptable",AND(Table13[[#This Row],[Gender]]="female",R1194&lt;40),"Obese",AND(Table13[[#This Row],[Gender]]="male",R1194&lt;13),"Athletes",AND(Table13[[#This Row],[Gender]]="male",R1194&lt;17),"Fitnesss",AND(Table13[[#This Row],[Gender]]="male",R1194&lt;24.9),"Acceptable",AND(Table13[[#This Row],[Gender]]="male",R1194&lt;40),"Obese",AND(Table13[[#This Row],[Gender]]="others",R1194&lt;20),"Athletes",AND(Table13[[#This Row],[Gender]]="others",R1194&lt;24),"Fitnesss",AND(Table13[[#This Row],[Gender]]="others",R1194&lt;31),"Acceptable",AND(Table13[[#This Row],[Gender]]="others",R1194&lt;40),"Obese")</f>
        <v>Athletes</v>
      </c>
      <c r="R1194" s="8">
        <v>14.2</v>
      </c>
      <c r="S1194" s="8">
        <v>1.5</v>
      </c>
      <c r="T1194" s="8">
        <v>3</v>
      </c>
      <c r="U1194" s="8">
        <v>1</v>
      </c>
      <c r="V1194" s="8" t="str">
        <f>IF(Table13[[#This Row],[BMI]]&lt;=18.5,"Underweight",IF(Table13[[#This Row],[BMI]]&lt;=24.9,"Normal",IF(Table13[[#This Row],[BMI]]&lt;=29.9,"Overweight",IF(Table13[[#This Row],[BMI]]&lt;=39,"Obese","Severly Obese"))))</f>
        <v>Underweight</v>
      </c>
      <c r="W1194" s="18">
        <v>18.32</v>
      </c>
    </row>
    <row r="1195" spans="6:23" x14ac:dyDescent="0.3">
      <c r="F1195" s="17">
        <v>37</v>
      </c>
      <c r="G1195" s="8" t="str">
        <f>IF(Table13[[#This Row],[Age]]&lt;25,"18-24",IF(Table13[[#This Row],[Age]]&lt;35,"25-34",IF(Table13[[#This Row],[Age]]&lt;45,"35-44",IF(Table13[[#This Row],[Age]]&lt;55,"45-54","55-64"))))</f>
        <v>35-44</v>
      </c>
      <c r="H1195" s="8" t="s">
        <v>17</v>
      </c>
      <c r="I1195" s="8">
        <v>94.5</v>
      </c>
      <c r="J1195" s="8">
        <v>1.84</v>
      </c>
      <c r="K1195" s="8">
        <v>160</v>
      </c>
      <c r="L1195" s="8">
        <v>158</v>
      </c>
      <c r="M1195" s="8">
        <v>61</v>
      </c>
      <c r="N1195" s="8">
        <v>1.2</v>
      </c>
      <c r="O1195" s="8">
        <v>1063</v>
      </c>
      <c r="P1195" s="8" t="s">
        <v>21</v>
      </c>
      <c r="Q1195" s="8" t="str">
        <f>_xlfn.IFS(AND(Table13[[#This Row],[Gender]]="female",R1195&lt;20),"Athletes",AND(Table13[[#This Row],[Gender]]="female",R1195&lt;24),"Fitnesss",AND(Table13[[#This Row],[Gender]]="female",R1195&lt;31),"Acceptable",AND(Table13[[#This Row],[Gender]]="female",R1195&lt;40),"Obese",AND(Table13[[#This Row],[Gender]]="male",R1195&lt;13),"Athletes",AND(Table13[[#This Row],[Gender]]="male",R1195&lt;17),"Fitnesss",AND(Table13[[#This Row],[Gender]]="male",R1195&lt;24.9),"Acceptable",AND(Table13[[#This Row],[Gender]]="male",R1195&lt;40),"Obese",AND(Table13[[#This Row],[Gender]]="others",R1195&lt;20),"Athletes",AND(Table13[[#This Row],[Gender]]="others",R1195&lt;24),"Fitnesss",AND(Table13[[#This Row],[Gender]]="others",R1195&lt;31),"Acceptable",AND(Table13[[#This Row],[Gender]]="others",R1195&lt;40),"Obese")</f>
        <v>Acceptable</v>
      </c>
      <c r="R1195" s="8">
        <v>26.6</v>
      </c>
      <c r="S1195" s="8">
        <v>2.6</v>
      </c>
      <c r="T1195" s="8">
        <v>3</v>
      </c>
      <c r="U1195" s="8">
        <v>2</v>
      </c>
      <c r="V1195" s="8" t="str">
        <f>IF(Table13[[#This Row],[BMI]]&lt;=18.5,"Underweight",IF(Table13[[#This Row],[BMI]]&lt;=24.9,"Normal",IF(Table13[[#This Row],[BMI]]&lt;=29.9,"Overweight",IF(Table13[[#This Row],[BMI]]&lt;=39,"Obese","Severly Obese"))))</f>
        <v>Underweight</v>
      </c>
      <c r="W1195" s="18">
        <v>12.32</v>
      </c>
    </row>
    <row r="1196" spans="6:23" x14ac:dyDescent="0.3">
      <c r="F1196" s="17">
        <v>30</v>
      </c>
      <c r="G1196" s="8" t="str">
        <f>IF(Table13[[#This Row],[Age]]&lt;25,"18-24",IF(Table13[[#This Row],[Age]]&lt;35,"25-34",IF(Table13[[#This Row],[Age]]&lt;45,"35-44",IF(Table13[[#This Row],[Age]]&lt;55,"45-54","55-64"))))</f>
        <v>25-34</v>
      </c>
      <c r="H1196" s="8" t="s">
        <v>17</v>
      </c>
      <c r="I1196" s="8">
        <v>57.6</v>
      </c>
      <c r="J1196" s="8">
        <v>1.66</v>
      </c>
      <c r="K1196" s="8">
        <v>169</v>
      </c>
      <c r="L1196" s="8">
        <v>160</v>
      </c>
      <c r="M1196" s="8">
        <v>67</v>
      </c>
      <c r="N1196" s="8">
        <v>1.86</v>
      </c>
      <c r="O1196" s="8">
        <v>1332</v>
      </c>
      <c r="P1196" s="8" t="s">
        <v>22</v>
      </c>
      <c r="Q1196" s="8" t="str">
        <f>_xlfn.IFS(AND(Table13[[#This Row],[Gender]]="female",R1196&lt;20),"Athletes",AND(Table13[[#This Row],[Gender]]="female",R1196&lt;24),"Fitnesss",AND(Table13[[#This Row],[Gender]]="female",R1196&lt;31),"Acceptable",AND(Table13[[#This Row],[Gender]]="female",R1196&lt;40),"Obese",AND(Table13[[#This Row],[Gender]]="male",R1196&lt;13),"Athletes",AND(Table13[[#This Row],[Gender]]="male",R1196&lt;17),"Fitnesss",AND(Table13[[#This Row],[Gender]]="male",R1196&lt;24.9),"Acceptable",AND(Table13[[#This Row],[Gender]]="male",R1196&lt;40),"Obese",AND(Table13[[#This Row],[Gender]]="others",R1196&lt;20),"Athletes",AND(Table13[[#This Row],[Gender]]="others",R1196&lt;24),"Fitnesss",AND(Table13[[#This Row],[Gender]]="others",R1196&lt;31),"Acceptable",AND(Table13[[#This Row],[Gender]]="others",R1196&lt;40),"Obese")</f>
        <v>Acceptable</v>
      </c>
      <c r="R1196" s="8">
        <v>30.9</v>
      </c>
      <c r="S1196" s="8">
        <v>2.7</v>
      </c>
      <c r="T1196" s="8">
        <v>4</v>
      </c>
      <c r="U1196" s="8">
        <v>2</v>
      </c>
      <c r="V1196" s="8" t="str">
        <f>IF(Table13[[#This Row],[BMI]]&lt;=18.5,"Underweight",IF(Table13[[#This Row],[BMI]]&lt;=24.9,"Normal",IF(Table13[[#This Row],[BMI]]&lt;=29.9,"Overweight",IF(Table13[[#This Row],[BMI]]&lt;=39,"Obese","Severly Obese"))))</f>
        <v>Obese</v>
      </c>
      <c r="W1196" s="18">
        <v>30.42</v>
      </c>
    </row>
    <row r="1197" spans="6:23" x14ac:dyDescent="0.3">
      <c r="F1197" s="17">
        <v>31</v>
      </c>
      <c r="G1197" s="8" t="str">
        <f>IF(Table13[[#This Row],[Age]]&lt;25,"18-24",IF(Table13[[#This Row],[Age]]&lt;35,"25-34",IF(Table13[[#This Row],[Age]]&lt;45,"35-44",IF(Table13[[#This Row],[Age]]&lt;55,"45-54","55-64"))))</f>
        <v>25-34</v>
      </c>
      <c r="H1197" s="8" t="s">
        <v>19</v>
      </c>
      <c r="I1197" s="8">
        <v>40</v>
      </c>
      <c r="J1197" s="8">
        <v>1.74</v>
      </c>
      <c r="K1197" s="8">
        <v>194</v>
      </c>
      <c r="L1197" s="8">
        <v>155</v>
      </c>
      <c r="M1197" s="8">
        <v>68</v>
      </c>
      <c r="N1197" s="8">
        <v>1.4</v>
      </c>
      <c r="O1197" s="8">
        <v>716</v>
      </c>
      <c r="P1197" s="8" t="s">
        <v>21</v>
      </c>
      <c r="Q1197" s="8" t="str">
        <f>_xlfn.IFS(AND(Table13[[#This Row],[Gender]]="female",R1197&lt;20),"Athletes",AND(Table13[[#This Row],[Gender]]="female",R1197&lt;24),"Fitnesss",AND(Table13[[#This Row],[Gender]]="female",R1197&lt;31),"Acceptable",AND(Table13[[#This Row],[Gender]]="female",R1197&lt;40),"Obese",AND(Table13[[#This Row],[Gender]]="male",R1197&lt;13),"Athletes",AND(Table13[[#This Row],[Gender]]="male",R1197&lt;17),"Fitnesss",AND(Table13[[#This Row],[Gender]]="male",R1197&lt;24.9),"Acceptable",AND(Table13[[#This Row],[Gender]]="male",R1197&lt;40),"Obese",AND(Table13[[#This Row],[Gender]]="others",R1197&lt;20),"Athletes",AND(Table13[[#This Row],[Gender]]="others",R1197&lt;24),"Fitnesss",AND(Table13[[#This Row],[Gender]]="others",R1197&lt;31),"Acceptable",AND(Table13[[#This Row],[Gender]]="others",R1197&lt;40),"Obese")</f>
        <v>Obese</v>
      </c>
      <c r="R1197" s="8">
        <v>30.6</v>
      </c>
      <c r="S1197" s="8">
        <v>1.5</v>
      </c>
      <c r="T1197" s="8">
        <v>4</v>
      </c>
      <c r="U1197" s="8">
        <v>3</v>
      </c>
      <c r="V1197" s="8" t="str">
        <f>IF(Table13[[#This Row],[BMI]]&lt;=18.5,"Underweight",IF(Table13[[#This Row],[BMI]]&lt;=24.9,"Normal",IF(Table13[[#This Row],[BMI]]&lt;=29.9,"Overweight",IF(Table13[[#This Row],[BMI]]&lt;=39,"Obese","Severly Obese"))))</f>
        <v>Normal</v>
      </c>
      <c r="W1197" s="18">
        <v>20.16</v>
      </c>
    </row>
    <row r="1198" spans="6:23" x14ac:dyDescent="0.3">
      <c r="F1198" s="17">
        <v>28</v>
      </c>
      <c r="G1198" s="8" t="str">
        <f>IF(Table13[[#This Row],[Age]]&lt;25,"18-24",IF(Table13[[#This Row],[Age]]&lt;35,"25-34",IF(Table13[[#This Row],[Age]]&lt;45,"35-44",IF(Table13[[#This Row],[Age]]&lt;55,"45-54","55-64"))))</f>
        <v>25-34</v>
      </c>
      <c r="H1198" s="8" t="s">
        <v>19</v>
      </c>
      <c r="I1198" s="8">
        <v>40.299999999999997</v>
      </c>
      <c r="J1198" s="8">
        <v>1.69</v>
      </c>
      <c r="K1198" s="8">
        <v>166</v>
      </c>
      <c r="L1198" s="8">
        <v>169</v>
      </c>
      <c r="M1198" s="8">
        <v>69</v>
      </c>
      <c r="N1198" s="8">
        <v>0.5</v>
      </c>
      <c r="O1198" s="8">
        <v>864</v>
      </c>
      <c r="P1198" s="8" t="s">
        <v>20</v>
      </c>
      <c r="Q1198" s="8" t="str">
        <f>_xlfn.IFS(AND(Table13[[#This Row],[Gender]]="female",R1198&lt;20),"Athletes",AND(Table13[[#This Row],[Gender]]="female",R1198&lt;24),"Fitnesss",AND(Table13[[#This Row],[Gender]]="female",R1198&lt;31),"Acceptable",AND(Table13[[#This Row],[Gender]]="female",R1198&lt;40),"Obese",AND(Table13[[#This Row],[Gender]]="male",R1198&lt;13),"Athletes",AND(Table13[[#This Row],[Gender]]="male",R1198&lt;17),"Fitnesss",AND(Table13[[#This Row],[Gender]]="male",R1198&lt;24.9),"Acceptable",AND(Table13[[#This Row],[Gender]]="male",R1198&lt;40),"Obese",AND(Table13[[#This Row],[Gender]]="others",R1198&lt;20),"Athletes",AND(Table13[[#This Row],[Gender]]="others",R1198&lt;24),"Fitnesss",AND(Table13[[#This Row],[Gender]]="others",R1198&lt;31),"Acceptable",AND(Table13[[#This Row],[Gender]]="others",R1198&lt;40),"Obese")</f>
        <v>Obese</v>
      </c>
      <c r="R1198" s="8">
        <v>24.9</v>
      </c>
      <c r="S1198" s="8">
        <v>2.6</v>
      </c>
      <c r="T1198" s="8">
        <v>3</v>
      </c>
      <c r="U1198" s="8">
        <v>3</v>
      </c>
      <c r="V1198" s="8" t="str">
        <f>IF(Table13[[#This Row],[BMI]]&lt;=18.5,"Underweight",IF(Table13[[#This Row],[BMI]]&lt;=24.9,"Normal",IF(Table13[[#This Row],[BMI]]&lt;=29.9,"Overweight",IF(Table13[[#This Row],[BMI]]&lt;=39,"Obese","Severly Obese"))))</f>
        <v>Normal</v>
      </c>
      <c r="W1198" s="18">
        <v>20.420000000000002</v>
      </c>
    </row>
    <row r="1199" spans="6:23" x14ac:dyDescent="0.3">
      <c r="F1199" s="17">
        <v>53</v>
      </c>
      <c r="G1199" s="8" t="str">
        <f>IF(Table13[[#This Row],[Age]]&lt;25,"18-24",IF(Table13[[#This Row],[Age]]&lt;35,"25-34",IF(Table13[[#This Row],[Age]]&lt;45,"35-44",IF(Table13[[#This Row],[Age]]&lt;55,"45-54","55-64"))))</f>
        <v>45-54</v>
      </c>
      <c r="H1199" s="8" t="s">
        <v>19</v>
      </c>
      <c r="I1199" s="8">
        <v>60.8</v>
      </c>
      <c r="J1199" s="8">
        <v>1.66</v>
      </c>
      <c r="K1199" s="8">
        <v>199</v>
      </c>
      <c r="L1199" s="8">
        <v>121</v>
      </c>
      <c r="M1199" s="8">
        <v>69</v>
      </c>
      <c r="N1199" s="8">
        <v>1.1200000000000001</v>
      </c>
      <c r="O1199" s="8">
        <v>926</v>
      </c>
      <c r="P1199" s="8" t="s">
        <v>18</v>
      </c>
      <c r="Q1199" s="8" t="str">
        <f>_xlfn.IFS(AND(Table13[[#This Row],[Gender]]="female",R1199&lt;20),"Athletes",AND(Table13[[#This Row],[Gender]]="female",R1199&lt;24),"Fitnesss",AND(Table13[[#This Row],[Gender]]="female",R1199&lt;31),"Acceptable",AND(Table13[[#This Row],[Gender]]="female",R1199&lt;40),"Obese",AND(Table13[[#This Row],[Gender]]="male",R1199&lt;13),"Athletes",AND(Table13[[#This Row],[Gender]]="male",R1199&lt;17),"Fitnesss",AND(Table13[[#This Row],[Gender]]="male",R1199&lt;24.9),"Acceptable",AND(Table13[[#This Row],[Gender]]="male",R1199&lt;40),"Obese",AND(Table13[[#This Row],[Gender]]="others",R1199&lt;20),"Athletes",AND(Table13[[#This Row],[Gender]]="others",R1199&lt;24),"Fitnesss",AND(Table13[[#This Row],[Gender]]="others",R1199&lt;31),"Acceptable",AND(Table13[[#This Row],[Gender]]="others",R1199&lt;40),"Obese")</f>
        <v>Obese</v>
      </c>
      <c r="R1199" s="8">
        <v>26.5</v>
      </c>
      <c r="S1199" s="8">
        <v>3.6</v>
      </c>
      <c r="T1199" s="8">
        <v>4</v>
      </c>
      <c r="U1199" s="8">
        <v>1</v>
      </c>
      <c r="V1199" s="8" t="str">
        <f>IF(Table13[[#This Row],[BMI]]&lt;=18.5,"Underweight",IF(Table13[[#This Row],[BMI]]&lt;=24.9,"Normal",IF(Table13[[#This Row],[BMI]]&lt;=29.9,"Overweight",IF(Table13[[#This Row],[BMI]]&lt;=39,"Obese","Severly Obese"))))</f>
        <v>Underweight</v>
      </c>
      <c r="W1199" s="18">
        <v>12.32</v>
      </c>
    </row>
    <row r="1200" spans="6:23" x14ac:dyDescent="0.3">
      <c r="F1200" s="17">
        <v>56</v>
      </c>
      <c r="G1200" s="8" t="str">
        <f>IF(Table13[[#This Row],[Age]]&lt;25,"18-24",IF(Table13[[#This Row],[Age]]&lt;35,"25-34",IF(Table13[[#This Row],[Age]]&lt;45,"35-44",IF(Table13[[#This Row],[Age]]&lt;55,"45-54","55-64"))))</f>
        <v>55-64</v>
      </c>
      <c r="H1200" s="8" t="s">
        <v>19</v>
      </c>
      <c r="I1200" s="8">
        <v>72</v>
      </c>
      <c r="J1200" s="8">
        <v>1.77</v>
      </c>
      <c r="K1200" s="8">
        <v>191</v>
      </c>
      <c r="L1200" s="8">
        <v>168</v>
      </c>
      <c r="M1200" s="8">
        <v>62</v>
      </c>
      <c r="N1200" s="8">
        <v>1.55</v>
      </c>
      <c r="O1200" s="8">
        <v>1144</v>
      </c>
      <c r="P1200" s="8" t="s">
        <v>20</v>
      </c>
      <c r="Q1200" s="8" t="str">
        <f>_xlfn.IFS(AND(Table13[[#This Row],[Gender]]="female",R1200&lt;20),"Athletes",AND(Table13[[#This Row],[Gender]]="female",R1200&lt;24),"Fitnesss",AND(Table13[[#This Row],[Gender]]="female",R1200&lt;31),"Acceptable",AND(Table13[[#This Row],[Gender]]="female",R1200&lt;40),"Obese",AND(Table13[[#This Row],[Gender]]="male",R1200&lt;13),"Athletes",AND(Table13[[#This Row],[Gender]]="male",R1200&lt;17),"Fitnesss",AND(Table13[[#This Row],[Gender]]="male",R1200&lt;24.9),"Acceptable",AND(Table13[[#This Row],[Gender]]="male",R1200&lt;40),"Obese",AND(Table13[[#This Row],[Gender]]="others",R1200&lt;20),"Athletes",AND(Table13[[#This Row],[Gender]]="others",R1200&lt;24),"Fitnesss",AND(Table13[[#This Row],[Gender]]="others",R1200&lt;31),"Acceptable",AND(Table13[[#This Row],[Gender]]="others",R1200&lt;40),"Obese")</f>
        <v>Obese</v>
      </c>
      <c r="R1200" s="8">
        <v>30</v>
      </c>
      <c r="S1200" s="8">
        <v>2.7</v>
      </c>
      <c r="T1200" s="8">
        <v>2</v>
      </c>
      <c r="U1200" s="8">
        <v>2</v>
      </c>
      <c r="V1200" s="8" t="str">
        <f>IF(Table13[[#This Row],[BMI]]&lt;=18.5,"Underweight",IF(Table13[[#This Row],[BMI]]&lt;=24.9,"Normal",IF(Table13[[#This Row],[BMI]]&lt;=29.9,"Overweight",IF(Table13[[#This Row],[BMI]]&lt;=39,"Obese","Severly Obese"))))</f>
        <v>Normal</v>
      </c>
      <c r="W1200" s="18">
        <v>23.34</v>
      </c>
    </row>
    <row r="1201" spans="6:23" x14ac:dyDescent="0.3">
      <c r="F1201" s="17">
        <v>44</v>
      </c>
      <c r="G1201" s="8" t="str">
        <f>IF(Table13[[#This Row],[Age]]&lt;25,"18-24",IF(Table13[[#This Row],[Age]]&lt;35,"25-34",IF(Table13[[#This Row],[Age]]&lt;45,"35-44",IF(Table13[[#This Row],[Age]]&lt;55,"45-54","55-64"))))</f>
        <v>35-44</v>
      </c>
      <c r="H1201" s="8" t="s">
        <v>19</v>
      </c>
      <c r="I1201" s="8">
        <v>94.4</v>
      </c>
      <c r="J1201" s="8">
        <v>1.75</v>
      </c>
      <c r="K1201" s="8">
        <v>163</v>
      </c>
      <c r="L1201" s="8">
        <v>154</v>
      </c>
      <c r="M1201" s="8">
        <v>58</v>
      </c>
      <c r="N1201" s="8">
        <v>1.66</v>
      </c>
      <c r="O1201" s="8">
        <v>881</v>
      </c>
      <c r="P1201" s="8" t="s">
        <v>21</v>
      </c>
      <c r="Q1201" s="8" t="str">
        <f>_xlfn.IFS(AND(Table13[[#This Row],[Gender]]="female",R1201&lt;20),"Athletes",AND(Table13[[#This Row],[Gender]]="female",R1201&lt;24),"Fitnesss",AND(Table13[[#This Row],[Gender]]="female",R1201&lt;31),"Acceptable",AND(Table13[[#This Row],[Gender]]="female",R1201&lt;40),"Obese",AND(Table13[[#This Row],[Gender]]="male",R1201&lt;13),"Athletes",AND(Table13[[#This Row],[Gender]]="male",R1201&lt;17),"Fitnesss",AND(Table13[[#This Row],[Gender]]="male",R1201&lt;24.9),"Acceptable",AND(Table13[[#This Row],[Gender]]="male",R1201&lt;40),"Obese",AND(Table13[[#This Row],[Gender]]="others",R1201&lt;20),"Athletes",AND(Table13[[#This Row],[Gender]]="others",R1201&lt;24),"Fitnesss",AND(Table13[[#This Row],[Gender]]="others",R1201&lt;31),"Acceptable",AND(Table13[[#This Row],[Gender]]="others",R1201&lt;40),"Obese")</f>
        <v>Acceptable</v>
      </c>
      <c r="R1201" s="8">
        <v>24.1</v>
      </c>
      <c r="S1201" s="8">
        <v>2.9</v>
      </c>
      <c r="T1201" s="8">
        <v>3</v>
      </c>
      <c r="U1201" s="8">
        <v>3</v>
      </c>
      <c r="V1201" s="8" t="str">
        <f>IF(Table13[[#This Row],[BMI]]&lt;=18.5,"Underweight",IF(Table13[[#This Row],[BMI]]&lt;=24.9,"Normal",IF(Table13[[#This Row],[BMI]]&lt;=29.9,"Overweight",IF(Table13[[#This Row],[BMI]]&lt;=39,"Obese","Severly Obese"))))</f>
        <v>Underweight</v>
      </c>
      <c r="W1201" s="18">
        <v>12.32</v>
      </c>
    </row>
    <row r="1202" spans="6:23" x14ac:dyDescent="0.3">
      <c r="F1202" s="17">
        <v>38</v>
      </c>
      <c r="G1202" s="8" t="str">
        <f>IF(Table13[[#This Row],[Age]]&lt;25,"18-24",IF(Table13[[#This Row],[Age]]&lt;35,"25-34",IF(Table13[[#This Row],[Age]]&lt;45,"35-44",IF(Table13[[#This Row],[Age]]&lt;55,"45-54","55-64"))))</f>
        <v>35-44</v>
      </c>
      <c r="H1202" s="8" t="s">
        <v>19</v>
      </c>
      <c r="I1202" s="8">
        <v>71</v>
      </c>
      <c r="J1202" s="8">
        <v>1.84</v>
      </c>
      <c r="K1202" s="8">
        <v>190</v>
      </c>
      <c r="L1202" s="8">
        <v>120</v>
      </c>
      <c r="M1202" s="8">
        <v>53</v>
      </c>
      <c r="N1202" s="8">
        <v>1.93</v>
      </c>
      <c r="O1202" s="8">
        <v>1700</v>
      </c>
      <c r="P1202" s="8" t="s">
        <v>20</v>
      </c>
      <c r="Q1202" s="8" t="str">
        <f>_xlfn.IFS(AND(Table13[[#This Row],[Gender]]="female",R1202&lt;20),"Athletes",AND(Table13[[#This Row],[Gender]]="female",R1202&lt;24),"Fitnesss",AND(Table13[[#This Row],[Gender]]="female",R1202&lt;31),"Acceptable",AND(Table13[[#This Row],[Gender]]="female",R1202&lt;40),"Obese",AND(Table13[[#This Row],[Gender]]="male",R1202&lt;13),"Athletes",AND(Table13[[#This Row],[Gender]]="male",R1202&lt;17),"Fitnesss",AND(Table13[[#This Row],[Gender]]="male",R1202&lt;24.9),"Acceptable",AND(Table13[[#This Row],[Gender]]="male",R1202&lt;40),"Obese",AND(Table13[[#This Row],[Gender]]="others",R1202&lt;20),"Athletes",AND(Table13[[#This Row],[Gender]]="others",R1202&lt;24),"Fitnesss",AND(Table13[[#This Row],[Gender]]="others",R1202&lt;31),"Acceptable",AND(Table13[[#This Row],[Gender]]="others",R1202&lt;40),"Obese")</f>
        <v>Acceptable</v>
      </c>
      <c r="R1202" s="8">
        <v>24.7</v>
      </c>
      <c r="S1202" s="8">
        <v>3.1</v>
      </c>
      <c r="T1202" s="8"/>
      <c r="U1202" s="8">
        <v>3</v>
      </c>
      <c r="V1202" s="8" t="str">
        <f>IF(Table13[[#This Row],[BMI]]&lt;=18.5,"Underweight",IF(Table13[[#This Row],[BMI]]&lt;=24.9,"Normal",IF(Table13[[#This Row],[BMI]]&lt;=29.9,"Overweight",IF(Table13[[#This Row],[BMI]]&lt;=39,"Obese","Severly Obese"))))</f>
        <v>Normal</v>
      </c>
      <c r="W1202" s="18">
        <v>21.97</v>
      </c>
    </row>
    <row r="1203" spans="6:23" x14ac:dyDescent="0.3">
      <c r="F1203" s="17">
        <v>34</v>
      </c>
      <c r="G1203" s="8" t="str">
        <f>IF(Table13[[#This Row],[Age]]&lt;25,"18-24",IF(Table13[[#This Row],[Age]]&lt;35,"25-34",IF(Table13[[#This Row],[Age]]&lt;45,"35-44",IF(Table13[[#This Row],[Age]]&lt;55,"45-54","55-64"))))</f>
        <v>25-34</v>
      </c>
      <c r="H1203" s="8" t="s">
        <v>17</v>
      </c>
      <c r="I1203" s="8">
        <v>77.900000000000006</v>
      </c>
      <c r="J1203" s="8">
        <v>1.87</v>
      </c>
      <c r="K1203" s="8">
        <v>183</v>
      </c>
      <c r="L1203" s="8">
        <v>169</v>
      </c>
      <c r="M1203" s="8">
        <v>59</v>
      </c>
      <c r="N1203" s="8">
        <v>1.28</v>
      </c>
      <c r="O1203" s="8">
        <v>691</v>
      </c>
      <c r="P1203" s="8" t="s">
        <v>23</v>
      </c>
      <c r="Q1203" s="8" t="str">
        <f>_xlfn.IFS(AND(Table13[[#This Row],[Gender]]="female",R1203&lt;20),"Athletes",AND(Table13[[#This Row],[Gender]]="female",R1203&lt;24),"Fitnesss",AND(Table13[[#This Row],[Gender]]="female",R1203&lt;31),"Acceptable",AND(Table13[[#This Row],[Gender]]="female",R1203&lt;40),"Obese",AND(Table13[[#This Row],[Gender]]="male",R1203&lt;13),"Athletes",AND(Table13[[#This Row],[Gender]]="male",R1203&lt;17),"Fitnesss",AND(Table13[[#This Row],[Gender]]="male",R1203&lt;24.9),"Acceptable",AND(Table13[[#This Row],[Gender]]="male",R1203&lt;40),"Obese",AND(Table13[[#This Row],[Gender]]="others",R1203&lt;20),"Athletes",AND(Table13[[#This Row],[Gender]]="others",R1203&lt;24),"Fitnesss",AND(Table13[[#This Row],[Gender]]="others",R1203&lt;31),"Acceptable",AND(Table13[[#This Row],[Gender]]="others",R1203&lt;40),"Obese")</f>
        <v>Acceptable</v>
      </c>
      <c r="R1203" s="8">
        <v>24</v>
      </c>
      <c r="S1203" s="8">
        <v>3.4</v>
      </c>
      <c r="T1203" s="8">
        <v>2</v>
      </c>
      <c r="U1203" s="8">
        <v>1</v>
      </c>
      <c r="V1203" s="8" t="str">
        <f>IF(Table13[[#This Row],[BMI]]&lt;=18.5,"Underweight",IF(Table13[[#This Row],[BMI]]&lt;=24.9,"Normal",IF(Table13[[#This Row],[BMI]]&lt;=29.9,"Overweight",IF(Table13[[#This Row],[BMI]]&lt;=39,"Obese","Severly Obese"))))</f>
        <v>Underweight</v>
      </c>
      <c r="W1203" s="18">
        <v>15.67</v>
      </c>
    </row>
    <row r="1204" spans="6:23" x14ac:dyDescent="0.3">
      <c r="F1204" s="17">
        <v>48</v>
      </c>
      <c r="G1204" s="8" t="str">
        <f>IF(Table13[[#This Row],[Age]]&lt;25,"18-24",IF(Table13[[#This Row],[Age]]&lt;35,"25-34",IF(Table13[[#This Row],[Age]]&lt;45,"35-44",IF(Table13[[#This Row],[Age]]&lt;55,"45-54","55-64"))))</f>
        <v>45-54</v>
      </c>
      <c r="H1204" s="8" t="s">
        <v>19</v>
      </c>
      <c r="I1204" s="8">
        <v>52.6</v>
      </c>
      <c r="J1204" s="8">
        <v>1.63</v>
      </c>
      <c r="K1204" s="8">
        <v>182</v>
      </c>
      <c r="L1204" s="8">
        <v>129</v>
      </c>
      <c r="M1204" s="8">
        <v>54</v>
      </c>
      <c r="N1204" s="8">
        <v>2</v>
      </c>
      <c r="O1204" s="8">
        <v>1310</v>
      </c>
      <c r="P1204" s="8" t="s">
        <v>18</v>
      </c>
      <c r="Q1204" s="8" t="str">
        <f>_xlfn.IFS(AND(Table13[[#This Row],[Gender]]="female",R1204&lt;20),"Athletes",AND(Table13[[#This Row],[Gender]]="female",R1204&lt;24),"Fitnesss",AND(Table13[[#This Row],[Gender]]="female",R1204&lt;31),"Acceptable",AND(Table13[[#This Row],[Gender]]="female",R1204&lt;40),"Obese",AND(Table13[[#This Row],[Gender]]="male",R1204&lt;13),"Athletes",AND(Table13[[#This Row],[Gender]]="male",R1204&lt;17),"Fitnesss",AND(Table13[[#This Row],[Gender]]="male",R1204&lt;24.9),"Acceptable",AND(Table13[[#This Row],[Gender]]="male",R1204&lt;40),"Obese",AND(Table13[[#This Row],[Gender]]="others",R1204&lt;20),"Athletes",AND(Table13[[#This Row],[Gender]]="others",R1204&lt;24),"Fitnesss",AND(Table13[[#This Row],[Gender]]="others",R1204&lt;31),"Acceptable",AND(Table13[[#This Row],[Gender]]="others",R1204&lt;40),"Obese")</f>
        <v>Obese</v>
      </c>
      <c r="R1204" s="8">
        <v>25.1</v>
      </c>
      <c r="S1204" s="8">
        <v>1.5</v>
      </c>
      <c r="T1204" s="8"/>
      <c r="U1204" s="8">
        <v>1</v>
      </c>
      <c r="V1204" s="8" t="str">
        <f>IF(Table13[[#This Row],[BMI]]&lt;=18.5,"Underweight",IF(Table13[[#This Row],[BMI]]&lt;=24.9,"Normal",IF(Table13[[#This Row],[BMI]]&lt;=29.9,"Overweight",IF(Table13[[#This Row],[BMI]]&lt;=39,"Obese","Severly Obese"))))</f>
        <v>Underweight</v>
      </c>
      <c r="W1204" s="18">
        <v>14.53</v>
      </c>
    </row>
    <row r="1205" spans="6:23" x14ac:dyDescent="0.3">
      <c r="F1205" s="17">
        <v>48</v>
      </c>
      <c r="G1205" s="8" t="str">
        <f>IF(Table13[[#This Row],[Age]]&lt;25,"18-24",IF(Table13[[#This Row],[Age]]&lt;35,"25-34",IF(Table13[[#This Row],[Age]]&lt;45,"35-44",IF(Table13[[#This Row],[Age]]&lt;55,"45-54","55-64"))))</f>
        <v>45-54</v>
      </c>
      <c r="H1205" s="8" t="s">
        <v>17</v>
      </c>
      <c r="I1205" s="8">
        <v>62.9</v>
      </c>
      <c r="J1205" s="8">
        <v>1.67</v>
      </c>
      <c r="K1205" s="8">
        <v>198</v>
      </c>
      <c r="L1205" s="8">
        <v>164</v>
      </c>
      <c r="M1205" s="8">
        <v>64</v>
      </c>
      <c r="N1205" s="8">
        <v>0.84</v>
      </c>
      <c r="O1205" s="8">
        <v>1098</v>
      </c>
      <c r="P1205" s="8" t="s">
        <v>21</v>
      </c>
      <c r="Q1205" s="8" t="str">
        <f>_xlfn.IFS(AND(Table13[[#This Row],[Gender]]="female",R1205&lt;20),"Athletes",AND(Table13[[#This Row],[Gender]]="female",R1205&lt;24),"Fitnesss",AND(Table13[[#This Row],[Gender]]="female",R1205&lt;31),"Acceptable",AND(Table13[[#This Row],[Gender]]="female",R1205&lt;40),"Obese",AND(Table13[[#This Row],[Gender]]="male",R1205&lt;13),"Athletes",AND(Table13[[#This Row],[Gender]]="male",R1205&lt;17),"Fitnesss",AND(Table13[[#This Row],[Gender]]="male",R1205&lt;24.9),"Acceptable",AND(Table13[[#This Row],[Gender]]="male",R1205&lt;40),"Obese",AND(Table13[[#This Row],[Gender]]="others",R1205&lt;20),"Athletes",AND(Table13[[#This Row],[Gender]]="others",R1205&lt;24),"Fitnesss",AND(Table13[[#This Row],[Gender]]="others",R1205&lt;31),"Acceptable",AND(Table13[[#This Row],[Gender]]="others",R1205&lt;40),"Obese")</f>
        <v>Acceptable</v>
      </c>
      <c r="R1205" s="8">
        <v>24.5</v>
      </c>
      <c r="S1205" s="8">
        <v>3.3</v>
      </c>
      <c r="T1205" s="8">
        <v>5</v>
      </c>
      <c r="U1205" s="8">
        <v>1</v>
      </c>
      <c r="V1205" s="8" t="str">
        <f>IF(Table13[[#This Row],[BMI]]&lt;=18.5,"Underweight",IF(Table13[[#This Row],[BMI]]&lt;=24.9,"Normal",IF(Table13[[#This Row],[BMI]]&lt;=29.9,"Overweight",IF(Table13[[#This Row],[BMI]]&lt;=39,"Obese","Severly Obese"))))</f>
        <v>Normal</v>
      </c>
      <c r="W1205" s="18">
        <v>24.26</v>
      </c>
    </row>
    <row r="1206" spans="6:23" x14ac:dyDescent="0.3">
      <c r="F1206" s="17">
        <v>33</v>
      </c>
      <c r="G1206" s="8" t="str">
        <f>IF(Table13[[#This Row],[Age]]&lt;25,"18-24",IF(Table13[[#This Row],[Age]]&lt;35,"25-34",IF(Table13[[#This Row],[Age]]&lt;45,"35-44",IF(Table13[[#This Row],[Age]]&lt;55,"45-54","55-64"))))</f>
        <v>25-34</v>
      </c>
      <c r="H1206" s="8" t="s">
        <v>19</v>
      </c>
      <c r="I1206" s="8">
        <v>59.6</v>
      </c>
      <c r="J1206" s="8">
        <v>1.6</v>
      </c>
      <c r="K1206" s="8">
        <v>187</v>
      </c>
      <c r="L1206" s="8">
        <v>127</v>
      </c>
      <c r="M1206" s="8">
        <v>69</v>
      </c>
      <c r="N1206" s="8">
        <v>1.41</v>
      </c>
      <c r="O1206" s="8">
        <v>573</v>
      </c>
      <c r="P1206" s="8" t="s">
        <v>20</v>
      </c>
      <c r="Q1206" s="8" t="str">
        <f>_xlfn.IFS(AND(Table13[[#This Row],[Gender]]="female",R1206&lt;20),"Athletes",AND(Table13[[#This Row],[Gender]]="female",R1206&lt;24),"Fitnesss",AND(Table13[[#This Row],[Gender]]="female",R1206&lt;31),"Acceptable",AND(Table13[[#This Row],[Gender]]="female",R1206&lt;40),"Obese",AND(Table13[[#This Row],[Gender]]="male",R1206&lt;13),"Athletes",AND(Table13[[#This Row],[Gender]]="male",R1206&lt;17),"Fitnesss",AND(Table13[[#This Row],[Gender]]="male",R1206&lt;24.9),"Acceptable",AND(Table13[[#This Row],[Gender]]="male",R1206&lt;40),"Obese",AND(Table13[[#This Row],[Gender]]="others",R1206&lt;20),"Athletes",AND(Table13[[#This Row],[Gender]]="others",R1206&lt;24),"Fitnesss",AND(Table13[[#This Row],[Gender]]="others",R1206&lt;31),"Acceptable",AND(Table13[[#This Row],[Gender]]="others",R1206&lt;40),"Obese")</f>
        <v>Acceptable</v>
      </c>
      <c r="R1206" s="8">
        <v>22.7</v>
      </c>
      <c r="S1206" s="8">
        <v>2.2000000000000002</v>
      </c>
      <c r="T1206" s="8">
        <v>3</v>
      </c>
      <c r="U1206" s="8">
        <v>1</v>
      </c>
      <c r="V1206" s="8" t="str">
        <f>IF(Table13[[#This Row],[BMI]]&lt;=18.5,"Underweight",IF(Table13[[#This Row],[BMI]]&lt;=24.9,"Normal",IF(Table13[[#This Row],[BMI]]&lt;=29.9,"Overweight",IF(Table13[[#This Row],[BMI]]&lt;=39,"Obese","Severly Obese"))))</f>
        <v>Normal</v>
      </c>
      <c r="W1206" s="18">
        <v>21.54</v>
      </c>
    </row>
    <row r="1207" spans="6:23" x14ac:dyDescent="0.3">
      <c r="F1207" s="17">
        <v>46</v>
      </c>
      <c r="G1207" s="8" t="str">
        <f>IF(Table13[[#This Row],[Age]]&lt;25,"18-24",IF(Table13[[#This Row],[Age]]&lt;35,"25-34",IF(Table13[[#This Row],[Age]]&lt;45,"35-44",IF(Table13[[#This Row],[Age]]&lt;55,"45-54","55-64"))))</f>
        <v>45-54</v>
      </c>
      <c r="H1207" s="8" t="s">
        <v>17</v>
      </c>
      <c r="I1207" s="8">
        <v>50</v>
      </c>
      <c r="J1207" s="8">
        <v>1.5</v>
      </c>
      <c r="K1207" s="8">
        <v>182</v>
      </c>
      <c r="L1207" s="8">
        <v>149</v>
      </c>
      <c r="M1207" s="8">
        <v>64</v>
      </c>
      <c r="N1207" s="8">
        <v>1.44</v>
      </c>
      <c r="O1207" s="8">
        <v>929</v>
      </c>
      <c r="P1207" s="8" t="s">
        <v>20</v>
      </c>
      <c r="Q1207" s="8" t="str">
        <f>_xlfn.IFS(AND(Table13[[#This Row],[Gender]]="female",R1207&lt;20),"Athletes",AND(Table13[[#This Row],[Gender]]="female",R1207&lt;24),"Fitnesss",AND(Table13[[#This Row],[Gender]]="female",R1207&lt;31),"Acceptable",AND(Table13[[#This Row],[Gender]]="female",R1207&lt;40),"Obese",AND(Table13[[#This Row],[Gender]]="male",R1207&lt;13),"Athletes",AND(Table13[[#This Row],[Gender]]="male",R1207&lt;17),"Fitnesss",AND(Table13[[#This Row],[Gender]]="male",R1207&lt;24.9),"Acceptable",AND(Table13[[#This Row],[Gender]]="male",R1207&lt;40),"Obese",AND(Table13[[#This Row],[Gender]]="others",R1207&lt;20),"Athletes",AND(Table13[[#This Row],[Gender]]="others",R1207&lt;24),"Fitnesss",AND(Table13[[#This Row],[Gender]]="others",R1207&lt;31),"Acceptable",AND(Table13[[#This Row],[Gender]]="others",R1207&lt;40),"Obese")</f>
        <v>Fitnesss</v>
      </c>
      <c r="R1207" s="8">
        <v>23.8</v>
      </c>
      <c r="S1207" s="8">
        <v>3.3</v>
      </c>
      <c r="T1207" s="8">
        <v>2</v>
      </c>
      <c r="U1207" s="8">
        <v>3</v>
      </c>
      <c r="V1207" s="8" t="str">
        <f>IF(Table13[[#This Row],[BMI]]&lt;=18.5,"Underweight",IF(Table13[[#This Row],[BMI]]&lt;=24.9,"Normal",IF(Table13[[#This Row],[BMI]]&lt;=29.9,"Overweight",IF(Table13[[#This Row],[BMI]]&lt;=39,"Obese","Severly Obese"))))</f>
        <v>Underweight</v>
      </c>
      <c r="W1207" s="18">
        <v>16.09</v>
      </c>
    </row>
    <row r="1208" spans="6:23" x14ac:dyDescent="0.3">
      <c r="F1208" s="17">
        <v>32</v>
      </c>
      <c r="G1208" s="8" t="str">
        <f>IF(Table13[[#This Row],[Age]]&lt;25,"18-24",IF(Table13[[#This Row],[Age]]&lt;35,"25-34",IF(Table13[[#This Row],[Age]]&lt;45,"35-44",IF(Table13[[#This Row],[Age]]&lt;55,"45-54","55-64"))))</f>
        <v>25-34</v>
      </c>
      <c r="H1208" s="8" t="s">
        <v>17</v>
      </c>
      <c r="I1208" s="8">
        <v>104.3</v>
      </c>
      <c r="J1208" s="8">
        <v>1.83</v>
      </c>
      <c r="K1208" s="8">
        <v>160</v>
      </c>
      <c r="L1208" s="8"/>
      <c r="M1208" s="8">
        <v>64</v>
      </c>
      <c r="N1208" s="8">
        <v>1.83</v>
      </c>
      <c r="O1208" s="8">
        <v>1122</v>
      </c>
      <c r="P1208" s="8" t="s">
        <v>22</v>
      </c>
      <c r="Q1208" s="8" t="str">
        <f>_xlfn.IFS(AND(Table13[[#This Row],[Gender]]="female",R1208&lt;20),"Athletes",AND(Table13[[#This Row],[Gender]]="female",R1208&lt;24),"Fitnesss",AND(Table13[[#This Row],[Gender]]="female",R1208&lt;31),"Acceptable",AND(Table13[[#This Row],[Gender]]="female",R1208&lt;40),"Obese",AND(Table13[[#This Row],[Gender]]="male",R1208&lt;13),"Athletes",AND(Table13[[#This Row],[Gender]]="male",R1208&lt;17),"Fitnesss",AND(Table13[[#This Row],[Gender]]="male",R1208&lt;24.9),"Acceptable",AND(Table13[[#This Row],[Gender]]="male",R1208&lt;40),"Obese",AND(Table13[[#This Row],[Gender]]="others",R1208&lt;20),"Athletes",AND(Table13[[#This Row],[Gender]]="others",R1208&lt;24),"Fitnesss",AND(Table13[[#This Row],[Gender]]="others",R1208&lt;31),"Acceptable",AND(Table13[[#This Row],[Gender]]="others",R1208&lt;40),"Obese")</f>
        <v>Fitnesss</v>
      </c>
      <c r="R1208" s="8">
        <v>22.1</v>
      </c>
      <c r="S1208" s="8">
        <v>2.8</v>
      </c>
      <c r="T1208" s="8">
        <v>4</v>
      </c>
      <c r="U1208" s="8">
        <v>2</v>
      </c>
      <c r="V1208" s="8" t="str">
        <f>IF(Table13[[#This Row],[BMI]]&lt;=18.5,"Underweight",IF(Table13[[#This Row],[BMI]]&lt;=24.9,"Normal",IF(Table13[[#This Row],[BMI]]&lt;=29.9,"Overweight",IF(Table13[[#This Row],[BMI]]&lt;=39,"Obese","Severly Obese"))))</f>
        <v>Underweight</v>
      </c>
      <c r="W1208" s="18">
        <v>16.989999999999998</v>
      </c>
    </row>
    <row r="1209" spans="6:23" x14ac:dyDescent="0.3">
      <c r="F1209" s="17">
        <v>36</v>
      </c>
      <c r="G1209" s="8" t="str">
        <f>IF(Table13[[#This Row],[Age]]&lt;25,"18-24",IF(Table13[[#This Row],[Age]]&lt;35,"25-34",IF(Table13[[#This Row],[Age]]&lt;45,"35-44",IF(Table13[[#This Row],[Age]]&lt;55,"45-54","55-64"))))</f>
        <v>35-44</v>
      </c>
      <c r="H1209" s="8" t="s">
        <v>17</v>
      </c>
      <c r="I1209" s="8">
        <v>61.2</v>
      </c>
      <c r="J1209" s="8">
        <v>1.93</v>
      </c>
      <c r="K1209" s="8">
        <v>166</v>
      </c>
      <c r="L1209" s="8">
        <v>145</v>
      </c>
      <c r="M1209" s="8">
        <v>55</v>
      </c>
      <c r="N1209" s="8">
        <v>0.77</v>
      </c>
      <c r="O1209" s="8">
        <v>1015</v>
      </c>
      <c r="P1209" s="8" t="s">
        <v>21</v>
      </c>
      <c r="Q1209" s="8" t="str">
        <f>_xlfn.IFS(AND(Table13[[#This Row],[Gender]]="female",R1209&lt;20),"Athletes",AND(Table13[[#This Row],[Gender]]="female",R1209&lt;24),"Fitnesss",AND(Table13[[#This Row],[Gender]]="female",R1209&lt;31),"Acceptable",AND(Table13[[#This Row],[Gender]]="female",R1209&lt;40),"Obese",AND(Table13[[#This Row],[Gender]]="male",R1209&lt;13),"Athletes",AND(Table13[[#This Row],[Gender]]="male",R1209&lt;17),"Fitnesss",AND(Table13[[#This Row],[Gender]]="male",R1209&lt;24.9),"Acceptable",AND(Table13[[#This Row],[Gender]]="male",R1209&lt;40),"Obese",AND(Table13[[#This Row],[Gender]]="others",R1209&lt;20),"Athletes",AND(Table13[[#This Row],[Gender]]="others",R1209&lt;24),"Fitnesss",AND(Table13[[#This Row],[Gender]]="others",R1209&lt;31),"Acceptable",AND(Table13[[#This Row],[Gender]]="others",R1209&lt;40),"Obese")</f>
        <v>Athletes</v>
      </c>
      <c r="R1209" s="8">
        <v>18.8</v>
      </c>
      <c r="S1209" s="8">
        <v>1.5</v>
      </c>
      <c r="T1209" s="8">
        <v>4</v>
      </c>
      <c r="U1209" s="8">
        <v>2</v>
      </c>
      <c r="V1209" s="8" t="str">
        <f>IF(Table13[[#This Row],[BMI]]&lt;=18.5,"Underweight",IF(Table13[[#This Row],[BMI]]&lt;=24.9,"Normal",IF(Table13[[#This Row],[BMI]]&lt;=29.9,"Overweight",IF(Table13[[#This Row],[BMI]]&lt;=39,"Obese","Severly Obese"))))</f>
        <v>Underweight</v>
      </c>
      <c r="W1209" s="18">
        <v>12.32</v>
      </c>
    </row>
    <row r="1210" spans="6:23" x14ac:dyDescent="0.3">
      <c r="F1210" s="17">
        <v>36</v>
      </c>
      <c r="G1210" s="8" t="str">
        <f>IF(Table13[[#This Row],[Age]]&lt;25,"18-24",IF(Table13[[#This Row],[Age]]&lt;35,"25-34",IF(Table13[[#This Row],[Age]]&lt;45,"35-44",IF(Table13[[#This Row],[Age]]&lt;55,"45-54","55-64"))))</f>
        <v>35-44</v>
      </c>
      <c r="H1210" s="8" t="s">
        <v>17</v>
      </c>
      <c r="I1210" s="8">
        <v>82.5</v>
      </c>
      <c r="J1210" s="8">
        <v>1.66</v>
      </c>
      <c r="K1210" s="8">
        <v>166</v>
      </c>
      <c r="L1210" s="8">
        <v>134</v>
      </c>
      <c r="M1210" s="8">
        <v>50</v>
      </c>
      <c r="N1210" s="8">
        <v>0.95</v>
      </c>
      <c r="O1210" s="8">
        <v>640</v>
      </c>
      <c r="P1210" s="8" t="s">
        <v>22</v>
      </c>
      <c r="Q1210" s="8" t="str">
        <f>_xlfn.IFS(AND(Table13[[#This Row],[Gender]]="female",R1210&lt;20),"Athletes",AND(Table13[[#This Row],[Gender]]="female",R1210&lt;24),"Fitnesss",AND(Table13[[#This Row],[Gender]]="female",R1210&lt;31),"Acceptable",AND(Table13[[#This Row],[Gender]]="female",R1210&lt;40),"Obese",AND(Table13[[#This Row],[Gender]]="male",R1210&lt;13),"Athletes",AND(Table13[[#This Row],[Gender]]="male",R1210&lt;17),"Fitnesss",AND(Table13[[#This Row],[Gender]]="male",R1210&lt;24.9),"Acceptable",AND(Table13[[#This Row],[Gender]]="male",R1210&lt;40),"Obese",AND(Table13[[#This Row],[Gender]]="others",R1210&lt;20),"Athletes",AND(Table13[[#This Row],[Gender]]="others",R1210&lt;24),"Fitnesss",AND(Table13[[#This Row],[Gender]]="others",R1210&lt;31),"Acceptable",AND(Table13[[#This Row],[Gender]]="others",R1210&lt;40),"Obese")</f>
        <v>Athletes</v>
      </c>
      <c r="R1210" s="8">
        <v>11.2</v>
      </c>
      <c r="S1210" s="8">
        <v>3.4</v>
      </c>
      <c r="T1210" s="8">
        <v>5</v>
      </c>
      <c r="U1210" s="8">
        <v>2</v>
      </c>
      <c r="V1210" s="8" t="str">
        <f>IF(Table13[[#This Row],[BMI]]&lt;=18.5,"Underweight",IF(Table13[[#This Row],[BMI]]&lt;=24.9,"Normal",IF(Table13[[#This Row],[BMI]]&lt;=29.9,"Overweight",IF(Table13[[#This Row],[BMI]]&lt;=39,"Obese","Severly Obese"))))</f>
        <v>Normal</v>
      </c>
      <c r="W1210" s="18">
        <v>21.01</v>
      </c>
    </row>
    <row r="1211" spans="6:23" x14ac:dyDescent="0.3">
      <c r="F1211" s="17">
        <v>57</v>
      </c>
      <c r="G1211" s="8" t="str">
        <f>IF(Table13[[#This Row],[Age]]&lt;25,"18-24",IF(Table13[[#This Row],[Age]]&lt;35,"25-34",IF(Table13[[#This Row],[Age]]&lt;45,"35-44",IF(Table13[[#This Row],[Age]]&lt;55,"45-54","55-64"))))</f>
        <v>55-64</v>
      </c>
      <c r="H1211" s="8" t="s">
        <v>17</v>
      </c>
      <c r="I1211" s="8">
        <v>58.3</v>
      </c>
      <c r="J1211" s="8">
        <v>1.73</v>
      </c>
      <c r="K1211" s="8">
        <v>164</v>
      </c>
      <c r="L1211" s="8">
        <v>132</v>
      </c>
      <c r="M1211" s="8">
        <v>50</v>
      </c>
      <c r="N1211" s="8">
        <v>1.48</v>
      </c>
      <c r="O1211" s="8">
        <v>492</v>
      </c>
      <c r="P1211" s="8" t="s">
        <v>21</v>
      </c>
      <c r="Q1211" s="8" t="str">
        <f>_xlfn.IFS(AND(Table13[[#This Row],[Gender]]="female",R1211&lt;20),"Athletes",AND(Table13[[#This Row],[Gender]]="female",R1211&lt;24),"Fitnesss",AND(Table13[[#This Row],[Gender]]="female",R1211&lt;31),"Acceptable",AND(Table13[[#This Row],[Gender]]="female",R1211&lt;40),"Obese",AND(Table13[[#This Row],[Gender]]="male",R1211&lt;13),"Athletes",AND(Table13[[#This Row],[Gender]]="male",R1211&lt;17),"Fitnesss",AND(Table13[[#This Row],[Gender]]="male",R1211&lt;24.9),"Acceptable",AND(Table13[[#This Row],[Gender]]="male",R1211&lt;40),"Obese",AND(Table13[[#This Row],[Gender]]="others",R1211&lt;20),"Athletes",AND(Table13[[#This Row],[Gender]]="others",R1211&lt;24),"Fitnesss",AND(Table13[[#This Row],[Gender]]="others",R1211&lt;31),"Acceptable",AND(Table13[[#This Row],[Gender]]="others",R1211&lt;40),"Obese")</f>
        <v>Acceptable</v>
      </c>
      <c r="R1211" s="8">
        <v>27.7</v>
      </c>
      <c r="S1211" s="8">
        <v>3.6</v>
      </c>
      <c r="T1211" s="8">
        <v>3</v>
      </c>
      <c r="U1211" s="8">
        <v>1</v>
      </c>
      <c r="V1211" s="8" t="str">
        <f>IF(Table13[[#This Row],[BMI]]&lt;=18.5,"Underweight",IF(Table13[[#This Row],[BMI]]&lt;=24.9,"Normal",IF(Table13[[#This Row],[BMI]]&lt;=29.9,"Overweight",IF(Table13[[#This Row],[BMI]]&lt;=39,"Obese","Severly Obese"))))</f>
        <v>Normal</v>
      </c>
      <c r="W1211" s="18">
        <v>19.23</v>
      </c>
    </row>
    <row r="1212" spans="6:23" x14ac:dyDescent="0.3">
      <c r="F1212" s="17">
        <v>45</v>
      </c>
      <c r="G1212" s="8" t="str">
        <f>IF(Table13[[#This Row],[Age]]&lt;25,"18-24",IF(Table13[[#This Row],[Age]]&lt;35,"25-34",IF(Table13[[#This Row],[Age]]&lt;45,"35-44",IF(Table13[[#This Row],[Age]]&lt;55,"45-54","55-64"))))</f>
        <v>45-54</v>
      </c>
      <c r="H1212" s="8" t="s">
        <v>19</v>
      </c>
      <c r="I1212" s="8">
        <v>61.6</v>
      </c>
      <c r="J1212" s="8">
        <v>1.95</v>
      </c>
      <c r="K1212" s="8">
        <v>176</v>
      </c>
      <c r="L1212" s="8"/>
      <c r="M1212" s="8">
        <v>64</v>
      </c>
      <c r="N1212" s="8">
        <v>1.1200000000000001</v>
      </c>
      <c r="O1212" s="8">
        <v>1049</v>
      </c>
      <c r="P1212" s="8" t="s">
        <v>18</v>
      </c>
      <c r="Q1212" s="8" t="str">
        <f>_xlfn.IFS(AND(Table13[[#This Row],[Gender]]="female",R1212&lt;20),"Athletes",AND(Table13[[#This Row],[Gender]]="female",R1212&lt;24),"Fitnesss",AND(Table13[[#This Row],[Gender]]="female",R1212&lt;31),"Acceptable",AND(Table13[[#This Row],[Gender]]="female",R1212&lt;40),"Obese",AND(Table13[[#This Row],[Gender]]="male",R1212&lt;13),"Athletes",AND(Table13[[#This Row],[Gender]]="male",R1212&lt;17),"Fitnesss",AND(Table13[[#This Row],[Gender]]="male",R1212&lt;24.9),"Acceptable",AND(Table13[[#This Row],[Gender]]="male",R1212&lt;40),"Obese",AND(Table13[[#This Row],[Gender]]="others",R1212&lt;20),"Athletes",AND(Table13[[#This Row],[Gender]]="others",R1212&lt;24),"Fitnesss",AND(Table13[[#This Row],[Gender]]="others",R1212&lt;31),"Acceptable",AND(Table13[[#This Row],[Gender]]="others",R1212&lt;40),"Obese")</f>
        <v>Obese</v>
      </c>
      <c r="R1212" s="8">
        <v>25.1</v>
      </c>
      <c r="S1212" s="8">
        <v>2.4</v>
      </c>
      <c r="T1212" s="8">
        <v>4</v>
      </c>
      <c r="U1212" s="8">
        <v>1</v>
      </c>
      <c r="V1212" s="8" t="str">
        <f>IF(Table13[[#This Row],[BMI]]&lt;=18.5,"Underweight",IF(Table13[[#This Row],[BMI]]&lt;=24.9,"Normal",IF(Table13[[#This Row],[BMI]]&lt;=29.9,"Overweight",IF(Table13[[#This Row],[BMI]]&lt;=39,"Obese","Severly Obese"))))</f>
        <v>Obese</v>
      </c>
      <c r="W1212" s="18">
        <v>30.72</v>
      </c>
    </row>
    <row r="1213" spans="6:23" x14ac:dyDescent="0.3">
      <c r="F1213" s="17">
        <v>44</v>
      </c>
      <c r="G1213" s="8" t="str">
        <f>IF(Table13[[#This Row],[Age]]&lt;25,"18-24",IF(Table13[[#This Row],[Age]]&lt;35,"25-34",IF(Table13[[#This Row],[Age]]&lt;45,"35-44",IF(Table13[[#This Row],[Age]]&lt;55,"45-54","55-64"))))</f>
        <v>35-44</v>
      </c>
      <c r="H1213" s="8" t="s">
        <v>19</v>
      </c>
      <c r="I1213" s="8">
        <v>64.2</v>
      </c>
      <c r="J1213" s="8">
        <v>1.7</v>
      </c>
      <c r="K1213" s="8"/>
      <c r="L1213" s="8">
        <v>139</v>
      </c>
      <c r="M1213" s="8">
        <v>62</v>
      </c>
      <c r="N1213" s="8">
        <v>1.3</v>
      </c>
      <c r="O1213" s="8">
        <v>1201</v>
      </c>
      <c r="P1213" s="8" t="s">
        <v>22</v>
      </c>
      <c r="Q1213" s="8" t="str">
        <f>_xlfn.IFS(AND(Table13[[#This Row],[Gender]]="female",R1213&lt;20),"Athletes",AND(Table13[[#This Row],[Gender]]="female",R1213&lt;24),"Fitnesss",AND(Table13[[#This Row],[Gender]]="female",R1213&lt;31),"Acceptable",AND(Table13[[#This Row],[Gender]]="female",R1213&lt;40),"Obese",AND(Table13[[#This Row],[Gender]]="male",R1213&lt;13),"Athletes",AND(Table13[[#This Row],[Gender]]="male",R1213&lt;17),"Fitnesss",AND(Table13[[#This Row],[Gender]]="male",R1213&lt;24.9),"Acceptable",AND(Table13[[#This Row],[Gender]]="male",R1213&lt;40),"Obese",AND(Table13[[#This Row],[Gender]]="others",R1213&lt;20),"Athletes",AND(Table13[[#This Row],[Gender]]="others",R1213&lt;24),"Fitnesss",AND(Table13[[#This Row],[Gender]]="others",R1213&lt;31),"Acceptable",AND(Table13[[#This Row],[Gender]]="others",R1213&lt;40),"Obese")</f>
        <v>Acceptable</v>
      </c>
      <c r="R1213" s="8">
        <v>23.2</v>
      </c>
      <c r="S1213" s="8">
        <v>3.3</v>
      </c>
      <c r="T1213" s="8">
        <v>2</v>
      </c>
      <c r="U1213" s="8">
        <v>2</v>
      </c>
      <c r="V1213" s="8" t="str">
        <f>IF(Table13[[#This Row],[BMI]]&lt;=18.5,"Underweight",IF(Table13[[#This Row],[BMI]]&lt;=24.9,"Normal",IF(Table13[[#This Row],[BMI]]&lt;=29.9,"Overweight",IF(Table13[[#This Row],[BMI]]&lt;=39,"Obese","Severly Obese"))))</f>
        <v>Underweight</v>
      </c>
      <c r="W1213" s="18">
        <v>15.79</v>
      </c>
    </row>
    <row r="1214" spans="6:23" x14ac:dyDescent="0.3">
      <c r="F1214" s="17">
        <v>31</v>
      </c>
      <c r="G1214" s="8" t="str">
        <f>IF(Table13[[#This Row],[Age]]&lt;25,"18-24",IF(Table13[[#This Row],[Age]]&lt;35,"25-34",IF(Table13[[#This Row],[Age]]&lt;45,"35-44",IF(Table13[[#This Row],[Age]]&lt;55,"45-54","55-64"))))</f>
        <v>25-34</v>
      </c>
      <c r="H1214" s="8" t="s">
        <v>19</v>
      </c>
      <c r="I1214" s="8">
        <v>53</v>
      </c>
      <c r="J1214" s="8">
        <v>1.83</v>
      </c>
      <c r="K1214" s="8">
        <v>182</v>
      </c>
      <c r="L1214" s="8">
        <v>149</v>
      </c>
      <c r="M1214" s="8">
        <v>55</v>
      </c>
      <c r="N1214" s="8">
        <v>1.33</v>
      </c>
      <c r="O1214" s="8">
        <v>821</v>
      </c>
      <c r="P1214" s="8" t="s">
        <v>18</v>
      </c>
      <c r="Q1214" s="8" t="str">
        <f>_xlfn.IFS(AND(Table13[[#This Row],[Gender]]="female",R1214&lt;20),"Athletes",AND(Table13[[#This Row],[Gender]]="female",R1214&lt;24),"Fitnesss",AND(Table13[[#This Row],[Gender]]="female",R1214&lt;31),"Acceptable",AND(Table13[[#This Row],[Gender]]="female",R1214&lt;40),"Obese",AND(Table13[[#This Row],[Gender]]="male",R1214&lt;13),"Athletes",AND(Table13[[#This Row],[Gender]]="male",R1214&lt;17),"Fitnesss",AND(Table13[[#This Row],[Gender]]="male",R1214&lt;24.9),"Acceptable",AND(Table13[[#This Row],[Gender]]="male",R1214&lt;40),"Obese",AND(Table13[[#This Row],[Gender]]="others",R1214&lt;20),"Athletes",AND(Table13[[#This Row],[Gender]]="others",R1214&lt;24),"Fitnesss",AND(Table13[[#This Row],[Gender]]="others",R1214&lt;31),"Acceptable",AND(Table13[[#This Row],[Gender]]="others",R1214&lt;40),"Obese")</f>
        <v>Acceptable</v>
      </c>
      <c r="R1214" s="8">
        <v>23.6</v>
      </c>
      <c r="S1214" s="8">
        <v>3.4</v>
      </c>
      <c r="T1214" s="8">
        <v>4</v>
      </c>
      <c r="U1214" s="8">
        <v>3</v>
      </c>
      <c r="V1214" s="8" t="str">
        <f>IF(Table13[[#This Row],[BMI]]&lt;=18.5,"Underweight",IF(Table13[[#This Row],[BMI]]&lt;=24.9,"Normal",IF(Table13[[#This Row],[BMI]]&lt;=29.9,"Overweight",IF(Table13[[#This Row],[BMI]]&lt;=39,"Obese","Severly Obese"))))</f>
        <v>Normal</v>
      </c>
      <c r="W1214" s="18">
        <v>22.89</v>
      </c>
    </row>
    <row r="1215" spans="6:23" x14ac:dyDescent="0.3">
      <c r="F1215" s="17">
        <v>50</v>
      </c>
      <c r="G1215" s="8" t="str">
        <f>IF(Table13[[#This Row],[Age]]&lt;25,"18-24",IF(Table13[[#This Row],[Age]]&lt;35,"25-34",IF(Table13[[#This Row],[Age]]&lt;45,"35-44",IF(Table13[[#This Row],[Age]]&lt;55,"45-54","55-64"))))</f>
        <v>45-54</v>
      </c>
      <c r="H1215" s="8" t="s">
        <v>17</v>
      </c>
      <c r="I1215" s="8">
        <v>69.599999999999994</v>
      </c>
      <c r="J1215" s="8">
        <v>1.9</v>
      </c>
      <c r="K1215" s="8">
        <v>172</v>
      </c>
      <c r="L1215" s="8">
        <v>127</v>
      </c>
      <c r="M1215" s="8">
        <v>74</v>
      </c>
      <c r="N1215" s="8"/>
      <c r="O1215" s="8">
        <v>303</v>
      </c>
      <c r="P1215" s="8" t="s">
        <v>18</v>
      </c>
      <c r="Q1215" s="8" t="str">
        <f>_xlfn.IFS(AND(Table13[[#This Row],[Gender]]="female",R1215&lt;20),"Athletes",AND(Table13[[#This Row],[Gender]]="female",R1215&lt;24),"Fitnesss",AND(Table13[[#This Row],[Gender]]="female",R1215&lt;31),"Acceptable",AND(Table13[[#This Row],[Gender]]="female",R1215&lt;40),"Obese",AND(Table13[[#This Row],[Gender]]="male",R1215&lt;13),"Athletes",AND(Table13[[#This Row],[Gender]]="male",R1215&lt;17),"Fitnesss",AND(Table13[[#This Row],[Gender]]="male",R1215&lt;24.9),"Acceptable",AND(Table13[[#This Row],[Gender]]="male",R1215&lt;40),"Obese",AND(Table13[[#This Row],[Gender]]="others",R1215&lt;20),"Athletes",AND(Table13[[#This Row],[Gender]]="others",R1215&lt;24),"Fitnesss",AND(Table13[[#This Row],[Gender]]="others",R1215&lt;31),"Acceptable",AND(Table13[[#This Row],[Gender]]="others",R1215&lt;40),"Obese")</f>
        <v>Acceptable</v>
      </c>
      <c r="R1215" s="8">
        <v>26.2</v>
      </c>
      <c r="S1215" s="8">
        <v>1.5</v>
      </c>
      <c r="T1215" s="8">
        <v>3</v>
      </c>
      <c r="U1215" s="8">
        <v>1</v>
      </c>
      <c r="V1215" s="8" t="str">
        <f>IF(Table13[[#This Row],[BMI]]&lt;=18.5,"Underweight",IF(Table13[[#This Row],[BMI]]&lt;=24.9,"Normal",IF(Table13[[#This Row],[BMI]]&lt;=29.9,"Overweight",IF(Table13[[#This Row],[BMI]]&lt;=39,"Obese","Severly Obese"))))</f>
        <v>Obese</v>
      </c>
      <c r="W1215" s="18">
        <v>29.91</v>
      </c>
    </row>
    <row r="1216" spans="6:23" x14ac:dyDescent="0.3">
      <c r="F1216" s="17">
        <v>38</v>
      </c>
      <c r="G1216" s="8" t="str">
        <f>IF(Table13[[#This Row],[Age]]&lt;25,"18-24",IF(Table13[[#This Row],[Age]]&lt;35,"25-34",IF(Table13[[#This Row],[Age]]&lt;45,"35-44",IF(Table13[[#This Row],[Age]]&lt;55,"45-54","55-64"))))</f>
        <v>35-44</v>
      </c>
      <c r="H1216" s="8" t="s">
        <v>17</v>
      </c>
      <c r="I1216" s="8">
        <v>81.099999999999994</v>
      </c>
      <c r="J1216" s="8">
        <v>1.92</v>
      </c>
      <c r="K1216" s="8">
        <v>190</v>
      </c>
      <c r="L1216" s="8">
        <v>125</v>
      </c>
      <c r="M1216" s="8">
        <v>61</v>
      </c>
      <c r="N1216" s="8">
        <v>1.18</v>
      </c>
      <c r="O1216" s="8">
        <v>690</v>
      </c>
      <c r="P1216" s="8" t="s">
        <v>22</v>
      </c>
      <c r="Q1216" s="8" t="str">
        <f>_xlfn.IFS(AND(Table13[[#This Row],[Gender]]="female",R1216&lt;20),"Athletes",AND(Table13[[#This Row],[Gender]]="female",R1216&lt;24),"Fitnesss",AND(Table13[[#This Row],[Gender]]="female",R1216&lt;31),"Acceptable",AND(Table13[[#This Row],[Gender]]="female",R1216&lt;40),"Obese",AND(Table13[[#This Row],[Gender]]="male",R1216&lt;13),"Athletes",AND(Table13[[#This Row],[Gender]]="male",R1216&lt;17),"Fitnesss",AND(Table13[[#This Row],[Gender]]="male",R1216&lt;24.9),"Acceptable",AND(Table13[[#This Row],[Gender]]="male",R1216&lt;40),"Obese",AND(Table13[[#This Row],[Gender]]="others",R1216&lt;20),"Athletes",AND(Table13[[#This Row],[Gender]]="others",R1216&lt;24),"Fitnesss",AND(Table13[[#This Row],[Gender]]="others",R1216&lt;31),"Acceptable",AND(Table13[[#This Row],[Gender]]="others",R1216&lt;40),"Obese")</f>
        <v>Acceptable</v>
      </c>
      <c r="R1216" s="8">
        <v>26.1</v>
      </c>
      <c r="S1216" s="8">
        <v>3.1</v>
      </c>
      <c r="T1216" s="8">
        <v>4</v>
      </c>
      <c r="U1216" s="8">
        <v>3</v>
      </c>
      <c r="V1216" s="8" t="str">
        <f>IF(Table13[[#This Row],[BMI]]&lt;=18.5,"Underweight",IF(Table13[[#This Row],[BMI]]&lt;=24.9,"Normal",IF(Table13[[#This Row],[BMI]]&lt;=29.9,"Overweight",IF(Table13[[#This Row],[BMI]]&lt;=39,"Obese","Severly Obese"))))</f>
        <v>Underweight</v>
      </c>
      <c r="W1216" s="18">
        <v>17.989999999999998</v>
      </c>
    </row>
    <row r="1217" spans="6:23" x14ac:dyDescent="0.3">
      <c r="F1217" s="17">
        <v>49</v>
      </c>
      <c r="G1217" s="8" t="str">
        <f>IF(Table13[[#This Row],[Age]]&lt;25,"18-24",IF(Table13[[#This Row],[Age]]&lt;35,"25-34",IF(Table13[[#This Row],[Age]]&lt;45,"35-44",IF(Table13[[#This Row],[Age]]&lt;55,"45-54","55-64"))))</f>
        <v>45-54</v>
      </c>
      <c r="H1217" s="8" t="s">
        <v>17</v>
      </c>
      <c r="I1217" s="8">
        <v>65.7</v>
      </c>
      <c r="J1217" s="8">
        <v>1.77</v>
      </c>
      <c r="K1217" s="8">
        <v>182</v>
      </c>
      <c r="L1217" s="8">
        <v>139</v>
      </c>
      <c r="M1217" s="8">
        <v>74</v>
      </c>
      <c r="N1217" s="8">
        <v>1.18</v>
      </c>
      <c r="O1217" s="8">
        <v>744</v>
      </c>
      <c r="P1217" s="8" t="s">
        <v>21</v>
      </c>
      <c r="Q1217" s="8" t="str">
        <f>_xlfn.IFS(AND(Table13[[#This Row],[Gender]]="female",R1217&lt;20),"Athletes",AND(Table13[[#This Row],[Gender]]="female",R1217&lt;24),"Fitnesss",AND(Table13[[#This Row],[Gender]]="female",R1217&lt;31),"Acceptable",AND(Table13[[#This Row],[Gender]]="female",R1217&lt;40),"Obese",AND(Table13[[#This Row],[Gender]]="male",R1217&lt;13),"Athletes",AND(Table13[[#This Row],[Gender]]="male",R1217&lt;17),"Fitnesss",AND(Table13[[#This Row],[Gender]]="male",R1217&lt;24.9),"Acceptable",AND(Table13[[#This Row],[Gender]]="male",R1217&lt;40),"Obese",AND(Table13[[#This Row],[Gender]]="others",R1217&lt;20),"Athletes",AND(Table13[[#This Row],[Gender]]="others",R1217&lt;24),"Fitnesss",AND(Table13[[#This Row],[Gender]]="others",R1217&lt;31),"Acceptable",AND(Table13[[#This Row],[Gender]]="others",R1217&lt;40),"Obese")</f>
        <v>Acceptable</v>
      </c>
      <c r="R1217" s="8">
        <v>26.8</v>
      </c>
      <c r="S1217" s="8">
        <v>3.1</v>
      </c>
      <c r="T1217" s="8">
        <v>2</v>
      </c>
      <c r="U1217" s="8">
        <v>2</v>
      </c>
      <c r="V1217" s="8" t="str">
        <f>IF(Table13[[#This Row],[BMI]]&lt;=18.5,"Underweight",IF(Table13[[#This Row],[BMI]]&lt;=24.9,"Normal",IF(Table13[[#This Row],[BMI]]&lt;=29.9,"Overweight",IF(Table13[[#This Row],[BMI]]&lt;=39,"Obese","Severly Obese"))))</f>
        <v>Normal</v>
      </c>
      <c r="W1217" s="18">
        <v>23</v>
      </c>
    </row>
    <row r="1218" spans="6:23" x14ac:dyDescent="0.3">
      <c r="F1218" s="17">
        <v>21</v>
      </c>
      <c r="G1218" s="8" t="str">
        <f>IF(Table13[[#This Row],[Age]]&lt;25,"18-24",IF(Table13[[#This Row],[Age]]&lt;35,"25-34",IF(Table13[[#This Row],[Age]]&lt;45,"35-44",IF(Table13[[#This Row],[Age]]&lt;55,"45-54","55-64"))))</f>
        <v>18-24</v>
      </c>
      <c r="H1218" s="8" t="s">
        <v>19</v>
      </c>
      <c r="I1218" s="8">
        <v>81.8</v>
      </c>
      <c r="J1218" s="8">
        <v>1.83</v>
      </c>
      <c r="K1218" s="8">
        <v>182</v>
      </c>
      <c r="L1218" s="8">
        <v>163</v>
      </c>
      <c r="M1218" s="8">
        <v>53</v>
      </c>
      <c r="N1218" s="8">
        <v>2</v>
      </c>
      <c r="O1218" s="8">
        <v>1159</v>
      </c>
      <c r="P1218" s="8" t="s">
        <v>20</v>
      </c>
      <c r="Q1218" s="8" t="str">
        <f>_xlfn.IFS(AND(Table13[[#This Row],[Gender]]="female",R1218&lt;20),"Athletes",AND(Table13[[#This Row],[Gender]]="female",R1218&lt;24),"Fitnesss",AND(Table13[[#This Row],[Gender]]="female",R1218&lt;31),"Acceptable",AND(Table13[[#This Row],[Gender]]="female",R1218&lt;40),"Obese",AND(Table13[[#This Row],[Gender]]="male",R1218&lt;13),"Athletes",AND(Table13[[#This Row],[Gender]]="male",R1218&lt;17),"Fitnesss",AND(Table13[[#This Row],[Gender]]="male",R1218&lt;24.9),"Acceptable",AND(Table13[[#This Row],[Gender]]="male",R1218&lt;40),"Obese",AND(Table13[[#This Row],[Gender]]="others",R1218&lt;20),"Athletes",AND(Table13[[#This Row],[Gender]]="others",R1218&lt;24),"Fitnesss",AND(Table13[[#This Row],[Gender]]="others",R1218&lt;31),"Acceptable",AND(Table13[[#This Row],[Gender]]="others",R1218&lt;40),"Obese")</f>
        <v>Obese</v>
      </c>
      <c r="R1218" s="8">
        <v>29.2</v>
      </c>
      <c r="S1218" s="8">
        <v>2.7</v>
      </c>
      <c r="T1218" s="8">
        <v>4</v>
      </c>
      <c r="U1218" s="8">
        <v>1</v>
      </c>
      <c r="V1218" s="8" t="str">
        <f>IF(Table13[[#This Row],[BMI]]&lt;=18.5,"Underweight",IF(Table13[[#This Row],[BMI]]&lt;=24.9,"Normal",IF(Table13[[#This Row],[BMI]]&lt;=29.9,"Overweight",IF(Table13[[#This Row],[BMI]]&lt;=39,"Obese","Severly Obese"))))</f>
        <v>Normal</v>
      </c>
      <c r="W1218" s="18">
        <v>22.27</v>
      </c>
    </row>
    <row r="1219" spans="6:23" x14ac:dyDescent="0.3">
      <c r="F1219" s="17">
        <v>28</v>
      </c>
      <c r="G1219" s="8" t="str">
        <f>IF(Table13[[#This Row],[Age]]&lt;25,"18-24",IF(Table13[[#This Row],[Age]]&lt;35,"25-34",IF(Table13[[#This Row],[Age]]&lt;45,"35-44",IF(Table13[[#This Row],[Age]]&lt;55,"45-54","55-64"))))</f>
        <v>25-34</v>
      </c>
      <c r="H1219" s="8" t="s">
        <v>17</v>
      </c>
      <c r="I1219" s="8">
        <v>91.2</v>
      </c>
      <c r="J1219" s="8">
        <v>1.77</v>
      </c>
      <c r="K1219" s="8">
        <v>164</v>
      </c>
      <c r="L1219" s="8">
        <v>162</v>
      </c>
      <c r="M1219" s="8">
        <v>55</v>
      </c>
      <c r="N1219" s="8">
        <v>1.28</v>
      </c>
      <c r="O1219" s="8">
        <v>648</v>
      </c>
      <c r="P1219" s="8" t="s">
        <v>18</v>
      </c>
      <c r="Q1219" s="8" t="str">
        <f>_xlfn.IFS(AND(Table13[[#This Row],[Gender]]="female",R1219&lt;20),"Athletes",AND(Table13[[#This Row],[Gender]]="female",R1219&lt;24),"Fitnesss",AND(Table13[[#This Row],[Gender]]="female",R1219&lt;31),"Acceptable",AND(Table13[[#This Row],[Gender]]="female",R1219&lt;40),"Obese",AND(Table13[[#This Row],[Gender]]="male",R1219&lt;13),"Athletes",AND(Table13[[#This Row],[Gender]]="male",R1219&lt;17),"Fitnesss",AND(Table13[[#This Row],[Gender]]="male",R1219&lt;24.9),"Acceptable",AND(Table13[[#This Row],[Gender]]="male",R1219&lt;40),"Obese",AND(Table13[[#This Row],[Gender]]="others",R1219&lt;20),"Athletes",AND(Table13[[#This Row],[Gender]]="others",R1219&lt;24),"Fitnesss",AND(Table13[[#This Row],[Gender]]="others",R1219&lt;31),"Acceptable",AND(Table13[[#This Row],[Gender]]="others",R1219&lt;40),"Obese")</f>
        <v>Acceptable</v>
      </c>
      <c r="R1219" s="8">
        <v>25.4</v>
      </c>
      <c r="S1219" s="8">
        <v>3.3</v>
      </c>
      <c r="T1219" s="8">
        <v>2</v>
      </c>
      <c r="U1219" s="8">
        <v>2</v>
      </c>
      <c r="V1219" s="8" t="str">
        <f>IF(Table13[[#This Row],[BMI]]&lt;=18.5,"Underweight",IF(Table13[[#This Row],[BMI]]&lt;=24.9,"Normal",IF(Table13[[#This Row],[BMI]]&lt;=29.9,"Overweight",IF(Table13[[#This Row],[BMI]]&lt;=39,"Obese","Severly Obese"))))</f>
        <v>Normal</v>
      </c>
      <c r="W1219" s="18">
        <v>18.88</v>
      </c>
    </row>
    <row r="1220" spans="6:23" x14ac:dyDescent="0.3">
      <c r="F1220" s="17">
        <v>52</v>
      </c>
      <c r="G1220" s="8" t="str">
        <f>IF(Table13[[#This Row],[Age]]&lt;25,"18-24",IF(Table13[[#This Row],[Age]]&lt;35,"25-34",IF(Table13[[#This Row],[Age]]&lt;45,"35-44",IF(Table13[[#This Row],[Age]]&lt;55,"45-54","55-64"))))</f>
        <v>45-54</v>
      </c>
      <c r="H1220" s="8" t="s">
        <v>17</v>
      </c>
      <c r="I1220" s="8">
        <v>98.5</v>
      </c>
      <c r="J1220" s="8">
        <v>1.96</v>
      </c>
      <c r="K1220" s="8">
        <v>183</v>
      </c>
      <c r="L1220" s="8">
        <v>169</v>
      </c>
      <c r="M1220" s="8">
        <v>50</v>
      </c>
      <c r="N1220" s="8">
        <v>1.98</v>
      </c>
      <c r="O1220" s="8">
        <v>1515</v>
      </c>
      <c r="P1220" s="8" t="s">
        <v>18</v>
      </c>
      <c r="Q1220" s="8" t="str">
        <f>_xlfn.IFS(AND(Table13[[#This Row],[Gender]]="female",R1220&lt;20),"Athletes",AND(Table13[[#This Row],[Gender]]="female",R1220&lt;24),"Fitnesss",AND(Table13[[#This Row],[Gender]]="female",R1220&lt;31),"Acceptable",AND(Table13[[#This Row],[Gender]]="female",R1220&lt;40),"Obese",AND(Table13[[#This Row],[Gender]]="male",R1220&lt;13),"Athletes",AND(Table13[[#This Row],[Gender]]="male",R1220&lt;17),"Fitnesss",AND(Table13[[#This Row],[Gender]]="male",R1220&lt;24.9),"Acceptable",AND(Table13[[#This Row],[Gender]]="male",R1220&lt;40),"Obese",AND(Table13[[#This Row],[Gender]]="others",R1220&lt;20),"Athletes",AND(Table13[[#This Row],[Gender]]="others",R1220&lt;24),"Fitnesss",AND(Table13[[#This Row],[Gender]]="others",R1220&lt;31),"Acceptable",AND(Table13[[#This Row],[Gender]]="others",R1220&lt;40),"Obese")</f>
        <v>Athletes</v>
      </c>
      <c r="R1220" s="8"/>
      <c r="S1220" s="8">
        <v>2.2000000000000002</v>
      </c>
      <c r="T1220" s="8">
        <v>5</v>
      </c>
      <c r="U1220" s="8">
        <v>1</v>
      </c>
      <c r="V1220" s="8" t="str">
        <f>IF(Table13[[#This Row],[BMI]]&lt;=18.5,"Underweight",IF(Table13[[#This Row],[BMI]]&lt;=24.9,"Normal",IF(Table13[[#This Row],[BMI]]&lt;=29.9,"Overweight",IF(Table13[[#This Row],[BMI]]&lt;=39,"Obese","Severly Obese"))))</f>
        <v>Obese</v>
      </c>
      <c r="W1220" s="18">
        <v>35.08</v>
      </c>
    </row>
    <row r="1221" spans="6:23" x14ac:dyDescent="0.3">
      <c r="F1221" s="17">
        <v>22</v>
      </c>
      <c r="G1221" s="8" t="str">
        <f>IF(Table13[[#This Row],[Age]]&lt;25,"18-24",IF(Table13[[#This Row],[Age]]&lt;35,"25-34",IF(Table13[[#This Row],[Age]]&lt;45,"35-44",IF(Table13[[#This Row],[Age]]&lt;55,"45-54","55-64"))))</f>
        <v>18-24</v>
      </c>
      <c r="H1221" s="8" t="s">
        <v>19</v>
      </c>
      <c r="I1221" s="8">
        <v>88.9</v>
      </c>
      <c r="J1221" s="8">
        <v>1.6</v>
      </c>
      <c r="K1221" s="8">
        <v>182</v>
      </c>
      <c r="L1221" s="8">
        <v>148</v>
      </c>
      <c r="M1221" s="8">
        <v>74</v>
      </c>
      <c r="N1221" s="8">
        <v>1.39</v>
      </c>
      <c r="O1221" s="8">
        <v>1386</v>
      </c>
      <c r="P1221" s="8" t="s">
        <v>21</v>
      </c>
      <c r="Q1221" s="8" t="str">
        <f>_xlfn.IFS(AND(Table13[[#This Row],[Gender]]="female",R1221&lt;20),"Athletes",AND(Table13[[#This Row],[Gender]]="female",R1221&lt;24),"Fitnesss",AND(Table13[[#This Row],[Gender]]="female",R1221&lt;31),"Acceptable",AND(Table13[[#This Row],[Gender]]="female",R1221&lt;40),"Obese",AND(Table13[[#This Row],[Gender]]="male",R1221&lt;13),"Athletes",AND(Table13[[#This Row],[Gender]]="male",R1221&lt;17),"Fitnesss",AND(Table13[[#This Row],[Gender]]="male",R1221&lt;24.9),"Acceptable",AND(Table13[[#This Row],[Gender]]="male",R1221&lt;40),"Obese",AND(Table13[[#This Row],[Gender]]="others",R1221&lt;20),"Athletes",AND(Table13[[#This Row],[Gender]]="others",R1221&lt;24),"Fitnesss",AND(Table13[[#This Row],[Gender]]="others",R1221&lt;31),"Acceptable",AND(Table13[[#This Row],[Gender]]="others",R1221&lt;40),"Obese")</f>
        <v>Obese</v>
      </c>
      <c r="R1221" s="8">
        <v>28.9</v>
      </c>
      <c r="S1221" s="8">
        <v>2.5</v>
      </c>
      <c r="T1221" s="8">
        <v>3</v>
      </c>
      <c r="U1221" s="8">
        <v>3</v>
      </c>
      <c r="V1221" s="8" t="str">
        <f>IF(Table13[[#This Row],[BMI]]&lt;=18.5,"Underweight",IF(Table13[[#This Row],[BMI]]&lt;=24.9,"Normal",IF(Table13[[#This Row],[BMI]]&lt;=29.9,"Overweight",IF(Table13[[#This Row],[BMI]]&lt;=39,"Obese","Severly Obese"))))</f>
        <v>Obese</v>
      </c>
      <c r="W1221" s="18">
        <v>32.24</v>
      </c>
    </row>
    <row r="1222" spans="6:23" x14ac:dyDescent="0.3">
      <c r="F1222" s="17">
        <v>43</v>
      </c>
      <c r="G1222" s="8" t="str">
        <f>IF(Table13[[#This Row],[Age]]&lt;25,"18-24",IF(Table13[[#This Row],[Age]]&lt;35,"25-34",IF(Table13[[#This Row],[Age]]&lt;45,"35-44",IF(Table13[[#This Row],[Age]]&lt;55,"45-54","55-64"))))</f>
        <v>35-44</v>
      </c>
      <c r="H1222" s="8" t="s">
        <v>19</v>
      </c>
      <c r="I1222" s="8">
        <v>88.5</v>
      </c>
      <c r="J1222" s="8">
        <v>1.72</v>
      </c>
      <c r="K1222" s="8">
        <v>185</v>
      </c>
      <c r="L1222" s="8">
        <v>131</v>
      </c>
      <c r="M1222" s="8">
        <v>67</v>
      </c>
      <c r="N1222" s="8">
        <v>1.48</v>
      </c>
      <c r="O1222" s="8">
        <v>1140</v>
      </c>
      <c r="P1222" s="8" t="s">
        <v>20</v>
      </c>
      <c r="Q1222" s="8" t="str">
        <f>_xlfn.IFS(AND(Table13[[#This Row],[Gender]]="female",R1222&lt;20),"Athletes",AND(Table13[[#This Row],[Gender]]="female",R1222&lt;24),"Fitnesss",AND(Table13[[#This Row],[Gender]]="female",R1222&lt;31),"Acceptable",AND(Table13[[#This Row],[Gender]]="female",R1222&lt;40),"Obese",AND(Table13[[#This Row],[Gender]]="male",R1222&lt;13),"Athletes",AND(Table13[[#This Row],[Gender]]="male",R1222&lt;17),"Fitnesss",AND(Table13[[#This Row],[Gender]]="male",R1222&lt;24.9),"Acceptable",AND(Table13[[#This Row],[Gender]]="male",R1222&lt;40),"Obese",AND(Table13[[#This Row],[Gender]]="others",R1222&lt;20),"Athletes",AND(Table13[[#This Row],[Gender]]="others",R1222&lt;24),"Fitnesss",AND(Table13[[#This Row],[Gender]]="others",R1222&lt;31),"Acceptable",AND(Table13[[#This Row],[Gender]]="others",R1222&lt;40),"Obese")</f>
        <v>Acceptable</v>
      </c>
      <c r="R1222" s="8">
        <v>23.6</v>
      </c>
      <c r="S1222" s="8">
        <v>3.3</v>
      </c>
      <c r="T1222" s="8">
        <v>4</v>
      </c>
      <c r="U1222" s="8">
        <v>1</v>
      </c>
      <c r="V1222" s="8" t="str">
        <f>IF(Table13[[#This Row],[BMI]]&lt;=18.5,"Underweight",IF(Table13[[#This Row],[BMI]]&lt;=24.9,"Normal",IF(Table13[[#This Row],[BMI]]&lt;=29.9,"Overweight",IF(Table13[[#This Row],[BMI]]&lt;=39,"Obese","Severly Obese"))))</f>
        <v>Overweight</v>
      </c>
      <c r="W1222" s="18">
        <v>28.7</v>
      </c>
    </row>
    <row r="1223" spans="6:23" x14ac:dyDescent="0.3">
      <c r="F1223" s="17">
        <v>46</v>
      </c>
      <c r="G1223" s="8" t="str">
        <f>IF(Table13[[#This Row],[Age]]&lt;25,"18-24",IF(Table13[[#This Row],[Age]]&lt;35,"25-34",IF(Table13[[#This Row],[Age]]&lt;45,"35-44",IF(Table13[[#This Row],[Age]]&lt;55,"45-54","55-64"))))</f>
        <v>45-54</v>
      </c>
      <c r="H1223" s="8" t="s">
        <v>19</v>
      </c>
      <c r="I1223" s="8">
        <v>85.9</v>
      </c>
      <c r="J1223" s="8">
        <v>1.7</v>
      </c>
      <c r="K1223" s="8">
        <v>180</v>
      </c>
      <c r="L1223" s="8">
        <v>148</v>
      </c>
      <c r="M1223" s="8">
        <v>66</v>
      </c>
      <c r="N1223" s="8">
        <v>1.77</v>
      </c>
      <c r="O1223" s="8">
        <v>1088</v>
      </c>
      <c r="P1223" s="8" t="s">
        <v>21</v>
      </c>
      <c r="Q1223" s="8" t="str">
        <f>_xlfn.IFS(AND(Table13[[#This Row],[Gender]]="female",R1223&lt;20),"Athletes",AND(Table13[[#This Row],[Gender]]="female",R1223&lt;24),"Fitnesss",AND(Table13[[#This Row],[Gender]]="female",R1223&lt;31),"Acceptable",AND(Table13[[#This Row],[Gender]]="female",R1223&lt;40),"Obese",AND(Table13[[#This Row],[Gender]]="male",R1223&lt;13),"Athletes",AND(Table13[[#This Row],[Gender]]="male",R1223&lt;17),"Fitnesss",AND(Table13[[#This Row],[Gender]]="male",R1223&lt;24.9),"Acceptable",AND(Table13[[#This Row],[Gender]]="male",R1223&lt;40),"Obese",AND(Table13[[#This Row],[Gender]]="others",R1223&lt;20),"Athletes",AND(Table13[[#This Row],[Gender]]="others",R1223&lt;24),"Fitnesss",AND(Table13[[#This Row],[Gender]]="others",R1223&lt;31),"Acceptable",AND(Table13[[#This Row],[Gender]]="others",R1223&lt;40),"Obese")</f>
        <v>Fitnesss</v>
      </c>
      <c r="R1223" s="8">
        <v>13.8</v>
      </c>
      <c r="S1223" s="8">
        <v>3.4</v>
      </c>
      <c r="T1223" s="8">
        <v>2</v>
      </c>
      <c r="U1223" s="8">
        <v>2</v>
      </c>
      <c r="V1223" s="8" t="str">
        <f>IF(Table13[[#This Row],[BMI]]&lt;=18.5,"Underweight",IF(Table13[[#This Row],[BMI]]&lt;=24.9,"Normal",IF(Table13[[#This Row],[BMI]]&lt;=29.9,"Overweight",IF(Table13[[#This Row],[BMI]]&lt;=39,"Obese","Severly Obese"))))</f>
        <v>Normal</v>
      </c>
      <c r="W1223" s="18">
        <v>21.8</v>
      </c>
    </row>
    <row r="1224" spans="6:23" x14ac:dyDescent="0.3">
      <c r="F1224" s="17">
        <v>18</v>
      </c>
      <c r="G1224" s="8" t="str">
        <f>IF(Table13[[#This Row],[Age]]&lt;25,"18-24",IF(Table13[[#This Row],[Age]]&lt;35,"25-34",IF(Table13[[#This Row],[Age]]&lt;45,"35-44",IF(Table13[[#This Row],[Age]]&lt;55,"45-54","55-64"))))</f>
        <v>18-24</v>
      </c>
      <c r="H1224" s="8" t="s">
        <v>19</v>
      </c>
      <c r="I1224" s="8">
        <v>56.5</v>
      </c>
      <c r="J1224" s="8">
        <v>1.86</v>
      </c>
      <c r="K1224" s="8">
        <v>193</v>
      </c>
      <c r="L1224" s="8">
        <v>129</v>
      </c>
      <c r="M1224" s="8">
        <v>54</v>
      </c>
      <c r="N1224" s="8">
        <v>1.4</v>
      </c>
      <c r="O1224" s="8">
        <v>901</v>
      </c>
      <c r="P1224" s="8" t="s">
        <v>21</v>
      </c>
      <c r="Q1224" s="8" t="str">
        <f>_xlfn.IFS(AND(Table13[[#This Row],[Gender]]="female",R1224&lt;20),"Athletes",AND(Table13[[#This Row],[Gender]]="female",R1224&lt;24),"Fitnesss",AND(Table13[[#This Row],[Gender]]="female",R1224&lt;31),"Acceptable",AND(Table13[[#This Row],[Gender]]="female",R1224&lt;40),"Obese",AND(Table13[[#This Row],[Gender]]="male",R1224&lt;13),"Athletes",AND(Table13[[#This Row],[Gender]]="male",R1224&lt;17),"Fitnesss",AND(Table13[[#This Row],[Gender]]="male",R1224&lt;24.9),"Acceptable",AND(Table13[[#This Row],[Gender]]="male",R1224&lt;40),"Obese",AND(Table13[[#This Row],[Gender]]="others",R1224&lt;20),"Athletes",AND(Table13[[#This Row],[Gender]]="others",R1224&lt;24),"Fitnesss",AND(Table13[[#This Row],[Gender]]="others",R1224&lt;31),"Acceptable",AND(Table13[[#This Row],[Gender]]="others",R1224&lt;40),"Obese")</f>
        <v>Acceptable</v>
      </c>
      <c r="R1224" s="8">
        <v>20.6</v>
      </c>
      <c r="S1224" s="8">
        <v>3.5</v>
      </c>
      <c r="T1224" s="8">
        <v>4</v>
      </c>
      <c r="U1224" s="8">
        <v>2</v>
      </c>
      <c r="V1224" s="8" t="str">
        <f>IF(Table13[[#This Row],[BMI]]&lt;=18.5,"Underweight",IF(Table13[[#This Row],[BMI]]&lt;=24.9,"Normal",IF(Table13[[#This Row],[BMI]]&lt;=29.9,"Overweight",IF(Table13[[#This Row],[BMI]]&lt;=39,"Obese","Severly Obese"))))</f>
        <v>Underweight</v>
      </c>
      <c r="W1224" s="18">
        <v>13.7</v>
      </c>
    </row>
    <row r="1225" spans="6:23" x14ac:dyDescent="0.3">
      <c r="F1225" s="17">
        <v>43</v>
      </c>
      <c r="G1225" s="8" t="str">
        <f>IF(Table13[[#This Row],[Age]]&lt;25,"18-24",IF(Table13[[#This Row],[Age]]&lt;35,"25-34",IF(Table13[[#This Row],[Age]]&lt;45,"35-44",IF(Table13[[#This Row],[Age]]&lt;55,"45-54","55-64"))))</f>
        <v>35-44</v>
      </c>
      <c r="H1225" s="8" t="s">
        <v>17</v>
      </c>
      <c r="I1225" s="8">
        <v>65.2</v>
      </c>
      <c r="J1225" s="8">
        <v>1.97</v>
      </c>
      <c r="K1225" s="8">
        <v>184</v>
      </c>
      <c r="L1225" s="8">
        <v>121</v>
      </c>
      <c r="M1225" s="8">
        <v>72</v>
      </c>
      <c r="N1225" s="8">
        <v>1.1000000000000001</v>
      </c>
      <c r="O1225" s="8">
        <v>594</v>
      </c>
      <c r="P1225" s="8" t="s">
        <v>21</v>
      </c>
      <c r="Q1225" s="8" t="str">
        <f>_xlfn.IFS(AND(Table13[[#This Row],[Gender]]="female",R1225&lt;20),"Athletes",AND(Table13[[#This Row],[Gender]]="female",R1225&lt;24),"Fitnesss",AND(Table13[[#This Row],[Gender]]="female",R1225&lt;31),"Acceptable",AND(Table13[[#This Row],[Gender]]="female",R1225&lt;40),"Obese",AND(Table13[[#This Row],[Gender]]="male",R1225&lt;13),"Athletes",AND(Table13[[#This Row],[Gender]]="male",R1225&lt;17),"Fitnesss",AND(Table13[[#This Row],[Gender]]="male",R1225&lt;24.9),"Acceptable",AND(Table13[[#This Row],[Gender]]="male",R1225&lt;40),"Obese",AND(Table13[[#This Row],[Gender]]="others",R1225&lt;20),"Athletes",AND(Table13[[#This Row],[Gender]]="others",R1225&lt;24),"Fitnesss",AND(Table13[[#This Row],[Gender]]="others",R1225&lt;31),"Acceptable",AND(Table13[[#This Row],[Gender]]="others",R1225&lt;40),"Obese")</f>
        <v>Fitnesss</v>
      </c>
      <c r="R1225" s="8">
        <v>23.2</v>
      </c>
      <c r="S1225" s="8"/>
      <c r="T1225" s="8">
        <v>3</v>
      </c>
      <c r="U1225" s="8">
        <v>2</v>
      </c>
      <c r="V1225" s="8" t="str">
        <f>IF(Table13[[#This Row],[BMI]]&lt;=18.5,"Underweight",IF(Table13[[#This Row],[BMI]]&lt;=24.9,"Normal",IF(Table13[[#This Row],[BMI]]&lt;=29.9,"Overweight",IF(Table13[[#This Row],[BMI]]&lt;=39,"Obese","Severly Obese"))))</f>
        <v>Underweight</v>
      </c>
      <c r="W1225" s="18">
        <v>17.03</v>
      </c>
    </row>
    <row r="1226" spans="6:23" x14ac:dyDescent="0.3">
      <c r="F1226" s="17">
        <v>18</v>
      </c>
      <c r="G1226" s="8" t="str">
        <f>IF(Table13[[#This Row],[Age]]&lt;25,"18-24",IF(Table13[[#This Row],[Age]]&lt;35,"25-34",IF(Table13[[#This Row],[Age]]&lt;45,"35-44",IF(Table13[[#This Row],[Age]]&lt;55,"45-54","55-64"))))</f>
        <v>18-24</v>
      </c>
      <c r="H1226" s="8" t="s">
        <v>19</v>
      </c>
      <c r="I1226" s="8">
        <v>71.900000000000006</v>
      </c>
      <c r="J1226" s="8">
        <v>1.54</v>
      </c>
      <c r="K1226" s="8">
        <v>170</v>
      </c>
      <c r="L1226" s="8">
        <v>121</v>
      </c>
      <c r="M1226" s="8">
        <v>59</v>
      </c>
      <c r="N1226" s="8">
        <v>1.48</v>
      </c>
      <c r="O1226" s="8">
        <v>658</v>
      </c>
      <c r="P1226" s="8" t="s">
        <v>21</v>
      </c>
      <c r="Q1226" s="8" t="str">
        <f>_xlfn.IFS(AND(Table13[[#This Row],[Gender]]="female",R1226&lt;20),"Athletes",AND(Table13[[#This Row],[Gender]]="female",R1226&lt;24),"Fitnesss",AND(Table13[[#This Row],[Gender]]="female",R1226&lt;31),"Acceptable",AND(Table13[[#This Row],[Gender]]="female",R1226&lt;40),"Obese",AND(Table13[[#This Row],[Gender]]="male",R1226&lt;13),"Athletes",AND(Table13[[#This Row],[Gender]]="male",R1226&lt;17),"Fitnesss",AND(Table13[[#This Row],[Gender]]="male",R1226&lt;24.9),"Acceptable",AND(Table13[[#This Row],[Gender]]="male",R1226&lt;40),"Obese",AND(Table13[[#This Row],[Gender]]="others",R1226&lt;20),"Athletes",AND(Table13[[#This Row],[Gender]]="others",R1226&lt;24),"Fitnesss",AND(Table13[[#This Row],[Gender]]="others",R1226&lt;31),"Acceptable",AND(Table13[[#This Row],[Gender]]="others",R1226&lt;40),"Obese")</f>
        <v>Acceptable</v>
      </c>
      <c r="R1226" s="8">
        <v>18.899999999999999</v>
      </c>
      <c r="S1226" s="8">
        <v>2.6</v>
      </c>
      <c r="T1226" s="8">
        <v>4</v>
      </c>
      <c r="U1226" s="8">
        <v>2</v>
      </c>
      <c r="V1226" s="8" t="str">
        <f>IF(Table13[[#This Row],[BMI]]&lt;=18.5,"Underweight",IF(Table13[[#This Row],[BMI]]&lt;=24.9,"Normal",IF(Table13[[#This Row],[BMI]]&lt;=29.9,"Overweight",IF(Table13[[#This Row],[BMI]]&lt;=39,"Obese","Severly Obese"))))</f>
        <v>Normal</v>
      </c>
      <c r="W1226" s="18">
        <v>24.65</v>
      </c>
    </row>
    <row r="1227" spans="6:23" x14ac:dyDescent="0.3">
      <c r="F1227" s="17">
        <v>44</v>
      </c>
      <c r="G1227" s="8" t="str">
        <f>IF(Table13[[#This Row],[Age]]&lt;25,"18-24",IF(Table13[[#This Row],[Age]]&lt;35,"25-34",IF(Table13[[#This Row],[Age]]&lt;45,"35-44",IF(Table13[[#This Row],[Age]]&lt;55,"45-54","55-64"))))</f>
        <v>35-44</v>
      </c>
      <c r="H1227" s="8" t="s">
        <v>19</v>
      </c>
      <c r="I1227" s="8">
        <v>66.8</v>
      </c>
      <c r="J1227" s="8">
        <v>1.72</v>
      </c>
      <c r="K1227" s="8">
        <v>191</v>
      </c>
      <c r="L1227" s="8">
        <v>136</v>
      </c>
      <c r="M1227" s="8">
        <v>68</v>
      </c>
      <c r="N1227" s="8">
        <v>1.34</v>
      </c>
      <c r="O1227" s="8">
        <v>1239</v>
      </c>
      <c r="P1227" s="8" t="s">
        <v>20</v>
      </c>
      <c r="Q1227" s="8" t="str">
        <f>_xlfn.IFS(AND(Table13[[#This Row],[Gender]]="female",R1227&lt;20),"Athletes",AND(Table13[[#This Row],[Gender]]="female",R1227&lt;24),"Fitnesss",AND(Table13[[#This Row],[Gender]]="female",R1227&lt;31),"Acceptable",AND(Table13[[#This Row],[Gender]]="female",R1227&lt;40),"Obese",AND(Table13[[#This Row],[Gender]]="male",R1227&lt;13),"Athletes",AND(Table13[[#This Row],[Gender]]="male",R1227&lt;17),"Fitnesss",AND(Table13[[#This Row],[Gender]]="male",R1227&lt;24.9),"Acceptable",AND(Table13[[#This Row],[Gender]]="male",R1227&lt;40),"Obese",AND(Table13[[#This Row],[Gender]]="others",R1227&lt;20),"Athletes",AND(Table13[[#This Row],[Gender]]="others",R1227&lt;24),"Fitnesss",AND(Table13[[#This Row],[Gender]]="others",R1227&lt;31),"Acceptable",AND(Table13[[#This Row],[Gender]]="others",R1227&lt;40),"Obese")</f>
        <v>Obese</v>
      </c>
      <c r="R1227" s="8">
        <v>31.5</v>
      </c>
      <c r="S1227" s="8">
        <v>2.8</v>
      </c>
      <c r="T1227" s="8">
        <v>4</v>
      </c>
      <c r="U1227" s="8">
        <v>2</v>
      </c>
      <c r="V1227" s="8" t="str">
        <f>IF(Table13[[#This Row],[BMI]]&lt;=18.5,"Underweight",IF(Table13[[#This Row],[BMI]]&lt;=24.9,"Normal",IF(Table13[[#This Row],[BMI]]&lt;=29.9,"Overweight",IF(Table13[[#This Row],[BMI]]&lt;=39,"Obese","Severly Obese"))))</f>
        <v>Normal</v>
      </c>
      <c r="W1227" s="18">
        <v>22.21</v>
      </c>
    </row>
    <row r="1228" spans="6:23" x14ac:dyDescent="0.3">
      <c r="F1228" s="17">
        <v>55</v>
      </c>
      <c r="G1228" s="8" t="str">
        <f>IF(Table13[[#This Row],[Age]]&lt;25,"18-24",IF(Table13[[#This Row],[Age]]&lt;35,"25-34",IF(Table13[[#This Row],[Age]]&lt;45,"35-44",IF(Table13[[#This Row],[Age]]&lt;55,"45-54","55-64"))))</f>
        <v>55-64</v>
      </c>
      <c r="H1228" s="8" t="s">
        <v>17</v>
      </c>
      <c r="I1228" s="8">
        <v>46.3</v>
      </c>
      <c r="J1228" s="8">
        <v>1.7</v>
      </c>
      <c r="K1228" s="8">
        <v>187</v>
      </c>
      <c r="L1228" s="8">
        <v>139</v>
      </c>
      <c r="M1228" s="8">
        <v>52</v>
      </c>
      <c r="N1228" s="8">
        <v>2</v>
      </c>
      <c r="O1228" s="8">
        <v>1130</v>
      </c>
      <c r="P1228" s="8" t="s">
        <v>20</v>
      </c>
      <c r="Q1228" s="8" t="str">
        <f>_xlfn.IFS(AND(Table13[[#This Row],[Gender]]="female",R1228&lt;20),"Athletes",AND(Table13[[#This Row],[Gender]]="female",R1228&lt;24),"Fitnesss",AND(Table13[[#This Row],[Gender]]="female",R1228&lt;31),"Acceptable",AND(Table13[[#This Row],[Gender]]="female",R1228&lt;40),"Obese",AND(Table13[[#This Row],[Gender]]="male",R1228&lt;13),"Athletes",AND(Table13[[#This Row],[Gender]]="male",R1228&lt;17),"Fitnesss",AND(Table13[[#This Row],[Gender]]="male",R1228&lt;24.9),"Acceptable",AND(Table13[[#This Row],[Gender]]="male",R1228&lt;40),"Obese",AND(Table13[[#This Row],[Gender]]="others",R1228&lt;20),"Athletes",AND(Table13[[#This Row],[Gender]]="others",R1228&lt;24),"Fitnesss",AND(Table13[[#This Row],[Gender]]="others",R1228&lt;31),"Acceptable",AND(Table13[[#This Row],[Gender]]="others",R1228&lt;40),"Obese")</f>
        <v>Acceptable</v>
      </c>
      <c r="R1228" s="8">
        <v>27.3</v>
      </c>
      <c r="S1228" s="8">
        <v>1.5</v>
      </c>
      <c r="T1228" s="8">
        <v>3</v>
      </c>
      <c r="U1228" s="8">
        <v>1</v>
      </c>
      <c r="V1228" s="8" t="str">
        <f>IF(Table13[[#This Row],[BMI]]&lt;=18.5,"Underweight",IF(Table13[[#This Row],[BMI]]&lt;=24.9,"Normal",IF(Table13[[#This Row],[BMI]]&lt;=29.9,"Overweight",IF(Table13[[#This Row],[BMI]]&lt;=39,"Obese","Severly Obese"))))</f>
        <v>Obese</v>
      </c>
      <c r="W1228" s="18">
        <v>32.94</v>
      </c>
    </row>
    <row r="1229" spans="6:23" x14ac:dyDescent="0.3">
      <c r="F1229" s="17">
        <v>36</v>
      </c>
      <c r="G1229" s="8" t="str">
        <f>IF(Table13[[#This Row],[Age]]&lt;25,"18-24",IF(Table13[[#This Row],[Age]]&lt;35,"25-34",IF(Table13[[#This Row],[Age]]&lt;45,"35-44",IF(Table13[[#This Row],[Age]]&lt;55,"45-54","55-64"))))</f>
        <v>35-44</v>
      </c>
      <c r="H1229" s="8" t="s">
        <v>19</v>
      </c>
      <c r="I1229" s="8">
        <v>93.2</v>
      </c>
      <c r="J1229" s="8">
        <v>1.63</v>
      </c>
      <c r="K1229" s="8"/>
      <c r="L1229" s="8">
        <v>153</v>
      </c>
      <c r="M1229" s="8">
        <v>55</v>
      </c>
      <c r="N1229" s="8">
        <v>1.21</v>
      </c>
      <c r="O1229" s="8">
        <v>389</v>
      </c>
      <c r="P1229" s="8" t="s">
        <v>20</v>
      </c>
      <c r="Q1229" s="8" t="str">
        <f>_xlfn.IFS(AND(Table13[[#This Row],[Gender]]="female",R1229&lt;20),"Athletes",AND(Table13[[#This Row],[Gender]]="female",R1229&lt;24),"Fitnesss",AND(Table13[[#This Row],[Gender]]="female",R1229&lt;31),"Acceptable",AND(Table13[[#This Row],[Gender]]="female",R1229&lt;40),"Obese",AND(Table13[[#This Row],[Gender]]="male",R1229&lt;13),"Athletes",AND(Table13[[#This Row],[Gender]]="male",R1229&lt;17),"Fitnesss",AND(Table13[[#This Row],[Gender]]="male",R1229&lt;24.9),"Acceptable",AND(Table13[[#This Row],[Gender]]="male",R1229&lt;40),"Obese",AND(Table13[[#This Row],[Gender]]="others",R1229&lt;20),"Athletes",AND(Table13[[#This Row],[Gender]]="others",R1229&lt;24),"Fitnesss",AND(Table13[[#This Row],[Gender]]="others",R1229&lt;31),"Acceptable",AND(Table13[[#This Row],[Gender]]="others",R1229&lt;40),"Obese")</f>
        <v>Obese</v>
      </c>
      <c r="R1229" s="8">
        <v>25.8</v>
      </c>
      <c r="S1229" s="8">
        <v>1.5</v>
      </c>
      <c r="T1229" s="8">
        <v>3</v>
      </c>
      <c r="U1229" s="8">
        <v>2</v>
      </c>
      <c r="V1229" s="8" t="str">
        <f>IF(Table13[[#This Row],[BMI]]&lt;=18.5,"Underweight",IF(Table13[[#This Row],[BMI]]&lt;=24.9,"Normal",IF(Table13[[#This Row],[BMI]]&lt;=29.9,"Overweight",IF(Table13[[#This Row],[BMI]]&lt;=39,"Obese","Severly Obese"))))</f>
        <v>Overweight</v>
      </c>
      <c r="W1229" s="18">
        <v>24.94</v>
      </c>
    </row>
    <row r="1230" spans="6:23" x14ac:dyDescent="0.3">
      <c r="F1230" s="17">
        <v>57</v>
      </c>
      <c r="G1230" s="8" t="str">
        <f>IF(Table13[[#This Row],[Age]]&lt;25,"18-24",IF(Table13[[#This Row],[Age]]&lt;35,"25-34",IF(Table13[[#This Row],[Age]]&lt;45,"35-44",IF(Table13[[#This Row],[Age]]&lt;55,"45-54","55-64"))))</f>
        <v>55-64</v>
      </c>
      <c r="H1230" s="8" t="s">
        <v>19</v>
      </c>
      <c r="I1230" s="8">
        <v>72.400000000000006</v>
      </c>
      <c r="J1230" s="8">
        <v>1.65</v>
      </c>
      <c r="K1230" s="8">
        <v>168</v>
      </c>
      <c r="L1230" s="8">
        <v>162</v>
      </c>
      <c r="M1230" s="8">
        <v>56</v>
      </c>
      <c r="N1230" s="8">
        <v>1.71</v>
      </c>
      <c r="O1230" s="8">
        <v>1140</v>
      </c>
      <c r="P1230" s="8" t="s">
        <v>22</v>
      </c>
      <c r="Q1230" s="8" t="str">
        <f>_xlfn.IFS(AND(Table13[[#This Row],[Gender]]="female",R1230&lt;20),"Athletes",AND(Table13[[#This Row],[Gender]]="female",R1230&lt;24),"Fitnesss",AND(Table13[[#This Row],[Gender]]="female",R1230&lt;31),"Acceptable",AND(Table13[[#This Row],[Gender]]="female",R1230&lt;40),"Obese",AND(Table13[[#This Row],[Gender]]="male",R1230&lt;13),"Athletes",AND(Table13[[#This Row],[Gender]]="male",R1230&lt;17),"Fitnesss",AND(Table13[[#This Row],[Gender]]="male",R1230&lt;24.9),"Acceptable",AND(Table13[[#This Row],[Gender]]="male",R1230&lt;40),"Obese",AND(Table13[[#This Row],[Gender]]="others",R1230&lt;20),"Athletes",AND(Table13[[#This Row],[Gender]]="others",R1230&lt;24),"Fitnesss",AND(Table13[[#This Row],[Gender]]="others",R1230&lt;31),"Acceptable",AND(Table13[[#This Row],[Gender]]="others",R1230&lt;40),"Obese")</f>
        <v>Athletes</v>
      </c>
      <c r="R1230" s="8">
        <v>10.9</v>
      </c>
      <c r="S1230" s="8">
        <v>2.5</v>
      </c>
      <c r="T1230" s="8">
        <v>4</v>
      </c>
      <c r="U1230" s="8">
        <v>1</v>
      </c>
      <c r="V1230" s="8" t="str">
        <f>IF(Table13[[#This Row],[BMI]]&lt;=18.5,"Underweight",IF(Table13[[#This Row],[BMI]]&lt;=24.9,"Normal",IF(Table13[[#This Row],[BMI]]&lt;=29.9,"Overweight",IF(Table13[[#This Row],[BMI]]&lt;=39,"Obese","Severly Obese"))))</f>
        <v>Overweight</v>
      </c>
      <c r="W1230" s="18">
        <v>28.3</v>
      </c>
    </row>
    <row r="1231" spans="6:23" x14ac:dyDescent="0.3">
      <c r="F1231" s="17">
        <v>41</v>
      </c>
      <c r="G1231" s="8" t="str">
        <f>IF(Table13[[#This Row],[Age]]&lt;25,"18-24",IF(Table13[[#This Row],[Age]]&lt;35,"25-34",IF(Table13[[#This Row],[Age]]&lt;45,"35-44",IF(Table13[[#This Row],[Age]]&lt;55,"45-54","55-64"))))</f>
        <v>35-44</v>
      </c>
      <c r="H1231" s="8" t="s">
        <v>19</v>
      </c>
      <c r="I1231" s="8">
        <v>70.7</v>
      </c>
      <c r="J1231" s="8">
        <v>1.81</v>
      </c>
      <c r="K1231" s="8">
        <v>191</v>
      </c>
      <c r="L1231" s="8">
        <v>134</v>
      </c>
      <c r="M1231" s="8">
        <v>62</v>
      </c>
      <c r="N1231" s="8">
        <v>1.53</v>
      </c>
      <c r="O1231" s="8">
        <v>1381</v>
      </c>
      <c r="P1231" s="8" t="s">
        <v>20</v>
      </c>
      <c r="Q1231" s="8" t="str">
        <f>_xlfn.IFS(AND(Table13[[#This Row],[Gender]]="female",R1231&lt;20),"Athletes",AND(Table13[[#This Row],[Gender]]="female",R1231&lt;24),"Fitnesss",AND(Table13[[#This Row],[Gender]]="female",R1231&lt;31),"Acceptable",AND(Table13[[#This Row],[Gender]]="female",R1231&lt;40),"Obese",AND(Table13[[#This Row],[Gender]]="male",R1231&lt;13),"Athletes",AND(Table13[[#This Row],[Gender]]="male",R1231&lt;17),"Fitnesss",AND(Table13[[#This Row],[Gender]]="male",R1231&lt;24.9),"Acceptable",AND(Table13[[#This Row],[Gender]]="male",R1231&lt;40),"Obese",AND(Table13[[#This Row],[Gender]]="others",R1231&lt;20),"Athletes",AND(Table13[[#This Row],[Gender]]="others",R1231&lt;24),"Fitnesss",AND(Table13[[#This Row],[Gender]]="others",R1231&lt;31),"Acceptable",AND(Table13[[#This Row],[Gender]]="others",R1231&lt;40),"Obese")</f>
        <v>Obese</v>
      </c>
      <c r="R1231" s="8">
        <v>30.3</v>
      </c>
      <c r="S1231" s="8">
        <v>3.3</v>
      </c>
      <c r="T1231" s="8">
        <v>2</v>
      </c>
      <c r="U1231" s="8">
        <v>2</v>
      </c>
      <c r="V1231" s="8" t="str">
        <f>IF(Table13[[#This Row],[BMI]]&lt;=18.5,"Underweight",IF(Table13[[#This Row],[BMI]]&lt;=24.9,"Normal",IF(Table13[[#This Row],[BMI]]&lt;=29.9,"Overweight",IF(Table13[[#This Row],[BMI]]&lt;=39,"Obese","Severly Obese"))))</f>
        <v>Normal</v>
      </c>
      <c r="W1231" s="18">
        <v>23.32</v>
      </c>
    </row>
    <row r="1232" spans="6:23" x14ac:dyDescent="0.3">
      <c r="F1232" s="17">
        <v>52</v>
      </c>
      <c r="G1232" s="8" t="str">
        <f>IF(Table13[[#This Row],[Age]]&lt;25,"18-24",IF(Table13[[#This Row],[Age]]&lt;35,"25-34",IF(Table13[[#This Row],[Age]]&lt;45,"35-44",IF(Table13[[#This Row],[Age]]&lt;55,"45-54","55-64"))))</f>
        <v>45-54</v>
      </c>
      <c r="H1232" s="8" t="s">
        <v>17</v>
      </c>
      <c r="I1232" s="8">
        <v>45</v>
      </c>
      <c r="J1232" s="8">
        <v>1.75</v>
      </c>
      <c r="K1232" s="8">
        <v>196</v>
      </c>
      <c r="L1232" s="8">
        <v>143</v>
      </c>
      <c r="M1232" s="8">
        <v>74</v>
      </c>
      <c r="N1232" s="8">
        <v>2</v>
      </c>
      <c r="O1232" s="8">
        <v>926</v>
      </c>
      <c r="P1232" s="8" t="s">
        <v>22</v>
      </c>
      <c r="Q1232" s="8" t="str">
        <f>_xlfn.IFS(AND(Table13[[#This Row],[Gender]]="female",R1232&lt;20),"Athletes",AND(Table13[[#This Row],[Gender]]="female",R1232&lt;24),"Fitnesss",AND(Table13[[#This Row],[Gender]]="female",R1232&lt;31),"Acceptable",AND(Table13[[#This Row],[Gender]]="female",R1232&lt;40),"Obese",AND(Table13[[#This Row],[Gender]]="male",R1232&lt;13),"Athletes",AND(Table13[[#This Row],[Gender]]="male",R1232&lt;17),"Fitnesss",AND(Table13[[#This Row],[Gender]]="male",R1232&lt;24.9),"Acceptable",AND(Table13[[#This Row],[Gender]]="male",R1232&lt;40),"Obese",AND(Table13[[#This Row],[Gender]]="others",R1232&lt;20),"Athletes",AND(Table13[[#This Row],[Gender]]="others",R1232&lt;24),"Fitnesss",AND(Table13[[#This Row],[Gender]]="others",R1232&lt;31),"Acceptable",AND(Table13[[#This Row],[Gender]]="others",R1232&lt;40),"Obese")</f>
        <v>Fitnesss</v>
      </c>
      <c r="R1232" s="8">
        <v>22</v>
      </c>
      <c r="S1232" s="8">
        <v>2.4</v>
      </c>
      <c r="T1232" s="8">
        <v>3</v>
      </c>
      <c r="U1232" s="8">
        <v>1</v>
      </c>
      <c r="V1232" s="8" t="str">
        <f>IF(Table13[[#This Row],[BMI]]&lt;=18.5,"Underweight",IF(Table13[[#This Row],[BMI]]&lt;=24.9,"Normal",IF(Table13[[#This Row],[BMI]]&lt;=29.9,"Overweight",IF(Table13[[#This Row],[BMI]]&lt;=39,"Obese","Severly Obese"))))</f>
        <v>Obese</v>
      </c>
      <c r="W1232" s="18">
        <v>38.799999999999997</v>
      </c>
    </row>
    <row r="1233" spans="6:23" x14ac:dyDescent="0.3">
      <c r="F1233" s="17">
        <v>18</v>
      </c>
      <c r="G1233" s="8" t="str">
        <f>IF(Table13[[#This Row],[Age]]&lt;25,"18-24",IF(Table13[[#This Row],[Age]]&lt;35,"25-34",IF(Table13[[#This Row],[Age]]&lt;45,"35-44",IF(Table13[[#This Row],[Age]]&lt;55,"45-54","55-64"))))</f>
        <v>18-24</v>
      </c>
      <c r="H1233" s="8" t="s">
        <v>17</v>
      </c>
      <c r="I1233" s="8">
        <v>74.8</v>
      </c>
      <c r="J1233" s="8">
        <v>1.83</v>
      </c>
      <c r="K1233" s="8">
        <v>165</v>
      </c>
      <c r="L1233" s="8">
        <v>144</v>
      </c>
      <c r="M1233" s="8">
        <v>63</v>
      </c>
      <c r="N1233" s="8">
        <v>1.66</v>
      </c>
      <c r="O1233" s="8">
        <v>1174</v>
      </c>
      <c r="P1233" s="8" t="s">
        <v>20</v>
      </c>
      <c r="Q1233" s="8" t="str">
        <f>_xlfn.IFS(AND(Table13[[#This Row],[Gender]]="female",R1233&lt;20),"Athletes",AND(Table13[[#This Row],[Gender]]="female",R1233&lt;24),"Fitnesss",AND(Table13[[#This Row],[Gender]]="female",R1233&lt;31),"Acceptable",AND(Table13[[#This Row],[Gender]]="female",R1233&lt;40),"Obese",AND(Table13[[#This Row],[Gender]]="male",R1233&lt;13),"Athletes",AND(Table13[[#This Row],[Gender]]="male",R1233&lt;17),"Fitnesss",AND(Table13[[#This Row],[Gender]]="male",R1233&lt;24.9),"Acceptable",AND(Table13[[#This Row],[Gender]]="male",R1233&lt;40),"Obese",AND(Table13[[#This Row],[Gender]]="others",R1233&lt;20),"Athletes",AND(Table13[[#This Row],[Gender]]="others",R1233&lt;24),"Fitnesss",AND(Table13[[#This Row],[Gender]]="others",R1233&lt;31),"Acceptable",AND(Table13[[#This Row],[Gender]]="others",R1233&lt;40),"Obese")</f>
        <v>Fitnesss</v>
      </c>
      <c r="R1233" s="8">
        <v>22.9</v>
      </c>
      <c r="S1233" s="8">
        <v>3.1</v>
      </c>
      <c r="T1233" s="8">
        <v>2</v>
      </c>
      <c r="U1233" s="8">
        <v>2</v>
      </c>
      <c r="V1233" s="8" t="str">
        <f>IF(Table13[[#This Row],[BMI]]&lt;=18.5,"Underweight",IF(Table13[[#This Row],[BMI]]&lt;=24.9,"Normal",IF(Table13[[#This Row],[BMI]]&lt;=29.9,"Overweight",IF(Table13[[#This Row],[BMI]]&lt;=39,"Obese","Severly Obese"))))</f>
        <v>Underweight</v>
      </c>
      <c r="W1233" s="18">
        <v>15.29</v>
      </c>
    </row>
    <row r="1234" spans="6:23" x14ac:dyDescent="0.3">
      <c r="F1234" s="17">
        <v>31</v>
      </c>
      <c r="G1234" s="8" t="str">
        <f>IF(Table13[[#This Row],[Age]]&lt;25,"18-24",IF(Table13[[#This Row],[Age]]&lt;35,"25-34",IF(Table13[[#This Row],[Age]]&lt;45,"35-44",IF(Table13[[#This Row],[Age]]&lt;55,"45-54","55-64"))))</f>
        <v>25-34</v>
      </c>
      <c r="H1234" s="8" t="s">
        <v>17</v>
      </c>
      <c r="I1234" s="8">
        <v>61.1</v>
      </c>
      <c r="J1234" s="8">
        <v>1.69</v>
      </c>
      <c r="K1234" s="8">
        <v>190</v>
      </c>
      <c r="L1234" s="8">
        <v>123</v>
      </c>
      <c r="M1234" s="8">
        <v>64</v>
      </c>
      <c r="N1234" s="8">
        <v>0.62</v>
      </c>
      <c r="O1234" s="8">
        <v>1227</v>
      </c>
      <c r="P1234" s="8" t="s">
        <v>21</v>
      </c>
      <c r="Q1234" s="8" t="str">
        <f>_xlfn.IFS(AND(Table13[[#This Row],[Gender]]="female",R1234&lt;20),"Athletes",AND(Table13[[#This Row],[Gender]]="female",R1234&lt;24),"Fitnesss",AND(Table13[[#This Row],[Gender]]="female",R1234&lt;31),"Acceptable",AND(Table13[[#This Row],[Gender]]="female",R1234&lt;40),"Obese",AND(Table13[[#This Row],[Gender]]="male",R1234&lt;13),"Athletes",AND(Table13[[#This Row],[Gender]]="male",R1234&lt;17),"Fitnesss",AND(Table13[[#This Row],[Gender]]="male",R1234&lt;24.9),"Acceptable",AND(Table13[[#This Row],[Gender]]="male",R1234&lt;40),"Obese",AND(Table13[[#This Row],[Gender]]="others",R1234&lt;20),"Athletes",AND(Table13[[#This Row],[Gender]]="others",R1234&lt;24),"Fitnesss",AND(Table13[[#This Row],[Gender]]="others",R1234&lt;31),"Acceptable",AND(Table13[[#This Row],[Gender]]="others",R1234&lt;40),"Obese")</f>
        <v>Fitnesss</v>
      </c>
      <c r="R1234" s="8">
        <v>23.8</v>
      </c>
      <c r="S1234" s="8">
        <v>3.6</v>
      </c>
      <c r="T1234" s="8">
        <v>2</v>
      </c>
      <c r="U1234" s="8">
        <v>3</v>
      </c>
      <c r="V1234" s="8" t="str">
        <f>IF(Table13[[#This Row],[BMI]]&lt;=18.5,"Underweight",IF(Table13[[#This Row],[BMI]]&lt;=24.9,"Normal",IF(Table13[[#This Row],[BMI]]&lt;=29.9,"Overweight",IF(Table13[[#This Row],[BMI]]&lt;=39,"Obese","Severly Obese"))))</f>
        <v>Normal</v>
      </c>
      <c r="W1234" s="18">
        <v>19.829999999999998</v>
      </c>
    </row>
    <row r="1235" spans="6:23" x14ac:dyDescent="0.3">
      <c r="F1235" s="17">
        <v>34</v>
      </c>
      <c r="G1235" s="8" t="str">
        <f>IF(Table13[[#This Row],[Age]]&lt;25,"18-24",IF(Table13[[#This Row],[Age]]&lt;35,"25-34",IF(Table13[[#This Row],[Age]]&lt;45,"35-44",IF(Table13[[#This Row],[Age]]&lt;55,"45-54","55-64"))))</f>
        <v>25-34</v>
      </c>
      <c r="H1235" s="8" t="s">
        <v>17</v>
      </c>
      <c r="I1235" s="8">
        <v>44.3</v>
      </c>
      <c r="J1235" s="8">
        <v>1.76</v>
      </c>
      <c r="K1235" s="8">
        <v>180</v>
      </c>
      <c r="L1235" s="8">
        <v>129</v>
      </c>
      <c r="M1235" s="8">
        <v>58</v>
      </c>
      <c r="N1235" s="8">
        <v>1.85</v>
      </c>
      <c r="O1235" s="8">
        <v>494</v>
      </c>
      <c r="P1235" s="8" t="s">
        <v>18</v>
      </c>
      <c r="Q1235" s="8" t="str">
        <f>_xlfn.IFS(AND(Table13[[#This Row],[Gender]]="female",R1235&lt;20),"Athletes",AND(Table13[[#This Row],[Gender]]="female",R1235&lt;24),"Fitnesss",AND(Table13[[#This Row],[Gender]]="female",R1235&lt;31),"Acceptable",AND(Table13[[#This Row],[Gender]]="female",R1235&lt;40),"Obese",AND(Table13[[#This Row],[Gender]]="male",R1235&lt;13),"Athletes",AND(Table13[[#This Row],[Gender]]="male",R1235&lt;17),"Fitnesss",AND(Table13[[#This Row],[Gender]]="male",R1235&lt;24.9),"Acceptable",AND(Table13[[#This Row],[Gender]]="male",R1235&lt;40),"Obese",AND(Table13[[#This Row],[Gender]]="others",R1235&lt;20),"Athletes",AND(Table13[[#This Row],[Gender]]="others",R1235&lt;24),"Fitnesss",AND(Table13[[#This Row],[Gender]]="others",R1235&lt;31),"Acceptable",AND(Table13[[#This Row],[Gender]]="others",R1235&lt;40),"Obese")</f>
        <v>Acceptable</v>
      </c>
      <c r="R1235" s="8">
        <v>25.8</v>
      </c>
      <c r="S1235" s="8">
        <v>3.2</v>
      </c>
      <c r="T1235" s="8">
        <v>4</v>
      </c>
      <c r="U1235" s="8">
        <v>3</v>
      </c>
      <c r="V1235" s="8" t="str">
        <f>IF(Table13[[#This Row],[BMI]]&lt;=18.5,"Underweight",IF(Table13[[#This Row],[BMI]]&lt;=24.9,"Normal",IF(Table13[[#This Row],[BMI]]&lt;=29.9,"Overweight",IF(Table13[[#This Row],[BMI]]&lt;=39,"Obese","Severly Obese"))))</f>
        <v>Underweight</v>
      </c>
      <c r="W1235" s="18">
        <v>16.48</v>
      </c>
    </row>
    <row r="1236" spans="6:23" x14ac:dyDescent="0.3">
      <c r="F1236" s="17">
        <v>20</v>
      </c>
      <c r="G1236" s="8" t="str">
        <f>IF(Table13[[#This Row],[Age]]&lt;25,"18-24",IF(Table13[[#This Row],[Age]]&lt;35,"25-34",IF(Table13[[#This Row],[Age]]&lt;45,"35-44",IF(Table13[[#This Row],[Age]]&lt;55,"45-54","55-64"))))</f>
        <v>18-24</v>
      </c>
      <c r="H1236" s="8" t="s">
        <v>17</v>
      </c>
      <c r="I1236" s="8">
        <v>96.2</v>
      </c>
      <c r="J1236" s="8">
        <v>1.59</v>
      </c>
      <c r="K1236" s="8">
        <v>170</v>
      </c>
      <c r="L1236" s="8">
        <v>142</v>
      </c>
      <c r="M1236" s="8">
        <v>52</v>
      </c>
      <c r="N1236" s="8">
        <v>1.57</v>
      </c>
      <c r="O1236" s="8">
        <v>1305</v>
      </c>
      <c r="P1236" s="8" t="s">
        <v>18</v>
      </c>
      <c r="Q1236" s="8" t="str">
        <f>_xlfn.IFS(AND(Table13[[#This Row],[Gender]]="female",R1236&lt;20),"Athletes",AND(Table13[[#This Row],[Gender]]="female",R1236&lt;24),"Fitnesss",AND(Table13[[#This Row],[Gender]]="female",R1236&lt;31),"Acceptable",AND(Table13[[#This Row],[Gender]]="female",R1236&lt;40),"Obese",AND(Table13[[#This Row],[Gender]]="male",R1236&lt;13),"Athletes",AND(Table13[[#This Row],[Gender]]="male",R1236&lt;17),"Fitnesss",AND(Table13[[#This Row],[Gender]]="male",R1236&lt;24.9),"Acceptable",AND(Table13[[#This Row],[Gender]]="male",R1236&lt;40),"Obese",AND(Table13[[#This Row],[Gender]]="others",R1236&lt;20),"Athletes",AND(Table13[[#This Row],[Gender]]="others",R1236&lt;24),"Fitnesss",AND(Table13[[#This Row],[Gender]]="others",R1236&lt;31),"Acceptable",AND(Table13[[#This Row],[Gender]]="others",R1236&lt;40),"Obese")</f>
        <v>Athletes</v>
      </c>
      <c r="R1236" s="8">
        <v>10.199999999999999</v>
      </c>
      <c r="S1236" s="8">
        <v>2.8</v>
      </c>
      <c r="T1236" s="8"/>
      <c r="U1236" s="8">
        <v>1</v>
      </c>
      <c r="V1236" s="8" t="str">
        <f>IF(Table13[[#This Row],[BMI]]&lt;=18.5,"Underweight",IF(Table13[[#This Row],[BMI]]&lt;=24.9,"Normal",IF(Table13[[#This Row],[BMI]]&lt;=29.9,"Overweight",IF(Table13[[#This Row],[BMI]]&lt;=39,"Obese","Severly Obese"))))</f>
        <v>Normal</v>
      </c>
      <c r="W1236" s="18">
        <v>21.72</v>
      </c>
    </row>
    <row r="1237" spans="6:23" x14ac:dyDescent="0.3">
      <c r="F1237" s="17">
        <v>47</v>
      </c>
      <c r="G1237" s="8" t="str">
        <f>IF(Table13[[#This Row],[Age]]&lt;25,"18-24",IF(Table13[[#This Row],[Age]]&lt;35,"25-34",IF(Table13[[#This Row],[Age]]&lt;45,"35-44",IF(Table13[[#This Row],[Age]]&lt;55,"45-54","55-64"))))</f>
        <v>45-54</v>
      </c>
      <c r="H1237" s="8" t="s">
        <v>19</v>
      </c>
      <c r="I1237" s="8">
        <v>69.7</v>
      </c>
      <c r="J1237" s="8">
        <v>1.83</v>
      </c>
      <c r="K1237" s="8">
        <v>184</v>
      </c>
      <c r="L1237" s="8">
        <v>121</v>
      </c>
      <c r="M1237" s="8">
        <v>70</v>
      </c>
      <c r="N1237" s="8">
        <v>1.02</v>
      </c>
      <c r="O1237" s="8">
        <v>747</v>
      </c>
      <c r="P1237" s="8" t="s">
        <v>21</v>
      </c>
      <c r="Q1237" s="8" t="str">
        <f>_xlfn.IFS(AND(Table13[[#This Row],[Gender]]="female",R1237&lt;20),"Athletes",AND(Table13[[#This Row],[Gender]]="female",R1237&lt;24),"Fitnesss",AND(Table13[[#This Row],[Gender]]="female",R1237&lt;31),"Acceptable",AND(Table13[[#This Row],[Gender]]="female",R1237&lt;40),"Obese",AND(Table13[[#This Row],[Gender]]="male",R1237&lt;13),"Athletes",AND(Table13[[#This Row],[Gender]]="male",R1237&lt;17),"Fitnesss",AND(Table13[[#This Row],[Gender]]="male",R1237&lt;24.9),"Acceptable",AND(Table13[[#This Row],[Gender]]="male",R1237&lt;40),"Obese",AND(Table13[[#This Row],[Gender]]="others",R1237&lt;20),"Athletes",AND(Table13[[#This Row],[Gender]]="others",R1237&lt;24),"Fitnesss",AND(Table13[[#This Row],[Gender]]="others",R1237&lt;31),"Acceptable",AND(Table13[[#This Row],[Gender]]="others",R1237&lt;40),"Obese")</f>
        <v>Obese</v>
      </c>
      <c r="R1237" s="8">
        <v>30.2</v>
      </c>
      <c r="S1237" s="8">
        <v>1.9</v>
      </c>
      <c r="T1237" s="8">
        <v>5</v>
      </c>
      <c r="U1237" s="8">
        <v>1</v>
      </c>
      <c r="V1237" s="8" t="str">
        <f>IF(Table13[[#This Row],[BMI]]&lt;=18.5,"Underweight",IF(Table13[[#This Row],[BMI]]&lt;=24.9,"Normal",IF(Table13[[#This Row],[BMI]]&lt;=29.9,"Overweight",IF(Table13[[#This Row],[BMI]]&lt;=39,"Obese","Severly Obese"))))</f>
        <v>Normal</v>
      </c>
      <c r="W1237" s="18">
        <v>20.78</v>
      </c>
    </row>
    <row r="1238" spans="6:23" x14ac:dyDescent="0.3">
      <c r="F1238" s="17">
        <v>33</v>
      </c>
      <c r="G1238" s="8" t="str">
        <f>IF(Table13[[#This Row],[Age]]&lt;25,"18-24",IF(Table13[[#This Row],[Age]]&lt;35,"25-34",IF(Table13[[#This Row],[Age]]&lt;45,"35-44",IF(Table13[[#This Row],[Age]]&lt;55,"45-54","55-64"))))</f>
        <v>25-34</v>
      </c>
      <c r="H1238" s="8" t="s">
        <v>19</v>
      </c>
      <c r="I1238" s="8">
        <v>41.9</v>
      </c>
      <c r="J1238" s="8">
        <v>1.59</v>
      </c>
      <c r="K1238" s="8">
        <v>166</v>
      </c>
      <c r="L1238" s="8">
        <v>165</v>
      </c>
      <c r="M1238" s="8">
        <v>50</v>
      </c>
      <c r="N1238" s="8">
        <v>2</v>
      </c>
      <c r="O1238" s="8">
        <v>898</v>
      </c>
      <c r="P1238" s="8" t="s">
        <v>18</v>
      </c>
      <c r="Q1238" s="8" t="str">
        <f>_xlfn.IFS(AND(Table13[[#This Row],[Gender]]="female",R1238&lt;20),"Athletes",AND(Table13[[#This Row],[Gender]]="female",R1238&lt;24),"Fitnesss",AND(Table13[[#This Row],[Gender]]="female",R1238&lt;31),"Acceptable",AND(Table13[[#This Row],[Gender]]="female",R1238&lt;40),"Obese",AND(Table13[[#This Row],[Gender]]="male",R1238&lt;13),"Athletes",AND(Table13[[#This Row],[Gender]]="male",R1238&lt;17),"Fitnesss",AND(Table13[[#This Row],[Gender]]="male",R1238&lt;24.9),"Acceptable",AND(Table13[[#This Row],[Gender]]="male",R1238&lt;40),"Obese",AND(Table13[[#This Row],[Gender]]="others",R1238&lt;20),"Athletes",AND(Table13[[#This Row],[Gender]]="others",R1238&lt;24),"Fitnesss",AND(Table13[[#This Row],[Gender]]="others",R1238&lt;31),"Acceptable",AND(Table13[[#This Row],[Gender]]="others",R1238&lt;40),"Obese")</f>
        <v>Acceptable</v>
      </c>
      <c r="R1238" s="8">
        <v>24.6</v>
      </c>
      <c r="S1238" s="8">
        <v>3.2</v>
      </c>
      <c r="T1238" s="8">
        <v>3</v>
      </c>
      <c r="U1238" s="8">
        <v>2</v>
      </c>
      <c r="V1238" s="8" t="str">
        <f>IF(Table13[[#This Row],[BMI]]&lt;=18.5,"Underweight",IF(Table13[[#This Row],[BMI]]&lt;=24.9,"Normal",IF(Table13[[#This Row],[BMI]]&lt;=29.9,"Overweight",IF(Table13[[#This Row],[BMI]]&lt;=39,"Obese","Severly Obese"))))</f>
        <v>Underweight</v>
      </c>
      <c r="W1238" s="18">
        <v>14.53</v>
      </c>
    </row>
    <row r="1239" spans="6:23" x14ac:dyDescent="0.3">
      <c r="F1239" s="17">
        <v>47</v>
      </c>
      <c r="G1239" s="8" t="str">
        <f>IF(Table13[[#This Row],[Age]]&lt;25,"18-24",IF(Table13[[#This Row],[Age]]&lt;35,"25-34",IF(Table13[[#This Row],[Age]]&lt;45,"35-44",IF(Table13[[#This Row],[Age]]&lt;55,"45-54","55-64"))))</f>
        <v>45-54</v>
      </c>
      <c r="H1239" s="8" t="s">
        <v>17</v>
      </c>
      <c r="I1239" s="8">
        <v>52.9</v>
      </c>
      <c r="J1239" s="8">
        <v>1.67</v>
      </c>
      <c r="K1239" s="8">
        <v>180</v>
      </c>
      <c r="L1239" s="8">
        <v>142</v>
      </c>
      <c r="M1239" s="8">
        <v>72</v>
      </c>
      <c r="N1239" s="8">
        <v>1.1100000000000001</v>
      </c>
      <c r="O1239" s="8">
        <v>770</v>
      </c>
      <c r="P1239" s="8" t="s">
        <v>20</v>
      </c>
      <c r="Q1239" s="8" t="str">
        <f>_xlfn.IFS(AND(Table13[[#This Row],[Gender]]="female",R1239&lt;20),"Athletes",AND(Table13[[#This Row],[Gender]]="female",R1239&lt;24),"Fitnesss",AND(Table13[[#This Row],[Gender]]="female",R1239&lt;31),"Acceptable",AND(Table13[[#This Row],[Gender]]="female",R1239&lt;40),"Obese",AND(Table13[[#This Row],[Gender]]="male",R1239&lt;13),"Athletes",AND(Table13[[#This Row],[Gender]]="male",R1239&lt;17),"Fitnesss",AND(Table13[[#This Row],[Gender]]="male",R1239&lt;24.9),"Acceptable",AND(Table13[[#This Row],[Gender]]="male",R1239&lt;40),"Obese",AND(Table13[[#This Row],[Gender]]="others",R1239&lt;20),"Athletes",AND(Table13[[#This Row],[Gender]]="others",R1239&lt;24),"Fitnesss",AND(Table13[[#This Row],[Gender]]="others",R1239&lt;31),"Acceptable",AND(Table13[[#This Row],[Gender]]="others",R1239&lt;40),"Obese")</f>
        <v>Fitnesss</v>
      </c>
      <c r="R1239" s="8">
        <v>22.9</v>
      </c>
      <c r="S1239" s="8">
        <v>1.5</v>
      </c>
      <c r="T1239" s="8">
        <v>3</v>
      </c>
      <c r="U1239" s="8">
        <v>2</v>
      </c>
      <c r="V1239" s="8" t="str">
        <f>IF(Table13[[#This Row],[BMI]]&lt;=18.5,"Underweight",IF(Table13[[#This Row],[BMI]]&lt;=24.9,"Normal",IF(Table13[[#This Row],[BMI]]&lt;=29.9,"Overweight",IF(Table13[[#This Row],[BMI]]&lt;=39,"Obese","Severly Obese"))))</f>
        <v>Obese</v>
      </c>
      <c r="W1239" s="18">
        <v>30.5</v>
      </c>
    </row>
    <row r="1240" spans="6:23" x14ac:dyDescent="0.3">
      <c r="F1240" s="17">
        <v>58</v>
      </c>
      <c r="G1240" s="8" t="str">
        <f>IF(Table13[[#This Row],[Age]]&lt;25,"18-24",IF(Table13[[#This Row],[Age]]&lt;35,"25-34",IF(Table13[[#This Row],[Age]]&lt;45,"35-44",IF(Table13[[#This Row],[Age]]&lt;55,"45-54","55-64"))))</f>
        <v>55-64</v>
      </c>
      <c r="H1240" s="8" t="s">
        <v>19</v>
      </c>
      <c r="I1240" s="8">
        <v>94.6</v>
      </c>
      <c r="J1240" s="8">
        <v>1.57</v>
      </c>
      <c r="K1240" s="8">
        <v>191</v>
      </c>
      <c r="L1240" s="8">
        <v>152</v>
      </c>
      <c r="M1240" s="8">
        <v>74</v>
      </c>
      <c r="N1240" s="8">
        <v>0.78</v>
      </c>
      <c r="O1240" s="8">
        <v>674</v>
      </c>
      <c r="P1240" s="8" t="s">
        <v>20</v>
      </c>
      <c r="Q1240" s="8" t="str">
        <f>_xlfn.IFS(AND(Table13[[#This Row],[Gender]]="female",R1240&lt;20),"Athletes",AND(Table13[[#This Row],[Gender]]="female",R1240&lt;24),"Fitnesss",AND(Table13[[#This Row],[Gender]]="female",R1240&lt;31),"Acceptable",AND(Table13[[#This Row],[Gender]]="female",R1240&lt;40),"Obese",AND(Table13[[#This Row],[Gender]]="male",R1240&lt;13),"Athletes",AND(Table13[[#This Row],[Gender]]="male",R1240&lt;17),"Fitnesss",AND(Table13[[#This Row],[Gender]]="male",R1240&lt;24.9),"Acceptable",AND(Table13[[#This Row],[Gender]]="male",R1240&lt;40),"Obese",AND(Table13[[#This Row],[Gender]]="others",R1240&lt;20),"Athletes",AND(Table13[[#This Row],[Gender]]="others",R1240&lt;24),"Fitnesss",AND(Table13[[#This Row],[Gender]]="others",R1240&lt;31),"Acceptable",AND(Table13[[#This Row],[Gender]]="others",R1240&lt;40),"Obese")</f>
        <v>Athletes</v>
      </c>
      <c r="R1240" s="8">
        <v>10.199999999999999</v>
      </c>
      <c r="S1240" s="8">
        <v>3.3</v>
      </c>
      <c r="T1240" s="8"/>
      <c r="U1240" s="8">
        <v>1</v>
      </c>
      <c r="V1240" s="8" t="str">
        <f>IF(Table13[[#This Row],[BMI]]&lt;=18.5,"Underweight",IF(Table13[[#This Row],[BMI]]&lt;=24.9,"Normal",IF(Table13[[#This Row],[BMI]]&lt;=29.9,"Overweight",IF(Table13[[#This Row],[BMI]]&lt;=39,"Obese","Severly Obese"))))</f>
        <v>Normal</v>
      </c>
      <c r="W1240" s="18">
        <v>22.94</v>
      </c>
    </row>
    <row r="1241" spans="6:23" x14ac:dyDescent="0.3">
      <c r="F1241" s="17">
        <v>47</v>
      </c>
      <c r="G1241" s="8" t="str">
        <f>IF(Table13[[#This Row],[Age]]&lt;25,"18-24",IF(Table13[[#This Row],[Age]]&lt;35,"25-34",IF(Table13[[#This Row],[Age]]&lt;45,"35-44",IF(Table13[[#This Row],[Age]]&lt;55,"45-54","55-64"))))</f>
        <v>45-54</v>
      </c>
      <c r="H1241" s="8" t="s">
        <v>19</v>
      </c>
      <c r="I1241" s="8">
        <v>70.5</v>
      </c>
      <c r="J1241" s="8">
        <v>1.67</v>
      </c>
      <c r="K1241" s="8">
        <v>166</v>
      </c>
      <c r="L1241" s="8">
        <v>168</v>
      </c>
      <c r="M1241" s="8">
        <v>58</v>
      </c>
      <c r="N1241" s="8">
        <v>1.74</v>
      </c>
      <c r="O1241" s="8">
        <v>898</v>
      </c>
      <c r="P1241" s="8" t="s">
        <v>18</v>
      </c>
      <c r="Q1241" s="8" t="str">
        <f>_xlfn.IFS(AND(Table13[[#This Row],[Gender]]="female",R1241&lt;20),"Athletes",AND(Table13[[#This Row],[Gender]]="female",R1241&lt;24),"Fitnesss",AND(Table13[[#This Row],[Gender]]="female",R1241&lt;31),"Acceptable",AND(Table13[[#This Row],[Gender]]="female",R1241&lt;40),"Obese",AND(Table13[[#This Row],[Gender]]="male",R1241&lt;13),"Athletes",AND(Table13[[#This Row],[Gender]]="male",R1241&lt;17),"Fitnesss",AND(Table13[[#This Row],[Gender]]="male",R1241&lt;24.9),"Acceptable",AND(Table13[[#This Row],[Gender]]="male",R1241&lt;40),"Obese",AND(Table13[[#This Row],[Gender]]="others",R1241&lt;20),"Athletes",AND(Table13[[#This Row],[Gender]]="others",R1241&lt;24),"Fitnesss",AND(Table13[[#This Row],[Gender]]="others",R1241&lt;31),"Acceptable",AND(Table13[[#This Row],[Gender]]="others",R1241&lt;40),"Obese")</f>
        <v>Obese</v>
      </c>
      <c r="R1241" s="8">
        <v>30</v>
      </c>
      <c r="S1241" s="8">
        <v>3.2</v>
      </c>
      <c r="T1241" s="8">
        <v>3</v>
      </c>
      <c r="U1241" s="8">
        <v>2</v>
      </c>
      <c r="V1241" s="8" t="str">
        <f>IF(Table13[[#This Row],[BMI]]&lt;=18.5,"Underweight",IF(Table13[[#This Row],[BMI]]&lt;=24.9,"Normal",IF(Table13[[#This Row],[BMI]]&lt;=29.9,"Overweight",IF(Table13[[#This Row],[BMI]]&lt;=39,"Obese","Severly Obese"))))</f>
        <v>Severly Obese</v>
      </c>
      <c r="W1241" s="18">
        <v>46.78</v>
      </c>
    </row>
    <row r="1242" spans="6:23" x14ac:dyDescent="0.3">
      <c r="F1242" s="17">
        <v>27</v>
      </c>
      <c r="G1242" s="8" t="str">
        <f>IF(Table13[[#This Row],[Age]]&lt;25,"18-24",IF(Table13[[#This Row],[Age]]&lt;35,"25-34",IF(Table13[[#This Row],[Age]]&lt;45,"35-44",IF(Table13[[#This Row],[Age]]&lt;55,"45-54","55-64"))))</f>
        <v>25-34</v>
      </c>
      <c r="H1242" s="8" t="s">
        <v>17</v>
      </c>
      <c r="I1242" s="8">
        <v>40</v>
      </c>
      <c r="J1242" s="8">
        <v>1.76</v>
      </c>
      <c r="K1242" s="8">
        <v>192</v>
      </c>
      <c r="L1242" s="8">
        <v>169</v>
      </c>
      <c r="M1242" s="8">
        <v>56</v>
      </c>
      <c r="N1242" s="8">
        <v>2</v>
      </c>
      <c r="O1242" s="8">
        <v>602</v>
      </c>
      <c r="P1242" s="8" t="s">
        <v>21</v>
      </c>
      <c r="Q1242" s="8" t="str">
        <f>_xlfn.IFS(AND(Table13[[#This Row],[Gender]]="female",R1242&lt;20),"Athletes",AND(Table13[[#This Row],[Gender]]="female",R1242&lt;24),"Fitnesss",AND(Table13[[#This Row],[Gender]]="female",R1242&lt;31),"Acceptable",AND(Table13[[#This Row],[Gender]]="female",R1242&lt;40),"Obese",AND(Table13[[#This Row],[Gender]]="male",R1242&lt;13),"Athletes",AND(Table13[[#This Row],[Gender]]="male",R1242&lt;17),"Fitnesss",AND(Table13[[#This Row],[Gender]]="male",R1242&lt;24.9),"Acceptable",AND(Table13[[#This Row],[Gender]]="male",R1242&lt;40),"Obese",AND(Table13[[#This Row],[Gender]]="others",R1242&lt;20),"Athletes",AND(Table13[[#This Row],[Gender]]="others",R1242&lt;24),"Fitnesss",AND(Table13[[#This Row],[Gender]]="others",R1242&lt;31),"Acceptable",AND(Table13[[#This Row],[Gender]]="others",R1242&lt;40),"Obese")</f>
        <v>Acceptable</v>
      </c>
      <c r="R1242" s="8">
        <v>28</v>
      </c>
      <c r="S1242" s="8">
        <v>3.4</v>
      </c>
      <c r="T1242" s="8">
        <v>3</v>
      </c>
      <c r="U1242" s="8">
        <v>3</v>
      </c>
      <c r="V1242" s="8" t="str">
        <f>IF(Table13[[#This Row],[BMI]]&lt;=18.5,"Underweight",IF(Table13[[#This Row],[BMI]]&lt;=24.9,"Normal",IF(Table13[[#This Row],[BMI]]&lt;=29.9,"Overweight",IF(Table13[[#This Row],[BMI]]&lt;=39,"Obese","Severly Obese"))))</f>
        <v>Obese</v>
      </c>
      <c r="W1242" s="18">
        <v>31.97</v>
      </c>
    </row>
    <row r="1243" spans="6:23" x14ac:dyDescent="0.3">
      <c r="F1243" s="17">
        <v>51</v>
      </c>
      <c r="G1243" s="8" t="str">
        <f>IF(Table13[[#This Row],[Age]]&lt;25,"18-24",IF(Table13[[#This Row],[Age]]&lt;35,"25-34",IF(Table13[[#This Row],[Age]]&lt;45,"35-44",IF(Table13[[#This Row],[Age]]&lt;55,"45-54","55-64"))))</f>
        <v>45-54</v>
      </c>
      <c r="H1243" s="8" t="s">
        <v>19</v>
      </c>
      <c r="I1243" s="8">
        <v>51.6</v>
      </c>
      <c r="J1243" s="8">
        <v>1.83</v>
      </c>
      <c r="K1243" s="8">
        <v>194</v>
      </c>
      <c r="L1243" s="8">
        <v>161</v>
      </c>
      <c r="M1243" s="8">
        <v>67</v>
      </c>
      <c r="N1243" s="8">
        <v>2</v>
      </c>
      <c r="O1243" s="8">
        <v>1057</v>
      </c>
      <c r="P1243" s="8" t="s">
        <v>22</v>
      </c>
      <c r="Q1243" s="8" t="str">
        <f>_xlfn.IFS(AND(Table13[[#This Row],[Gender]]="female",R1243&lt;20),"Athletes",AND(Table13[[#This Row],[Gender]]="female",R1243&lt;24),"Fitnesss",AND(Table13[[#This Row],[Gender]]="female",R1243&lt;31),"Acceptable",AND(Table13[[#This Row],[Gender]]="female",R1243&lt;40),"Obese",AND(Table13[[#This Row],[Gender]]="male",R1243&lt;13),"Athletes",AND(Table13[[#This Row],[Gender]]="male",R1243&lt;17),"Fitnesss",AND(Table13[[#This Row],[Gender]]="male",R1243&lt;24.9),"Acceptable",AND(Table13[[#This Row],[Gender]]="male",R1243&lt;40),"Obese",AND(Table13[[#This Row],[Gender]]="others",R1243&lt;20),"Athletes",AND(Table13[[#This Row],[Gender]]="others",R1243&lt;24),"Fitnesss",AND(Table13[[#This Row],[Gender]]="others",R1243&lt;31),"Acceptable",AND(Table13[[#This Row],[Gender]]="others",R1243&lt;40),"Obese")</f>
        <v>Obese</v>
      </c>
      <c r="R1243" s="8">
        <v>27.6</v>
      </c>
      <c r="S1243" s="8">
        <v>2.2000000000000002</v>
      </c>
      <c r="T1243" s="8">
        <v>3</v>
      </c>
      <c r="U1243" s="8">
        <v>1</v>
      </c>
      <c r="V1243" s="8" t="str">
        <f>IF(Table13[[#This Row],[BMI]]&lt;=18.5,"Underweight",IF(Table13[[#This Row],[BMI]]&lt;=24.9,"Normal",IF(Table13[[#This Row],[BMI]]&lt;=29.9,"Overweight",IF(Table13[[#This Row],[BMI]]&lt;=39,"Obese","Severly Obese"))))</f>
        <v>Normal</v>
      </c>
      <c r="W1243" s="18">
        <v>24.12</v>
      </c>
    </row>
    <row r="1244" spans="6:23" x14ac:dyDescent="0.3">
      <c r="F1244" s="17">
        <v>18</v>
      </c>
      <c r="G1244" s="8" t="str">
        <f>IF(Table13[[#This Row],[Age]]&lt;25,"18-24",IF(Table13[[#This Row],[Age]]&lt;35,"25-34",IF(Table13[[#This Row],[Age]]&lt;45,"35-44",IF(Table13[[#This Row],[Age]]&lt;55,"45-54","55-64"))))</f>
        <v>18-24</v>
      </c>
      <c r="H1244" s="8" t="s">
        <v>17</v>
      </c>
      <c r="I1244" s="8">
        <v>83.3</v>
      </c>
      <c r="J1244" s="8">
        <v>1.59</v>
      </c>
      <c r="K1244" s="8">
        <v>165</v>
      </c>
      <c r="L1244" s="8">
        <v>169</v>
      </c>
      <c r="M1244" s="8">
        <v>72</v>
      </c>
      <c r="N1244" s="8">
        <v>1.19</v>
      </c>
      <c r="O1244" s="8">
        <v>997</v>
      </c>
      <c r="P1244" s="8" t="s">
        <v>18</v>
      </c>
      <c r="Q1244" s="8" t="str">
        <f>_xlfn.IFS(AND(Table13[[#This Row],[Gender]]="female",R1244&lt;20),"Athletes",AND(Table13[[#This Row],[Gender]]="female",R1244&lt;24),"Fitnesss",AND(Table13[[#This Row],[Gender]]="female",R1244&lt;31),"Acceptable",AND(Table13[[#This Row],[Gender]]="female",R1244&lt;40),"Obese",AND(Table13[[#This Row],[Gender]]="male",R1244&lt;13),"Athletes",AND(Table13[[#This Row],[Gender]]="male",R1244&lt;17),"Fitnesss",AND(Table13[[#This Row],[Gender]]="male",R1244&lt;24.9),"Acceptable",AND(Table13[[#This Row],[Gender]]="male",R1244&lt;40),"Obese",AND(Table13[[#This Row],[Gender]]="others",R1244&lt;20),"Athletes",AND(Table13[[#This Row],[Gender]]="others",R1244&lt;24),"Fitnesss",AND(Table13[[#This Row],[Gender]]="others",R1244&lt;31),"Acceptable",AND(Table13[[#This Row],[Gender]]="others",R1244&lt;40),"Obese")</f>
        <v>Acceptable</v>
      </c>
      <c r="R1244" s="8">
        <v>25.7</v>
      </c>
      <c r="S1244" s="8">
        <v>3.3</v>
      </c>
      <c r="T1244" s="8">
        <v>3</v>
      </c>
      <c r="U1244" s="8">
        <v>1</v>
      </c>
      <c r="V1244" s="8" t="str">
        <f>IF(Table13[[#This Row],[BMI]]&lt;=18.5,"Underweight",IF(Table13[[#This Row],[BMI]]&lt;=24.9,"Normal",IF(Table13[[#This Row],[BMI]]&lt;=29.9,"Overweight",IF(Table13[[#This Row],[BMI]]&lt;=39,"Obese","Severly Obese"))))</f>
        <v>Obese</v>
      </c>
      <c r="W1244" s="18">
        <v>31.83</v>
      </c>
    </row>
    <row r="1245" spans="6:23" x14ac:dyDescent="0.3">
      <c r="F1245" s="17">
        <v>20</v>
      </c>
      <c r="G1245" s="8" t="str">
        <f>IF(Table13[[#This Row],[Age]]&lt;25,"18-24",IF(Table13[[#This Row],[Age]]&lt;35,"25-34",IF(Table13[[#This Row],[Age]]&lt;45,"35-44",IF(Table13[[#This Row],[Age]]&lt;55,"45-54","55-64"))))</f>
        <v>18-24</v>
      </c>
      <c r="H1245" s="8" t="s">
        <v>19</v>
      </c>
      <c r="I1245" s="8">
        <v>67.7</v>
      </c>
      <c r="J1245" s="8">
        <v>1.84</v>
      </c>
      <c r="K1245" s="8">
        <v>193</v>
      </c>
      <c r="L1245" s="8">
        <v>122</v>
      </c>
      <c r="M1245" s="8">
        <v>66</v>
      </c>
      <c r="N1245" s="8">
        <v>1.19</v>
      </c>
      <c r="O1245" s="8">
        <v>900</v>
      </c>
      <c r="P1245" s="8" t="s">
        <v>20</v>
      </c>
      <c r="Q1245" s="8" t="str">
        <f>_xlfn.IFS(AND(Table13[[#This Row],[Gender]]="female",R1245&lt;20),"Athletes",AND(Table13[[#This Row],[Gender]]="female",R1245&lt;24),"Fitnesss",AND(Table13[[#This Row],[Gender]]="female",R1245&lt;31),"Acceptable",AND(Table13[[#This Row],[Gender]]="female",R1245&lt;40),"Obese",AND(Table13[[#This Row],[Gender]]="male",R1245&lt;13),"Athletes",AND(Table13[[#This Row],[Gender]]="male",R1245&lt;17),"Fitnesss",AND(Table13[[#This Row],[Gender]]="male",R1245&lt;24.9),"Acceptable",AND(Table13[[#This Row],[Gender]]="male",R1245&lt;40),"Obese",AND(Table13[[#This Row],[Gender]]="others",R1245&lt;20),"Athletes",AND(Table13[[#This Row],[Gender]]="others",R1245&lt;24),"Fitnesss",AND(Table13[[#This Row],[Gender]]="others",R1245&lt;31),"Acceptable",AND(Table13[[#This Row],[Gender]]="others",R1245&lt;40),"Obese")</f>
        <v>Fitnesss</v>
      </c>
      <c r="R1245" s="8">
        <v>13.7</v>
      </c>
      <c r="S1245" s="8">
        <v>3.4</v>
      </c>
      <c r="T1245" s="8">
        <v>5</v>
      </c>
      <c r="U1245" s="8">
        <v>2</v>
      </c>
      <c r="V1245" s="8" t="str">
        <f>IF(Table13[[#This Row],[BMI]]&lt;=18.5,"Underweight",IF(Table13[[#This Row],[BMI]]&lt;=24.9,"Normal",IF(Table13[[#This Row],[BMI]]&lt;=29.9,"Overweight",IF(Table13[[#This Row],[BMI]]&lt;=39,"Obese","Severly Obese"))))</f>
        <v>Normal</v>
      </c>
      <c r="W1245" s="18">
        <v>19.760000000000002</v>
      </c>
    </row>
    <row r="1246" spans="6:23" x14ac:dyDescent="0.3">
      <c r="F1246" s="17">
        <v>43</v>
      </c>
      <c r="G1246" s="8" t="str">
        <f>IF(Table13[[#This Row],[Age]]&lt;25,"18-24",IF(Table13[[#This Row],[Age]]&lt;35,"25-34",IF(Table13[[#This Row],[Age]]&lt;45,"35-44",IF(Table13[[#This Row],[Age]]&lt;55,"45-54","55-64"))))</f>
        <v>35-44</v>
      </c>
      <c r="H1246" s="8" t="s">
        <v>19</v>
      </c>
      <c r="I1246" s="8">
        <v>57.8</v>
      </c>
      <c r="J1246" s="8">
        <v>1.78</v>
      </c>
      <c r="K1246" s="8">
        <v>197</v>
      </c>
      <c r="L1246" s="8">
        <v>163</v>
      </c>
      <c r="M1246" s="8">
        <v>52</v>
      </c>
      <c r="N1246" s="8">
        <v>1.42</v>
      </c>
      <c r="O1246" s="8">
        <v>1418</v>
      </c>
      <c r="P1246" s="8" t="s">
        <v>22</v>
      </c>
      <c r="Q1246" s="8" t="str">
        <f>_xlfn.IFS(AND(Table13[[#This Row],[Gender]]="female",R1246&lt;20),"Athletes",AND(Table13[[#This Row],[Gender]]="female",R1246&lt;24),"Fitnesss",AND(Table13[[#This Row],[Gender]]="female",R1246&lt;31),"Acceptable",AND(Table13[[#This Row],[Gender]]="female",R1246&lt;40),"Obese",AND(Table13[[#This Row],[Gender]]="male",R1246&lt;13),"Athletes",AND(Table13[[#This Row],[Gender]]="male",R1246&lt;17),"Fitnesss",AND(Table13[[#This Row],[Gender]]="male",R1246&lt;24.9),"Acceptable",AND(Table13[[#This Row],[Gender]]="male",R1246&lt;40),"Obese",AND(Table13[[#This Row],[Gender]]="others",R1246&lt;20),"Athletes",AND(Table13[[#This Row],[Gender]]="others",R1246&lt;24),"Fitnesss",AND(Table13[[#This Row],[Gender]]="others",R1246&lt;31),"Acceptable",AND(Table13[[#This Row],[Gender]]="others",R1246&lt;40),"Obese")</f>
        <v>Obese</v>
      </c>
      <c r="R1246" s="8">
        <v>28.6</v>
      </c>
      <c r="S1246" s="8">
        <v>1.6</v>
      </c>
      <c r="T1246" s="8">
        <v>2</v>
      </c>
      <c r="U1246" s="8">
        <v>1</v>
      </c>
      <c r="V1246" s="8" t="str">
        <f>IF(Table13[[#This Row],[BMI]]&lt;=18.5,"Underweight",IF(Table13[[#This Row],[BMI]]&lt;=24.9,"Normal",IF(Table13[[#This Row],[BMI]]&lt;=29.9,"Overweight",IF(Table13[[#This Row],[BMI]]&lt;=39,"Obese","Severly Obese"))))</f>
        <v>Underweight</v>
      </c>
      <c r="W1246" s="18">
        <v>14.84</v>
      </c>
    </row>
    <row r="1247" spans="6:23" x14ac:dyDescent="0.3">
      <c r="F1247" s="17">
        <v>45</v>
      </c>
      <c r="G1247" s="8" t="str">
        <f>IF(Table13[[#This Row],[Age]]&lt;25,"18-24",IF(Table13[[#This Row],[Age]]&lt;35,"25-34",IF(Table13[[#This Row],[Age]]&lt;45,"35-44",IF(Table13[[#This Row],[Age]]&lt;55,"45-54","55-64"))))</f>
        <v>45-54</v>
      </c>
      <c r="H1247" s="8" t="s">
        <v>19</v>
      </c>
      <c r="I1247" s="8">
        <v>59</v>
      </c>
      <c r="J1247" s="8">
        <v>1.87</v>
      </c>
      <c r="K1247" s="8">
        <v>199</v>
      </c>
      <c r="L1247" s="8">
        <v>157</v>
      </c>
      <c r="M1247" s="8">
        <v>55</v>
      </c>
      <c r="N1247" s="8">
        <v>1.1100000000000001</v>
      </c>
      <c r="O1247" s="8">
        <v>613</v>
      </c>
      <c r="P1247" s="8" t="s">
        <v>18</v>
      </c>
      <c r="Q1247" s="8" t="str">
        <f>_xlfn.IFS(AND(Table13[[#This Row],[Gender]]="female",R1247&lt;20),"Athletes",AND(Table13[[#This Row],[Gender]]="female",R1247&lt;24),"Fitnesss",AND(Table13[[#This Row],[Gender]]="female",R1247&lt;31),"Acceptable",AND(Table13[[#This Row],[Gender]]="female",R1247&lt;40),"Obese",AND(Table13[[#This Row],[Gender]]="male",R1247&lt;13),"Athletes",AND(Table13[[#This Row],[Gender]]="male",R1247&lt;17),"Fitnesss",AND(Table13[[#This Row],[Gender]]="male",R1247&lt;24.9),"Acceptable",AND(Table13[[#This Row],[Gender]]="male",R1247&lt;40),"Obese",AND(Table13[[#This Row],[Gender]]="others",R1247&lt;20),"Athletes",AND(Table13[[#This Row],[Gender]]="others",R1247&lt;24),"Fitnesss",AND(Table13[[#This Row],[Gender]]="others",R1247&lt;31),"Acceptable",AND(Table13[[#This Row],[Gender]]="others",R1247&lt;40),"Obese")</f>
        <v>Acceptable</v>
      </c>
      <c r="R1247" s="8">
        <v>18.2</v>
      </c>
      <c r="S1247" s="8">
        <v>3.2</v>
      </c>
      <c r="T1247" s="8">
        <v>2</v>
      </c>
      <c r="U1247" s="8">
        <v>1</v>
      </c>
      <c r="V1247" s="8" t="str">
        <f>IF(Table13[[#This Row],[BMI]]&lt;=18.5,"Underweight",IF(Table13[[#This Row],[BMI]]&lt;=24.9,"Normal",IF(Table13[[#This Row],[BMI]]&lt;=29.9,"Overweight",IF(Table13[[#This Row],[BMI]]&lt;=39,"Obese","Severly Obese"))))</f>
        <v>Obese</v>
      </c>
      <c r="W1247" s="18">
        <v>31.55</v>
      </c>
    </row>
    <row r="1248" spans="6:23" x14ac:dyDescent="0.3">
      <c r="F1248" s="17">
        <v>29</v>
      </c>
      <c r="G1248" s="8" t="str">
        <f>IF(Table13[[#This Row],[Age]]&lt;25,"18-24",IF(Table13[[#This Row],[Age]]&lt;35,"25-34",IF(Table13[[#This Row],[Age]]&lt;45,"35-44",IF(Table13[[#This Row],[Age]]&lt;55,"45-54","55-64"))))</f>
        <v>25-34</v>
      </c>
      <c r="H1248" s="8" t="s">
        <v>17</v>
      </c>
      <c r="I1248" s="8">
        <v>61.5</v>
      </c>
      <c r="J1248" s="8">
        <v>1.88</v>
      </c>
      <c r="K1248" s="8">
        <v>182</v>
      </c>
      <c r="L1248" s="8">
        <v>152</v>
      </c>
      <c r="M1248" s="8">
        <v>72</v>
      </c>
      <c r="N1248" s="8">
        <v>1.62</v>
      </c>
      <c r="O1248" s="8">
        <v>793</v>
      </c>
      <c r="P1248" s="8" t="s">
        <v>21</v>
      </c>
      <c r="Q1248" s="8" t="str">
        <f>_xlfn.IFS(AND(Table13[[#This Row],[Gender]]="female",R1248&lt;20),"Athletes",AND(Table13[[#This Row],[Gender]]="female",R1248&lt;24),"Fitnesss",AND(Table13[[#This Row],[Gender]]="female",R1248&lt;31),"Acceptable",AND(Table13[[#This Row],[Gender]]="female",R1248&lt;40),"Obese",AND(Table13[[#This Row],[Gender]]="male",R1248&lt;13),"Athletes",AND(Table13[[#This Row],[Gender]]="male",R1248&lt;17),"Fitnesss",AND(Table13[[#This Row],[Gender]]="male",R1248&lt;24.9),"Acceptable",AND(Table13[[#This Row],[Gender]]="male",R1248&lt;40),"Obese",AND(Table13[[#This Row],[Gender]]="others",R1248&lt;20),"Athletes",AND(Table13[[#This Row],[Gender]]="others",R1248&lt;24),"Fitnesss",AND(Table13[[#This Row],[Gender]]="others",R1248&lt;31),"Acceptable",AND(Table13[[#This Row],[Gender]]="others",R1248&lt;40),"Obese")</f>
        <v>Acceptable</v>
      </c>
      <c r="R1248" s="8">
        <v>24.2</v>
      </c>
      <c r="S1248" s="8">
        <v>3.3</v>
      </c>
      <c r="T1248" s="8">
        <v>4</v>
      </c>
      <c r="U1248" s="8">
        <v>3</v>
      </c>
      <c r="V1248" s="8" t="str">
        <f>IF(Table13[[#This Row],[BMI]]&lt;=18.5,"Underweight",IF(Table13[[#This Row],[BMI]]&lt;=24.9,"Normal",IF(Table13[[#This Row],[BMI]]&lt;=29.9,"Overweight",IF(Table13[[#This Row],[BMI]]&lt;=39,"Obese","Severly Obese"))))</f>
        <v>Normal</v>
      </c>
      <c r="W1248" s="18">
        <v>23.84</v>
      </c>
    </row>
    <row r="1249" spans="6:23" x14ac:dyDescent="0.3">
      <c r="F1249" s="17">
        <v>18</v>
      </c>
      <c r="G1249" s="8" t="str">
        <f>IF(Table13[[#This Row],[Age]]&lt;25,"18-24",IF(Table13[[#This Row],[Age]]&lt;35,"25-34",IF(Table13[[#This Row],[Age]]&lt;45,"35-44",IF(Table13[[#This Row],[Age]]&lt;55,"45-54","55-64"))))</f>
        <v>18-24</v>
      </c>
      <c r="H1249" s="8" t="s">
        <v>17</v>
      </c>
      <c r="I1249" s="8">
        <v>40</v>
      </c>
      <c r="J1249" s="8">
        <v>1.75</v>
      </c>
      <c r="K1249" s="8">
        <v>176</v>
      </c>
      <c r="L1249" s="8">
        <v>124</v>
      </c>
      <c r="M1249" s="8">
        <v>68</v>
      </c>
      <c r="N1249" s="8">
        <v>1.01</v>
      </c>
      <c r="O1249" s="8">
        <v>1536</v>
      </c>
      <c r="P1249" s="8" t="s">
        <v>21</v>
      </c>
      <c r="Q1249" s="8" t="str">
        <f>_xlfn.IFS(AND(Table13[[#This Row],[Gender]]="female",R1249&lt;20),"Athletes",AND(Table13[[#This Row],[Gender]]="female",R1249&lt;24),"Fitnesss",AND(Table13[[#This Row],[Gender]]="female",R1249&lt;31),"Acceptable",AND(Table13[[#This Row],[Gender]]="female",R1249&lt;40),"Obese",AND(Table13[[#This Row],[Gender]]="male",R1249&lt;13),"Athletes",AND(Table13[[#This Row],[Gender]]="male",R1249&lt;17),"Fitnesss",AND(Table13[[#This Row],[Gender]]="male",R1249&lt;24.9),"Acceptable",AND(Table13[[#This Row],[Gender]]="male",R1249&lt;40),"Obese",AND(Table13[[#This Row],[Gender]]="others",R1249&lt;20),"Athletes",AND(Table13[[#This Row],[Gender]]="others",R1249&lt;24),"Fitnesss",AND(Table13[[#This Row],[Gender]]="others",R1249&lt;31),"Acceptable",AND(Table13[[#This Row],[Gender]]="others",R1249&lt;40),"Obese")</f>
        <v>Athletes</v>
      </c>
      <c r="R1249" s="8">
        <v>14.6</v>
      </c>
      <c r="S1249" s="8">
        <v>3.5</v>
      </c>
      <c r="T1249" s="8"/>
      <c r="U1249" s="8">
        <v>2</v>
      </c>
      <c r="V1249" s="8" t="str">
        <f>IF(Table13[[#This Row],[BMI]]&lt;=18.5,"Underweight",IF(Table13[[#This Row],[BMI]]&lt;=24.9,"Normal",IF(Table13[[#This Row],[BMI]]&lt;=29.9,"Overweight",IF(Table13[[#This Row],[BMI]]&lt;=39,"Obese","Severly Obese"))))</f>
        <v>Underweight</v>
      </c>
      <c r="W1249" s="18">
        <v>17.62</v>
      </c>
    </row>
    <row r="1250" spans="6:23" x14ac:dyDescent="0.3">
      <c r="F1250" s="17">
        <v>37</v>
      </c>
      <c r="G1250" s="8" t="str">
        <f>IF(Table13[[#This Row],[Age]]&lt;25,"18-24",IF(Table13[[#This Row],[Age]]&lt;35,"25-34",IF(Table13[[#This Row],[Age]]&lt;45,"35-44",IF(Table13[[#This Row],[Age]]&lt;55,"45-54","55-64"))))</f>
        <v>35-44</v>
      </c>
      <c r="H1250" s="8" t="s">
        <v>19</v>
      </c>
      <c r="I1250" s="8">
        <v>79.599999999999994</v>
      </c>
      <c r="J1250" s="8">
        <v>1.68</v>
      </c>
      <c r="K1250" s="8">
        <v>180</v>
      </c>
      <c r="L1250" s="8">
        <v>137</v>
      </c>
      <c r="M1250" s="8">
        <v>67</v>
      </c>
      <c r="N1250" s="8">
        <v>2</v>
      </c>
      <c r="O1250" s="8">
        <v>920</v>
      </c>
      <c r="P1250" s="8" t="s">
        <v>22</v>
      </c>
      <c r="Q1250" s="8" t="str">
        <f>_xlfn.IFS(AND(Table13[[#This Row],[Gender]]="female",R1250&lt;20),"Athletes",AND(Table13[[#This Row],[Gender]]="female",R1250&lt;24),"Fitnesss",AND(Table13[[#This Row],[Gender]]="female",R1250&lt;31),"Acceptable",AND(Table13[[#This Row],[Gender]]="female",R1250&lt;40),"Obese",AND(Table13[[#This Row],[Gender]]="male",R1250&lt;13),"Athletes",AND(Table13[[#This Row],[Gender]]="male",R1250&lt;17),"Fitnesss",AND(Table13[[#This Row],[Gender]]="male",R1250&lt;24.9),"Acceptable",AND(Table13[[#This Row],[Gender]]="male",R1250&lt;40),"Obese",AND(Table13[[#This Row],[Gender]]="others",R1250&lt;20),"Athletes",AND(Table13[[#This Row],[Gender]]="others",R1250&lt;24),"Fitnesss",AND(Table13[[#This Row],[Gender]]="others",R1250&lt;31),"Acceptable",AND(Table13[[#This Row],[Gender]]="others",R1250&lt;40),"Obese")</f>
        <v>Obese</v>
      </c>
      <c r="R1250" s="8">
        <v>28.6</v>
      </c>
      <c r="S1250" s="8">
        <v>1.8</v>
      </c>
      <c r="T1250" s="8"/>
      <c r="U1250" s="8">
        <v>3</v>
      </c>
      <c r="V1250" s="8" t="str">
        <f>IF(Table13[[#This Row],[BMI]]&lt;=18.5,"Underweight",IF(Table13[[#This Row],[BMI]]&lt;=24.9,"Normal",IF(Table13[[#This Row],[BMI]]&lt;=29.9,"Overweight",IF(Table13[[#This Row],[BMI]]&lt;=39,"Obese","Severly Obese"))))</f>
        <v>Normal</v>
      </c>
      <c r="W1250" s="18">
        <v>23.26</v>
      </c>
    </row>
    <row r="1251" spans="6:23" x14ac:dyDescent="0.3">
      <c r="F1251" s="17">
        <v>26</v>
      </c>
      <c r="G1251" s="8" t="str">
        <f>IF(Table13[[#This Row],[Age]]&lt;25,"18-24",IF(Table13[[#This Row],[Age]]&lt;35,"25-34",IF(Table13[[#This Row],[Age]]&lt;45,"35-44",IF(Table13[[#This Row],[Age]]&lt;55,"45-54","55-64"))))</f>
        <v>25-34</v>
      </c>
      <c r="H1251" s="8" t="s">
        <v>17</v>
      </c>
      <c r="I1251" s="8">
        <v>68.599999999999994</v>
      </c>
      <c r="J1251" s="8">
        <v>1.75</v>
      </c>
      <c r="K1251" s="8">
        <v>184</v>
      </c>
      <c r="L1251" s="8">
        <v>140</v>
      </c>
      <c r="M1251" s="8">
        <v>60</v>
      </c>
      <c r="N1251" s="8">
        <v>1.26</v>
      </c>
      <c r="O1251" s="8">
        <v>681</v>
      </c>
      <c r="P1251" s="8" t="s">
        <v>21</v>
      </c>
      <c r="Q1251" s="8" t="str">
        <f>_xlfn.IFS(AND(Table13[[#This Row],[Gender]]="female",R1251&lt;20),"Athletes",AND(Table13[[#This Row],[Gender]]="female",R1251&lt;24),"Fitnesss",AND(Table13[[#This Row],[Gender]]="female",R1251&lt;31),"Acceptable",AND(Table13[[#This Row],[Gender]]="female",R1251&lt;40),"Obese",AND(Table13[[#This Row],[Gender]]="male",R1251&lt;13),"Athletes",AND(Table13[[#This Row],[Gender]]="male",R1251&lt;17),"Fitnesss",AND(Table13[[#This Row],[Gender]]="male",R1251&lt;24.9),"Acceptable",AND(Table13[[#This Row],[Gender]]="male",R1251&lt;40),"Obese",AND(Table13[[#This Row],[Gender]]="others",R1251&lt;20),"Athletes",AND(Table13[[#This Row],[Gender]]="others",R1251&lt;24),"Fitnesss",AND(Table13[[#This Row],[Gender]]="others",R1251&lt;31),"Acceptable",AND(Table13[[#This Row],[Gender]]="others",R1251&lt;40),"Obese")</f>
        <v>Acceptable</v>
      </c>
      <c r="R1251" s="8">
        <v>29.4</v>
      </c>
      <c r="S1251" s="8">
        <v>1.8</v>
      </c>
      <c r="T1251" s="8">
        <v>3</v>
      </c>
      <c r="U1251" s="8">
        <v>3</v>
      </c>
      <c r="V1251" s="8" t="str">
        <f>IF(Table13[[#This Row],[BMI]]&lt;=18.5,"Underweight",IF(Table13[[#This Row],[BMI]]&lt;=24.9,"Normal",IF(Table13[[#This Row],[BMI]]&lt;=29.9,"Overweight",IF(Table13[[#This Row],[BMI]]&lt;=39,"Obese","Severly Obese"))))</f>
        <v>Normal</v>
      </c>
      <c r="W1251" s="18">
        <v>20.02</v>
      </c>
    </row>
    <row r="1252" spans="6:23" x14ac:dyDescent="0.3">
      <c r="F1252" s="17">
        <v>49</v>
      </c>
      <c r="G1252" s="8" t="str">
        <f>IF(Table13[[#This Row],[Age]]&lt;25,"18-24",IF(Table13[[#This Row],[Age]]&lt;35,"25-34",IF(Table13[[#This Row],[Age]]&lt;45,"35-44",IF(Table13[[#This Row],[Age]]&lt;55,"45-54","55-64"))))</f>
        <v>45-54</v>
      </c>
      <c r="H1252" s="8" t="s">
        <v>17</v>
      </c>
      <c r="I1252" s="8">
        <v>77.900000000000006</v>
      </c>
      <c r="J1252" s="8">
        <v>1.75</v>
      </c>
      <c r="K1252" s="8">
        <v>196</v>
      </c>
      <c r="L1252" s="8">
        <v>169</v>
      </c>
      <c r="M1252" s="8">
        <v>64</v>
      </c>
      <c r="N1252" s="8">
        <v>1.24</v>
      </c>
      <c r="O1252" s="8">
        <v>1267</v>
      </c>
      <c r="P1252" s="8" t="s">
        <v>21</v>
      </c>
      <c r="Q1252" s="8" t="str">
        <f>_xlfn.IFS(AND(Table13[[#This Row],[Gender]]="female",R1252&lt;20),"Athletes",AND(Table13[[#This Row],[Gender]]="female",R1252&lt;24),"Fitnesss",AND(Table13[[#This Row],[Gender]]="female",R1252&lt;31),"Acceptable",AND(Table13[[#This Row],[Gender]]="female",R1252&lt;40),"Obese",AND(Table13[[#This Row],[Gender]]="male",R1252&lt;13),"Athletes",AND(Table13[[#This Row],[Gender]]="male",R1252&lt;17),"Fitnesss",AND(Table13[[#This Row],[Gender]]="male",R1252&lt;24.9),"Acceptable",AND(Table13[[#This Row],[Gender]]="male",R1252&lt;40),"Obese",AND(Table13[[#This Row],[Gender]]="others",R1252&lt;20),"Athletes",AND(Table13[[#This Row],[Gender]]="others",R1252&lt;24),"Fitnesss",AND(Table13[[#This Row],[Gender]]="others",R1252&lt;31),"Acceptable",AND(Table13[[#This Row],[Gender]]="others",R1252&lt;40),"Obese")</f>
        <v>Acceptable</v>
      </c>
      <c r="R1252" s="8">
        <v>24.8</v>
      </c>
      <c r="S1252" s="8">
        <v>3.5</v>
      </c>
      <c r="T1252" s="8">
        <v>3</v>
      </c>
      <c r="U1252" s="8">
        <v>2</v>
      </c>
      <c r="V1252" s="8" t="str">
        <f>IF(Table13[[#This Row],[BMI]]&lt;=18.5,"Underweight",IF(Table13[[#This Row],[BMI]]&lt;=24.9,"Normal",IF(Table13[[#This Row],[BMI]]&lt;=29.9,"Overweight",IF(Table13[[#This Row],[BMI]]&lt;=39,"Obese","Severly Obese"))))</f>
        <v>Underweight</v>
      </c>
      <c r="W1252" s="18">
        <v>14.38</v>
      </c>
    </row>
    <row r="1253" spans="6:23" x14ac:dyDescent="0.3">
      <c r="F1253" s="17">
        <v>23</v>
      </c>
      <c r="G1253" s="8" t="str">
        <f>IF(Table13[[#This Row],[Age]]&lt;25,"18-24",IF(Table13[[#This Row],[Age]]&lt;35,"25-34",IF(Table13[[#This Row],[Age]]&lt;45,"35-44",IF(Table13[[#This Row],[Age]]&lt;55,"45-54","55-64"))))</f>
        <v>18-24</v>
      </c>
      <c r="H1253" s="8" t="s">
        <v>17</v>
      </c>
      <c r="I1253" s="8">
        <v>40.9</v>
      </c>
      <c r="J1253" s="8">
        <v>1.75</v>
      </c>
      <c r="K1253" s="8">
        <v>187</v>
      </c>
      <c r="L1253" s="8">
        <v>136</v>
      </c>
      <c r="M1253" s="8">
        <v>50</v>
      </c>
      <c r="N1253" s="8">
        <v>1.1399999999999999</v>
      </c>
      <c r="O1253" s="8">
        <v>1135</v>
      </c>
      <c r="P1253" s="8" t="s">
        <v>20</v>
      </c>
      <c r="Q1253" s="8" t="str">
        <f>_xlfn.IFS(AND(Table13[[#This Row],[Gender]]="female",R1253&lt;20),"Athletes",AND(Table13[[#This Row],[Gender]]="female",R1253&lt;24),"Fitnesss",AND(Table13[[#This Row],[Gender]]="female",R1253&lt;31),"Acceptable",AND(Table13[[#This Row],[Gender]]="female",R1253&lt;40),"Obese",AND(Table13[[#This Row],[Gender]]="male",R1253&lt;13),"Athletes",AND(Table13[[#This Row],[Gender]]="male",R1253&lt;17),"Fitnesss",AND(Table13[[#This Row],[Gender]]="male",R1253&lt;24.9),"Acceptable",AND(Table13[[#This Row],[Gender]]="male",R1253&lt;40),"Obese",AND(Table13[[#This Row],[Gender]]="others",R1253&lt;20),"Athletes",AND(Table13[[#This Row],[Gender]]="others",R1253&lt;24),"Fitnesss",AND(Table13[[#This Row],[Gender]]="others",R1253&lt;31),"Acceptable",AND(Table13[[#This Row],[Gender]]="others",R1253&lt;40),"Obese")</f>
        <v>Acceptable</v>
      </c>
      <c r="R1253" s="8">
        <v>24.8</v>
      </c>
      <c r="S1253" s="8">
        <v>3.4</v>
      </c>
      <c r="T1253" s="8">
        <v>3</v>
      </c>
      <c r="U1253" s="8">
        <v>2</v>
      </c>
      <c r="V1253" s="8" t="str">
        <f>IF(Table13[[#This Row],[BMI]]&lt;=18.5,"Underweight",IF(Table13[[#This Row],[BMI]]&lt;=24.9,"Normal",IF(Table13[[#This Row],[BMI]]&lt;=29.9,"Overweight",IF(Table13[[#This Row],[BMI]]&lt;=39,"Obese","Severly Obese"))))</f>
        <v>Underweight</v>
      </c>
      <c r="W1253" s="18">
        <v>12.32</v>
      </c>
    </row>
    <row r="1254" spans="6:23" x14ac:dyDescent="0.3">
      <c r="F1254" s="17">
        <v>18</v>
      </c>
      <c r="G1254" s="8" t="str">
        <f>IF(Table13[[#This Row],[Age]]&lt;25,"18-24",IF(Table13[[#This Row],[Age]]&lt;35,"25-34",IF(Table13[[#This Row],[Age]]&lt;45,"35-44",IF(Table13[[#This Row],[Age]]&lt;55,"45-54","55-64"))))</f>
        <v>18-24</v>
      </c>
      <c r="H1254" s="8" t="s">
        <v>19</v>
      </c>
      <c r="I1254" s="8">
        <v>68.7</v>
      </c>
      <c r="J1254" s="8">
        <v>1.77</v>
      </c>
      <c r="K1254" s="8">
        <v>161</v>
      </c>
      <c r="L1254" s="8">
        <v>169</v>
      </c>
      <c r="M1254" s="8">
        <v>68</v>
      </c>
      <c r="N1254" s="8">
        <v>1.01</v>
      </c>
      <c r="O1254" s="8">
        <v>1011</v>
      </c>
      <c r="P1254" s="8" t="s">
        <v>20</v>
      </c>
      <c r="Q1254" s="8" t="str">
        <f>_xlfn.IFS(AND(Table13[[#This Row],[Gender]]="female",R1254&lt;20),"Athletes",AND(Table13[[#This Row],[Gender]]="female",R1254&lt;24),"Fitnesss",AND(Table13[[#This Row],[Gender]]="female",R1254&lt;31),"Acceptable",AND(Table13[[#This Row],[Gender]]="female",R1254&lt;40),"Obese",AND(Table13[[#This Row],[Gender]]="male",R1254&lt;13),"Athletes",AND(Table13[[#This Row],[Gender]]="male",R1254&lt;17),"Fitnesss",AND(Table13[[#This Row],[Gender]]="male",R1254&lt;24.9),"Acceptable",AND(Table13[[#This Row],[Gender]]="male",R1254&lt;40),"Obese",AND(Table13[[#This Row],[Gender]]="others",R1254&lt;20),"Athletes",AND(Table13[[#This Row],[Gender]]="others",R1254&lt;24),"Fitnesss",AND(Table13[[#This Row],[Gender]]="others",R1254&lt;31),"Acceptable",AND(Table13[[#This Row],[Gender]]="others",R1254&lt;40),"Obese")</f>
        <v>Obese</v>
      </c>
      <c r="R1254" s="8">
        <v>27.3</v>
      </c>
      <c r="S1254" s="8">
        <v>3.5</v>
      </c>
      <c r="T1254" s="8">
        <v>3</v>
      </c>
      <c r="U1254" s="8">
        <v>2</v>
      </c>
      <c r="V1254" s="8" t="str">
        <f>IF(Table13[[#This Row],[BMI]]&lt;=18.5,"Underweight",IF(Table13[[#This Row],[BMI]]&lt;=24.9,"Normal",IF(Table13[[#This Row],[BMI]]&lt;=29.9,"Overweight",IF(Table13[[#This Row],[BMI]]&lt;=39,"Obese","Severly Obese"))))</f>
        <v>Underweight</v>
      </c>
      <c r="W1254" s="18">
        <v>17</v>
      </c>
    </row>
    <row r="1255" spans="6:23" x14ac:dyDescent="0.3">
      <c r="F1255" s="17">
        <v>23</v>
      </c>
      <c r="G1255" s="8" t="str">
        <f>IF(Table13[[#This Row],[Age]]&lt;25,"18-24",IF(Table13[[#This Row],[Age]]&lt;35,"25-34",IF(Table13[[#This Row],[Age]]&lt;45,"35-44",IF(Table13[[#This Row],[Age]]&lt;55,"45-54","55-64"))))</f>
        <v>18-24</v>
      </c>
      <c r="H1255" s="8" t="s">
        <v>19</v>
      </c>
      <c r="I1255" s="8">
        <v>114.9</v>
      </c>
      <c r="J1255" s="8">
        <v>1.61</v>
      </c>
      <c r="K1255" s="8">
        <v>180</v>
      </c>
      <c r="L1255" s="8">
        <v>120</v>
      </c>
      <c r="M1255" s="8">
        <v>56</v>
      </c>
      <c r="N1255" s="8">
        <v>1.27</v>
      </c>
      <c r="O1255" s="8">
        <v>891</v>
      </c>
      <c r="P1255" s="8" t="s">
        <v>21</v>
      </c>
      <c r="Q1255" s="8" t="str">
        <f>_xlfn.IFS(AND(Table13[[#This Row],[Gender]]="female",R1255&lt;20),"Athletes",AND(Table13[[#This Row],[Gender]]="female",R1255&lt;24),"Fitnesss",AND(Table13[[#This Row],[Gender]]="female",R1255&lt;31),"Acceptable",AND(Table13[[#This Row],[Gender]]="female",R1255&lt;40),"Obese",AND(Table13[[#This Row],[Gender]]="male",R1255&lt;13),"Athletes",AND(Table13[[#This Row],[Gender]]="male",R1255&lt;17),"Fitnesss",AND(Table13[[#This Row],[Gender]]="male",R1255&lt;24.9),"Acceptable",AND(Table13[[#This Row],[Gender]]="male",R1255&lt;40),"Obese",AND(Table13[[#This Row],[Gender]]="others",R1255&lt;20),"Athletes",AND(Table13[[#This Row],[Gender]]="others",R1255&lt;24),"Fitnesss",AND(Table13[[#This Row],[Gender]]="others",R1255&lt;31),"Acceptable",AND(Table13[[#This Row],[Gender]]="others",R1255&lt;40),"Obese")</f>
        <v>Obese</v>
      </c>
      <c r="R1255" s="8">
        <v>28</v>
      </c>
      <c r="S1255" s="8">
        <v>3.3</v>
      </c>
      <c r="T1255" s="8">
        <v>3</v>
      </c>
      <c r="U1255" s="8">
        <v>1</v>
      </c>
      <c r="V1255" s="8" t="str">
        <f>IF(Table13[[#This Row],[BMI]]&lt;=18.5,"Underweight",IF(Table13[[#This Row],[BMI]]&lt;=24.9,"Normal",IF(Table13[[#This Row],[BMI]]&lt;=29.9,"Overweight",IF(Table13[[#This Row],[BMI]]&lt;=39,"Obese","Severly Obese"))))</f>
        <v>Normal</v>
      </c>
      <c r="W1255" s="18">
        <v>22.67</v>
      </c>
    </row>
    <row r="1256" spans="6:23" x14ac:dyDescent="0.3">
      <c r="F1256" s="17">
        <v>47</v>
      </c>
      <c r="G1256" s="8" t="str">
        <f>IF(Table13[[#This Row],[Age]]&lt;25,"18-24",IF(Table13[[#This Row],[Age]]&lt;35,"25-34",IF(Table13[[#This Row],[Age]]&lt;45,"35-44",IF(Table13[[#This Row],[Age]]&lt;55,"45-54","55-64"))))</f>
        <v>45-54</v>
      </c>
      <c r="H1256" s="8" t="s">
        <v>19</v>
      </c>
      <c r="I1256" s="8">
        <v>65.599999999999994</v>
      </c>
      <c r="J1256" s="8">
        <v>1.77</v>
      </c>
      <c r="K1256" s="8">
        <v>190</v>
      </c>
      <c r="L1256" s="8">
        <v>154</v>
      </c>
      <c r="M1256" s="8">
        <v>54</v>
      </c>
      <c r="N1256" s="8">
        <v>1.59</v>
      </c>
      <c r="O1256" s="8">
        <v>413</v>
      </c>
      <c r="P1256" s="8" t="s">
        <v>18</v>
      </c>
      <c r="Q1256" s="8" t="str">
        <f>_xlfn.IFS(AND(Table13[[#This Row],[Gender]]="female",R1256&lt;20),"Athletes",AND(Table13[[#This Row],[Gender]]="female",R1256&lt;24),"Fitnesss",AND(Table13[[#This Row],[Gender]]="female",R1256&lt;31),"Acceptable",AND(Table13[[#This Row],[Gender]]="female",R1256&lt;40),"Obese",AND(Table13[[#This Row],[Gender]]="male",R1256&lt;13),"Athletes",AND(Table13[[#This Row],[Gender]]="male",R1256&lt;17),"Fitnesss",AND(Table13[[#This Row],[Gender]]="male",R1256&lt;24.9),"Acceptable",AND(Table13[[#This Row],[Gender]]="male",R1256&lt;40),"Obese",AND(Table13[[#This Row],[Gender]]="others",R1256&lt;20),"Athletes",AND(Table13[[#This Row],[Gender]]="others",R1256&lt;24),"Fitnesss",AND(Table13[[#This Row],[Gender]]="others",R1256&lt;31),"Acceptable",AND(Table13[[#This Row],[Gender]]="others",R1256&lt;40),"Obese")</f>
        <v>Acceptable</v>
      </c>
      <c r="R1256" s="8">
        <v>23.1</v>
      </c>
      <c r="S1256" s="8">
        <v>3.6</v>
      </c>
      <c r="T1256" s="8">
        <v>2</v>
      </c>
      <c r="U1256" s="8">
        <v>2</v>
      </c>
      <c r="V1256" s="8" t="str">
        <f>IF(Table13[[#This Row],[BMI]]&lt;=18.5,"Underweight",IF(Table13[[#This Row],[BMI]]&lt;=24.9,"Normal",IF(Table13[[#This Row],[BMI]]&lt;=29.9,"Overweight",IF(Table13[[#This Row],[BMI]]&lt;=39,"Obese","Severly Obese"))))</f>
        <v>Underweight</v>
      </c>
      <c r="W1256" s="18">
        <v>14.47</v>
      </c>
    </row>
    <row r="1257" spans="6:23" x14ac:dyDescent="0.3">
      <c r="F1257" s="17">
        <v>20</v>
      </c>
      <c r="G1257" s="8" t="str">
        <f>IF(Table13[[#This Row],[Age]]&lt;25,"18-24",IF(Table13[[#This Row],[Age]]&lt;35,"25-34",IF(Table13[[#This Row],[Age]]&lt;45,"35-44",IF(Table13[[#This Row],[Age]]&lt;55,"45-54","55-64"))))</f>
        <v>18-24</v>
      </c>
      <c r="H1257" s="8" t="s">
        <v>17</v>
      </c>
      <c r="I1257" s="8">
        <v>90.9</v>
      </c>
      <c r="J1257" s="8">
        <v>1.69</v>
      </c>
      <c r="K1257" s="8">
        <v>198</v>
      </c>
      <c r="L1257" s="8">
        <v>142</v>
      </c>
      <c r="M1257" s="8">
        <v>74</v>
      </c>
      <c r="N1257" s="8">
        <v>1.35</v>
      </c>
      <c r="O1257" s="8">
        <v>927</v>
      </c>
      <c r="P1257" s="8" t="s">
        <v>20</v>
      </c>
      <c r="Q1257" s="8" t="str">
        <f>_xlfn.IFS(AND(Table13[[#This Row],[Gender]]="female",R1257&lt;20),"Athletes",AND(Table13[[#This Row],[Gender]]="female",R1257&lt;24),"Fitnesss",AND(Table13[[#This Row],[Gender]]="female",R1257&lt;31),"Acceptable",AND(Table13[[#This Row],[Gender]]="female",R1257&lt;40),"Obese",AND(Table13[[#This Row],[Gender]]="male",R1257&lt;13),"Athletes",AND(Table13[[#This Row],[Gender]]="male",R1257&lt;17),"Fitnesss",AND(Table13[[#This Row],[Gender]]="male",R1257&lt;24.9),"Acceptable",AND(Table13[[#This Row],[Gender]]="male",R1257&lt;40),"Obese",AND(Table13[[#This Row],[Gender]]="others",R1257&lt;20),"Athletes",AND(Table13[[#This Row],[Gender]]="others",R1257&lt;24),"Fitnesss",AND(Table13[[#This Row],[Gender]]="others",R1257&lt;31),"Acceptable",AND(Table13[[#This Row],[Gender]]="others",R1257&lt;40),"Obese")</f>
        <v>Athletes</v>
      </c>
      <c r="R1257" s="8">
        <v>18.100000000000001</v>
      </c>
      <c r="S1257" s="8">
        <v>3.2</v>
      </c>
      <c r="T1257" s="8">
        <v>4</v>
      </c>
      <c r="U1257" s="8">
        <v>1</v>
      </c>
      <c r="V1257" s="8" t="str">
        <f>IF(Table13[[#This Row],[BMI]]&lt;=18.5,"Underweight",IF(Table13[[#This Row],[BMI]]&lt;=24.9,"Normal",IF(Table13[[#This Row],[BMI]]&lt;=29.9,"Overweight",IF(Table13[[#This Row],[BMI]]&lt;=39,"Obese","Severly Obese"))))</f>
        <v>Underweight</v>
      </c>
      <c r="W1257" s="18">
        <v>16.23</v>
      </c>
    </row>
    <row r="1258" spans="6:23" x14ac:dyDescent="0.3">
      <c r="F1258" s="17">
        <v>40</v>
      </c>
      <c r="G1258" s="8" t="str">
        <f>IF(Table13[[#This Row],[Age]]&lt;25,"18-24",IF(Table13[[#This Row],[Age]]&lt;35,"25-34",IF(Table13[[#This Row],[Age]]&lt;45,"35-44",IF(Table13[[#This Row],[Age]]&lt;55,"45-54","55-64"))))</f>
        <v>35-44</v>
      </c>
      <c r="H1258" s="8" t="s">
        <v>19</v>
      </c>
      <c r="I1258" s="8">
        <v>61</v>
      </c>
      <c r="J1258" s="8">
        <v>1.89</v>
      </c>
      <c r="K1258" s="8">
        <v>196</v>
      </c>
      <c r="L1258" s="8">
        <v>123</v>
      </c>
      <c r="M1258" s="8">
        <v>71</v>
      </c>
      <c r="N1258" s="8">
        <v>1.45</v>
      </c>
      <c r="O1258" s="8">
        <v>625</v>
      </c>
      <c r="P1258" s="8" t="s">
        <v>18</v>
      </c>
      <c r="Q1258" s="8" t="str">
        <f>_xlfn.IFS(AND(Table13[[#This Row],[Gender]]="female",R1258&lt;20),"Athletes",AND(Table13[[#This Row],[Gender]]="female",R1258&lt;24),"Fitnesss",AND(Table13[[#This Row],[Gender]]="female",R1258&lt;31),"Acceptable",AND(Table13[[#This Row],[Gender]]="female",R1258&lt;40),"Obese",AND(Table13[[#This Row],[Gender]]="male",R1258&lt;13),"Athletes",AND(Table13[[#This Row],[Gender]]="male",R1258&lt;17),"Fitnesss",AND(Table13[[#This Row],[Gender]]="male",R1258&lt;24.9),"Acceptable",AND(Table13[[#This Row],[Gender]]="male",R1258&lt;40),"Obese",AND(Table13[[#This Row],[Gender]]="others",R1258&lt;20),"Athletes",AND(Table13[[#This Row],[Gender]]="others",R1258&lt;24),"Fitnesss",AND(Table13[[#This Row],[Gender]]="others",R1258&lt;31),"Acceptable",AND(Table13[[#This Row],[Gender]]="others",R1258&lt;40),"Obese")</f>
        <v>Obese</v>
      </c>
      <c r="R1258" s="8">
        <v>27.4</v>
      </c>
      <c r="S1258" s="8">
        <v>3.6</v>
      </c>
      <c r="T1258" s="8">
        <v>3</v>
      </c>
      <c r="U1258" s="8">
        <v>1</v>
      </c>
      <c r="V1258" s="8" t="str">
        <f>IF(Table13[[#This Row],[BMI]]&lt;=18.5,"Underweight",IF(Table13[[#This Row],[BMI]]&lt;=24.9,"Normal",IF(Table13[[#This Row],[BMI]]&lt;=29.9,"Overweight",IF(Table13[[#This Row],[BMI]]&lt;=39,"Obese","Severly Obese"))))</f>
        <v>Normal</v>
      </c>
      <c r="W1258" s="18">
        <v>23.16</v>
      </c>
    </row>
    <row r="1259" spans="6:23" x14ac:dyDescent="0.3">
      <c r="F1259" s="17">
        <v>18</v>
      </c>
      <c r="G1259" s="8" t="str">
        <f>IF(Table13[[#This Row],[Age]]&lt;25,"18-24",IF(Table13[[#This Row],[Age]]&lt;35,"25-34",IF(Table13[[#This Row],[Age]]&lt;45,"35-44",IF(Table13[[#This Row],[Age]]&lt;55,"45-54","55-64"))))</f>
        <v>18-24</v>
      </c>
      <c r="H1259" s="8" t="s">
        <v>19</v>
      </c>
      <c r="I1259" s="8">
        <v>66.8</v>
      </c>
      <c r="J1259" s="8">
        <v>1.66</v>
      </c>
      <c r="K1259" s="8">
        <v>166</v>
      </c>
      <c r="L1259" s="8">
        <v>135</v>
      </c>
      <c r="M1259" s="8">
        <v>59</v>
      </c>
      <c r="N1259" s="8">
        <v>2</v>
      </c>
      <c r="O1259" s="8">
        <v>803</v>
      </c>
      <c r="P1259" s="8" t="s">
        <v>22</v>
      </c>
      <c r="Q1259" s="8" t="str">
        <f>_xlfn.IFS(AND(Table13[[#This Row],[Gender]]="female",R1259&lt;20),"Athletes",AND(Table13[[#This Row],[Gender]]="female",R1259&lt;24),"Fitnesss",AND(Table13[[#This Row],[Gender]]="female",R1259&lt;31),"Acceptable",AND(Table13[[#This Row],[Gender]]="female",R1259&lt;40),"Obese",AND(Table13[[#This Row],[Gender]]="male",R1259&lt;13),"Athletes",AND(Table13[[#This Row],[Gender]]="male",R1259&lt;17),"Fitnesss",AND(Table13[[#This Row],[Gender]]="male",R1259&lt;24.9),"Acceptable",AND(Table13[[#This Row],[Gender]]="male",R1259&lt;40),"Obese",AND(Table13[[#This Row],[Gender]]="others",R1259&lt;20),"Athletes",AND(Table13[[#This Row],[Gender]]="others",R1259&lt;24),"Fitnesss",AND(Table13[[#This Row],[Gender]]="others",R1259&lt;31),"Acceptable",AND(Table13[[#This Row],[Gender]]="others",R1259&lt;40),"Obese")</f>
        <v>Acceptable</v>
      </c>
      <c r="R1259" s="8">
        <v>23.2</v>
      </c>
      <c r="S1259" s="8">
        <v>3</v>
      </c>
      <c r="T1259" s="8">
        <v>2</v>
      </c>
      <c r="U1259" s="8">
        <v>1</v>
      </c>
      <c r="V1259" s="8" t="str">
        <f>IF(Table13[[#This Row],[BMI]]&lt;=18.5,"Underweight",IF(Table13[[#This Row],[BMI]]&lt;=24.9,"Normal",IF(Table13[[#This Row],[BMI]]&lt;=29.9,"Overweight",IF(Table13[[#This Row],[BMI]]&lt;=39,"Obese","Severly Obese"))))</f>
        <v>Underweight</v>
      </c>
      <c r="W1259" s="18">
        <v>12.56</v>
      </c>
    </row>
    <row r="1260" spans="6:23" x14ac:dyDescent="0.3">
      <c r="F1260" s="17">
        <v>56</v>
      </c>
      <c r="G1260" s="8" t="str">
        <f>IF(Table13[[#This Row],[Age]]&lt;25,"18-24",IF(Table13[[#This Row],[Age]]&lt;35,"25-34",IF(Table13[[#This Row],[Age]]&lt;45,"35-44",IF(Table13[[#This Row],[Age]]&lt;55,"45-54","55-64"))))</f>
        <v>55-64</v>
      </c>
      <c r="H1260" s="8" t="s">
        <v>19</v>
      </c>
      <c r="I1260" s="8">
        <v>42.6</v>
      </c>
      <c r="J1260" s="8">
        <v>1.61</v>
      </c>
      <c r="K1260" s="8">
        <v>190</v>
      </c>
      <c r="L1260" s="8">
        <v>161</v>
      </c>
      <c r="M1260" s="8">
        <v>60</v>
      </c>
      <c r="N1260" s="8">
        <v>1.24</v>
      </c>
      <c r="O1260" s="8">
        <v>1260</v>
      </c>
      <c r="P1260" s="8" t="s">
        <v>21</v>
      </c>
      <c r="Q1260" s="8" t="str">
        <f>_xlfn.IFS(AND(Table13[[#This Row],[Gender]]="female",R1260&lt;20),"Athletes",AND(Table13[[#This Row],[Gender]]="female",R1260&lt;24),"Fitnesss",AND(Table13[[#This Row],[Gender]]="female",R1260&lt;31),"Acceptable",AND(Table13[[#This Row],[Gender]]="female",R1260&lt;40),"Obese",AND(Table13[[#This Row],[Gender]]="male",R1260&lt;13),"Athletes",AND(Table13[[#This Row],[Gender]]="male",R1260&lt;17),"Fitnesss",AND(Table13[[#This Row],[Gender]]="male",R1260&lt;24.9),"Acceptable",AND(Table13[[#This Row],[Gender]]="male",R1260&lt;40),"Obese",AND(Table13[[#This Row],[Gender]]="others",R1260&lt;20),"Athletes",AND(Table13[[#This Row],[Gender]]="others",R1260&lt;24),"Fitnesss",AND(Table13[[#This Row],[Gender]]="others",R1260&lt;31),"Acceptable",AND(Table13[[#This Row],[Gender]]="others",R1260&lt;40),"Obese")</f>
        <v>Acceptable</v>
      </c>
      <c r="R1260" s="8">
        <v>23</v>
      </c>
      <c r="S1260" s="8">
        <v>3.6</v>
      </c>
      <c r="T1260" s="8">
        <v>4</v>
      </c>
      <c r="U1260" s="8">
        <v>3</v>
      </c>
      <c r="V1260" s="8" t="str">
        <f>IF(Table13[[#This Row],[BMI]]&lt;=18.5,"Underweight",IF(Table13[[#This Row],[BMI]]&lt;=24.9,"Normal",IF(Table13[[#This Row],[BMI]]&lt;=29.9,"Overweight",IF(Table13[[#This Row],[BMI]]&lt;=39,"Obese","Severly Obese"))))</f>
        <v>Normal</v>
      </c>
      <c r="W1260" s="18">
        <v>23.68</v>
      </c>
    </row>
    <row r="1261" spans="6:23" x14ac:dyDescent="0.3">
      <c r="F1261" s="17">
        <v>56</v>
      </c>
      <c r="G1261" s="8" t="str">
        <f>IF(Table13[[#This Row],[Age]]&lt;25,"18-24",IF(Table13[[#This Row],[Age]]&lt;35,"25-34",IF(Table13[[#This Row],[Age]]&lt;45,"35-44",IF(Table13[[#This Row],[Age]]&lt;55,"45-54","55-64"))))</f>
        <v>55-64</v>
      </c>
      <c r="H1261" s="8" t="s">
        <v>17</v>
      </c>
      <c r="I1261" s="8">
        <v>88.8</v>
      </c>
      <c r="J1261" s="8">
        <v>1.7</v>
      </c>
      <c r="K1261" s="8">
        <v>173</v>
      </c>
      <c r="L1261" s="8">
        <v>129</v>
      </c>
      <c r="M1261" s="8">
        <v>52</v>
      </c>
      <c r="N1261" s="8">
        <v>1.79</v>
      </c>
      <c r="O1261" s="8">
        <v>933</v>
      </c>
      <c r="P1261" s="8" t="s">
        <v>22</v>
      </c>
      <c r="Q1261" s="8" t="str">
        <f>_xlfn.IFS(AND(Table13[[#This Row],[Gender]]="female",R1261&lt;20),"Athletes",AND(Table13[[#This Row],[Gender]]="female",R1261&lt;24),"Fitnesss",AND(Table13[[#This Row],[Gender]]="female",R1261&lt;31),"Acceptable",AND(Table13[[#This Row],[Gender]]="female",R1261&lt;40),"Obese",AND(Table13[[#This Row],[Gender]]="male",R1261&lt;13),"Athletes",AND(Table13[[#This Row],[Gender]]="male",R1261&lt;17),"Fitnesss",AND(Table13[[#This Row],[Gender]]="male",R1261&lt;24.9),"Acceptable",AND(Table13[[#This Row],[Gender]]="male",R1261&lt;40),"Obese",AND(Table13[[#This Row],[Gender]]="others",R1261&lt;20),"Athletes",AND(Table13[[#This Row],[Gender]]="others",R1261&lt;24),"Fitnesss",AND(Table13[[#This Row],[Gender]]="others",R1261&lt;31),"Acceptable",AND(Table13[[#This Row],[Gender]]="others",R1261&lt;40),"Obese")</f>
        <v>Acceptable</v>
      </c>
      <c r="R1261" s="8">
        <v>24.1</v>
      </c>
      <c r="S1261" s="8">
        <v>1.5</v>
      </c>
      <c r="T1261" s="8">
        <v>4</v>
      </c>
      <c r="U1261" s="8">
        <v>2</v>
      </c>
      <c r="V1261" s="8" t="str">
        <f>IF(Table13[[#This Row],[BMI]]&lt;=18.5,"Underweight",IF(Table13[[#This Row],[BMI]]&lt;=24.9,"Normal",IF(Table13[[#This Row],[BMI]]&lt;=29.9,"Overweight",IF(Table13[[#This Row],[BMI]]&lt;=39,"Obese","Severly Obese"))))</f>
        <v>Underweight</v>
      </c>
      <c r="W1261" s="18">
        <v>12.32</v>
      </c>
    </row>
    <row r="1262" spans="6:23" x14ac:dyDescent="0.3">
      <c r="F1262" s="17">
        <v>34</v>
      </c>
      <c r="G1262" s="8" t="str">
        <f>IF(Table13[[#This Row],[Age]]&lt;25,"18-24",IF(Table13[[#This Row],[Age]]&lt;35,"25-34",IF(Table13[[#This Row],[Age]]&lt;45,"35-44",IF(Table13[[#This Row],[Age]]&lt;55,"45-54","55-64"))))</f>
        <v>25-34</v>
      </c>
      <c r="H1262" s="8" t="s">
        <v>17</v>
      </c>
      <c r="I1262" s="8">
        <v>83.2</v>
      </c>
      <c r="J1262" s="8">
        <v>1.64</v>
      </c>
      <c r="K1262" s="8">
        <v>171</v>
      </c>
      <c r="L1262" s="8">
        <v>164</v>
      </c>
      <c r="M1262" s="8">
        <v>69</v>
      </c>
      <c r="N1262" s="8">
        <v>1.19</v>
      </c>
      <c r="O1262" s="8">
        <v>1392</v>
      </c>
      <c r="P1262" s="8" t="s">
        <v>22</v>
      </c>
      <c r="Q1262" s="8" t="str">
        <f>_xlfn.IFS(AND(Table13[[#This Row],[Gender]]="female",R1262&lt;20),"Athletes",AND(Table13[[#This Row],[Gender]]="female",R1262&lt;24),"Fitnesss",AND(Table13[[#This Row],[Gender]]="female",R1262&lt;31),"Acceptable",AND(Table13[[#This Row],[Gender]]="female",R1262&lt;40),"Obese",AND(Table13[[#This Row],[Gender]]="male",R1262&lt;13),"Athletes",AND(Table13[[#This Row],[Gender]]="male",R1262&lt;17),"Fitnesss",AND(Table13[[#This Row],[Gender]]="male",R1262&lt;24.9),"Acceptable",AND(Table13[[#This Row],[Gender]]="male",R1262&lt;40),"Obese",AND(Table13[[#This Row],[Gender]]="others",R1262&lt;20),"Athletes",AND(Table13[[#This Row],[Gender]]="others",R1262&lt;24),"Fitnesss",AND(Table13[[#This Row],[Gender]]="others",R1262&lt;31),"Acceptable",AND(Table13[[#This Row],[Gender]]="others",R1262&lt;40),"Obese")</f>
        <v>Fitnesss</v>
      </c>
      <c r="R1262" s="8">
        <v>22.9</v>
      </c>
      <c r="S1262" s="8">
        <v>3.5</v>
      </c>
      <c r="T1262" s="8">
        <v>3</v>
      </c>
      <c r="U1262" s="8">
        <v>1</v>
      </c>
      <c r="V1262" s="8" t="str">
        <f>IF(Table13[[#This Row],[BMI]]&lt;=18.5,"Underweight",IF(Table13[[#This Row],[BMI]]&lt;=24.9,"Normal",IF(Table13[[#This Row],[BMI]]&lt;=29.9,"Overweight",IF(Table13[[#This Row],[BMI]]&lt;=39,"Obese","Severly Obese"))))</f>
        <v>Underweight</v>
      </c>
      <c r="W1262" s="18">
        <v>14.97</v>
      </c>
    </row>
    <row r="1263" spans="6:23" x14ac:dyDescent="0.3">
      <c r="F1263" s="17">
        <v>38</v>
      </c>
      <c r="G1263" s="8" t="str">
        <f>IF(Table13[[#This Row],[Age]]&lt;25,"18-24",IF(Table13[[#This Row],[Age]]&lt;35,"25-34",IF(Table13[[#This Row],[Age]]&lt;45,"35-44",IF(Table13[[#This Row],[Age]]&lt;55,"45-54","55-64"))))</f>
        <v>35-44</v>
      </c>
      <c r="H1263" s="8" t="s">
        <v>17</v>
      </c>
      <c r="I1263" s="8">
        <v>99.1</v>
      </c>
      <c r="J1263" s="8">
        <v>1.5</v>
      </c>
      <c r="K1263" s="8">
        <v>185</v>
      </c>
      <c r="L1263" s="8">
        <v>159</v>
      </c>
      <c r="M1263" s="8">
        <v>74</v>
      </c>
      <c r="N1263" s="8">
        <v>1.38</v>
      </c>
      <c r="O1263" s="8">
        <v>995</v>
      </c>
      <c r="P1263" s="8" t="s">
        <v>21</v>
      </c>
      <c r="Q1263" s="8" t="str">
        <f>_xlfn.IFS(AND(Table13[[#This Row],[Gender]]="female",R1263&lt;20),"Athletes",AND(Table13[[#This Row],[Gender]]="female",R1263&lt;24),"Fitnesss",AND(Table13[[#This Row],[Gender]]="female",R1263&lt;31),"Acceptable",AND(Table13[[#This Row],[Gender]]="female",R1263&lt;40),"Obese",AND(Table13[[#This Row],[Gender]]="male",R1263&lt;13),"Athletes",AND(Table13[[#This Row],[Gender]]="male",R1263&lt;17),"Fitnesss",AND(Table13[[#This Row],[Gender]]="male",R1263&lt;24.9),"Acceptable",AND(Table13[[#This Row],[Gender]]="male",R1263&lt;40),"Obese",AND(Table13[[#This Row],[Gender]]="others",R1263&lt;20),"Athletes",AND(Table13[[#This Row],[Gender]]="others",R1263&lt;24),"Fitnesss",AND(Table13[[#This Row],[Gender]]="others",R1263&lt;31),"Acceptable",AND(Table13[[#This Row],[Gender]]="others",R1263&lt;40),"Obese")</f>
        <v>Athletes</v>
      </c>
      <c r="R1263" s="8">
        <v>17.8</v>
      </c>
      <c r="S1263" s="8">
        <v>1.5</v>
      </c>
      <c r="T1263" s="8">
        <v>4</v>
      </c>
      <c r="U1263" s="8">
        <v>1</v>
      </c>
      <c r="V1263" s="8" t="str">
        <f>IF(Table13[[#This Row],[BMI]]&lt;=18.5,"Underweight",IF(Table13[[#This Row],[BMI]]&lt;=24.9,"Normal",IF(Table13[[#This Row],[BMI]]&lt;=29.9,"Overweight",IF(Table13[[#This Row],[BMI]]&lt;=39,"Obese","Severly Obese"))))</f>
        <v>Normal</v>
      </c>
      <c r="W1263" s="18">
        <v>24.56</v>
      </c>
    </row>
    <row r="1264" spans="6:23" x14ac:dyDescent="0.3">
      <c r="F1264" s="17">
        <v>43</v>
      </c>
      <c r="G1264" s="8" t="str">
        <f>IF(Table13[[#This Row],[Age]]&lt;25,"18-24",IF(Table13[[#This Row],[Age]]&lt;35,"25-34",IF(Table13[[#This Row],[Age]]&lt;45,"35-44",IF(Table13[[#This Row],[Age]]&lt;55,"45-54","55-64"))))</f>
        <v>35-44</v>
      </c>
      <c r="H1264" s="8" t="s">
        <v>19</v>
      </c>
      <c r="I1264" s="8">
        <v>77.8</v>
      </c>
      <c r="J1264" s="8">
        <v>1.7</v>
      </c>
      <c r="K1264" s="8">
        <v>180</v>
      </c>
      <c r="L1264" s="8">
        <v>149</v>
      </c>
      <c r="M1264" s="8">
        <v>58</v>
      </c>
      <c r="N1264" s="8">
        <v>1.38</v>
      </c>
      <c r="O1264" s="8">
        <v>1643</v>
      </c>
      <c r="P1264" s="8" t="s">
        <v>18</v>
      </c>
      <c r="Q1264" s="8" t="str">
        <f>_xlfn.IFS(AND(Table13[[#This Row],[Gender]]="female",R1264&lt;20),"Athletes",AND(Table13[[#This Row],[Gender]]="female",R1264&lt;24),"Fitnesss",AND(Table13[[#This Row],[Gender]]="female",R1264&lt;31),"Acceptable",AND(Table13[[#This Row],[Gender]]="female",R1264&lt;40),"Obese",AND(Table13[[#This Row],[Gender]]="male",R1264&lt;13),"Athletes",AND(Table13[[#This Row],[Gender]]="male",R1264&lt;17),"Fitnesss",AND(Table13[[#This Row],[Gender]]="male",R1264&lt;24.9),"Acceptable",AND(Table13[[#This Row],[Gender]]="male",R1264&lt;40),"Obese",AND(Table13[[#This Row],[Gender]]="others",R1264&lt;20),"Athletes",AND(Table13[[#This Row],[Gender]]="others",R1264&lt;24),"Fitnesss",AND(Table13[[#This Row],[Gender]]="others",R1264&lt;31),"Acceptable",AND(Table13[[#This Row],[Gender]]="others",R1264&lt;40),"Obese")</f>
        <v>Fitnesss</v>
      </c>
      <c r="R1264" s="8">
        <v>14.9</v>
      </c>
      <c r="S1264" s="8">
        <v>2.8</v>
      </c>
      <c r="T1264" s="8">
        <v>5</v>
      </c>
      <c r="U1264" s="8">
        <v>1</v>
      </c>
      <c r="V1264" s="8" t="str">
        <f>IF(Table13[[#This Row],[BMI]]&lt;=18.5,"Underweight",IF(Table13[[#This Row],[BMI]]&lt;=24.9,"Normal",IF(Table13[[#This Row],[BMI]]&lt;=29.9,"Overweight",IF(Table13[[#This Row],[BMI]]&lt;=39,"Obese","Severly Obese"))))</f>
        <v>Underweight</v>
      </c>
      <c r="W1264" s="18">
        <v>16.55</v>
      </c>
    </row>
    <row r="1265" spans="6:23" x14ac:dyDescent="0.3">
      <c r="F1265" s="17">
        <v>18</v>
      </c>
      <c r="G1265" s="8" t="str">
        <f>IF(Table13[[#This Row],[Age]]&lt;25,"18-24",IF(Table13[[#This Row],[Age]]&lt;35,"25-34",IF(Table13[[#This Row],[Age]]&lt;45,"35-44",IF(Table13[[#This Row],[Age]]&lt;55,"45-54","55-64"))))</f>
        <v>18-24</v>
      </c>
      <c r="H1265" s="8" t="s">
        <v>19</v>
      </c>
      <c r="I1265" s="8">
        <v>47.8</v>
      </c>
      <c r="J1265" s="8">
        <v>1.85</v>
      </c>
      <c r="K1265" s="8">
        <v>161</v>
      </c>
      <c r="L1265" s="8">
        <v>156</v>
      </c>
      <c r="M1265" s="8">
        <v>50</v>
      </c>
      <c r="N1265" s="8">
        <v>1.02</v>
      </c>
      <c r="O1265" s="8">
        <v>1265</v>
      </c>
      <c r="P1265" s="8" t="s">
        <v>22</v>
      </c>
      <c r="Q1265" s="8" t="str">
        <f>_xlfn.IFS(AND(Table13[[#This Row],[Gender]]="female",R1265&lt;20),"Athletes",AND(Table13[[#This Row],[Gender]]="female",R1265&lt;24),"Fitnesss",AND(Table13[[#This Row],[Gender]]="female",R1265&lt;31),"Acceptable",AND(Table13[[#This Row],[Gender]]="female",R1265&lt;40),"Obese",AND(Table13[[#This Row],[Gender]]="male",R1265&lt;13),"Athletes",AND(Table13[[#This Row],[Gender]]="male",R1265&lt;17),"Fitnesss",AND(Table13[[#This Row],[Gender]]="male",R1265&lt;24.9),"Acceptable",AND(Table13[[#This Row],[Gender]]="male",R1265&lt;40),"Obese",AND(Table13[[#This Row],[Gender]]="others",R1265&lt;20),"Athletes",AND(Table13[[#This Row],[Gender]]="others",R1265&lt;24),"Fitnesss",AND(Table13[[#This Row],[Gender]]="others",R1265&lt;31),"Acceptable",AND(Table13[[#This Row],[Gender]]="others",R1265&lt;40),"Obese")</f>
        <v>Obese</v>
      </c>
      <c r="R1265" s="8">
        <v>30.8</v>
      </c>
      <c r="S1265" s="8">
        <v>3.2</v>
      </c>
      <c r="T1265" s="8">
        <v>5</v>
      </c>
      <c r="U1265" s="8">
        <v>1</v>
      </c>
      <c r="V1265" s="8" t="str">
        <f>IF(Table13[[#This Row],[BMI]]&lt;=18.5,"Underweight",IF(Table13[[#This Row],[BMI]]&lt;=24.9,"Normal",IF(Table13[[#This Row],[BMI]]&lt;=29.9,"Overweight",IF(Table13[[#This Row],[BMI]]&lt;=39,"Obese","Severly Obese"))))</f>
        <v>Underweight</v>
      </c>
      <c r="W1265" s="18">
        <v>12.32</v>
      </c>
    </row>
    <row r="1266" spans="6:23" x14ac:dyDescent="0.3">
      <c r="F1266" s="17">
        <v>24</v>
      </c>
      <c r="G1266" s="8" t="str">
        <f>IF(Table13[[#This Row],[Age]]&lt;25,"18-24",IF(Table13[[#This Row],[Age]]&lt;35,"25-34",IF(Table13[[#This Row],[Age]]&lt;45,"35-44",IF(Table13[[#This Row],[Age]]&lt;55,"45-54","55-64"))))</f>
        <v>18-24</v>
      </c>
      <c r="H1266" s="8" t="s">
        <v>19</v>
      </c>
      <c r="I1266" s="8">
        <v>40</v>
      </c>
      <c r="J1266" s="8">
        <v>1.82</v>
      </c>
      <c r="K1266" s="8">
        <v>168</v>
      </c>
      <c r="L1266" s="8">
        <v>120</v>
      </c>
      <c r="M1266" s="8">
        <v>74</v>
      </c>
      <c r="N1266" s="8">
        <v>1.28</v>
      </c>
      <c r="O1266" s="8">
        <v>303</v>
      </c>
      <c r="P1266" s="8" t="s">
        <v>18</v>
      </c>
      <c r="Q1266" s="8" t="str">
        <f>_xlfn.IFS(AND(Table13[[#This Row],[Gender]]="female",R1266&lt;20),"Athletes",AND(Table13[[#This Row],[Gender]]="female",R1266&lt;24),"Fitnesss",AND(Table13[[#This Row],[Gender]]="female",R1266&lt;31),"Acceptable",AND(Table13[[#This Row],[Gender]]="female",R1266&lt;40),"Obese",AND(Table13[[#This Row],[Gender]]="male",R1266&lt;13),"Athletes",AND(Table13[[#This Row],[Gender]]="male",R1266&lt;17),"Fitnesss",AND(Table13[[#This Row],[Gender]]="male",R1266&lt;24.9),"Acceptable",AND(Table13[[#This Row],[Gender]]="male",R1266&lt;40),"Obese",AND(Table13[[#This Row],[Gender]]="others",R1266&lt;20),"Athletes",AND(Table13[[#This Row],[Gender]]="others",R1266&lt;24),"Fitnesss",AND(Table13[[#This Row],[Gender]]="others",R1266&lt;31),"Acceptable",AND(Table13[[#This Row],[Gender]]="others",R1266&lt;40),"Obese")</f>
        <v>Obese</v>
      </c>
      <c r="R1266" s="8">
        <v>25</v>
      </c>
      <c r="S1266" s="8">
        <v>3.6</v>
      </c>
      <c r="T1266" s="8">
        <v>3</v>
      </c>
      <c r="U1266" s="8">
        <v>1</v>
      </c>
      <c r="V1266" s="8" t="str">
        <f>IF(Table13[[#This Row],[BMI]]&lt;=18.5,"Underweight",IF(Table13[[#This Row],[BMI]]&lt;=24.9,"Normal",IF(Table13[[#This Row],[BMI]]&lt;=29.9,"Overweight",IF(Table13[[#This Row],[BMI]]&lt;=39,"Obese","Severly Obese"))))</f>
        <v>Underweight</v>
      </c>
      <c r="W1266" s="18">
        <v>17.95</v>
      </c>
    </row>
    <row r="1267" spans="6:23" x14ac:dyDescent="0.3">
      <c r="F1267" s="17">
        <v>35</v>
      </c>
      <c r="G1267" s="8" t="str">
        <f>IF(Table13[[#This Row],[Age]]&lt;25,"18-24",IF(Table13[[#This Row],[Age]]&lt;35,"25-34",IF(Table13[[#This Row],[Age]]&lt;45,"35-44",IF(Table13[[#This Row],[Age]]&lt;55,"45-54","55-64"))))</f>
        <v>35-44</v>
      </c>
      <c r="H1267" s="8" t="s">
        <v>17</v>
      </c>
      <c r="I1267" s="8">
        <v>91</v>
      </c>
      <c r="J1267" s="8">
        <v>1.55</v>
      </c>
      <c r="K1267" s="8">
        <v>174</v>
      </c>
      <c r="L1267" s="8">
        <v>136</v>
      </c>
      <c r="M1267" s="8">
        <v>74</v>
      </c>
      <c r="N1267" s="8">
        <v>0.99</v>
      </c>
      <c r="O1267" s="8">
        <v>1216</v>
      </c>
      <c r="P1267" s="8" t="s">
        <v>20</v>
      </c>
      <c r="Q1267" s="8" t="str">
        <f>_xlfn.IFS(AND(Table13[[#This Row],[Gender]]="female",R1267&lt;20),"Athletes",AND(Table13[[#This Row],[Gender]]="female",R1267&lt;24),"Fitnesss",AND(Table13[[#This Row],[Gender]]="female",R1267&lt;31),"Acceptable",AND(Table13[[#This Row],[Gender]]="female",R1267&lt;40),"Obese",AND(Table13[[#This Row],[Gender]]="male",R1267&lt;13),"Athletes",AND(Table13[[#This Row],[Gender]]="male",R1267&lt;17),"Fitnesss",AND(Table13[[#This Row],[Gender]]="male",R1267&lt;24.9),"Acceptable",AND(Table13[[#This Row],[Gender]]="male",R1267&lt;40),"Obese",AND(Table13[[#This Row],[Gender]]="others",R1267&lt;20),"Athletes",AND(Table13[[#This Row],[Gender]]="others",R1267&lt;24),"Fitnesss",AND(Table13[[#This Row],[Gender]]="others",R1267&lt;31),"Acceptable",AND(Table13[[#This Row],[Gender]]="others",R1267&lt;40),"Obese")</f>
        <v>Acceptable</v>
      </c>
      <c r="R1267" s="8">
        <v>27</v>
      </c>
      <c r="S1267" s="8">
        <v>3.5</v>
      </c>
      <c r="T1267" s="8">
        <v>3</v>
      </c>
      <c r="U1267" s="8">
        <v>3</v>
      </c>
      <c r="V1267" s="8" t="str">
        <f>IF(Table13[[#This Row],[BMI]]&lt;=18.5,"Underweight",IF(Table13[[#This Row],[BMI]]&lt;=24.9,"Normal",IF(Table13[[#This Row],[BMI]]&lt;=29.9,"Overweight",IF(Table13[[#This Row],[BMI]]&lt;=39,"Obese","Severly Obese"))))</f>
        <v>Underweight</v>
      </c>
      <c r="W1267" s="18">
        <v>16</v>
      </c>
    </row>
    <row r="1268" spans="6:23" x14ac:dyDescent="0.3">
      <c r="F1268" s="17">
        <v>21</v>
      </c>
      <c r="G1268" s="8" t="str">
        <f>IF(Table13[[#This Row],[Age]]&lt;25,"18-24",IF(Table13[[#This Row],[Age]]&lt;35,"25-34",IF(Table13[[#This Row],[Age]]&lt;45,"35-44",IF(Table13[[#This Row],[Age]]&lt;55,"45-54","55-64"))))</f>
        <v>18-24</v>
      </c>
      <c r="H1268" s="8" t="s">
        <v>19</v>
      </c>
      <c r="I1268" s="8">
        <v>86.3</v>
      </c>
      <c r="J1268" s="8">
        <v>1.74</v>
      </c>
      <c r="K1268" s="8">
        <v>184</v>
      </c>
      <c r="L1268" s="8">
        <v>169</v>
      </c>
      <c r="M1268" s="8">
        <v>61</v>
      </c>
      <c r="N1268" s="8">
        <v>1.85</v>
      </c>
      <c r="O1268" s="8">
        <v>993</v>
      </c>
      <c r="P1268" s="8" t="s">
        <v>18</v>
      </c>
      <c r="Q1268" s="8" t="str">
        <f>_xlfn.IFS(AND(Table13[[#This Row],[Gender]]="female",R1268&lt;20),"Athletes",AND(Table13[[#This Row],[Gender]]="female",R1268&lt;24),"Fitnesss",AND(Table13[[#This Row],[Gender]]="female",R1268&lt;31),"Acceptable",AND(Table13[[#This Row],[Gender]]="female",R1268&lt;40),"Obese",AND(Table13[[#This Row],[Gender]]="male",R1268&lt;13),"Athletes",AND(Table13[[#This Row],[Gender]]="male",R1268&lt;17),"Fitnesss",AND(Table13[[#This Row],[Gender]]="male",R1268&lt;24.9),"Acceptable",AND(Table13[[#This Row],[Gender]]="male",R1268&lt;40),"Obese",AND(Table13[[#This Row],[Gender]]="others",R1268&lt;20),"Athletes",AND(Table13[[#This Row],[Gender]]="others",R1268&lt;24),"Fitnesss",AND(Table13[[#This Row],[Gender]]="others",R1268&lt;31),"Acceptable",AND(Table13[[#This Row],[Gender]]="others",R1268&lt;40),"Obese")</f>
        <v>Obese</v>
      </c>
      <c r="R1268" s="8">
        <v>24.9</v>
      </c>
      <c r="S1268" s="8">
        <v>3.4</v>
      </c>
      <c r="T1268" s="8">
        <v>2</v>
      </c>
      <c r="U1268" s="8">
        <v>2</v>
      </c>
      <c r="V1268" s="8" t="str">
        <f>IF(Table13[[#This Row],[BMI]]&lt;=18.5,"Underweight",IF(Table13[[#This Row],[BMI]]&lt;=24.9,"Normal",IF(Table13[[#This Row],[BMI]]&lt;=29.9,"Overweight",IF(Table13[[#This Row],[BMI]]&lt;=39,"Obese","Severly Obese"))))</f>
        <v>Normal</v>
      </c>
      <c r="W1268" s="18">
        <v>22.21</v>
      </c>
    </row>
    <row r="1269" spans="6:23" x14ac:dyDescent="0.3">
      <c r="F1269" s="17">
        <v>26</v>
      </c>
      <c r="G1269" s="8" t="str">
        <f>IF(Table13[[#This Row],[Age]]&lt;25,"18-24",IF(Table13[[#This Row],[Age]]&lt;35,"25-34",IF(Table13[[#This Row],[Age]]&lt;45,"35-44",IF(Table13[[#This Row],[Age]]&lt;55,"45-54","55-64"))))</f>
        <v>25-34</v>
      </c>
      <c r="H1269" s="8" t="s">
        <v>19</v>
      </c>
      <c r="I1269" s="8">
        <v>64.599999999999994</v>
      </c>
      <c r="J1269" s="8">
        <v>1.82</v>
      </c>
      <c r="K1269" s="8">
        <v>196</v>
      </c>
      <c r="L1269" s="8">
        <v>165</v>
      </c>
      <c r="M1269" s="8">
        <v>55</v>
      </c>
      <c r="N1269" s="8">
        <v>1.46</v>
      </c>
      <c r="O1269" s="8">
        <v>1699</v>
      </c>
      <c r="P1269" s="8" t="s">
        <v>22</v>
      </c>
      <c r="Q1269" s="8" t="str">
        <f>_xlfn.IFS(AND(Table13[[#This Row],[Gender]]="female",R1269&lt;20),"Athletes",AND(Table13[[#This Row],[Gender]]="female",R1269&lt;24),"Fitnesss",AND(Table13[[#This Row],[Gender]]="female",R1269&lt;31),"Acceptable",AND(Table13[[#This Row],[Gender]]="female",R1269&lt;40),"Obese",AND(Table13[[#This Row],[Gender]]="male",R1269&lt;13),"Athletes",AND(Table13[[#This Row],[Gender]]="male",R1269&lt;17),"Fitnesss",AND(Table13[[#This Row],[Gender]]="male",R1269&lt;24.9),"Acceptable",AND(Table13[[#This Row],[Gender]]="male",R1269&lt;40),"Obese",AND(Table13[[#This Row],[Gender]]="others",R1269&lt;20),"Athletes",AND(Table13[[#This Row],[Gender]]="others",R1269&lt;24),"Fitnesss",AND(Table13[[#This Row],[Gender]]="others",R1269&lt;31),"Acceptable",AND(Table13[[#This Row],[Gender]]="others",R1269&lt;40),"Obese")</f>
        <v>Obese</v>
      </c>
      <c r="R1269" s="8">
        <v>28.1</v>
      </c>
      <c r="S1269" s="8">
        <v>3.3</v>
      </c>
      <c r="T1269" s="8">
        <v>4</v>
      </c>
      <c r="U1269" s="8">
        <v>2</v>
      </c>
      <c r="V1269" s="8" t="str">
        <f>IF(Table13[[#This Row],[BMI]]&lt;=18.5,"Underweight",IF(Table13[[#This Row],[BMI]]&lt;=24.9,"Normal",IF(Table13[[#This Row],[BMI]]&lt;=29.9,"Overweight",IF(Table13[[#This Row],[BMI]]&lt;=39,"Obese","Severly Obese"))))</f>
        <v>Normal</v>
      </c>
      <c r="W1269" s="18">
        <v>19.63</v>
      </c>
    </row>
    <row r="1270" spans="6:23" x14ac:dyDescent="0.3">
      <c r="F1270" s="17">
        <v>40</v>
      </c>
      <c r="G1270" s="8" t="str">
        <f>IF(Table13[[#This Row],[Age]]&lt;25,"18-24",IF(Table13[[#This Row],[Age]]&lt;35,"25-34",IF(Table13[[#This Row],[Age]]&lt;45,"35-44",IF(Table13[[#This Row],[Age]]&lt;55,"45-54","55-64"))))</f>
        <v>35-44</v>
      </c>
      <c r="H1270" s="8" t="s">
        <v>17</v>
      </c>
      <c r="I1270" s="8">
        <v>49.6</v>
      </c>
      <c r="J1270" s="8">
        <v>1.7</v>
      </c>
      <c r="K1270" s="8">
        <v>169</v>
      </c>
      <c r="L1270" s="8"/>
      <c r="M1270" s="8">
        <v>72</v>
      </c>
      <c r="N1270" s="8">
        <v>1.6</v>
      </c>
      <c r="O1270" s="8">
        <v>921</v>
      </c>
      <c r="P1270" s="8" t="s">
        <v>20</v>
      </c>
      <c r="Q1270" s="8" t="str">
        <f>_xlfn.IFS(AND(Table13[[#This Row],[Gender]]="female",R1270&lt;20),"Athletes",AND(Table13[[#This Row],[Gender]]="female",R1270&lt;24),"Fitnesss",AND(Table13[[#This Row],[Gender]]="female",R1270&lt;31),"Acceptable",AND(Table13[[#This Row],[Gender]]="female",R1270&lt;40),"Obese",AND(Table13[[#This Row],[Gender]]="male",R1270&lt;13),"Athletes",AND(Table13[[#This Row],[Gender]]="male",R1270&lt;17),"Fitnesss",AND(Table13[[#This Row],[Gender]]="male",R1270&lt;24.9),"Acceptable",AND(Table13[[#This Row],[Gender]]="male",R1270&lt;40),"Obese",AND(Table13[[#This Row],[Gender]]="others",R1270&lt;20),"Athletes",AND(Table13[[#This Row],[Gender]]="others",R1270&lt;24),"Fitnesss",AND(Table13[[#This Row],[Gender]]="others",R1270&lt;31),"Acceptable",AND(Table13[[#This Row],[Gender]]="others",R1270&lt;40),"Obese")</f>
        <v>Obese</v>
      </c>
      <c r="R1270" s="8">
        <v>32.5</v>
      </c>
      <c r="S1270" s="8">
        <v>3.6</v>
      </c>
      <c r="T1270" s="8"/>
      <c r="U1270" s="8">
        <v>2</v>
      </c>
      <c r="V1270" s="8" t="str">
        <f>IF(Table13[[#This Row],[BMI]]&lt;=18.5,"Underweight",IF(Table13[[#This Row],[BMI]]&lt;=24.9,"Normal",IF(Table13[[#This Row],[BMI]]&lt;=29.9,"Overweight",IF(Table13[[#This Row],[BMI]]&lt;=39,"Obese","Severly Obese"))))</f>
        <v>Underweight</v>
      </c>
      <c r="W1270" s="18">
        <v>12.71</v>
      </c>
    </row>
    <row r="1271" spans="6:23" x14ac:dyDescent="0.3">
      <c r="F1271" s="17">
        <v>23</v>
      </c>
      <c r="G1271" s="8" t="str">
        <f>IF(Table13[[#This Row],[Age]]&lt;25,"18-24",IF(Table13[[#This Row],[Age]]&lt;35,"25-34",IF(Table13[[#This Row],[Age]]&lt;45,"35-44",IF(Table13[[#This Row],[Age]]&lt;55,"45-54","55-64"))))</f>
        <v>18-24</v>
      </c>
      <c r="H1271" s="8" t="s">
        <v>17</v>
      </c>
      <c r="I1271" s="8">
        <v>59.6</v>
      </c>
      <c r="J1271" s="8">
        <v>1.81</v>
      </c>
      <c r="K1271" s="8">
        <v>160</v>
      </c>
      <c r="L1271" s="8">
        <v>146</v>
      </c>
      <c r="M1271" s="8">
        <v>71</v>
      </c>
      <c r="N1271" s="8">
        <v>1.54</v>
      </c>
      <c r="O1271" s="8">
        <v>1382</v>
      </c>
      <c r="P1271" s="8" t="s">
        <v>21</v>
      </c>
      <c r="Q1271" s="8" t="str">
        <f>_xlfn.IFS(AND(Table13[[#This Row],[Gender]]="female",R1271&lt;20),"Athletes",AND(Table13[[#This Row],[Gender]]="female",R1271&lt;24),"Fitnesss",AND(Table13[[#This Row],[Gender]]="female",R1271&lt;31),"Acceptable",AND(Table13[[#This Row],[Gender]]="female",R1271&lt;40),"Obese",AND(Table13[[#This Row],[Gender]]="male",R1271&lt;13),"Athletes",AND(Table13[[#This Row],[Gender]]="male",R1271&lt;17),"Fitnesss",AND(Table13[[#This Row],[Gender]]="male",R1271&lt;24.9),"Acceptable",AND(Table13[[#This Row],[Gender]]="male",R1271&lt;40),"Obese",AND(Table13[[#This Row],[Gender]]="others",R1271&lt;20),"Athletes",AND(Table13[[#This Row],[Gender]]="others",R1271&lt;24),"Fitnesss",AND(Table13[[#This Row],[Gender]]="others",R1271&lt;31),"Acceptable",AND(Table13[[#This Row],[Gender]]="others",R1271&lt;40),"Obese")</f>
        <v>Fitnesss</v>
      </c>
      <c r="R1271" s="8">
        <v>22.6</v>
      </c>
      <c r="S1271" s="8">
        <v>2.8</v>
      </c>
      <c r="T1271" s="8">
        <v>5</v>
      </c>
      <c r="U1271" s="8">
        <v>2</v>
      </c>
      <c r="V1271" s="8" t="str">
        <f>IF(Table13[[#This Row],[BMI]]&lt;=18.5,"Underweight",IF(Table13[[#This Row],[BMI]]&lt;=24.9,"Normal",IF(Table13[[#This Row],[BMI]]&lt;=29.9,"Overweight",IF(Table13[[#This Row],[BMI]]&lt;=39,"Obese","Severly Obese"))))</f>
        <v>Underweight</v>
      </c>
      <c r="W1271" s="18">
        <v>12.32</v>
      </c>
    </row>
    <row r="1272" spans="6:23" x14ac:dyDescent="0.3">
      <c r="F1272" s="17">
        <v>46</v>
      </c>
      <c r="G1272" s="8" t="str">
        <f>IF(Table13[[#This Row],[Age]]&lt;25,"18-24",IF(Table13[[#This Row],[Age]]&lt;35,"25-34",IF(Table13[[#This Row],[Age]]&lt;45,"35-44",IF(Table13[[#This Row],[Age]]&lt;55,"45-54","55-64"))))</f>
        <v>45-54</v>
      </c>
      <c r="H1272" s="8" t="s">
        <v>17</v>
      </c>
      <c r="I1272" s="8">
        <v>53.7</v>
      </c>
      <c r="J1272" s="8">
        <v>1.5</v>
      </c>
      <c r="K1272" s="8">
        <v>177</v>
      </c>
      <c r="L1272" s="8">
        <v>169</v>
      </c>
      <c r="M1272" s="8">
        <v>54</v>
      </c>
      <c r="N1272" s="8">
        <v>1.62</v>
      </c>
      <c r="O1272" s="8">
        <v>1245</v>
      </c>
      <c r="P1272" s="8" t="s">
        <v>18</v>
      </c>
      <c r="Q1272" s="8" t="str">
        <f>_xlfn.IFS(AND(Table13[[#This Row],[Gender]]="female",R1272&lt;20),"Athletes",AND(Table13[[#This Row],[Gender]]="female",R1272&lt;24),"Fitnesss",AND(Table13[[#This Row],[Gender]]="female",R1272&lt;31),"Acceptable",AND(Table13[[#This Row],[Gender]]="female",R1272&lt;40),"Obese",AND(Table13[[#This Row],[Gender]]="male",R1272&lt;13),"Athletes",AND(Table13[[#This Row],[Gender]]="male",R1272&lt;17),"Fitnesss",AND(Table13[[#This Row],[Gender]]="male",R1272&lt;24.9),"Acceptable",AND(Table13[[#This Row],[Gender]]="male",R1272&lt;40),"Obese",AND(Table13[[#This Row],[Gender]]="others",R1272&lt;20),"Athletes",AND(Table13[[#This Row],[Gender]]="others",R1272&lt;24),"Fitnesss",AND(Table13[[#This Row],[Gender]]="others",R1272&lt;31),"Acceptable",AND(Table13[[#This Row],[Gender]]="others",R1272&lt;40),"Obese")</f>
        <v>Acceptable</v>
      </c>
      <c r="R1272" s="8">
        <v>26.8</v>
      </c>
      <c r="S1272" s="8">
        <v>3.7</v>
      </c>
      <c r="T1272" s="8">
        <v>4</v>
      </c>
      <c r="U1272" s="8">
        <v>3</v>
      </c>
      <c r="V1272" s="8" t="str">
        <f>IF(Table13[[#This Row],[BMI]]&lt;=18.5,"Underweight",IF(Table13[[#This Row],[BMI]]&lt;=24.9,"Normal",IF(Table13[[#This Row],[BMI]]&lt;=29.9,"Overweight",IF(Table13[[#This Row],[BMI]]&lt;=39,"Obese","Severly Obese"))))</f>
        <v>Normal</v>
      </c>
      <c r="W1272" s="18">
        <v>22.71</v>
      </c>
    </row>
    <row r="1273" spans="6:23" x14ac:dyDescent="0.3">
      <c r="F1273" s="17">
        <v>55</v>
      </c>
      <c r="G1273" s="8" t="str">
        <f>IF(Table13[[#This Row],[Age]]&lt;25,"18-24",IF(Table13[[#This Row],[Age]]&lt;35,"25-34",IF(Table13[[#This Row],[Age]]&lt;45,"35-44",IF(Table13[[#This Row],[Age]]&lt;55,"45-54","55-64"))))</f>
        <v>55-64</v>
      </c>
      <c r="H1273" s="8" t="s">
        <v>17</v>
      </c>
      <c r="I1273" s="8">
        <v>58.9</v>
      </c>
      <c r="J1273" s="8">
        <v>1.56</v>
      </c>
      <c r="K1273" s="8">
        <v>197</v>
      </c>
      <c r="L1273" s="8">
        <v>125</v>
      </c>
      <c r="M1273" s="8">
        <v>58</v>
      </c>
      <c r="N1273" s="8">
        <v>0.73</v>
      </c>
      <c r="O1273" s="8">
        <v>1103</v>
      </c>
      <c r="P1273" s="8" t="s">
        <v>22</v>
      </c>
      <c r="Q1273" s="8" t="str">
        <f>_xlfn.IFS(AND(Table13[[#This Row],[Gender]]="female",R1273&lt;20),"Athletes",AND(Table13[[#This Row],[Gender]]="female",R1273&lt;24),"Fitnesss",AND(Table13[[#This Row],[Gender]]="female",R1273&lt;31),"Acceptable",AND(Table13[[#This Row],[Gender]]="female",R1273&lt;40),"Obese",AND(Table13[[#This Row],[Gender]]="male",R1273&lt;13),"Athletes",AND(Table13[[#This Row],[Gender]]="male",R1273&lt;17),"Fitnesss",AND(Table13[[#This Row],[Gender]]="male",R1273&lt;24.9),"Acceptable",AND(Table13[[#This Row],[Gender]]="male",R1273&lt;40),"Obese",AND(Table13[[#This Row],[Gender]]="others",R1273&lt;20),"Athletes",AND(Table13[[#This Row],[Gender]]="others",R1273&lt;24),"Fitnesss",AND(Table13[[#This Row],[Gender]]="others",R1273&lt;31),"Acceptable",AND(Table13[[#This Row],[Gender]]="others",R1273&lt;40),"Obese")</f>
        <v>Fitnesss</v>
      </c>
      <c r="R1273" s="8">
        <v>22.1</v>
      </c>
      <c r="S1273" s="8">
        <v>3.5</v>
      </c>
      <c r="T1273" s="8">
        <v>3</v>
      </c>
      <c r="U1273" s="8">
        <v>2</v>
      </c>
      <c r="V1273" s="8" t="str">
        <f>IF(Table13[[#This Row],[BMI]]&lt;=18.5,"Underweight",IF(Table13[[#This Row],[BMI]]&lt;=24.9,"Normal",IF(Table13[[#This Row],[BMI]]&lt;=29.9,"Overweight",IF(Table13[[#This Row],[BMI]]&lt;=39,"Obese","Severly Obese"))))</f>
        <v>Obese</v>
      </c>
      <c r="W1273" s="18">
        <v>30.52</v>
      </c>
    </row>
    <row r="1274" spans="6:23" x14ac:dyDescent="0.3">
      <c r="F1274" s="17">
        <v>31</v>
      </c>
      <c r="G1274" s="8" t="str">
        <f>IF(Table13[[#This Row],[Age]]&lt;25,"18-24",IF(Table13[[#This Row],[Age]]&lt;35,"25-34",IF(Table13[[#This Row],[Age]]&lt;45,"35-44",IF(Table13[[#This Row],[Age]]&lt;55,"45-54","55-64"))))</f>
        <v>25-34</v>
      </c>
      <c r="H1274" s="8" t="s">
        <v>19</v>
      </c>
      <c r="I1274" s="8">
        <v>79.400000000000006</v>
      </c>
      <c r="J1274" s="8">
        <v>1.58</v>
      </c>
      <c r="K1274" s="8">
        <v>163</v>
      </c>
      <c r="L1274" s="8">
        <v>125</v>
      </c>
      <c r="M1274" s="8">
        <v>74</v>
      </c>
      <c r="N1274" s="8">
        <v>1.49</v>
      </c>
      <c r="O1274" s="8">
        <v>663</v>
      </c>
      <c r="P1274" s="8" t="s">
        <v>20</v>
      </c>
      <c r="Q1274" s="8" t="str">
        <f>_xlfn.IFS(AND(Table13[[#This Row],[Gender]]="female",R1274&lt;20),"Athletes",AND(Table13[[#This Row],[Gender]]="female",R1274&lt;24),"Fitnesss",AND(Table13[[#This Row],[Gender]]="female",R1274&lt;31),"Acceptable",AND(Table13[[#This Row],[Gender]]="female",R1274&lt;40),"Obese",AND(Table13[[#This Row],[Gender]]="male",R1274&lt;13),"Athletes",AND(Table13[[#This Row],[Gender]]="male",R1274&lt;17),"Fitnesss",AND(Table13[[#This Row],[Gender]]="male",R1274&lt;24.9),"Acceptable",AND(Table13[[#This Row],[Gender]]="male",R1274&lt;40),"Obese",AND(Table13[[#This Row],[Gender]]="others",R1274&lt;20),"Athletes",AND(Table13[[#This Row],[Gender]]="others",R1274&lt;24),"Fitnesss",AND(Table13[[#This Row],[Gender]]="others",R1274&lt;31),"Acceptable",AND(Table13[[#This Row],[Gender]]="others",R1274&lt;40),"Obese")</f>
        <v>Acceptable</v>
      </c>
      <c r="R1274" s="8">
        <v>24</v>
      </c>
      <c r="S1274" s="8">
        <v>2.4</v>
      </c>
      <c r="T1274" s="8">
        <v>3</v>
      </c>
      <c r="U1274" s="8">
        <v>2</v>
      </c>
      <c r="V1274" s="8" t="str">
        <f>IF(Table13[[#This Row],[BMI]]&lt;=18.5,"Underweight",IF(Table13[[#This Row],[BMI]]&lt;=24.9,"Normal",IF(Table13[[#This Row],[BMI]]&lt;=29.9,"Overweight",IF(Table13[[#This Row],[BMI]]&lt;=39,"Obese","Severly Obese"))))</f>
        <v>Underweight</v>
      </c>
      <c r="W1274" s="18">
        <v>12.32</v>
      </c>
    </row>
    <row r="1275" spans="6:23" x14ac:dyDescent="0.3">
      <c r="F1275" s="17">
        <v>26</v>
      </c>
      <c r="G1275" s="8" t="str">
        <f>IF(Table13[[#This Row],[Age]]&lt;25,"18-24",IF(Table13[[#This Row],[Age]]&lt;35,"25-34",IF(Table13[[#This Row],[Age]]&lt;45,"35-44",IF(Table13[[#This Row],[Age]]&lt;55,"45-54","55-64"))))</f>
        <v>25-34</v>
      </c>
      <c r="H1275" s="8" t="s">
        <v>19</v>
      </c>
      <c r="I1275" s="8">
        <v>83.1</v>
      </c>
      <c r="J1275" s="8">
        <v>1.52</v>
      </c>
      <c r="K1275" s="8">
        <v>163</v>
      </c>
      <c r="L1275" s="8">
        <v>139</v>
      </c>
      <c r="M1275" s="8">
        <v>51</v>
      </c>
      <c r="N1275" s="8">
        <v>1.95</v>
      </c>
      <c r="O1275" s="8">
        <v>925</v>
      </c>
      <c r="P1275" s="8" t="s">
        <v>18</v>
      </c>
      <c r="Q1275" s="8" t="str">
        <f>_xlfn.IFS(AND(Table13[[#This Row],[Gender]]="female",R1275&lt;20),"Athletes",AND(Table13[[#This Row],[Gender]]="female",R1275&lt;24),"Fitnesss",AND(Table13[[#This Row],[Gender]]="female",R1275&lt;31),"Acceptable",AND(Table13[[#This Row],[Gender]]="female",R1275&lt;40),"Obese",AND(Table13[[#This Row],[Gender]]="male",R1275&lt;13),"Athletes",AND(Table13[[#This Row],[Gender]]="male",R1275&lt;17),"Fitnesss",AND(Table13[[#This Row],[Gender]]="male",R1275&lt;24.9),"Acceptable",AND(Table13[[#This Row],[Gender]]="male",R1275&lt;40),"Obese",AND(Table13[[#This Row],[Gender]]="others",R1275&lt;20),"Athletes",AND(Table13[[#This Row],[Gender]]="others",R1275&lt;24),"Fitnesss",AND(Table13[[#This Row],[Gender]]="others",R1275&lt;31),"Acceptable",AND(Table13[[#This Row],[Gender]]="others",R1275&lt;40),"Obese")</f>
        <v>Athletes</v>
      </c>
      <c r="R1275" s="8">
        <v>10</v>
      </c>
      <c r="S1275" s="8">
        <v>2.8</v>
      </c>
      <c r="T1275" s="8">
        <v>3</v>
      </c>
      <c r="U1275" s="8">
        <v>1</v>
      </c>
      <c r="V1275" s="8" t="str">
        <f>IF(Table13[[#This Row],[BMI]]&lt;=18.5,"Underweight",IF(Table13[[#This Row],[BMI]]&lt;=24.9,"Normal",IF(Table13[[#This Row],[BMI]]&lt;=29.9,"Overweight",IF(Table13[[#This Row],[BMI]]&lt;=39,"Obese","Severly Obese"))))</f>
        <v>Normal</v>
      </c>
      <c r="W1275" s="18">
        <v>20.05</v>
      </c>
    </row>
    <row r="1276" spans="6:23" x14ac:dyDescent="0.3">
      <c r="F1276" s="17">
        <v>31</v>
      </c>
      <c r="G1276" s="8" t="str">
        <f>IF(Table13[[#This Row],[Age]]&lt;25,"18-24",IF(Table13[[#This Row],[Age]]&lt;35,"25-34",IF(Table13[[#This Row],[Age]]&lt;45,"35-44",IF(Table13[[#This Row],[Age]]&lt;55,"45-54","55-64"))))</f>
        <v>25-34</v>
      </c>
      <c r="H1276" s="8" t="s">
        <v>17</v>
      </c>
      <c r="I1276" s="8">
        <v>61.7</v>
      </c>
      <c r="J1276" s="8">
        <v>1.52</v>
      </c>
      <c r="K1276" s="8">
        <v>177</v>
      </c>
      <c r="L1276" s="8">
        <v>160</v>
      </c>
      <c r="M1276" s="8">
        <v>54</v>
      </c>
      <c r="N1276" s="8">
        <v>0.54</v>
      </c>
      <c r="O1276" s="8">
        <v>1266</v>
      </c>
      <c r="P1276" s="8" t="s">
        <v>22</v>
      </c>
      <c r="Q1276" s="8" t="str">
        <f>_xlfn.IFS(AND(Table13[[#This Row],[Gender]]="female",R1276&lt;20),"Athletes",AND(Table13[[#This Row],[Gender]]="female",R1276&lt;24),"Fitnesss",AND(Table13[[#This Row],[Gender]]="female",R1276&lt;31),"Acceptable",AND(Table13[[#This Row],[Gender]]="female",R1276&lt;40),"Obese",AND(Table13[[#This Row],[Gender]]="male",R1276&lt;13),"Athletes",AND(Table13[[#This Row],[Gender]]="male",R1276&lt;17),"Fitnesss",AND(Table13[[#This Row],[Gender]]="male",R1276&lt;24.9),"Acceptable",AND(Table13[[#This Row],[Gender]]="male",R1276&lt;40),"Obese",AND(Table13[[#This Row],[Gender]]="others",R1276&lt;20),"Athletes",AND(Table13[[#This Row],[Gender]]="others",R1276&lt;24),"Fitnesss",AND(Table13[[#This Row],[Gender]]="others",R1276&lt;31),"Acceptable",AND(Table13[[#This Row],[Gender]]="others",R1276&lt;40),"Obese")</f>
        <v>Fitnesss</v>
      </c>
      <c r="R1276" s="8">
        <v>23.1</v>
      </c>
      <c r="S1276" s="8">
        <v>1.7</v>
      </c>
      <c r="T1276" s="8">
        <v>4</v>
      </c>
      <c r="U1276" s="8">
        <v>2</v>
      </c>
      <c r="V1276" s="8" t="str">
        <f>IF(Table13[[#This Row],[BMI]]&lt;=18.5,"Underweight",IF(Table13[[#This Row],[BMI]]&lt;=24.9,"Normal",IF(Table13[[#This Row],[BMI]]&lt;=29.9,"Overweight",IF(Table13[[#This Row],[BMI]]&lt;=39,"Obese","Severly Obese"))))</f>
        <v>Underweight</v>
      </c>
      <c r="W1276" s="18">
        <v>12.32</v>
      </c>
    </row>
    <row r="1277" spans="6:23" x14ac:dyDescent="0.3">
      <c r="F1277" s="17">
        <v>27</v>
      </c>
      <c r="G1277" s="8" t="str">
        <f>IF(Table13[[#This Row],[Age]]&lt;25,"18-24",IF(Table13[[#This Row],[Age]]&lt;35,"25-34",IF(Table13[[#This Row],[Age]]&lt;45,"35-44",IF(Table13[[#This Row],[Age]]&lt;55,"45-54","55-64"))))</f>
        <v>25-34</v>
      </c>
      <c r="H1277" s="8" t="s">
        <v>19</v>
      </c>
      <c r="I1277" s="8">
        <v>66.599999999999994</v>
      </c>
      <c r="J1277" s="8">
        <v>1.7</v>
      </c>
      <c r="K1277" s="8">
        <v>171</v>
      </c>
      <c r="L1277" s="8">
        <v>149</v>
      </c>
      <c r="M1277" s="8">
        <v>73</v>
      </c>
      <c r="N1277" s="8">
        <v>1.43</v>
      </c>
      <c r="O1277" s="8">
        <v>1321</v>
      </c>
      <c r="P1277" s="8" t="s">
        <v>18</v>
      </c>
      <c r="Q1277" s="8" t="str">
        <f>_xlfn.IFS(AND(Table13[[#This Row],[Gender]]="female",R1277&lt;20),"Athletes",AND(Table13[[#This Row],[Gender]]="female",R1277&lt;24),"Fitnesss",AND(Table13[[#This Row],[Gender]]="female",R1277&lt;31),"Acceptable",AND(Table13[[#This Row],[Gender]]="female",R1277&lt;40),"Obese",AND(Table13[[#This Row],[Gender]]="male",R1277&lt;13),"Athletes",AND(Table13[[#This Row],[Gender]]="male",R1277&lt;17),"Fitnesss",AND(Table13[[#This Row],[Gender]]="male",R1277&lt;24.9),"Acceptable",AND(Table13[[#This Row],[Gender]]="male",R1277&lt;40),"Obese",AND(Table13[[#This Row],[Gender]]="others",R1277&lt;20),"Athletes",AND(Table13[[#This Row],[Gender]]="others",R1277&lt;24),"Fitnesss",AND(Table13[[#This Row],[Gender]]="others",R1277&lt;31),"Acceptable",AND(Table13[[#This Row],[Gender]]="others",R1277&lt;40),"Obese")</f>
        <v>Obese</v>
      </c>
      <c r="R1277" s="8">
        <v>26.6</v>
      </c>
      <c r="S1277" s="8">
        <v>3.3</v>
      </c>
      <c r="T1277" s="8">
        <v>4</v>
      </c>
      <c r="U1277" s="8">
        <v>3</v>
      </c>
      <c r="V1277" s="8" t="str">
        <f>IF(Table13[[#This Row],[BMI]]&lt;=18.5,"Underweight",IF(Table13[[#This Row],[BMI]]&lt;=24.9,"Normal",IF(Table13[[#This Row],[BMI]]&lt;=29.9,"Overweight",IF(Table13[[#This Row],[BMI]]&lt;=39,"Obese","Severly Obese"))))</f>
        <v>Underweight</v>
      </c>
      <c r="W1277" s="18">
        <v>13.51</v>
      </c>
    </row>
    <row r="1278" spans="6:23" x14ac:dyDescent="0.3">
      <c r="F1278" s="17">
        <v>45</v>
      </c>
      <c r="G1278" s="8" t="str">
        <f>IF(Table13[[#This Row],[Age]]&lt;25,"18-24",IF(Table13[[#This Row],[Age]]&lt;35,"25-34",IF(Table13[[#This Row],[Age]]&lt;45,"35-44",IF(Table13[[#This Row],[Age]]&lt;55,"45-54","55-64"))))</f>
        <v>45-54</v>
      </c>
      <c r="H1278" s="8" t="s">
        <v>17</v>
      </c>
      <c r="I1278" s="8">
        <v>106.3</v>
      </c>
      <c r="J1278" s="8">
        <v>1.84</v>
      </c>
      <c r="K1278" s="8">
        <v>172</v>
      </c>
      <c r="L1278" s="8">
        <v>123</v>
      </c>
      <c r="M1278" s="8">
        <v>61</v>
      </c>
      <c r="N1278" s="8">
        <v>1.1499999999999999</v>
      </c>
      <c r="O1278" s="8">
        <v>1177</v>
      </c>
      <c r="P1278" s="8" t="s">
        <v>18</v>
      </c>
      <c r="Q1278" s="8" t="str">
        <f>_xlfn.IFS(AND(Table13[[#This Row],[Gender]]="female",R1278&lt;20),"Athletes",AND(Table13[[#This Row],[Gender]]="female",R1278&lt;24),"Fitnesss",AND(Table13[[#This Row],[Gender]]="female",R1278&lt;31),"Acceptable",AND(Table13[[#This Row],[Gender]]="female",R1278&lt;40),"Obese",AND(Table13[[#This Row],[Gender]]="male",R1278&lt;13),"Athletes",AND(Table13[[#This Row],[Gender]]="male",R1278&lt;17),"Fitnesss",AND(Table13[[#This Row],[Gender]]="male",R1278&lt;24.9),"Acceptable",AND(Table13[[#This Row],[Gender]]="male",R1278&lt;40),"Obese",AND(Table13[[#This Row],[Gender]]="others",R1278&lt;20),"Athletes",AND(Table13[[#This Row],[Gender]]="others",R1278&lt;24),"Fitnesss",AND(Table13[[#This Row],[Gender]]="others",R1278&lt;31),"Acceptable",AND(Table13[[#This Row],[Gender]]="others",R1278&lt;40),"Obese")</f>
        <v>Athletes</v>
      </c>
      <c r="R1278" s="8">
        <v>16.899999999999999</v>
      </c>
      <c r="S1278" s="8">
        <v>2.6</v>
      </c>
      <c r="T1278" s="8">
        <v>4</v>
      </c>
      <c r="U1278" s="8">
        <v>3</v>
      </c>
      <c r="V1278" s="8" t="str">
        <f>IF(Table13[[#This Row],[BMI]]&lt;=18.5,"Underweight",IF(Table13[[#This Row],[BMI]]&lt;=24.9,"Normal",IF(Table13[[#This Row],[BMI]]&lt;=29.9,"Overweight",IF(Table13[[#This Row],[BMI]]&lt;=39,"Obese","Severly Obese"))))</f>
        <v>Obese</v>
      </c>
      <c r="W1278" s="18">
        <v>30.72</v>
      </c>
    </row>
    <row r="1279" spans="6:23" x14ac:dyDescent="0.3">
      <c r="F1279" s="17">
        <v>23</v>
      </c>
      <c r="G1279" s="8" t="str">
        <f>IF(Table13[[#This Row],[Age]]&lt;25,"18-24",IF(Table13[[#This Row],[Age]]&lt;35,"25-34",IF(Table13[[#This Row],[Age]]&lt;45,"35-44",IF(Table13[[#This Row],[Age]]&lt;55,"45-54","55-64"))))</f>
        <v>18-24</v>
      </c>
      <c r="H1279" s="8" t="s">
        <v>17</v>
      </c>
      <c r="I1279" s="8">
        <v>73.2</v>
      </c>
      <c r="J1279" s="8">
        <v>1.58</v>
      </c>
      <c r="K1279" s="8">
        <v>175</v>
      </c>
      <c r="L1279" s="8">
        <v>169</v>
      </c>
      <c r="M1279" s="8">
        <v>18</v>
      </c>
      <c r="N1279" s="8">
        <v>1.54</v>
      </c>
      <c r="O1279" s="8">
        <v>1226</v>
      </c>
      <c r="P1279" s="8" t="s">
        <v>21</v>
      </c>
      <c r="Q1279" s="8" t="str">
        <f>_xlfn.IFS(AND(Table13[[#This Row],[Gender]]="female",R1279&lt;20),"Athletes",AND(Table13[[#This Row],[Gender]]="female",R1279&lt;24),"Fitnesss",AND(Table13[[#This Row],[Gender]]="female",R1279&lt;31),"Acceptable",AND(Table13[[#This Row],[Gender]]="female",R1279&lt;40),"Obese",AND(Table13[[#This Row],[Gender]]="male",R1279&lt;13),"Athletes",AND(Table13[[#This Row],[Gender]]="male",R1279&lt;17),"Fitnesss",AND(Table13[[#This Row],[Gender]]="male",R1279&lt;24.9),"Acceptable",AND(Table13[[#This Row],[Gender]]="male",R1279&lt;40),"Obese",AND(Table13[[#This Row],[Gender]]="others",R1279&lt;20),"Athletes",AND(Table13[[#This Row],[Gender]]="others",R1279&lt;24),"Fitnesss",AND(Table13[[#This Row],[Gender]]="others",R1279&lt;31),"Acceptable",AND(Table13[[#This Row],[Gender]]="others",R1279&lt;40),"Obese")</f>
        <v>Acceptable</v>
      </c>
      <c r="R1279" s="8">
        <v>25</v>
      </c>
      <c r="S1279" s="8">
        <v>2.4</v>
      </c>
      <c r="T1279" s="8">
        <v>3</v>
      </c>
      <c r="U1279" s="8">
        <v>2</v>
      </c>
      <c r="V1279" s="8" t="str">
        <f>IF(Table13[[#This Row],[BMI]]&lt;=18.5,"Underweight",IF(Table13[[#This Row],[BMI]]&lt;=24.9,"Normal",IF(Table13[[#This Row],[BMI]]&lt;=29.9,"Overweight",IF(Table13[[#This Row],[BMI]]&lt;=39,"Obese","Severly Obese"))))</f>
        <v>Normal</v>
      </c>
      <c r="W1279" s="18">
        <v>24.85</v>
      </c>
    </row>
    <row r="1280" spans="6:23" x14ac:dyDescent="0.3">
      <c r="F1280" s="17">
        <v>48</v>
      </c>
      <c r="G1280" s="8" t="str">
        <f>IF(Table13[[#This Row],[Age]]&lt;25,"18-24",IF(Table13[[#This Row],[Age]]&lt;35,"25-34",IF(Table13[[#This Row],[Age]]&lt;45,"35-44",IF(Table13[[#This Row],[Age]]&lt;55,"45-54","55-64"))))</f>
        <v>45-54</v>
      </c>
      <c r="H1280" s="8" t="s">
        <v>17</v>
      </c>
      <c r="I1280" s="8">
        <v>69.900000000000006</v>
      </c>
      <c r="J1280" s="8">
        <v>1.82</v>
      </c>
      <c r="K1280" s="8">
        <v>173</v>
      </c>
      <c r="L1280" s="8">
        <v>162</v>
      </c>
      <c r="M1280" s="8">
        <v>18</v>
      </c>
      <c r="N1280" s="8">
        <v>2</v>
      </c>
      <c r="O1280" s="8">
        <v>1724</v>
      </c>
      <c r="P1280" s="8" t="s">
        <v>22</v>
      </c>
      <c r="Q1280" s="8" t="str">
        <f>_xlfn.IFS(AND(Table13[[#This Row],[Gender]]="female",R1280&lt;20),"Athletes",AND(Table13[[#This Row],[Gender]]="female",R1280&lt;24),"Fitnesss",AND(Table13[[#This Row],[Gender]]="female",R1280&lt;31),"Acceptable",AND(Table13[[#This Row],[Gender]]="female",R1280&lt;40),"Obese",AND(Table13[[#This Row],[Gender]]="male",R1280&lt;13),"Athletes",AND(Table13[[#This Row],[Gender]]="male",R1280&lt;17),"Fitnesss",AND(Table13[[#This Row],[Gender]]="male",R1280&lt;24.9),"Acceptable",AND(Table13[[#This Row],[Gender]]="male",R1280&lt;40),"Obese",AND(Table13[[#This Row],[Gender]]="others",R1280&lt;20),"Athletes",AND(Table13[[#This Row],[Gender]]="others",R1280&lt;24),"Fitnesss",AND(Table13[[#This Row],[Gender]]="others",R1280&lt;31),"Acceptable",AND(Table13[[#This Row],[Gender]]="others",R1280&lt;40),"Obese")</f>
        <v>Acceptable</v>
      </c>
      <c r="R1280" s="8">
        <v>26.7</v>
      </c>
      <c r="S1280" s="8">
        <v>2.4</v>
      </c>
      <c r="T1280" s="8">
        <v>3</v>
      </c>
      <c r="U1280" s="8">
        <v>1</v>
      </c>
      <c r="V1280" s="8" t="str">
        <f>IF(Table13[[#This Row],[BMI]]&lt;=18.5,"Underweight",IF(Table13[[#This Row],[BMI]]&lt;=24.9,"Normal",IF(Table13[[#This Row],[BMI]]&lt;=29.9,"Overweight",IF(Table13[[#This Row],[BMI]]&lt;=39,"Obese","Severly Obese"))))</f>
        <v>Normal</v>
      </c>
      <c r="W1280" s="18">
        <v>23.63</v>
      </c>
    </row>
    <row r="1281" spans="6:23" x14ac:dyDescent="0.3">
      <c r="F1281" s="17">
        <v>30</v>
      </c>
      <c r="G1281" s="8" t="str">
        <f>IF(Table13[[#This Row],[Age]]&lt;25,"18-24",IF(Table13[[#This Row],[Age]]&lt;35,"25-34",IF(Table13[[#This Row],[Age]]&lt;45,"35-44",IF(Table13[[#This Row],[Age]]&lt;55,"45-54","55-64"))))</f>
        <v>25-34</v>
      </c>
      <c r="H1281" s="8" t="s">
        <v>17</v>
      </c>
      <c r="I1281" s="8">
        <v>62.3</v>
      </c>
      <c r="J1281" s="8">
        <v>1.53</v>
      </c>
      <c r="K1281" s="8">
        <v>185</v>
      </c>
      <c r="L1281" s="8">
        <v>153</v>
      </c>
      <c r="M1281" s="8">
        <v>68</v>
      </c>
      <c r="N1281" s="8">
        <v>1.3</v>
      </c>
      <c r="O1281" s="8">
        <v>1382</v>
      </c>
      <c r="P1281" s="8" t="s">
        <v>22</v>
      </c>
      <c r="Q1281" s="8" t="str">
        <f>_xlfn.IFS(AND(Table13[[#This Row],[Gender]]="female",R1281&lt;20),"Athletes",AND(Table13[[#This Row],[Gender]]="female",R1281&lt;24),"Fitnesss",AND(Table13[[#This Row],[Gender]]="female",R1281&lt;31),"Acceptable",AND(Table13[[#This Row],[Gender]]="female",R1281&lt;40),"Obese",AND(Table13[[#This Row],[Gender]]="male",R1281&lt;13),"Athletes",AND(Table13[[#This Row],[Gender]]="male",R1281&lt;17),"Fitnesss",AND(Table13[[#This Row],[Gender]]="male",R1281&lt;24.9),"Acceptable",AND(Table13[[#This Row],[Gender]]="male",R1281&lt;40),"Obese",AND(Table13[[#This Row],[Gender]]="others",R1281&lt;20),"Athletes",AND(Table13[[#This Row],[Gender]]="others",R1281&lt;24),"Fitnesss",AND(Table13[[#This Row],[Gender]]="others",R1281&lt;31),"Acceptable",AND(Table13[[#This Row],[Gender]]="others",R1281&lt;40),"Obese")</f>
        <v>Fitnesss</v>
      </c>
      <c r="R1281" s="8">
        <v>20.5</v>
      </c>
      <c r="S1281" s="8">
        <v>1.6</v>
      </c>
      <c r="T1281" s="8">
        <v>2</v>
      </c>
      <c r="U1281" s="8">
        <v>2</v>
      </c>
      <c r="V1281" s="8" t="str">
        <f>IF(Table13[[#This Row],[BMI]]&lt;=18.5,"Underweight",IF(Table13[[#This Row],[BMI]]&lt;=24.9,"Normal",IF(Table13[[#This Row],[BMI]]&lt;=29.9,"Overweight",IF(Table13[[#This Row],[BMI]]&lt;=39,"Obese","Severly Obese"))))</f>
        <v>Obese</v>
      </c>
      <c r="W1281" s="18">
        <v>34.479999999999997</v>
      </c>
    </row>
    <row r="1282" spans="6:23" x14ac:dyDescent="0.3">
      <c r="F1282" s="17">
        <v>48</v>
      </c>
      <c r="G1282" s="8" t="str">
        <f>IF(Table13[[#This Row],[Age]]&lt;25,"18-24",IF(Table13[[#This Row],[Age]]&lt;35,"25-34",IF(Table13[[#This Row],[Age]]&lt;45,"35-44",IF(Table13[[#This Row],[Age]]&lt;55,"45-54","55-64"))))</f>
        <v>45-54</v>
      </c>
      <c r="H1282" s="8" t="s">
        <v>19</v>
      </c>
      <c r="I1282" s="8">
        <v>83</v>
      </c>
      <c r="J1282" s="8">
        <v>1.55</v>
      </c>
      <c r="K1282" s="8">
        <v>164</v>
      </c>
      <c r="L1282" s="8">
        <v>169</v>
      </c>
      <c r="M1282" s="8">
        <v>67</v>
      </c>
      <c r="N1282" s="8">
        <v>1.27</v>
      </c>
      <c r="O1282" s="8">
        <v>1287</v>
      </c>
      <c r="P1282" s="8" t="s">
        <v>20</v>
      </c>
      <c r="Q1282" s="8" t="str">
        <f>_xlfn.IFS(AND(Table13[[#This Row],[Gender]]="female",R1282&lt;20),"Athletes",AND(Table13[[#This Row],[Gender]]="female",R1282&lt;24),"Fitnesss",AND(Table13[[#This Row],[Gender]]="female",R1282&lt;31),"Acceptable",AND(Table13[[#This Row],[Gender]]="female",R1282&lt;40),"Obese",AND(Table13[[#This Row],[Gender]]="male",R1282&lt;13),"Athletes",AND(Table13[[#This Row],[Gender]]="male",R1282&lt;17),"Fitnesss",AND(Table13[[#This Row],[Gender]]="male",R1282&lt;24.9),"Acceptable",AND(Table13[[#This Row],[Gender]]="male",R1282&lt;40),"Obese",AND(Table13[[#This Row],[Gender]]="others",R1282&lt;20),"Athletes",AND(Table13[[#This Row],[Gender]]="others",R1282&lt;24),"Fitnesss",AND(Table13[[#This Row],[Gender]]="others",R1282&lt;31),"Acceptable",AND(Table13[[#This Row],[Gender]]="others",R1282&lt;40),"Obese")</f>
        <v>Acceptable</v>
      </c>
      <c r="R1282" s="8">
        <v>21.5</v>
      </c>
      <c r="S1282" s="8">
        <v>3.5</v>
      </c>
      <c r="T1282" s="8">
        <v>2</v>
      </c>
      <c r="U1282" s="8">
        <v>3</v>
      </c>
      <c r="V1282" s="8" t="str">
        <f>IF(Table13[[#This Row],[BMI]]&lt;=18.5,"Underweight",IF(Table13[[#This Row],[BMI]]&lt;=24.9,"Normal",IF(Table13[[#This Row],[BMI]]&lt;=29.9,"Overweight",IF(Table13[[#This Row],[BMI]]&lt;=39,"Obese","Severly Obese"))))</f>
        <v>Normal</v>
      </c>
      <c r="W1282" s="18">
        <v>22.88</v>
      </c>
    </row>
    <row r="1283" spans="6:23" x14ac:dyDescent="0.3">
      <c r="F1283" s="17">
        <v>35</v>
      </c>
      <c r="G1283" s="8" t="str">
        <f>IF(Table13[[#This Row],[Age]]&lt;25,"18-24",IF(Table13[[#This Row],[Age]]&lt;35,"25-34",IF(Table13[[#This Row],[Age]]&lt;45,"35-44",IF(Table13[[#This Row],[Age]]&lt;55,"45-54","55-64"))))</f>
        <v>35-44</v>
      </c>
      <c r="H1283" s="8" t="s">
        <v>19</v>
      </c>
      <c r="I1283" s="8">
        <v>75.400000000000006</v>
      </c>
      <c r="J1283" s="8">
        <v>1.64</v>
      </c>
      <c r="K1283" s="8">
        <v>198</v>
      </c>
      <c r="L1283" s="8">
        <v>167</v>
      </c>
      <c r="M1283" s="8">
        <v>63</v>
      </c>
      <c r="N1283" s="8">
        <v>1.1399999999999999</v>
      </c>
      <c r="O1283" s="8">
        <v>1045</v>
      </c>
      <c r="P1283" s="8" t="s">
        <v>22</v>
      </c>
      <c r="Q1283" s="8" t="str">
        <f>_xlfn.IFS(AND(Table13[[#This Row],[Gender]]="female",R1283&lt;20),"Athletes",AND(Table13[[#This Row],[Gender]]="female",R1283&lt;24),"Fitnesss",AND(Table13[[#This Row],[Gender]]="female",R1283&lt;31),"Acceptable",AND(Table13[[#This Row],[Gender]]="female",R1283&lt;40),"Obese",AND(Table13[[#This Row],[Gender]]="male",R1283&lt;13),"Athletes",AND(Table13[[#This Row],[Gender]]="male",R1283&lt;17),"Fitnesss",AND(Table13[[#This Row],[Gender]]="male",R1283&lt;24.9),"Acceptable",AND(Table13[[#This Row],[Gender]]="male",R1283&lt;40),"Obese",AND(Table13[[#This Row],[Gender]]="others",R1283&lt;20),"Athletes",AND(Table13[[#This Row],[Gender]]="others",R1283&lt;24),"Fitnesss",AND(Table13[[#This Row],[Gender]]="others",R1283&lt;31),"Acceptable",AND(Table13[[#This Row],[Gender]]="others",R1283&lt;40),"Obese")</f>
        <v>Acceptable</v>
      </c>
      <c r="R1283" s="8">
        <v>20.5</v>
      </c>
      <c r="S1283" s="8">
        <v>1.5</v>
      </c>
      <c r="T1283" s="8">
        <v>3</v>
      </c>
      <c r="U1283" s="8">
        <v>2</v>
      </c>
      <c r="V1283" s="8" t="str">
        <f>IF(Table13[[#This Row],[BMI]]&lt;=18.5,"Underweight",IF(Table13[[#This Row],[BMI]]&lt;=24.9,"Normal",IF(Table13[[#This Row],[BMI]]&lt;=29.9,"Overweight",IF(Table13[[#This Row],[BMI]]&lt;=39,"Obese","Severly Obese"))))</f>
        <v>Obese</v>
      </c>
      <c r="W1283" s="18">
        <v>30.23</v>
      </c>
    </row>
    <row r="1284" spans="6:23" x14ac:dyDescent="0.3">
      <c r="F1284" s="17">
        <v>30</v>
      </c>
      <c r="G1284" s="8" t="str">
        <f>IF(Table13[[#This Row],[Age]]&lt;25,"18-24",IF(Table13[[#This Row],[Age]]&lt;35,"25-34",IF(Table13[[#This Row],[Age]]&lt;45,"35-44",IF(Table13[[#This Row],[Age]]&lt;55,"45-54","55-64"))))</f>
        <v>25-34</v>
      </c>
      <c r="H1284" s="8" t="s">
        <v>17</v>
      </c>
      <c r="I1284" s="8">
        <v>98.3</v>
      </c>
      <c r="J1284" s="8">
        <v>1.84</v>
      </c>
      <c r="K1284" s="8">
        <v>178</v>
      </c>
      <c r="L1284" s="8">
        <v>161</v>
      </c>
      <c r="M1284" s="8">
        <v>74</v>
      </c>
      <c r="N1284" s="8">
        <v>1.58</v>
      </c>
      <c r="O1284" s="8">
        <v>576</v>
      </c>
      <c r="P1284" s="8" t="s">
        <v>21</v>
      </c>
      <c r="Q1284" s="8" t="str">
        <f>_xlfn.IFS(AND(Table13[[#This Row],[Gender]]="female",R1284&lt;20),"Athletes",AND(Table13[[#This Row],[Gender]]="female",R1284&lt;24),"Fitnesss",AND(Table13[[#This Row],[Gender]]="female",R1284&lt;31),"Acceptable",AND(Table13[[#This Row],[Gender]]="female",R1284&lt;40),"Obese",AND(Table13[[#This Row],[Gender]]="male",R1284&lt;13),"Athletes",AND(Table13[[#This Row],[Gender]]="male",R1284&lt;17),"Fitnesss",AND(Table13[[#This Row],[Gender]]="male",R1284&lt;24.9),"Acceptable",AND(Table13[[#This Row],[Gender]]="male",R1284&lt;40),"Obese",AND(Table13[[#This Row],[Gender]]="others",R1284&lt;20),"Athletes",AND(Table13[[#This Row],[Gender]]="others",R1284&lt;24),"Fitnesss",AND(Table13[[#This Row],[Gender]]="others",R1284&lt;31),"Acceptable",AND(Table13[[#This Row],[Gender]]="others",R1284&lt;40),"Obese")</f>
        <v>Fitnesss</v>
      </c>
      <c r="R1284" s="8">
        <v>23.3</v>
      </c>
      <c r="S1284" s="8">
        <v>1.6</v>
      </c>
      <c r="T1284" s="8">
        <v>3</v>
      </c>
      <c r="U1284" s="8">
        <v>2</v>
      </c>
      <c r="V1284" s="8" t="str">
        <f>IF(Table13[[#This Row],[BMI]]&lt;=18.5,"Underweight",IF(Table13[[#This Row],[BMI]]&lt;=24.9,"Normal",IF(Table13[[#This Row],[BMI]]&lt;=29.9,"Overweight",IF(Table13[[#This Row],[BMI]]&lt;=39,"Obese","Severly Obese"))))</f>
        <v>Underweight</v>
      </c>
      <c r="W1284" s="18">
        <v>16.149999999999999</v>
      </c>
    </row>
    <row r="1285" spans="6:23" x14ac:dyDescent="0.3">
      <c r="F1285" s="17">
        <v>38</v>
      </c>
      <c r="G1285" s="8" t="str">
        <f>IF(Table13[[#This Row],[Age]]&lt;25,"18-24",IF(Table13[[#This Row],[Age]]&lt;35,"25-34",IF(Table13[[#This Row],[Age]]&lt;45,"35-44",IF(Table13[[#This Row],[Age]]&lt;55,"45-54","55-64"))))</f>
        <v>35-44</v>
      </c>
      <c r="H1285" s="8" t="s">
        <v>17</v>
      </c>
      <c r="I1285" s="8">
        <v>46.5</v>
      </c>
      <c r="J1285" s="8">
        <v>1.65</v>
      </c>
      <c r="K1285" s="8">
        <v>182</v>
      </c>
      <c r="L1285" s="8">
        <v>169</v>
      </c>
      <c r="M1285" s="8">
        <v>70</v>
      </c>
      <c r="N1285" s="8">
        <v>1.34</v>
      </c>
      <c r="O1285" s="8">
        <v>806</v>
      </c>
      <c r="P1285" s="8" t="s">
        <v>20</v>
      </c>
      <c r="Q1285" s="8" t="str">
        <f>_xlfn.IFS(AND(Table13[[#This Row],[Gender]]="female",R1285&lt;20),"Athletes",AND(Table13[[#This Row],[Gender]]="female",R1285&lt;24),"Fitnesss",AND(Table13[[#This Row],[Gender]]="female",R1285&lt;31),"Acceptable",AND(Table13[[#This Row],[Gender]]="female",R1285&lt;40),"Obese",AND(Table13[[#This Row],[Gender]]="male",R1285&lt;13),"Athletes",AND(Table13[[#This Row],[Gender]]="male",R1285&lt;17),"Fitnesss",AND(Table13[[#This Row],[Gender]]="male",R1285&lt;24.9),"Acceptable",AND(Table13[[#This Row],[Gender]]="male",R1285&lt;40),"Obese",AND(Table13[[#This Row],[Gender]]="others",R1285&lt;20),"Athletes",AND(Table13[[#This Row],[Gender]]="others",R1285&lt;24),"Fitnesss",AND(Table13[[#This Row],[Gender]]="others",R1285&lt;31),"Acceptable",AND(Table13[[#This Row],[Gender]]="others",R1285&lt;40),"Obese")</f>
        <v>Acceptable</v>
      </c>
      <c r="R1285" s="8">
        <v>24.1</v>
      </c>
      <c r="S1285" s="8">
        <v>3.5</v>
      </c>
      <c r="T1285" s="8">
        <v>2</v>
      </c>
      <c r="U1285" s="8">
        <v>1</v>
      </c>
      <c r="V1285" s="8" t="str">
        <f>IF(Table13[[#This Row],[BMI]]&lt;=18.5,"Underweight",IF(Table13[[#This Row],[BMI]]&lt;=24.9,"Normal",IF(Table13[[#This Row],[BMI]]&lt;=29.9,"Overweight",IF(Table13[[#This Row],[BMI]]&lt;=39,"Obese","Severly Obese"))))</f>
        <v>Underweight</v>
      </c>
      <c r="W1285" s="18">
        <v>12.32</v>
      </c>
    </row>
    <row r="1286" spans="6:23" x14ac:dyDescent="0.3">
      <c r="F1286" s="17">
        <v>44</v>
      </c>
      <c r="G1286" s="8" t="str">
        <f>IF(Table13[[#This Row],[Age]]&lt;25,"18-24",IF(Table13[[#This Row],[Age]]&lt;35,"25-34",IF(Table13[[#This Row],[Age]]&lt;45,"35-44",IF(Table13[[#This Row],[Age]]&lt;55,"45-54","55-64"))))</f>
        <v>35-44</v>
      </c>
      <c r="H1286" s="8" t="s">
        <v>19</v>
      </c>
      <c r="I1286" s="8">
        <v>61.6</v>
      </c>
      <c r="J1286" s="8">
        <v>1.65</v>
      </c>
      <c r="K1286" s="8">
        <v>167</v>
      </c>
      <c r="L1286" s="8">
        <v>158</v>
      </c>
      <c r="M1286" s="8">
        <v>74</v>
      </c>
      <c r="N1286" s="8">
        <v>1.1100000000000001</v>
      </c>
      <c r="O1286" s="8">
        <v>1223</v>
      </c>
      <c r="P1286" s="8" t="s">
        <v>18</v>
      </c>
      <c r="Q1286" s="8" t="str">
        <f>_xlfn.IFS(AND(Table13[[#This Row],[Gender]]="female",R1286&lt;20),"Athletes",AND(Table13[[#This Row],[Gender]]="female",R1286&lt;24),"Fitnesss",AND(Table13[[#This Row],[Gender]]="female",R1286&lt;31),"Acceptable",AND(Table13[[#This Row],[Gender]]="female",R1286&lt;40),"Obese",AND(Table13[[#This Row],[Gender]]="male",R1286&lt;13),"Athletes",AND(Table13[[#This Row],[Gender]]="male",R1286&lt;17),"Fitnesss",AND(Table13[[#This Row],[Gender]]="male",R1286&lt;24.9),"Acceptable",AND(Table13[[#This Row],[Gender]]="male",R1286&lt;40),"Obese",AND(Table13[[#This Row],[Gender]]="others",R1286&lt;20),"Athletes",AND(Table13[[#This Row],[Gender]]="others",R1286&lt;24),"Fitnesss",AND(Table13[[#This Row],[Gender]]="others",R1286&lt;31),"Acceptable",AND(Table13[[#This Row],[Gender]]="others",R1286&lt;40),"Obese")</f>
        <v>Acceptable</v>
      </c>
      <c r="R1286" s="8">
        <v>23.8</v>
      </c>
      <c r="S1286" s="8">
        <v>2.9</v>
      </c>
      <c r="T1286" s="8">
        <v>4</v>
      </c>
      <c r="U1286" s="8">
        <v>1</v>
      </c>
      <c r="V1286" s="8" t="str">
        <f>IF(Table13[[#This Row],[BMI]]&lt;=18.5,"Underweight",IF(Table13[[#This Row],[BMI]]&lt;=24.9,"Normal",IF(Table13[[#This Row],[BMI]]&lt;=29.9,"Overweight",IF(Table13[[#This Row],[BMI]]&lt;=39,"Obese","Severly Obese"))))</f>
        <v>Underweight</v>
      </c>
      <c r="W1286" s="18">
        <v>15.25</v>
      </c>
    </row>
    <row r="1287" spans="6:23" x14ac:dyDescent="0.3">
      <c r="F1287" s="17">
        <v>31</v>
      </c>
      <c r="G1287" s="8" t="str">
        <f>IF(Table13[[#This Row],[Age]]&lt;25,"18-24",IF(Table13[[#This Row],[Age]]&lt;35,"25-34",IF(Table13[[#This Row],[Age]]&lt;45,"35-44",IF(Table13[[#This Row],[Age]]&lt;55,"45-54","55-64"))))</f>
        <v>25-34</v>
      </c>
      <c r="H1287" s="8" t="s">
        <v>17</v>
      </c>
      <c r="I1287" s="8">
        <v>64</v>
      </c>
      <c r="J1287" s="8">
        <v>1.85</v>
      </c>
      <c r="K1287" s="8">
        <v>184</v>
      </c>
      <c r="L1287" s="8">
        <v>147</v>
      </c>
      <c r="M1287" s="8">
        <v>71</v>
      </c>
      <c r="N1287" s="8">
        <v>1.05</v>
      </c>
      <c r="O1287" s="8">
        <v>571</v>
      </c>
      <c r="P1287" s="8" t="s">
        <v>18</v>
      </c>
      <c r="Q1287" s="8" t="str">
        <f>_xlfn.IFS(AND(Table13[[#This Row],[Gender]]="female",R1287&lt;20),"Athletes",AND(Table13[[#This Row],[Gender]]="female",R1287&lt;24),"Fitnesss",AND(Table13[[#This Row],[Gender]]="female",R1287&lt;31),"Acceptable",AND(Table13[[#This Row],[Gender]]="female",R1287&lt;40),"Obese",AND(Table13[[#This Row],[Gender]]="male",R1287&lt;13),"Athletes",AND(Table13[[#This Row],[Gender]]="male",R1287&lt;17),"Fitnesss",AND(Table13[[#This Row],[Gender]]="male",R1287&lt;24.9),"Acceptable",AND(Table13[[#This Row],[Gender]]="male",R1287&lt;40),"Obese",AND(Table13[[#This Row],[Gender]]="others",R1287&lt;20),"Athletes",AND(Table13[[#This Row],[Gender]]="others",R1287&lt;24),"Fitnesss",AND(Table13[[#This Row],[Gender]]="others",R1287&lt;31),"Acceptable",AND(Table13[[#This Row],[Gender]]="others",R1287&lt;40),"Obese")</f>
        <v>Acceptable</v>
      </c>
      <c r="R1287" s="8">
        <v>27</v>
      </c>
      <c r="S1287" s="8">
        <v>2</v>
      </c>
      <c r="T1287" s="8">
        <v>5</v>
      </c>
      <c r="U1287" s="8">
        <v>2</v>
      </c>
      <c r="V1287" s="8" t="str">
        <f>IF(Table13[[#This Row],[BMI]]&lt;=18.5,"Underweight",IF(Table13[[#This Row],[BMI]]&lt;=24.9,"Normal",IF(Table13[[#This Row],[BMI]]&lt;=29.9,"Overweight",IF(Table13[[#This Row],[BMI]]&lt;=39,"Obese","Severly Obese"))))</f>
        <v>Underweight</v>
      </c>
      <c r="W1287" s="18">
        <v>14.26</v>
      </c>
    </row>
    <row r="1288" spans="6:23" x14ac:dyDescent="0.3">
      <c r="F1288" s="17">
        <v>18</v>
      </c>
      <c r="G1288" s="8" t="str">
        <f>IF(Table13[[#This Row],[Age]]&lt;25,"18-24",IF(Table13[[#This Row],[Age]]&lt;35,"25-34",IF(Table13[[#This Row],[Age]]&lt;45,"35-44",IF(Table13[[#This Row],[Age]]&lt;55,"45-54","55-64"))))</f>
        <v>18-24</v>
      </c>
      <c r="H1288" s="8" t="s">
        <v>19</v>
      </c>
      <c r="I1288" s="8">
        <v>59.1</v>
      </c>
      <c r="J1288" s="8">
        <v>1.69</v>
      </c>
      <c r="K1288" s="8">
        <v>180</v>
      </c>
      <c r="L1288" s="8">
        <v>155</v>
      </c>
      <c r="M1288" s="8">
        <v>57</v>
      </c>
      <c r="N1288" s="8">
        <v>1.99</v>
      </c>
      <c r="O1288" s="8">
        <v>1505</v>
      </c>
      <c r="P1288" s="8" t="s">
        <v>22</v>
      </c>
      <c r="Q1288" s="8" t="str">
        <f>_xlfn.IFS(AND(Table13[[#This Row],[Gender]]="female",R1288&lt;20),"Athletes",AND(Table13[[#This Row],[Gender]]="female",R1288&lt;24),"Fitnesss",AND(Table13[[#This Row],[Gender]]="female",R1288&lt;31),"Acceptable",AND(Table13[[#This Row],[Gender]]="female",R1288&lt;40),"Obese",AND(Table13[[#This Row],[Gender]]="male",R1288&lt;13),"Athletes",AND(Table13[[#This Row],[Gender]]="male",R1288&lt;17),"Fitnesss",AND(Table13[[#This Row],[Gender]]="male",R1288&lt;24.9),"Acceptable",AND(Table13[[#This Row],[Gender]]="male",R1288&lt;40),"Obese",AND(Table13[[#This Row],[Gender]]="others",R1288&lt;20),"Athletes",AND(Table13[[#This Row],[Gender]]="others",R1288&lt;24),"Fitnesss",AND(Table13[[#This Row],[Gender]]="others",R1288&lt;31),"Acceptable",AND(Table13[[#This Row],[Gender]]="others",R1288&lt;40),"Obese")</f>
        <v>Obese</v>
      </c>
      <c r="R1288" s="8">
        <v>27.5</v>
      </c>
      <c r="S1288" s="8">
        <v>1.9</v>
      </c>
      <c r="T1288" s="8">
        <v>4</v>
      </c>
      <c r="U1288" s="8">
        <v>1</v>
      </c>
      <c r="V1288" s="8" t="str">
        <f>IF(Table13[[#This Row],[BMI]]&lt;=18.5,"Underweight",IF(Table13[[#This Row],[BMI]]&lt;=24.9,"Normal",IF(Table13[[#This Row],[BMI]]&lt;=29.9,"Overweight",IF(Table13[[#This Row],[BMI]]&lt;=39,"Obese","Severly Obese"))))</f>
        <v>Underweight</v>
      </c>
      <c r="W1288" s="18">
        <v>17.36</v>
      </c>
    </row>
    <row r="1289" spans="6:23" x14ac:dyDescent="0.3">
      <c r="F1289" s="17">
        <v>24</v>
      </c>
      <c r="G1289" s="8" t="str">
        <f>IF(Table13[[#This Row],[Age]]&lt;25,"18-24",IF(Table13[[#This Row],[Age]]&lt;35,"25-34",IF(Table13[[#This Row],[Age]]&lt;45,"35-44",IF(Table13[[#This Row],[Age]]&lt;55,"45-54","55-64"))))</f>
        <v>18-24</v>
      </c>
      <c r="H1289" s="8" t="s">
        <v>17</v>
      </c>
      <c r="I1289" s="8">
        <v>45.1</v>
      </c>
      <c r="J1289" s="8">
        <v>1.6</v>
      </c>
      <c r="K1289" s="8">
        <v>195</v>
      </c>
      <c r="L1289" s="8">
        <v>163</v>
      </c>
      <c r="M1289" s="8">
        <v>66</v>
      </c>
      <c r="N1289" s="8">
        <v>2</v>
      </c>
      <c r="O1289" s="8">
        <v>453</v>
      </c>
      <c r="P1289" s="8" t="s">
        <v>20</v>
      </c>
      <c r="Q1289" s="8" t="str">
        <f>_xlfn.IFS(AND(Table13[[#This Row],[Gender]]="female",R1289&lt;20),"Athletes",AND(Table13[[#This Row],[Gender]]="female",R1289&lt;24),"Fitnesss",AND(Table13[[#This Row],[Gender]]="female",R1289&lt;31),"Acceptable",AND(Table13[[#This Row],[Gender]]="female",R1289&lt;40),"Obese",AND(Table13[[#This Row],[Gender]]="male",R1289&lt;13),"Athletes",AND(Table13[[#This Row],[Gender]]="male",R1289&lt;17),"Fitnesss",AND(Table13[[#This Row],[Gender]]="male",R1289&lt;24.9),"Acceptable",AND(Table13[[#This Row],[Gender]]="male",R1289&lt;40),"Obese",AND(Table13[[#This Row],[Gender]]="others",R1289&lt;20),"Athletes",AND(Table13[[#This Row],[Gender]]="others",R1289&lt;24),"Fitnesss",AND(Table13[[#This Row],[Gender]]="others",R1289&lt;31),"Acceptable",AND(Table13[[#This Row],[Gender]]="others",R1289&lt;40),"Obese")</f>
        <v>Obese</v>
      </c>
      <c r="R1289" s="8">
        <v>31.2</v>
      </c>
      <c r="S1289" s="8">
        <v>1.6</v>
      </c>
      <c r="T1289" s="8">
        <v>2</v>
      </c>
      <c r="U1289" s="8">
        <v>2</v>
      </c>
      <c r="V1289" s="8" t="str">
        <f>IF(Table13[[#This Row],[BMI]]&lt;=18.5,"Underweight",IF(Table13[[#This Row],[BMI]]&lt;=24.9,"Normal",IF(Table13[[#This Row],[BMI]]&lt;=29.9,"Overweight",IF(Table13[[#This Row],[BMI]]&lt;=39,"Obese","Severly Obese"))))</f>
        <v>Normal</v>
      </c>
      <c r="W1289" s="18">
        <v>22.88</v>
      </c>
    </row>
    <row r="1290" spans="6:23" x14ac:dyDescent="0.3">
      <c r="F1290" s="17">
        <v>18</v>
      </c>
      <c r="G1290" s="8" t="str">
        <f>IF(Table13[[#This Row],[Age]]&lt;25,"18-24",IF(Table13[[#This Row],[Age]]&lt;35,"25-34",IF(Table13[[#This Row],[Age]]&lt;45,"35-44",IF(Table13[[#This Row],[Age]]&lt;55,"45-54","55-64"))))</f>
        <v>18-24</v>
      </c>
      <c r="H1290" s="8" t="s">
        <v>19</v>
      </c>
      <c r="I1290" s="8">
        <v>49.1</v>
      </c>
      <c r="J1290" s="8">
        <v>1.68</v>
      </c>
      <c r="K1290" s="8"/>
      <c r="L1290" s="8">
        <v>142</v>
      </c>
      <c r="M1290" s="8">
        <v>74</v>
      </c>
      <c r="N1290" s="8">
        <v>1.1299999999999999</v>
      </c>
      <c r="O1290" s="8">
        <v>961</v>
      </c>
      <c r="P1290" s="8" t="s">
        <v>22</v>
      </c>
      <c r="Q1290" s="8" t="str">
        <f>_xlfn.IFS(AND(Table13[[#This Row],[Gender]]="female",R1290&lt;20),"Athletes",AND(Table13[[#This Row],[Gender]]="female",R1290&lt;24),"Fitnesss",AND(Table13[[#This Row],[Gender]]="female",R1290&lt;31),"Acceptable",AND(Table13[[#This Row],[Gender]]="female",R1290&lt;40),"Obese",AND(Table13[[#This Row],[Gender]]="male",R1290&lt;13),"Athletes",AND(Table13[[#This Row],[Gender]]="male",R1290&lt;17),"Fitnesss",AND(Table13[[#This Row],[Gender]]="male",R1290&lt;24.9),"Acceptable",AND(Table13[[#This Row],[Gender]]="male",R1290&lt;40),"Obese",AND(Table13[[#This Row],[Gender]]="others",R1290&lt;20),"Athletes",AND(Table13[[#This Row],[Gender]]="others",R1290&lt;24),"Fitnesss",AND(Table13[[#This Row],[Gender]]="others",R1290&lt;31),"Acceptable",AND(Table13[[#This Row],[Gender]]="others",R1290&lt;40),"Obese")</f>
        <v>Acceptable</v>
      </c>
      <c r="R1290" s="8">
        <v>23.7</v>
      </c>
      <c r="S1290" s="8">
        <v>3.1</v>
      </c>
      <c r="T1290" s="8"/>
      <c r="U1290" s="8">
        <v>1</v>
      </c>
      <c r="V1290" s="8" t="str">
        <f>IF(Table13[[#This Row],[BMI]]&lt;=18.5,"Underweight",IF(Table13[[#This Row],[BMI]]&lt;=24.9,"Normal",IF(Table13[[#This Row],[BMI]]&lt;=29.9,"Overweight",IF(Table13[[#This Row],[BMI]]&lt;=39,"Obese","Severly Obese"))))</f>
        <v>Underweight</v>
      </c>
      <c r="W1290" s="18">
        <v>15.28</v>
      </c>
    </row>
    <row r="1291" spans="6:23" x14ac:dyDescent="0.3">
      <c r="F1291" s="17">
        <v>18</v>
      </c>
      <c r="G1291" s="8" t="str">
        <f>IF(Table13[[#This Row],[Age]]&lt;25,"18-24",IF(Table13[[#This Row],[Age]]&lt;35,"25-34",IF(Table13[[#This Row],[Age]]&lt;45,"35-44",IF(Table13[[#This Row],[Age]]&lt;55,"45-54","55-64"))))</f>
        <v>18-24</v>
      </c>
      <c r="H1291" s="8" t="s">
        <v>23</v>
      </c>
      <c r="I1291" s="8">
        <v>82.7</v>
      </c>
      <c r="J1291" s="8">
        <v>1.79</v>
      </c>
      <c r="K1291" s="8">
        <v>171</v>
      </c>
      <c r="L1291" s="8">
        <v>167</v>
      </c>
      <c r="M1291" s="8">
        <v>69</v>
      </c>
      <c r="N1291" s="8">
        <v>1.0900000000000001</v>
      </c>
      <c r="O1291" s="8">
        <v>1305</v>
      </c>
      <c r="P1291" s="8" t="s">
        <v>21</v>
      </c>
      <c r="Q1291" s="8" t="str">
        <f>_xlfn.IFS(AND(Table13[[#This Row],[Gender]]="female",R1291&lt;20),"Athletes",AND(Table13[[#This Row],[Gender]]="female",R1291&lt;24),"Fitnesss",AND(Table13[[#This Row],[Gender]]="female",R1291&lt;31),"Acceptable",AND(Table13[[#This Row],[Gender]]="female",R1291&lt;40),"Obese",AND(Table13[[#This Row],[Gender]]="male",R1291&lt;13),"Athletes",AND(Table13[[#This Row],[Gender]]="male",R1291&lt;17),"Fitnesss",AND(Table13[[#This Row],[Gender]]="male",R1291&lt;24.9),"Acceptable",AND(Table13[[#This Row],[Gender]]="male",R1291&lt;40),"Obese",AND(Table13[[#This Row],[Gender]]="others",R1291&lt;20),"Athletes",AND(Table13[[#This Row],[Gender]]="others",R1291&lt;24),"Fitnesss",AND(Table13[[#This Row],[Gender]]="others",R1291&lt;31),"Acceptable",AND(Table13[[#This Row],[Gender]]="others",R1291&lt;40),"Obese")</f>
        <v>Fitnesss</v>
      </c>
      <c r="R1291" s="8">
        <v>21.8</v>
      </c>
      <c r="S1291" s="8">
        <v>2.1</v>
      </c>
      <c r="T1291" s="8">
        <v>2</v>
      </c>
      <c r="U1291" s="8">
        <v>1</v>
      </c>
      <c r="V1291" s="8" t="str">
        <f>IF(Table13[[#This Row],[BMI]]&lt;=18.5,"Underweight",IF(Table13[[#This Row],[BMI]]&lt;=24.9,"Normal",IF(Table13[[#This Row],[BMI]]&lt;=29.9,"Overweight",IF(Table13[[#This Row],[BMI]]&lt;=39,"Obese","Severly Obese"))))</f>
        <v>Underweight</v>
      </c>
      <c r="W1291" s="18">
        <v>12.89</v>
      </c>
    </row>
    <row r="1292" spans="6:23" x14ac:dyDescent="0.3">
      <c r="F1292" s="17">
        <v>33</v>
      </c>
      <c r="G1292" s="8" t="str">
        <f>IF(Table13[[#This Row],[Age]]&lt;25,"18-24",IF(Table13[[#This Row],[Age]]&lt;35,"25-34",IF(Table13[[#This Row],[Age]]&lt;45,"35-44",IF(Table13[[#This Row],[Age]]&lt;55,"45-54","55-64"))))</f>
        <v>25-34</v>
      </c>
      <c r="H1292" s="8" t="s">
        <v>19</v>
      </c>
      <c r="I1292" s="8">
        <v>85</v>
      </c>
      <c r="J1292" s="8">
        <v>1.73</v>
      </c>
      <c r="K1292" s="8">
        <v>161</v>
      </c>
      <c r="L1292" s="8">
        <v>128</v>
      </c>
      <c r="M1292" s="8">
        <v>64</v>
      </c>
      <c r="N1292" s="8">
        <v>1.34</v>
      </c>
      <c r="O1292" s="8">
        <v>812</v>
      </c>
      <c r="P1292" s="8" t="s">
        <v>18</v>
      </c>
      <c r="Q1292" s="8" t="str">
        <f>_xlfn.IFS(AND(Table13[[#This Row],[Gender]]="female",R1292&lt;20),"Athletes",AND(Table13[[#This Row],[Gender]]="female",R1292&lt;24),"Fitnesss",AND(Table13[[#This Row],[Gender]]="female",R1292&lt;31),"Acceptable",AND(Table13[[#This Row],[Gender]]="female",R1292&lt;40),"Obese",AND(Table13[[#This Row],[Gender]]="male",R1292&lt;13),"Athletes",AND(Table13[[#This Row],[Gender]]="male",R1292&lt;17),"Fitnesss",AND(Table13[[#This Row],[Gender]]="male",R1292&lt;24.9),"Acceptable",AND(Table13[[#This Row],[Gender]]="male",R1292&lt;40),"Obese",AND(Table13[[#This Row],[Gender]]="others",R1292&lt;20),"Athletes",AND(Table13[[#This Row],[Gender]]="others",R1292&lt;24),"Fitnesss",AND(Table13[[#This Row],[Gender]]="others",R1292&lt;31),"Acceptable",AND(Table13[[#This Row],[Gender]]="others",R1292&lt;40),"Obese")</f>
        <v>Fitnesss</v>
      </c>
      <c r="R1292" s="8">
        <v>16.600000000000001</v>
      </c>
      <c r="S1292" s="8">
        <v>3.2</v>
      </c>
      <c r="T1292" s="8">
        <v>4</v>
      </c>
      <c r="U1292" s="8">
        <v>1</v>
      </c>
      <c r="V1292" s="8" t="str">
        <f>IF(Table13[[#This Row],[BMI]]&lt;=18.5,"Underweight",IF(Table13[[#This Row],[BMI]]&lt;=24.9,"Normal",IF(Table13[[#This Row],[BMI]]&lt;=29.9,"Overweight",IF(Table13[[#This Row],[BMI]]&lt;=39,"Obese","Severly Obese"))))</f>
        <v>Underweight</v>
      </c>
      <c r="W1292" s="18">
        <v>13.34</v>
      </c>
    </row>
    <row r="1293" spans="6:23" x14ac:dyDescent="0.3">
      <c r="F1293" s="17">
        <v>21</v>
      </c>
      <c r="G1293" s="8" t="str">
        <f>IF(Table13[[#This Row],[Age]]&lt;25,"18-24",IF(Table13[[#This Row],[Age]]&lt;35,"25-34",IF(Table13[[#This Row],[Age]]&lt;45,"35-44",IF(Table13[[#This Row],[Age]]&lt;55,"45-54","55-64"))))</f>
        <v>18-24</v>
      </c>
      <c r="H1293" s="8" t="s">
        <v>17</v>
      </c>
      <c r="I1293" s="8">
        <v>77.900000000000006</v>
      </c>
      <c r="J1293" s="8">
        <v>1.8</v>
      </c>
      <c r="K1293" s="8">
        <v>199</v>
      </c>
      <c r="L1293" s="8">
        <v>169</v>
      </c>
      <c r="M1293" s="8">
        <v>56</v>
      </c>
      <c r="N1293" s="8">
        <v>1.3</v>
      </c>
      <c r="O1293" s="8">
        <v>1171</v>
      </c>
      <c r="P1293" s="8" t="s">
        <v>20</v>
      </c>
      <c r="Q1293" s="8" t="str">
        <f>_xlfn.IFS(AND(Table13[[#This Row],[Gender]]="female",R1293&lt;20),"Athletes",AND(Table13[[#This Row],[Gender]]="female",R1293&lt;24),"Fitnesss",AND(Table13[[#This Row],[Gender]]="female",R1293&lt;31),"Acceptable",AND(Table13[[#This Row],[Gender]]="female",R1293&lt;40),"Obese",AND(Table13[[#This Row],[Gender]]="male",R1293&lt;13),"Athletes",AND(Table13[[#This Row],[Gender]]="male",R1293&lt;17),"Fitnesss",AND(Table13[[#This Row],[Gender]]="male",R1293&lt;24.9),"Acceptable",AND(Table13[[#This Row],[Gender]]="male",R1293&lt;40),"Obese",AND(Table13[[#This Row],[Gender]]="others",R1293&lt;20),"Athletes",AND(Table13[[#This Row],[Gender]]="others",R1293&lt;24),"Fitnesss",AND(Table13[[#This Row],[Gender]]="others",R1293&lt;31),"Acceptable",AND(Table13[[#This Row],[Gender]]="others",R1293&lt;40),"Obese")</f>
        <v>Athletes</v>
      </c>
      <c r="R1293" s="8">
        <v>19.7</v>
      </c>
      <c r="S1293" s="8">
        <v>3.4</v>
      </c>
      <c r="T1293" s="8">
        <v>3</v>
      </c>
      <c r="U1293" s="8">
        <v>2</v>
      </c>
      <c r="V1293" s="8" t="str">
        <f>IF(Table13[[#This Row],[BMI]]&lt;=18.5,"Underweight",IF(Table13[[#This Row],[BMI]]&lt;=24.9,"Normal",IF(Table13[[#This Row],[BMI]]&lt;=29.9,"Overweight",IF(Table13[[#This Row],[BMI]]&lt;=39,"Obese","Severly Obese"))))</f>
        <v>Normal</v>
      </c>
      <c r="W1293" s="18">
        <v>19.98</v>
      </c>
    </row>
    <row r="1294" spans="6:23" x14ac:dyDescent="0.3">
      <c r="F1294" s="17">
        <v>20</v>
      </c>
      <c r="G1294" s="8" t="str">
        <f>IF(Table13[[#This Row],[Age]]&lt;25,"18-24",IF(Table13[[#This Row],[Age]]&lt;35,"25-34",IF(Table13[[#This Row],[Age]]&lt;45,"35-44",IF(Table13[[#This Row],[Age]]&lt;55,"45-54","55-64"))))</f>
        <v>18-24</v>
      </c>
      <c r="H1294" s="8" t="s">
        <v>19</v>
      </c>
      <c r="I1294" s="8">
        <v>40</v>
      </c>
      <c r="J1294" s="8">
        <v>1.52</v>
      </c>
      <c r="K1294" s="8">
        <v>192</v>
      </c>
      <c r="L1294" s="8">
        <v>151</v>
      </c>
      <c r="M1294" s="8">
        <v>63</v>
      </c>
      <c r="N1294" s="8">
        <v>1.5</v>
      </c>
      <c r="O1294" s="8">
        <v>572</v>
      </c>
      <c r="P1294" s="8" t="s">
        <v>21</v>
      </c>
      <c r="Q1294" s="8" t="str">
        <f>_xlfn.IFS(AND(Table13[[#This Row],[Gender]]="female",R1294&lt;20),"Athletes",AND(Table13[[#This Row],[Gender]]="female",R1294&lt;24),"Fitnesss",AND(Table13[[#This Row],[Gender]]="female",R1294&lt;31),"Acceptable",AND(Table13[[#This Row],[Gender]]="female",R1294&lt;40),"Obese",AND(Table13[[#This Row],[Gender]]="male",R1294&lt;13),"Athletes",AND(Table13[[#This Row],[Gender]]="male",R1294&lt;17),"Fitnesss",AND(Table13[[#This Row],[Gender]]="male",R1294&lt;24.9),"Acceptable",AND(Table13[[#This Row],[Gender]]="male",R1294&lt;40),"Obese",AND(Table13[[#This Row],[Gender]]="others",R1294&lt;20),"Athletes",AND(Table13[[#This Row],[Gender]]="others",R1294&lt;24),"Fitnesss",AND(Table13[[#This Row],[Gender]]="others",R1294&lt;31),"Acceptable",AND(Table13[[#This Row],[Gender]]="others",R1294&lt;40),"Obese")</f>
        <v>Obese</v>
      </c>
      <c r="R1294" s="8">
        <v>25.1</v>
      </c>
      <c r="S1294" s="8">
        <v>3.7</v>
      </c>
      <c r="T1294" s="8">
        <v>4</v>
      </c>
      <c r="U1294" s="8">
        <v>1</v>
      </c>
      <c r="V1294" s="8" t="str">
        <f>IF(Table13[[#This Row],[BMI]]&lt;=18.5,"Underweight",IF(Table13[[#This Row],[BMI]]&lt;=24.9,"Normal",IF(Table13[[#This Row],[BMI]]&lt;=29.9,"Overweight",IF(Table13[[#This Row],[BMI]]&lt;=39,"Obese","Severly Obese"))))</f>
        <v>Overweight</v>
      </c>
      <c r="W1294" s="18">
        <v>25.64</v>
      </c>
    </row>
    <row r="1295" spans="6:23" x14ac:dyDescent="0.3">
      <c r="F1295" s="17">
        <v>59</v>
      </c>
      <c r="G1295" s="8" t="str">
        <f>IF(Table13[[#This Row],[Age]]&lt;25,"18-24",IF(Table13[[#This Row],[Age]]&lt;35,"25-34",IF(Table13[[#This Row],[Age]]&lt;45,"35-44",IF(Table13[[#This Row],[Age]]&lt;55,"45-54","55-64"))))</f>
        <v>55-64</v>
      </c>
      <c r="H1295" s="8" t="s">
        <v>19</v>
      </c>
      <c r="I1295" s="8">
        <v>44.8</v>
      </c>
      <c r="J1295" s="8">
        <v>1.67</v>
      </c>
      <c r="K1295" s="8">
        <v>189</v>
      </c>
      <c r="L1295" s="8">
        <v>130</v>
      </c>
      <c r="M1295" s="8">
        <v>63</v>
      </c>
      <c r="N1295" s="8">
        <v>1.29</v>
      </c>
      <c r="O1295" s="8">
        <v>1021</v>
      </c>
      <c r="P1295" s="8" t="s">
        <v>18</v>
      </c>
      <c r="Q1295" s="8" t="str">
        <f>_xlfn.IFS(AND(Table13[[#This Row],[Gender]]="female",R1295&lt;20),"Athletes",AND(Table13[[#This Row],[Gender]]="female",R1295&lt;24),"Fitnesss",AND(Table13[[#This Row],[Gender]]="female",R1295&lt;31),"Acceptable",AND(Table13[[#This Row],[Gender]]="female",R1295&lt;40),"Obese",AND(Table13[[#This Row],[Gender]]="male",R1295&lt;13),"Athletes",AND(Table13[[#This Row],[Gender]]="male",R1295&lt;17),"Fitnesss",AND(Table13[[#This Row],[Gender]]="male",R1295&lt;24.9),"Acceptable",AND(Table13[[#This Row],[Gender]]="male",R1295&lt;40),"Obese",AND(Table13[[#This Row],[Gender]]="others",R1295&lt;20),"Athletes",AND(Table13[[#This Row],[Gender]]="others",R1295&lt;24),"Fitnesss",AND(Table13[[#This Row],[Gender]]="others",R1295&lt;31),"Acceptable",AND(Table13[[#This Row],[Gender]]="others",R1295&lt;40),"Obese")</f>
        <v>Obese</v>
      </c>
      <c r="R1295" s="8">
        <v>29.8</v>
      </c>
      <c r="S1295" s="8">
        <v>3.6</v>
      </c>
      <c r="T1295" s="8">
        <v>3</v>
      </c>
      <c r="U1295" s="8">
        <v>3</v>
      </c>
      <c r="V1295" s="8" t="str">
        <f>IF(Table13[[#This Row],[BMI]]&lt;=18.5,"Underweight",IF(Table13[[#This Row],[BMI]]&lt;=24.9,"Normal",IF(Table13[[#This Row],[BMI]]&lt;=29.9,"Overweight",IF(Table13[[#This Row],[BMI]]&lt;=39,"Obese","Severly Obese"))))</f>
        <v>Underweight</v>
      </c>
      <c r="W1295" s="18">
        <v>12.32</v>
      </c>
    </row>
    <row r="1296" spans="6:23" x14ac:dyDescent="0.3">
      <c r="F1296" s="17">
        <v>51</v>
      </c>
      <c r="G1296" s="8" t="str">
        <f>IF(Table13[[#This Row],[Age]]&lt;25,"18-24",IF(Table13[[#This Row],[Age]]&lt;35,"25-34",IF(Table13[[#This Row],[Age]]&lt;45,"35-44",IF(Table13[[#This Row],[Age]]&lt;55,"45-54","55-64"))))</f>
        <v>45-54</v>
      </c>
      <c r="H1296" s="8" t="s">
        <v>17</v>
      </c>
      <c r="I1296" s="8">
        <v>66.400000000000006</v>
      </c>
      <c r="J1296" s="8">
        <v>1.77</v>
      </c>
      <c r="K1296" s="8">
        <v>184</v>
      </c>
      <c r="L1296" s="8">
        <v>147</v>
      </c>
      <c r="M1296" s="8">
        <v>55</v>
      </c>
      <c r="N1296" s="8">
        <v>0.97</v>
      </c>
      <c r="O1296" s="8">
        <v>1531</v>
      </c>
      <c r="P1296" s="8" t="s">
        <v>21</v>
      </c>
      <c r="Q1296" s="8" t="str">
        <f>_xlfn.IFS(AND(Table13[[#This Row],[Gender]]="female",R1296&lt;20),"Athletes",AND(Table13[[#This Row],[Gender]]="female",R1296&lt;24),"Fitnesss",AND(Table13[[#This Row],[Gender]]="female",R1296&lt;31),"Acceptable",AND(Table13[[#This Row],[Gender]]="female",R1296&lt;40),"Obese",AND(Table13[[#This Row],[Gender]]="male",R1296&lt;13),"Athletes",AND(Table13[[#This Row],[Gender]]="male",R1296&lt;17),"Fitnesss",AND(Table13[[#This Row],[Gender]]="male",R1296&lt;24.9),"Acceptable",AND(Table13[[#This Row],[Gender]]="male",R1296&lt;40),"Obese",AND(Table13[[#This Row],[Gender]]="others",R1296&lt;20),"Athletes",AND(Table13[[#This Row],[Gender]]="others",R1296&lt;24),"Fitnesss",AND(Table13[[#This Row],[Gender]]="others",R1296&lt;31),"Acceptable",AND(Table13[[#This Row],[Gender]]="others",R1296&lt;40),"Obese")</f>
        <v>Obese</v>
      </c>
      <c r="R1296" s="8">
        <v>33.1</v>
      </c>
      <c r="S1296" s="8">
        <v>3.6</v>
      </c>
      <c r="T1296" s="8">
        <v>3</v>
      </c>
      <c r="U1296" s="8">
        <v>3</v>
      </c>
      <c r="V1296" s="8" t="str">
        <f>IF(Table13[[#This Row],[BMI]]&lt;=18.5,"Underweight",IF(Table13[[#This Row],[BMI]]&lt;=24.9,"Normal",IF(Table13[[#This Row],[BMI]]&lt;=29.9,"Overweight",IF(Table13[[#This Row],[BMI]]&lt;=39,"Obese","Severly Obese"))))</f>
        <v>Underweight</v>
      </c>
      <c r="W1296" s="18">
        <v>14.27</v>
      </c>
    </row>
    <row r="1297" spans="6:23" x14ac:dyDescent="0.3">
      <c r="F1297" s="17">
        <v>50</v>
      </c>
      <c r="G1297" s="8" t="str">
        <f>IF(Table13[[#This Row],[Age]]&lt;25,"18-24",IF(Table13[[#This Row],[Age]]&lt;35,"25-34",IF(Table13[[#This Row],[Age]]&lt;45,"35-44",IF(Table13[[#This Row],[Age]]&lt;55,"45-54","55-64"))))</f>
        <v>45-54</v>
      </c>
      <c r="H1297" s="8" t="s">
        <v>19</v>
      </c>
      <c r="I1297" s="8">
        <v>40</v>
      </c>
      <c r="J1297" s="8">
        <v>2</v>
      </c>
      <c r="K1297" s="8">
        <v>192</v>
      </c>
      <c r="L1297" s="8">
        <v>155</v>
      </c>
      <c r="M1297" s="8">
        <v>56</v>
      </c>
      <c r="N1297" s="8">
        <v>0.82</v>
      </c>
      <c r="O1297" s="8">
        <v>829</v>
      </c>
      <c r="P1297" s="8" t="s">
        <v>18</v>
      </c>
      <c r="Q1297" s="8" t="str">
        <f>_xlfn.IFS(AND(Table13[[#This Row],[Gender]]="female",R1297&lt;20),"Athletes",AND(Table13[[#This Row],[Gender]]="female",R1297&lt;24),"Fitnesss",AND(Table13[[#This Row],[Gender]]="female",R1297&lt;31),"Acceptable",AND(Table13[[#This Row],[Gender]]="female",R1297&lt;40),"Obese",AND(Table13[[#This Row],[Gender]]="male",R1297&lt;13),"Athletes",AND(Table13[[#This Row],[Gender]]="male",R1297&lt;17),"Fitnesss",AND(Table13[[#This Row],[Gender]]="male",R1297&lt;24.9),"Acceptable",AND(Table13[[#This Row],[Gender]]="male",R1297&lt;40),"Obese",AND(Table13[[#This Row],[Gender]]="others",R1297&lt;20),"Athletes",AND(Table13[[#This Row],[Gender]]="others",R1297&lt;24),"Fitnesss",AND(Table13[[#This Row],[Gender]]="others",R1297&lt;31),"Acceptable",AND(Table13[[#This Row],[Gender]]="others",R1297&lt;40),"Obese")</f>
        <v>Acceptable</v>
      </c>
      <c r="R1297" s="8">
        <v>24.6</v>
      </c>
      <c r="S1297" s="8">
        <v>2.4</v>
      </c>
      <c r="T1297" s="8">
        <v>3</v>
      </c>
      <c r="U1297" s="8">
        <v>2</v>
      </c>
      <c r="V1297" s="8" t="str">
        <f>IF(Table13[[#This Row],[BMI]]&lt;=18.5,"Underweight",IF(Table13[[#This Row],[BMI]]&lt;=24.9,"Normal",IF(Table13[[#This Row],[BMI]]&lt;=29.9,"Overweight",IF(Table13[[#This Row],[BMI]]&lt;=39,"Obese","Severly Obese"))))</f>
        <v>Underweight</v>
      </c>
      <c r="W1297" s="18">
        <v>16.670000000000002</v>
      </c>
    </row>
    <row r="1298" spans="6:23" x14ac:dyDescent="0.3">
      <c r="F1298" s="17">
        <v>42</v>
      </c>
      <c r="G1298" s="8" t="str">
        <f>IF(Table13[[#This Row],[Age]]&lt;25,"18-24",IF(Table13[[#This Row],[Age]]&lt;35,"25-34",IF(Table13[[#This Row],[Age]]&lt;45,"35-44",IF(Table13[[#This Row],[Age]]&lt;55,"45-54","55-64"))))</f>
        <v>35-44</v>
      </c>
      <c r="H1298" s="8" t="s">
        <v>19</v>
      </c>
      <c r="I1298" s="8">
        <v>96.2</v>
      </c>
      <c r="J1298" s="8">
        <v>1.63</v>
      </c>
      <c r="K1298" s="8">
        <v>164</v>
      </c>
      <c r="L1298" s="8">
        <v>148</v>
      </c>
      <c r="M1298" s="8">
        <v>74</v>
      </c>
      <c r="N1298" s="8">
        <v>1.38</v>
      </c>
      <c r="O1298" s="8">
        <v>887</v>
      </c>
      <c r="P1298" s="8" t="s">
        <v>18</v>
      </c>
      <c r="Q1298" s="8" t="str">
        <f>_xlfn.IFS(AND(Table13[[#This Row],[Gender]]="female",R1298&lt;20),"Athletes",AND(Table13[[#This Row],[Gender]]="female",R1298&lt;24),"Fitnesss",AND(Table13[[#This Row],[Gender]]="female",R1298&lt;31),"Acceptable",AND(Table13[[#This Row],[Gender]]="female",R1298&lt;40),"Obese",AND(Table13[[#This Row],[Gender]]="male",R1298&lt;13),"Athletes",AND(Table13[[#This Row],[Gender]]="male",R1298&lt;17),"Fitnesss",AND(Table13[[#This Row],[Gender]]="male",R1298&lt;24.9),"Acceptable",AND(Table13[[#This Row],[Gender]]="male",R1298&lt;40),"Obese",AND(Table13[[#This Row],[Gender]]="others",R1298&lt;20),"Athletes",AND(Table13[[#This Row],[Gender]]="others",R1298&lt;24),"Fitnesss",AND(Table13[[#This Row],[Gender]]="others",R1298&lt;31),"Acceptable",AND(Table13[[#This Row],[Gender]]="others",R1298&lt;40),"Obese")</f>
        <v>Fitnesss</v>
      </c>
      <c r="R1298" s="8">
        <v>16.3</v>
      </c>
      <c r="S1298" s="8">
        <v>1.6</v>
      </c>
      <c r="T1298" s="8">
        <v>2</v>
      </c>
      <c r="U1298" s="8">
        <v>3</v>
      </c>
      <c r="V1298" s="8" t="str">
        <f>IF(Table13[[#This Row],[BMI]]&lt;=18.5,"Underweight",IF(Table13[[#This Row],[BMI]]&lt;=24.9,"Normal",IF(Table13[[#This Row],[BMI]]&lt;=29.9,"Overweight",IF(Table13[[#This Row],[BMI]]&lt;=39,"Obese","Severly Obese"))))</f>
        <v>Overweight</v>
      </c>
      <c r="W1298" s="18">
        <v>25.15</v>
      </c>
    </row>
    <row r="1299" spans="6:23" x14ac:dyDescent="0.3">
      <c r="F1299" s="17">
        <v>45</v>
      </c>
      <c r="G1299" s="8" t="str">
        <f>IF(Table13[[#This Row],[Age]]&lt;25,"18-24",IF(Table13[[#This Row],[Age]]&lt;35,"25-34",IF(Table13[[#This Row],[Age]]&lt;45,"35-44",IF(Table13[[#This Row],[Age]]&lt;55,"45-54","55-64"))))</f>
        <v>45-54</v>
      </c>
      <c r="H1299" s="8" t="s">
        <v>17</v>
      </c>
      <c r="I1299" s="8">
        <v>54</v>
      </c>
      <c r="J1299" s="8">
        <v>1.86</v>
      </c>
      <c r="K1299" s="8">
        <v>170</v>
      </c>
      <c r="L1299" s="8">
        <v>148</v>
      </c>
      <c r="M1299" s="8">
        <v>65</v>
      </c>
      <c r="N1299" s="8">
        <v>1.36</v>
      </c>
      <c r="O1299" s="8">
        <v>670</v>
      </c>
      <c r="P1299" s="8" t="s">
        <v>20</v>
      </c>
      <c r="Q1299" s="8" t="str">
        <f>_xlfn.IFS(AND(Table13[[#This Row],[Gender]]="female",R1299&lt;20),"Athletes",AND(Table13[[#This Row],[Gender]]="female",R1299&lt;24),"Fitnesss",AND(Table13[[#This Row],[Gender]]="female",R1299&lt;31),"Acceptable",AND(Table13[[#This Row],[Gender]]="female",R1299&lt;40),"Obese",AND(Table13[[#This Row],[Gender]]="male",R1299&lt;13),"Athletes",AND(Table13[[#This Row],[Gender]]="male",R1299&lt;17),"Fitnesss",AND(Table13[[#This Row],[Gender]]="male",R1299&lt;24.9),"Acceptable",AND(Table13[[#This Row],[Gender]]="male",R1299&lt;40),"Obese",AND(Table13[[#This Row],[Gender]]="others",R1299&lt;20),"Athletes",AND(Table13[[#This Row],[Gender]]="others",R1299&lt;24),"Fitnesss",AND(Table13[[#This Row],[Gender]]="others",R1299&lt;31),"Acceptable",AND(Table13[[#This Row],[Gender]]="others",R1299&lt;40),"Obese")</f>
        <v>Acceptable</v>
      </c>
      <c r="R1299" s="8">
        <v>28.9</v>
      </c>
      <c r="S1299" s="8">
        <v>3.5</v>
      </c>
      <c r="T1299" s="8">
        <v>3</v>
      </c>
      <c r="U1299" s="8">
        <v>2</v>
      </c>
      <c r="V1299" s="8" t="str">
        <f>IF(Table13[[#This Row],[BMI]]&lt;=18.5,"Underweight",IF(Table13[[#This Row],[BMI]]&lt;=24.9,"Normal",IF(Table13[[#This Row],[BMI]]&lt;=29.9,"Overweight",IF(Table13[[#This Row],[BMI]]&lt;=39,"Obese","Severly Obese"))))</f>
        <v>Underweight</v>
      </c>
      <c r="W1299" s="18">
        <v>16.72</v>
      </c>
    </row>
    <row r="1300" spans="6:23" x14ac:dyDescent="0.3">
      <c r="F1300" s="17">
        <v>22</v>
      </c>
      <c r="G1300" s="8" t="str">
        <f>IF(Table13[[#This Row],[Age]]&lt;25,"18-24",IF(Table13[[#This Row],[Age]]&lt;35,"25-34",IF(Table13[[#This Row],[Age]]&lt;45,"35-44",IF(Table13[[#This Row],[Age]]&lt;55,"45-54","55-64"))))</f>
        <v>18-24</v>
      </c>
      <c r="H1300" s="8" t="s">
        <v>19</v>
      </c>
      <c r="I1300" s="8">
        <v>71.099999999999994</v>
      </c>
      <c r="J1300" s="8">
        <v>1.68</v>
      </c>
      <c r="K1300" s="8">
        <v>164</v>
      </c>
      <c r="L1300" s="8">
        <v>160</v>
      </c>
      <c r="M1300" s="8">
        <v>74</v>
      </c>
      <c r="N1300" s="8">
        <v>1.51</v>
      </c>
      <c r="O1300" s="8">
        <v>955</v>
      </c>
      <c r="P1300" s="8" t="s">
        <v>20</v>
      </c>
      <c r="Q1300" s="8" t="str">
        <f>_xlfn.IFS(AND(Table13[[#This Row],[Gender]]="female",R1300&lt;20),"Athletes",AND(Table13[[#This Row],[Gender]]="female",R1300&lt;24),"Fitnesss",AND(Table13[[#This Row],[Gender]]="female",R1300&lt;31),"Acceptable",AND(Table13[[#This Row],[Gender]]="female",R1300&lt;40),"Obese",AND(Table13[[#This Row],[Gender]]="male",R1300&lt;13),"Athletes",AND(Table13[[#This Row],[Gender]]="male",R1300&lt;17),"Fitnesss",AND(Table13[[#This Row],[Gender]]="male",R1300&lt;24.9),"Acceptable",AND(Table13[[#This Row],[Gender]]="male",R1300&lt;40),"Obese",AND(Table13[[#This Row],[Gender]]="others",R1300&lt;20),"Athletes",AND(Table13[[#This Row],[Gender]]="others",R1300&lt;24),"Fitnesss",AND(Table13[[#This Row],[Gender]]="others",R1300&lt;31),"Acceptable",AND(Table13[[#This Row],[Gender]]="others",R1300&lt;40),"Obese")</f>
        <v>Athletes</v>
      </c>
      <c r="R1300" s="8">
        <v>10</v>
      </c>
      <c r="S1300" s="8">
        <v>3.3</v>
      </c>
      <c r="T1300" s="8">
        <v>4</v>
      </c>
      <c r="U1300" s="8">
        <v>2</v>
      </c>
      <c r="V1300" s="8" t="str">
        <f>IF(Table13[[#This Row],[BMI]]&lt;=18.5,"Underweight",IF(Table13[[#This Row],[BMI]]&lt;=24.9,"Normal",IF(Table13[[#This Row],[BMI]]&lt;=29.9,"Overweight",IF(Table13[[#This Row],[BMI]]&lt;=39,"Obese","Severly Obese"))))</f>
        <v>Underweight</v>
      </c>
      <c r="W1300" s="18">
        <v>16.09</v>
      </c>
    </row>
    <row r="1301" spans="6:23" x14ac:dyDescent="0.3">
      <c r="F1301" s="17">
        <v>47</v>
      </c>
      <c r="G1301" s="8" t="str">
        <f>IF(Table13[[#This Row],[Age]]&lt;25,"18-24",IF(Table13[[#This Row],[Age]]&lt;35,"25-34",IF(Table13[[#This Row],[Age]]&lt;45,"35-44",IF(Table13[[#This Row],[Age]]&lt;55,"45-54","55-64"))))</f>
        <v>45-54</v>
      </c>
      <c r="H1301" s="8" t="s">
        <v>17</v>
      </c>
      <c r="I1301" s="8">
        <v>48.6</v>
      </c>
      <c r="J1301" s="8">
        <v>1.55</v>
      </c>
      <c r="K1301" s="8">
        <v>176</v>
      </c>
      <c r="L1301" s="8">
        <v>165</v>
      </c>
      <c r="M1301" s="8">
        <v>74</v>
      </c>
      <c r="N1301" s="8">
        <v>0.71</v>
      </c>
      <c r="O1301" s="8">
        <v>1305</v>
      </c>
      <c r="P1301" s="8" t="s">
        <v>20</v>
      </c>
      <c r="Q1301" s="8" t="str">
        <f>_xlfn.IFS(AND(Table13[[#This Row],[Gender]]="female",R1301&lt;20),"Athletes",AND(Table13[[#This Row],[Gender]]="female",R1301&lt;24),"Fitnesss",AND(Table13[[#This Row],[Gender]]="female",R1301&lt;31),"Acceptable",AND(Table13[[#This Row],[Gender]]="female",R1301&lt;40),"Obese",AND(Table13[[#This Row],[Gender]]="male",R1301&lt;13),"Athletes",AND(Table13[[#This Row],[Gender]]="male",R1301&lt;17),"Fitnesss",AND(Table13[[#This Row],[Gender]]="male",R1301&lt;24.9),"Acceptable",AND(Table13[[#This Row],[Gender]]="male",R1301&lt;40),"Obese",AND(Table13[[#This Row],[Gender]]="others",R1301&lt;20),"Athletes",AND(Table13[[#This Row],[Gender]]="others",R1301&lt;24),"Fitnesss",AND(Table13[[#This Row],[Gender]]="others",R1301&lt;31),"Acceptable",AND(Table13[[#This Row],[Gender]]="others",R1301&lt;40),"Obese")</f>
        <v>Athletes</v>
      </c>
      <c r="R1301" s="8">
        <v>15.6</v>
      </c>
      <c r="S1301" s="8">
        <v>2.7</v>
      </c>
      <c r="T1301" s="8">
        <v>2</v>
      </c>
      <c r="U1301" s="8">
        <v>1</v>
      </c>
      <c r="V1301" s="8" t="str">
        <f>IF(Table13[[#This Row],[BMI]]&lt;=18.5,"Underweight",IF(Table13[[#This Row],[BMI]]&lt;=24.9,"Normal",IF(Table13[[#This Row],[BMI]]&lt;=29.9,"Overweight",IF(Table13[[#This Row],[BMI]]&lt;=39,"Obese","Severly Obese"))))</f>
        <v>Overweight</v>
      </c>
      <c r="W1301" s="18">
        <v>27.31</v>
      </c>
    </row>
    <row r="1302" spans="6:23" x14ac:dyDescent="0.3">
      <c r="F1302" s="17">
        <v>34</v>
      </c>
      <c r="G1302" s="8" t="str">
        <f>IF(Table13[[#This Row],[Age]]&lt;25,"18-24",IF(Table13[[#This Row],[Age]]&lt;35,"25-34",IF(Table13[[#This Row],[Age]]&lt;45,"35-44",IF(Table13[[#This Row],[Age]]&lt;55,"45-54","55-64"))))</f>
        <v>25-34</v>
      </c>
      <c r="H1302" s="8" t="s">
        <v>17</v>
      </c>
      <c r="I1302" s="8">
        <v>100.1</v>
      </c>
      <c r="J1302" s="8">
        <v>1.97</v>
      </c>
      <c r="K1302" s="8">
        <v>192</v>
      </c>
      <c r="L1302" s="8">
        <v>164</v>
      </c>
      <c r="M1302" s="8">
        <v>73</v>
      </c>
      <c r="N1302" s="8">
        <v>2</v>
      </c>
      <c r="O1302" s="8">
        <v>1747</v>
      </c>
      <c r="P1302" s="8" t="s">
        <v>22</v>
      </c>
      <c r="Q1302" s="8" t="str">
        <f>_xlfn.IFS(AND(Table13[[#This Row],[Gender]]="female",R1302&lt;20),"Athletes",AND(Table13[[#This Row],[Gender]]="female",R1302&lt;24),"Fitnesss",AND(Table13[[#This Row],[Gender]]="female",R1302&lt;31),"Acceptable",AND(Table13[[#This Row],[Gender]]="female",R1302&lt;40),"Obese",AND(Table13[[#This Row],[Gender]]="male",R1302&lt;13),"Athletes",AND(Table13[[#This Row],[Gender]]="male",R1302&lt;17),"Fitnesss",AND(Table13[[#This Row],[Gender]]="male",R1302&lt;24.9),"Acceptable",AND(Table13[[#This Row],[Gender]]="male",R1302&lt;40),"Obese",AND(Table13[[#This Row],[Gender]]="others",R1302&lt;20),"Athletes",AND(Table13[[#This Row],[Gender]]="others",R1302&lt;24),"Fitnesss",AND(Table13[[#This Row],[Gender]]="others",R1302&lt;31),"Acceptable",AND(Table13[[#This Row],[Gender]]="others",R1302&lt;40),"Obese")</f>
        <v>Acceptable</v>
      </c>
      <c r="R1302" s="8">
        <v>25.5</v>
      </c>
      <c r="S1302" s="8">
        <v>1.5</v>
      </c>
      <c r="T1302" s="8">
        <v>4</v>
      </c>
      <c r="U1302" s="8">
        <v>2</v>
      </c>
      <c r="V1302" s="8" t="str">
        <f>IF(Table13[[#This Row],[BMI]]&lt;=18.5,"Underweight",IF(Table13[[#This Row],[BMI]]&lt;=24.9,"Normal",IF(Table13[[#This Row],[BMI]]&lt;=29.9,"Overweight",IF(Table13[[#This Row],[BMI]]&lt;=39,"Obese","Severly Obese"))))</f>
        <v>Normal</v>
      </c>
      <c r="W1302" s="18">
        <v>22.68</v>
      </c>
    </row>
    <row r="1303" spans="6:23" x14ac:dyDescent="0.3">
      <c r="F1303" s="17">
        <v>51</v>
      </c>
      <c r="G1303" s="8" t="str">
        <f>IF(Table13[[#This Row],[Age]]&lt;25,"18-24",IF(Table13[[#This Row],[Age]]&lt;35,"25-34",IF(Table13[[#This Row],[Age]]&lt;45,"35-44",IF(Table13[[#This Row],[Age]]&lt;55,"45-54","55-64"))))</f>
        <v>45-54</v>
      </c>
      <c r="H1303" s="8" t="s">
        <v>17</v>
      </c>
      <c r="I1303" s="8">
        <v>53.7</v>
      </c>
      <c r="J1303" s="8">
        <v>1.72</v>
      </c>
      <c r="K1303" s="8">
        <v>169</v>
      </c>
      <c r="L1303" s="8">
        <v>120</v>
      </c>
      <c r="M1303" s="8">
        <v>52</v>
      </c>
      <c r="N1303" s="8">
        <v>0.95</v>
      </c>
      <c r="O1303" s="8">
        <v>1234</v>
      </c>
      <c r="P1303" s="8" t="s">
        <v>21</v>
      </c>
      <c r="Q1303" s="8" t="str">
        <f>_xlfn.IFS(AND(Table13[[#This Row],[Gender]]="female",R1303&lt;20),"Athletes",AND(Table13[[#This Row],[Gender]]="female",R1303&lt;24),"Fitnesss",AND(Table13[[#This Row],[Gender]]="female",R1303&lt;31),"Acceptable",AND(Table13[[#This Row],[Gender]]="female",R1303&lt;40),"Obese",AND(Table13[[#This Row],[Gender]]="male",R1303&lt;13),"Athletes",AND(Table13[[#This Row],[Gender]]="male",R1303&lt;17),"Fitnesss",AND(Table13[[#This Row],[Gender]]="male",R1303&lt;24.9),"Acceptable",AND(Table13[[#This Row],[Gender]]="male",R1303&lt;40),"Obese",AND(Table13[[#This Row],[Gender]]="others",R1303&lt;20),"Athletes",AND(Table13[[#This Row],[Gender]]="others",R1303&lt;24),"Fitnesss",AND(Table13[[#This Row],[Gender]]="others",R1303&lt;31),"Acceptable",AND(Table13[[#This Row],[Gender]]="others",R1303&lt;40),"Obese")</f>
        <v>Athletes</v>
      </c>
      <c r="R1303" s="8">
        <v>10</v>
      </c>
      <c r="S1303" s="8">
        <v>3.3</v>
      </c>
      <c r="T1303" s="8"/>
      <c r="U1303" s="8">
        <v>3</v>
      </c>
      <c r="V1303" s="8" t="str">
        <f>IF(Table13[[#This Row],[BMI]]&lt;=18.5,"Underweight",IF(Table13[[#This Row],[BMI]]&lt;=24.9,"Normal",IF(Table13[[#This Row],[BMI]]&lt;=29.9,"Overweight",IF(Table13[[#This Row],[BMI]]&lt;=39,"Obese","Severly Obese"))))</f>
        <v>Underweight</v>
      </c>
      <c r="W1303" s="18">
        <v>14.41</v>
      </c>
    </row>
    <row r="1304" spans="6:23" x14ac:dyDescent="0.3">
      <c r="F1304" s="17">
        <v>27</v>
      </c>
      <c r="G1304" s="8" t="str">
        <f>IF(Table13[[#This Row],[Age]]&lt;25,"18-24",IF(Table13[[#This Row],[Age]]&lt;35,"25-34",IF(Table13[[#This Row],[Age]]&lt;45,"35-44",IF(Table13[[#This Row],[Age]]&lt;55,"45-54","55-64"))))</f>
        <v>25-34</v>
      </c>
      <c r="H1304" s="8" t="s">
        <v>19</v>
      </c>
      <c r="I1304" s="8">
        <v>83.5</v>
      </c>
      <c r="J1304" s="8">
        <v>1.67</v>
      </c>
      <c r="K1304" s="8">
        <v>162</v>
      </c>
      <c r="L1304" s="8">
        <v>129</v>
      </c>
      <c r="M1304" s="8">
        <v>65</v>
      </c>
      <c r="N1304" s="8">
        <v>1.48</v>
      </c>
      <c r="O1304" s="8">
        <v>1517</v>
      </c>
      <c r="P1304" s="8" t="s">
        <v>22</v>
      </c>
      <c r="Q1304" s="8" t="str">
        <f>_xlfn.IFS(AND(Table13[[#This Row],[Gender]]="female",R1304&lt;20),"Athletes",AND(Table13[[#This Row],[Gender]]="female",R1304&lt;24),"Fitnesss",AND(Table13[[#This Row],[Gender]]="female",R1304&lt;31),"Acceptable",AND(Table13[[#This Row],[Gender]]="female",R1304&lt;40),"Obese",AND(Table13[[#This Row],[Gender]]="male",R1304&lt;13),"Athletes",AND(Table13[[#This Row],[Gender]]="male",R1304&lt;17),"Fitnesss",AND(Table13[[#This Row],[Gender]]="male",R1304&lt;24.9),"Acceptable",AND(Table13[[#This Row],[Gender]]="male",R1304&lt;40),"Obese",AND(Table13[[#This Row],[Gender]]="others",R1304&lt;20),"Athletes",AND(Table13[[#This Row],[Gender]]="others",R1304&lt;24),"Fitnesss",AND(Table13[[#This Row],[Gender]]="others",R1304&lt;31),"Acceptable",AND(Table13[[#This Row],[Gender]]="others",R1304&lt;40),"Obese")</f>
        <v>Obese</v>
      </c>
      <c r="R1304" s="8">
        <v>25.8</v>
      </c>
      <c r="S1304" s="8">
        <v>3.3</v>
      </c>
      <c r="T1304" s="8">
        <v>2</v>
      </c>
      <c r="U1304" s="8">
        <v>1</v>
      </c>
      <c r="V1304" s="8" t="str">
        <f>IF(Table13[[#This Row],[BMI]]&lt;=18.5,"Underweight",IF(Table13[[#This Row],[BMI]]&lt;=24.9,"Normal",IF(Table13[[#This Row],[BMI]]&lt;=29.9,"Overweight",IF(Table13[[#This Row],[BMI]]&lt;=39,"Obese","Severly Obese"))))</f>
        <v>Underweight</v>
      </c>
      <c r="W1304" s="18">
        <v>18.45</v>
      </c>
    </row>
    <row r="1305" spans="6:23" x14ac:dyDescent="0.3">
      <c r="F1305" s="17">
        <v>18</v>
      </c>
      <c r="G1305" s="8" t="str">
        <f>IF(Table13[[#This Row],[Age]]&lt;25,"18-24",IF(Table13[[#This Row],[Age]]&lt;35,"25-34",IF(Table13[[#This Row],[Age]]&lt;45,"35-44",IF(Table13[[#This Row],[Age]]&lt;55,"45-54","55-64"))))</f>
        <v>18-24</v>
      </c>
      <c r="H1305" s="8" t="s">
        <v>19</v>
      </c>
      <c r="I1305" s="8">
        <v>52.4</v>
      </c>
      <c r="J1305" s="8">
        <v>1.74</v>
      </c>
      <c r="K1305" s="8">
        <v>181</v>
      </c>
      <c r="L1305" s="8">
        <v>169</v>
      </c>
      <c r="M1305" s="8">
        <v>63</v>
      </c>
      <c r="N1305" s="8">
        <v>0.83</v>
      </c>
      <c r="O1305" s="8">
        <v>889</v>
      </c>
      <c r="P1305" s="8" t="s">
        <v>18</v>
      </c>
      <c r="Q1305" s="8" t="str">
        <f>_xlfn.IFS(AND(Table13[[#This Row],[Gender]]="female",R1305&lt;20),"Athletes",AND(Table13[[#This Row],[Gender]]="female",R1305&lt;24),"Fitnesss",AND(Table13[[#This Row],[Gender]]="female",R1305&lt;31),"Acceptable",AND(Table13[[#This Row],[Gender]]="female",R1305&lt;40),"Obese",AND(Table13[[#This Row],[Gender]]="male",R1305&lt;13),"Athletes",AND(Table13[[#This Row],[Gender]]="male",R1305&lt;17),"Fitnesss",AND(Table13[[#This Row],[Gender]]="male",R1305&lt;24.9),"Acceptable",AND(Table13[[#This Row],[Gender]]="male",R1305&lt;40),"Obese",AND(Table13[[#This Row],[Gender]]="others",R1305&lt;20),"Athletes",AND(Table13[[#This Row],[Gender]]="others",R1305&lt;24),"Fitnesss",AND(Table13[[#This Row],[Gender]]="others",R1305&lt;31),"Acceptable",AND(Table13[[#This Row],[Gender]]="others",R1305&lt;40),"Obese")</f>
        <v>Athletes</v>
      </c>
      <c r="R1305" s="8">
        <v>10</v>
      </c>
      <c r="S1305" s="8">
        <v>2.8</v>
      </c>
      <c r="T1305" s="8">
        <v>4</v>
      </c>
      <c r="U1305" s="8">
        <v>3</v>
      </c>
      <c r="V1305" s="8" t="str">
        <f>IF(Table13[[#This Row],[BMI]]&lt;=18.5,"Underweight",IF(Table13[[#This Row],[BMI]]&lt;=24.9,"Normal",IF(Table13[[#This Row],[BMI]]&lt;=29.9,"Overweight",IF(Table13[[#This Row],[BMI]]&lt;=39,"Obese","Severly Obese"))))</f>
        <v>Underweight</v>
      </c>
      <c r="W1305" s="18">
        <v>13.4</v>
      </c>
    </row>
    <row r="1306" spans="6:23" x14ac:dyDescent="0.3">
      <c r="F1306" s="17">
        <v>48</v>
      </c>
      <c r="G1306" s="8" t="str">
        <f>IF(Table13[[#This Row],[Age]]&lt;25,"18-24",IF(Table13[[#This Row],[Age]]&lt;35,"25-34",IF(Table13[[#This Row],[Age]]&lt;45,"35-44",IF(Table13[[#This Row],[Age]]&lt;55,"45-54","55-64"))))</f>
        <v>45-54</v>
      </c>
      <c r="H1306" s="8" t="s">
        <v>19</v>
      </c>
      <c r="I1306" s="8">
        <v>89.5</v>
      </c>
      <c r="J1306" s="8">
        <v>1.61</v>
      </c>
      <c r="K1306" s="8">
        <v>170</v>
      </c>
      <c r="L1306" s="8">
        <v>153</v>
      </c>
      <c r="M1306" s="8">
        <v>57</v>
      </c>
      <c r="N1306" s="8">
        <v>1.38</v>
      </c>
      <c r="O1306" s="8">
        <v>1355</v>
      </c>
      <c r="P1306" s="8" t="s">
        <v>18</v>
      </c>
      <c r="Q1306" s="8" t="str">
        <f>_xlfn.IFS(AND(Table13[[#This Row],[Gender]]="female",R1306&lt;20),"Athletes",AND(Table13[[#This Row],[Gender]]="female",R1306&lt;24),"Fitnesss",AND(Table13[[#This Row],[Gender]]="female",R1306&lt;31),"Acceptable",AND(Table13[[#This Row],[Gender]]="female",R1306&lt;40),"Obese",AND(Table13[[#This Row],[Gender]]="male",R1306&lt;13),"Athletes",AND(Table13[[#This Row],[Gender]]="male",R1306&lt;17),"Fitnesss",AND(Table13[[#This Row],[Gender]]="male",R1306&lt;24.9),"Acceptable",AND(Table13[[#This Row],[Gender]]="male",R1306&lt;40),"Obese",AND(Table13[[#This Row],[Gender]]="others",R1306&lt;20),"Athletes",AND(Table13[[#This Row],[Gender]]="others",R1306&lt;24),"Fitnesss",AND(Table13[[#This Row],[Gender]]="others",R1306&lt;31),"Acceptable",AND(Table13[[#This Row],[Gender]]="others",R1306&lt;40),"Obese")</f>
        <v>Athletes</v>
      </c>
      <c r="R1306" s="8">
        <v>10</v>
      </c>
      <c r="S1306" s="8">
        <v>3.3</v>
      </c>
      <c r="T1306" s="8">
        <v>3</v>
      </c>
      <c r="U1306" s="8">
        <v>1</v>
      </c>
      <c r="V1306" s="8" t="str">
        <f>IF(Table13[[#This Row],[BMI]]&lt;=18.5,"Underweight",IF(Table13[[#This Row],[BMI]]&lt;=24.9,"Normal",IF(Table13[[#This Row],[BMI]]&lt;=29.9,"Overweight",IF(Table13[[#This Row],[BMI]]&lt;=39,"Obese","Severly Obese"))))</f>
        <v>Underweight</v>
      </c>
      <c r="W1306" s="18">
        <v>12.32</v>
      </c>
    </row>
    <row r="1307" spans="6:23" x14ac:dyDescent="0.3">
      <c r="F1307" s="17">
        <v>25</v>
      </c>
      <c r="G1307" s="8" t="str">
        <f>IF(Table13[[#This Row],[Age]]&lt;25,"18-24",IF(Table13[[#This Row],[Age]]&lt;35,"25-34",IF(Table13[[#This Row],[Age]]&lt;45,"35-44",IF(Table13[[#This Row],[Age]]&lt;55,"45-54","55-64"))))</f>
        <v>25-34</v>
      </c>
      <c r="H1307" s="8" t="s">
        <v>17</v>
      </c>
      <c r="I1307" s="8">
        <v>58.2</v>
      </c>
      <c r="J1307" s="8">
        <v>1.64</v>
      </c>
      <c r="K1307" s="8">
        <v>165</v>
      </c>
      <c r="L1307" s="8">
        <v>169</v>
      </c>
      <c r="M1307" s="8">
        <v>71</v>
      </c>
      <c r="N1307" s="8">
        <v>1.92</v>
      </c>
      <c r="O1307" s="8">
        <v>984</v>
      </c>
      <c r="P1307" s="8" t="s">
        <v>18</v>
      </c>
      <c r="Q1307" s="8" t="str">
        <f>_xlfn.IFS(AND(Table13[[#This Row],[Gender]]="female",R1307&lt;20),"Athletes",AND(Table13[[#This Row],[Gender]]="female",R1307&lt;24),"Fitnesss",AND(Table13[[#This Row],[Gender]]="female",R1307&lt;31),"Acceptable",AND(Table13[[#This Row],[Gender]]="female",R1307&lt;40),"Obese",AND(Table13[[#This Row],[Gender]]="male",R1307&lt;13),"Athletes",AND(Table13[[#This Row],[Gender]]="male",R1307&lt;17),"Fitnesss",AND(Table13[[#This Row],[Gender]]="male",R1307&lt;24.9),"Acceptable",AND(Table13[[#This Row],[Gender]]="male",R1307&lt;40),"Obese",AND(Table13[[#This Row],[Gender]]="others",R1307&lt;20),"Athletes",AND(Table13[[#This Row],[Gender]]="others",R1307&lt;24),"Fitnesss",AND(Table13[[#This Row],[Gender]]="others",R1307&lt;31),"Acceptable",AND(Table13[[#This Row],[Gender]]="others",R1307&lt;40),"Obese")</f>
        <v>Fitnesss</v>
      </c>
      <c r="R1307" s="8">
        <v>20.8</v>
      </c>
      <c r="S1307" s="8">
        <v>3.3</v>
      </c>
      <c r="T1307" s="8">
        <v>4</v>
      </c>
      <c r="U1307" s="8">
        <v>3</v>
      </c>
      <c r="V1307" s="8" t="str">
        <f>IF(Table13[[#This Row],[BMI]]&lt;=18.5,"Underweight",IF(Table13[[#This Row],[BMI]]&lt;=24.9,"Normal",IF(Table13[[#This Row],[BMI]]&lt;=29.9,"Overweight",IF(Table13[[#This Row],[BMI]]&lt;=39,"Obese","Severly Obese"))))</f>
        <v>Normal</v>
      </c>
      <c r="W1307" s="18">
        <v>19.05</v>
      </c>
    </row>
    <row r="1308" spans="6:23" x14ac:dyDescent="0.3">
      <c r="F1308" s="17">
        <v>51</v>
      </c>
      <c r="G1308" s="8" t="str">
        <f>IF(Table13[[#This Row],[Age]]&lt;25,"18-24",IF(Table13[[#This Row],[Age]]&lt;35,"25-34",IF(Table13[[#This Row],[Age]]&lt;45,"35-44",IF(Table13[[#This Row],[Age]]&lt;55,"45-54","55-64"))))</f>
        <v>45-54</v>
      </c>
      <c r="H1308" s="8" t="s">
        <v>19</v>
      </c>
      <c r="I1308" s="8">
        <v>126</v>
      </c>
      <c r="J1308" s="8">
        <v>1.74</v>
      </c>
      <c r="K1308" s="8">
        <v>190</v>
      </c>
      <c r="L1308" s="8">
        <v>139</v>
      </c>
      <c r="M1308" s="8">
        <v>57</v>
      </c>
      <c r="N1308" s="8">
        <v>1.04</v>
      </c>
      <c r="O1308" s="8">
        <v>1108</v>
      </c>
      <c r="P1308" s="8" t="s">
        <v>18</v>
      </c>
      <c r="Q1308" s="8" t="str">
        <f>_xlfn.IFS(AND(Table13[[#This Row],[Gender]]="female",R1308&lt;20),"Athletes",AND(Table13[[#This Row],[Gender]]="female",R1308&lt;24),"Fitnesss",AND(Table13[[#This Row],[Gender]]="female",R1308&lt;31),"Acceptable",AND(Table13[[#This Row],[Gender]]="female",R1308&lt;40),"Obese",AND(Table13[[#This Row],[Gender]]="male",R1308&lt;13),"Athletes",AND(Table13[[#This Row],[Gender]]="male",R1308&lt;17),"Fitnesss",AND(Table13[[#This Row],[Gender]]="male",R1308&lt;24.9),"Acceptable",AND(Table13[[#This Row],[Gender]]="male",R1308&lt;40),"Obese",AND(Table13[[#This Row],[Gender]]="others",R1308&lt;20),"Athletes",AND(Table13[[#This Row],[Gender]]="others",R1308&lt;24),"Fitnesss",AND(Table13[[#This Row],[Gender]]="others",R1308&lt;31),"Acceptable",AND(Table13[[#This Row],[Gender]]="others",R1308&lt;40),"Obese")</f>
        <v>Obese</v>
      </c>
      <c r="R1308" s="8">
        <v>27.3</v>
      </c>
      <c r="S1308" s="8">
        <v>3.2</v>
      </c>
      <c r="T1308" s="8">
        <v>2</v>
      </c>
      <c r="U1308" s="8">
        <v>1</v>
      </c>
      <c r="V1308" s="8" t="str">
        <f>IF(Table13[[#This Row],[BMI]]&lt;=18.5,"Underweight",IF(Table13[[#This Row],[BMI]]&lt;=24.9,"Normal",IF(Table13[[#This Row],[BMI]]&lt;=29.9,"Overweight",IF(Table13[[#This Row],[BMI]]&lt;=39,"Obese","Severly Obese"))))</f>
        <v>Normal</v>
      </c>
      <c r="W1308" s="18">
        <v>22.63</v>
      </c>
    </row>
    <row r="1309" spans="6:23" x14ac:dyDescent="0.3">
      <c r="F1309" s="17">
        <v>58</v>
      </c>
      <c r="G1309" s="8" t="str">
        <f>IF(Table13[[#This Row],[Age]]&lt;25,"18-24",IF(Table13[[#This Row],[Age]]&lt;35,"25-34",IF(Table13[[#This Row],[Age]]&lt;45,"35-44",IF(Table13[[#This Row],[Age]]&lt;55,"45-54","55-64"))))</f>
        <v>55-64</v>
      </c>
      <c r="H1309" s="8" t="s">
        <v>17</v>
      </c>
      <c r="I1309" s="8">
        <v>57.4</v>
      </c>
      <c r="J1309" s="8">
        <v>1.62</v>
      </c>
      <c r="K1309" s="8">
        <v>196</v>
      </c>
      <c r="L1309" s="8">
        <v>154</v>
      </c>
      <c r="M1309" s="8">
        <v>61</v>
      </c>
      <c r="N1309" s="8">
        <v>1.59</v>
      </c>
      <c r="O1309" s="8">
        <v>1015</v>
      </c>
      <c r="P1309" s="8" t="s">
        <v>23</v>
      </c>
      <c r="Q1309" s="8" t="str">
        <f>_xlfn.IFS(AND(Table13[[#This Row],[Gender]]="female",R1309&lt;20),"Athletes",AND(Table13[[#This Row],[Gender]]="female",R1309&lt;24),"Fitnesss",AND(Table13[[#This Row],[Gender]]="female",R1309&lt;31),"Acceptable",AND(Table13[[#This Row],[Gender]]="female",R1309&lt;40),"Obese",AND(Table13[[#This Row],[Gender]]="male",R1309&lt;13),"Athletes",AND(Table13[[#This Row],[Gender]]="male",R1309&lt;17),"Fitnesss",AND(Table13[[#This Row],[Gender]]="male",R1309&lt;24.9),"Acceptable",AND(Table13[[#This Row],[Gender]]="male",R1309&lt;40),"Obese",AND(Table13[[#This Row],[Gender]]="others",R1309&lt;20),"Athletes",AND(Table13[[#This Row],[Gender]]="others",R1309&lt;24),"Fitnesss",AND(Table13[[#This Row],[Gender]]="others",R1309&lt;31),"Acceptable",AND(Table13[[#This Row],[Gender]]="others",R1309&lt;40),"Obese")</f>
        <v>Athletes</v>
      </c>
      <c r="R1309" s="8">
        <v>15</v>
      </c>
      <c r="S1309" s="8">
        <v>2.1</v>
      </c>
      <c r="T1309" s="8">
        <v>3</v>
      </c>
      <c r="U1309" s="8">
        <v>1</v>
      </c>
      <c r="V1309" s="8" t="str">
        <f>IF(Table13[[#This Row],[BMI]]&lt;=18.5,"Underweight",IF(Table13[[#This Row],[BMI]]&lt;=24.9,"Normal",IF(Table13[[#This Row],[BMI]]&lt;=29.9,"Overweight",IF(Table13[[#This Row],[BMI]]&lt;=39,"Obese","Severly Obese"))))</f>
        <v>Overweight</v>
      </c>
      <c r="W1309" s="18">
        <v>25.02</v>
      </c>
    </row>
    <row r="1310" spans="6:23" x14ac:dyDescent="0.3">
      <c r="F1310" s="17">
        <v>32</v>
      </c>
      <c r="G1310" s="8" t="str">
        <f>IF(Table13[[#This Row],[Age]]&lt;25,"18-24",IF(Table13[[#This Row],[Age]]&lt;35,"25-34",IF(Table13[[#This Row],[Age]]&lt;45,"35-44",IF(Table13[[#This Row],[Age]]&lt;55,"45-54","55-64"))))</f>
        <v>25-34</v>
      </c>
      <c r="H1310" s="8" t="s">
        <v>17</v>
      </c>
      <c r="I1310" s="8">
        <v>52.3</v>
      </c>
      <c r="J1310" s="8">
        <v>1.59</v>
      </c>
      <c r="K1310" s="8">
        <v>161</v>
      </c>
      <c r="L1310" s="8">
        <v>121</v>
      </c>
      <c r="M1310" s="8">
        <v>74</v>
      </c>
      <c r="N1310" s="8">
        <v>2</v>
      </c>
      <c r="O1310" s="8">
        <v>723</v>
      </c>
      <c r="P1310" s="8" t="s">
        <v>18</v>
      </c>
      <c r="Q1310" s="8" t="str">
        <f>_xlfn.IFS(AND(Table13[[#This Row],[Gender]]="female",R1310&lt;20),"Athletes",AND(Table13[[#This Row],[Gender]]="female",R1310&lt;24),"Fitnesss",AND(Table13[[#This Row],[Gender]]="female",R1310&lt;31),"Acceptable",AND(Table13[[#This Row],[Gender]]="female",R1310&lt;40),"Obese",AND(Table13[[#This Row],[Gender]]="male",R1310&lt;13),"Athletes",AND(Table13[[#This Row],[Gender]]="male",R1310&lt;17),"Fitnesss",AND(Table13[[#This Row],[Gender]]="male",R1310&lt;24.9),"Acceptable",AND(Table13[[#This Row],[Gender]]="male",R1310&lt;40),"Obese",AND(Table13[[#This Row],[Gender]]="others",R1310&lt;20),"Athletes",AND(Table13[[#This Row],[Gender]]="others",R1310&lt;24),"Fitnesss",AND(Table13[[#This Row],[Gender]]="others",R1310&lt;31),"Acceptable",AND(Table13[[#This Row],[Gender]]="others",R1310&lt;40),"Obese")</f>
        <v>Fitnesss</v>
      </c>
      <c r="R1310" s="8">
        <v>20.3</v>
      </c>
      <c r="S1310" s="8">
        <v>3.3</v>
      </c>
      <c r="T1310" s="8">
        <v>3</v>
      </c>
      <c r="U1310" s="8">
        <v>1</v>
      </c>
      <c r="V1310" s="8" t="str">
        <f>IF(Table13[[#This Row],[BMI]]&lt;=18.5,"Underweight",IF(Table13[[#This Row],[BMI]]&lt;=24.9,"Normal",IF(Table13[[#This Row],[BMI]]&lt;=29.9,"Overweight",IF(Table13[[#This Row],[BMI]]&lt;=39,"Obese","Severly Obese"))))</f>
        <v>Normal</v>
      </c>
      <c r="W1310" s="18">
        <v>22.56</v>
      </c>
    </row>
    <row r="1311" spans="6:23" x14ac:dyDescent="0.3">
      <c r="F1311" s="17">
        <v>47</v>
      </c>
      <c r="G1311" s="8" t="str">
        <f>IF(Table13[[#This Row],[Age]]&lt;25,"18-24",IF(Table13[[#This Row],[Age]]&lt;35,"25-34",IF(Table13[[#This Row],[Age]]&lt;45,"35-44",IF(Table13[[#This Row],[Age]]&lt;55,"45-54","55-64"))))</f>
        <v>45-54</v>
      </c>
      <c r="H1311" s="8" t="s">
        <v>23</v>
      </c>
      <c r="I1311" s="8">
        <v>40</v>
      </c>
      <c r="J1311" s="8">
        <v>1.85</v>
      </c>
      <c r="K1311" s="8">
        <v>192</v>
      </c>
      <c r="L1311" s="8">
        <v>139</v>
      </c>
      <c r="M1311" s="8">
        <v>57</v>
      </c>
      <c r="N1311" s="8">
        <v>1.2</v>
      </c>
      <c r="O1311" s="8">
        <v>697</v>
      </c>
      <c r="P1311" s="8" t="s">
        <v>20</v>
      </c>
      <c r="Q1311" s="8" t="str">
        <f>_xlfn.IFS(AND(Table13[[#This Row],[Gender]]="female",R1311&lt;20),"Athletes",AND(Table13[[#This Row],[Gender]]="female",R1311&lt;24),"Fitnesss",AND(Table13[[#This Row],[Gender]]="female",R1311&lt;31),"Acceptable",AND(Table13[[#This Row],[Gender]]="female",R1311&lt;40),"Obese",AND(Table13[[#This Row],[Gender]]="male",R1311&lt;13),"Athletes",AND(Table13[[#This Row],[Gender]]="male",R1311&lt;17),"Fitnesss",AND(Table13[[#This Row],[Gender]]="male",R1311&lt;24.9),"Acceptable",AND(Table13[[#This Row],[Gender]]="male",R1311&lt;40),"Obese",AND(Table13[[#This Row],[Gender]]="others",R1311&lt;20),"Athletes",AND(Table13[[#This Row],[Gender]]="others",R1311&lt;24),"Fitnesss",AND(Table13[[#This Row],[Gender]]="others",R1311&lt;31),"Acceptable",AND(Table13[[#This Row],[Gender]]="others",R1311&lt;40),"Obese")</f>
        <v>Acceptable</v>
      </c>
      <c r="R1311" s="8">
        <v>25.2</v>
      </c>
      <c r="S1311" s="8">
        <v>3.5</v>
      </c>
      <c r="T1311" s="8">
        <v>4</v>
      </c>
      <c r="U1311" s="8">
        <v>1</v>
      </c>
      <c r="V1311" s="8" t="str">
        <f>IF(Table13[[#This Row],[BMI]]&lt;=18.5,"Underweight",IF(Table13[[#This Row],[BMI]]&lt;=24.9,"Normal",IF(Table13[[#This Row],[BMI]]&lt;=29.9,"Overweight",IF(Table13[[#This Row],[BMI]]&lt;=39,"Obese","Severly Obese"))))</f>
        <v>Normal</v>
      </c>
      <c r="W1311" s="18">
        <v>19.04</v>
      </c>
    </row>
    <row r="1312" spans="6:23" x14ac:dyDescent="0.3">
      <c r="F1312" s="17">
        <v>55</v>
      </c>
      <c r="G1312" s="8" t="str">
        <f>IF(Table13[[#This Row],[Age]]&lt;25,"18-24",IF(Table13[[#This Row],[Age]]&lt;35,"25-34",IF(Table13[[#This Row],[Age]]&lt;45,"35-44",IF(Table13[[#This Row],[Age]]&lt;55,"45-54","55-64"))))</f>
        <v>55-64</v>
      </c>
      <c r="H1312" s="8" t="s">
        <v>17</v>
      </c>
      <c r="I1312" s="8">
        <v>129.6</v>
      </c>
      <c r="J1312" s="8">
        <v>1.84</v>
      </c>
      <c r="K1312" s="8">
        <v>188</v>
      </c>
      <c r="L1312" s="8">
        <v>139</v>
      </c>
      <c r="M1312" s="8">
        <v>58</v>
      </c>
      <c r="N1312" s="8">
        <v>1.28</v>
      </c>
      <c r="O1312" s="8">
        <v>1272</v>
      </c>
      <c r="P1312" s="8" t="s">
        <v>21</v>
      </c>
      <c r="Q1312" s="8" t="str">
        <f>_xlfn.IFS(AND(Table13[[#This Row],[Gender]]="female",R1312&lt;20),"Athletes",AND(Table13[[#This Row],[Gender]]="female",R1312&lt;24),"Fitnesss",AND(Table13[[#This Row],[Gender]]="female",R1312&lt;31),"Acceptable",AND(Table13[[#This Row],[Gender]]="female",R1312&lt;40),"Obese",AND(Table13[[#This Row],[Gender]]="male",R1312&lt;13),"Athletes",AND(Table13[[#This Row],[Gender]]="male",R1312&lt;17),"Fitnesss",AND(Table13[[#This Row],[Gender]]="male",R1312&lt;24.9),"Acceptable",AND(Table13[[#This Row],[Gender]]="male",R1312&lt;40),"Obese",AND(Table13[[#This Row],[Gender]]="others",R1312&lt;20),"Athletes",AND(Table13[[#This Row],[Gender]]="others",R1312&lt;24),"Fitnesss",AND(Table13[[#This Row],[Gender]]="others",R1312&lt;31),"Acceptable",AND(Table13[[#This Row],[Gender]]="others",R1312&lt;40),"Obese")</f>
        <v>Athletes</v>
      </c>
      <c r="R1312" s="8">
        <v>19.2</v>
      </c>
      <c r="S1312" s="8">
        <v>3.5</v>
      </c>
      <c r="T1312" s="8">
        <v>3</v>
      </c>
      <c r="U1312" s="8">
        <v>1</v>
      </c>
      <c r="V1312" s="8" t="str">
        <f>IF(Table13[[#This Row],[BMI]]&lt;=18.5,"Underweight",IF(Table13[[#This Row],[BMI]]&lt;=24.9,"Normal",IF(Table13[[#This Row],[BMI]]&lt;=29.9,"Overweight",IF(Table13[[#This Row],[BMI]]&lt;=39,"Obese","Severly Obese"))))</f>
        <v>Underweight</v>
      </c>
      <c r="W1312" s="18">
        <v>18.38</v>
      </c>
    </row>
    <row r="1313" spans="6:23" x14ac:dyDescent="0.3">
      <c r="F1313" s="17">
        <v>33</v>
      </c>
      <c r="G1313" s="8" t="str">
        <f>IF(Table13[[#This Row],[Age]]&lt;25,"18-24",IF(Table13[[#This Row],[Age]]&lt;35,"25-34",IF(Table13[[#This Row],[Age]]&lt;45,"35-44",IF(Table13[[#This Row],[Age]]&lt;55,"45-54","55-64"))))</f>
        <v>25-34</v>
      </c>
      <c r="H1313" s="8" t="s">
        <v>17</v>
      </c>
      <c r="I1313" s="8">
        <v>72.3</v>
      </c>
      <c r="J1313" s="8">
        <v>1.8</v>
      </c>
      <c r="K1313" s="8">
        <v>199</v>
      </c>
      <c r="L1313" s="8">
        <v>120</v>
      </c>
      <c r="M1313" s="8">
        <v>74</v>
      </c>
      <c r="N1313" s="8">
        <v>1.33</v>
      </c>
      <c r="O1313" s="8">
        <v>457</v>
      </c>
      <c r="P1313" s="8" t="s">
        <v>21</v>
      </c>
      <c r="Q1313" s="8" t="str">
        <f>_xlfn.IFS(AND(Table13[[#This Row],[Gender]]="female",R1313&lt;20),"Athletes",AND(Table13[[#This Row],[Gender]]="female",R1313&lt;24),"Fitnesss",AND(Table13[[#This Row],[Gender]]="female",R1313&lt;31),"Acceptable",AND(Table13[[#This Row],[Gender]]="female",R1313&lt;40),"Obese",AND(Table13[[#This Row],[Gender]]="male",R1313&lt;13),"Athletes",AND(Table13[[#This Row],[Gender]]="male",R1313&lt;17),"Fitnesss",AND(Table13[[#This Row],[Gender]]="male",R1313&lt;24.9),"Acceptable",AND(Table13[[#This Row],[Gender]]="male",R1313&lt;40),"Obese",AND(Table13[[#This Row],[Gender]]="others",R1313&lt;20),"Athletes",AND(Table13[[#This Row],[Gender]]="others",R1313&lt;24),"Fitnesss",AND(Table13[[#This Row],[Gender]]="others",R1313&lt;31),"Acceptable",AND(Table13[[#This Row],[Gender]]="others",R1313&lt;40),"Obese")</f>
        <v>Acceptable</v>
      </c>
      <c r="R1313" s="8">
        <v>26.5</v>
      </c>
      <c r="S1313" s="8">
        <v>2.2999999999999998</v>
      </c>
      <c r="T1313" s="8">
        <v>4</v>
      </c>
      <c r="U1313" s="8">
        <v>2</v>
      </c>
      <c r="V1313" s="8" t="str">
        <f>IF(Table13[[#This Row],[BMI]]&lt;=18.5,"Underweight",IF(Table13[[#This Row],[BMI]]&lt;=24.9,"Normal",IF(Table13[[#This Row],[BMI]]&lt;=29.9,"Overweight",IF(Table13[[#This Row],[BMI]]&lt;=39,"Obese","Severly Obese"))))</f>
        <v>Underweight</v>
      </c>
      <c r="W1313" s="18">
        <v>12.32</v>
      </c>
    </row>
    <row r="1314" spans="6:23" x14ac:dyDescent="0.3">
      <c r="F1314" s="17">
        <v>28</v>
      </c>
      <c r="G1314" s="8" t="str">
        <f>IF(Table13[[#This Row],[Age]]&lt;25,"18-24",IF(Table13[[#This Row],[Age]]&lt;35,"25-34",IF(Table13[[#This Row],[Age]]&lt;45,"35-44",IF(Table13[[#This Row],[Age]]&lt;55,"45-54","55-64"))))</f>
        <v>25-34</v>
      </c>
      <c r="H1314" s="8" t="s">
        <v>19</v>
      </c>
      <c r="I1314" s="8">
        <v>64.099999999999994</v>
      </c>
      <c r="J1314" s="8">
        <v>1.55</v>
      </c>
      <c r="K1314" s="8">
        <v>179</v>
      </c>
      <c r="L1314" s="8">
        <v>152</v>
      </c>
      <c r="M1314" s="8">
        <v>52</v>
      </c>
      <c r="N1314" s="8">
        <v>1.41</v>
      </c>
      <c r="O1314" s="8">
        <v>1091</v>
      </c>
      <c r="P1314" s="8" t="s">
        <v>21</v>
      </c>
      <c r="Q1314" s="8" t="str">
        <f>_xlfn.IFS(AND(Table13[[#This Row],[Gender]]="female",R1314&lt;20),"Athletes",AND(Table13[[#This Row],[Gender]]="female",R1314&lt;24),"Fitnesss",AND(Table13[[#This Row],[Gender]]="female",R1314&lt;31),"Acceptable",AND(Table13[[#This Row],[Gender]]="female",R1314&lt;40),"Obese",AND(Table13[[#This Row],[Gender]]="male",R1314&lt;13),"Athletes",AND(Table13[[#This Row],[Gender]]="male",R1314&lt;17),"Fitnesss",AND(Table13[[#This Row],[Gender]]="male",R1314&lt;24.9),"Acceptable",AND(Table13[[#This Row],[Gender]]="male",R1314&lt;40),"Obese",AND(Table13[[#This Row],[Gender]]="others",R1314&lt;20),"Athletes",AND(Table13[[#This Row],[Gender]]="others",R1314&lt;24),"Fitnesss",AND(Table13[[#This Row],[Gender]]="others",R1314&lt;31),"Acceptable",AND(Table13[[#This Row],[Gender]]="others",R1314&lt;40),"Obese")</f>
        <v>Obese</v>
      </c>
      <c r="R1314" s="8">
        <v>31.1</v>
      </c>
      <c r="S1314" s="8">
        <v>3.3</v>
      </c>
      <c r="T1314" s="8">
        <v>4</v>
      </c>
      <c r="U1314" s="8">
        <v>1</v>
      </c>
      <c r="V1314" s="8" t="str">
        <f>IF(Table13[[#This Row],[BMI]]&lt;=18.5,"Underweight",IF(Table13[[#This Row],[BMI]]&lt;=24.9,"Normal",IF(Table13[[#This Row],[BMI]]&lt;=29.9,"Overweight",IF(Table13[[#This Row],[BMI]]&lt;=39,"Obese","Severly Obese"))))</f>
        <v>Underweight</v>
      </c>
      <c r="W1314" s="18">
        <v>18.43</v>
      </c>
    </row>
    <row r="1315" spans="6:23" x14ac:dyDescent="0.3">
      <c r="F1315" s="17">
        <v>34</v>
      </c>
      <c r="G1315" s="8" t="str">
        <f>IF(Table13[[#This Row],[Age]]&lt;25,"18-24",IF(Table13[[#This Row],[Age]]&lt;35,"25-34",IF(Table13[[#This Row],[Age]]&lt;45,"35-44",IF(Table13[[#This Row],[Age]]&lt;55,"45-54","55-64"))))</f>
        <v>25-34</v>
      </c>
      <c r="H1315" s="8" t="s">
        <v>19</v>
      </c>
      <c r="I1315" s="8">
        <v>66.7</v>
      </c>
      <c r="J1315" s="8">
        <v>1.55</v>
      </c>
      <c r="K1315" s="8">
        <v>186</v>
      </c>
      <c r="L1315" s="8">
        <v>169</v>
      </c>
      <c r="M1315" s="8">
        <v>55</v>
      </c>
      <c r="N1315" s="8">
        <v>1.48</v>
      </c>
      <c r="O1315" s="8">
        <v>781</v>
      </c>
      <c r="P1315" s="8" t="s">
        <v>20</v>
      </c>
      <c r="Q1315" s="8" t="str">
        <f>_xlfn.IFS(AND(Table13[[#This Row],[Gender]]="female",R1315&lt;20),"Athletes",AND(Table13[[#This Row],[Gender]]="female",R1315&lt;24),"Fitnesss",AND(Table13[[#This Row],[Gender]]="female",R1315&lt;31),"Acceptable",AND(Table13[[#This Row],[Gender]]="female",R1315&lt;40),"Obese",AND(Table13[[#This Row],[Gender]]="male",R1315&lt;13),"Athletes",AND(Table13[[#This Row],[Gender]]="male",R1315&lt;17),"Fitnesss",AND(Table13[[#This Row],[Gender]]="male",R1315&lt;24.9),"Acceptable",AND(Table13[[#This Row],[Gender]]="male",R1315&lt;40),"Obese",AND(Table13[[#This Row],[Gender]]="others",R1315&lt;20),"Athletes",AND(Table13[[#This Row],[Gender]]="others",R1315&lt;24),"Fitnesss",AND(Table13[[#This Row],[Gender]]="others",R1315&lt;31),"Acceptable",AND(Table13[[#This Row],[Gender]]="others",R1315&lt;40),"Obese")</f>
        <v>Acceptable</v>
      </c>
      <c r="R1315" s="8">
        <v>19.399999999999999</v>
      </c>
      <c r="S1315" s="8">
        <v>2.5</v>
      </c>
      <c r="T1315" s="8">
        <v>3</v>
      </c>
      <c r="U1315" s="8">
        <v>1</v>
      </c>
      <c r="V1315" s="8" t="str">
        <f>IF(Table13[[#This Row],[BMI]]&lt;=18.5,"Underweight",IF(Table13[[#This Row],[BMI]]&lt;=24.9,"Normal",IF(Table13[[#This Row],[BMI]]&lt;=29.9,"Overweight",IF(Table13[[#This Row],[BMI]]&lt;=39,"Obese","Severly Obese"))))</f>
        <v>Underweight</v>
      </c>
      <c r="W1315" s="18">
        <v>12.32</v>
      </c>
    </row>
    <row r="1316" spans="6:23" x14ac:dyDescent="0.3">
      <c r="F1316" s="17">
        <v>35</v>
      </c>
      <c r="G1316" s="8" t="str">
        <f>IF(Table13[[#This Row],[Age]]&lt;25,"18-24",IF(Table13[[#This Row],[Age]]&lt;35,"25-34",IF(Table13[[#This Row],[Age]]&lt;45,"35-44",IF(Table13[[#This Row],[Age]]&lt;55,"45-54","55-64"))))</f>
        <v>35-44</v>
      </c>
      <c r="H1316" s="8" t="s">
        <v>19</v>
      </c>
      <c r="I1316" s="8">
        <v>44.9</v>
      </c>
      <c r="J1316" s="8">
        <v>1.92</v>
      </c>
      <c r="K1316" s="8">
        <v>168</v>
      </c>
      <c r="L1316" s="8">
        <v>123</v>
      </c>
      <c r="M1316" s="8">
        <v>67</v>
      </c>
      <c r="N1316" s="8">
        <v>1.29</v>
      </c>
      <c r="O1316" s="8">
        <v>572</v>
      </c>
      <c r="P1316" s="8" t="s">
        <v>20</v>
      </c>
      <c r="Q1316" s="8" t="str">
        <f>_xlfn.IFS(AND(Table13[[#This Row],[Gender]]="female",R1316&lt;20),"Athletes",AND(Table13[[#This Row],[Gender]]="female",R1316&lt;24),"Fitnesss",AND(Table13[[#This Row],[Gender]]="female",R1316&lt;31),"Acceptable",AND(Table13[[#This Row],[Gender]]="female",R1316&lt;40),"Obese",AND(Table13[[#This Row],[Gender]]="male",R1316&lt;13),"Athletes",AND(Table13[[#This Row],[Gender]]="male",R1316&lt;17),"Fitnesss",AND(Table13[[#This Row],[Gender]]="male",R1316&lt;24.9),"Acceptable",AND(Table13[[#This Row],[Gender]]="male",R1316&lt;40),"Obese",AND(Table13[[#This Row],[Gender]]="others",R1316&lt;20),"Athletes",AND(Table13[[#This Row],[Gender]]="others",R1316&lt;24),"Fitnesss",AND(Table13[[#This Row],[Gender]]="others",R1316&lt;31),"Acceptable",AND(Table13[[#This Row],[Gender]]="others",R1316&lt;40),"Obese")</f>
        <v>Acceptable</v>
      </c>
      <c r="R1316" s="8">
        <v>20.8</v>
      </c>
      <c r="S1316" s="8">
        <v>2.1</v>
      </c>
      <c r="T1316" s="8">
        <v>4</v>
      </c>
      <c r="U1316" s="8">
        <v>2</v>
      </c>
      <c r="V1316" s="8" t="str">
        <f>IF(Table13[[#This Row],[BMI]]&lt;=18.5,"Underweight",IF(Table13[[#This Row],[BMI]]&lt;=24.9,"Normal",IF(Table13[[#This Row],[BMI]]&lt;=29.9,"Overweight",IF(Table13[[#This Row],[BMI]]&lt;=39,"Obese","Severly Obese"))))</f>
        <v>Underweight</v>
      </c>
      <c r="W1316" s="18">
        <v>17.329999999999998</v>
      </c>
    </row>
    <row r="1317" spans="6:23" x14ac:dyDescent="0.3">
      <c r="F1317" s="17">
        <v>36</v>
      </c>
      <c r="G1317" s="8" t="str">
        <f>IF(Table13[[#This Row],[Age]]&lt;25,"18-24",IF(Table13[[#This Row],[Age]]&lt;35,"25-34",IF(Table13[[#This Row],[Age]]&lt;45,"35-44",IF(Table13[[#This Row],[Age]]&lt;55,"45-54","55-64"))))</f>
        <v>35-44</v>
      </c>
      <c r="H1317" s="8" t="s">
        <v>17</v>
      </c>
      <c r="I1317" s="8">
        <v>90</v>
      </c>
      <c r="J1317" s="8">
        <v>1.69</v>
      </c>
      <c r="K1317" s="8">
        <v>180</v>
      </c>
      <c r="L1317" s="8">
        <v>160</v>
      </c>
      <c r="M1317" s="8">
        <v>72</v>
      </c>
      <c r="N1317" s="8">
        <v>2</v>
      </c>
      <c r="O1317" s="8">
        <v>717</v>
      </c>
      <c r="P1317" s="8" t="s">
        <v>21</v>
      </c>
      <c r="Q1317" s="8" t="str">
        <f>_xlfn.IFS(AND(Table13[[#This Row],[Gender]]="female",R1317&lt;20),"Athletes",AND(Table13[[#This Row],[Gender]]="female",R1317&lt;24),"Fitnesss",AND(Table13[[#This Row],[Gender]]="female",R1317&lt;31),"Acceptable",AND(Table13[[#This Row],[Gender]]="female",R1317&lt;40),"Obese",AND(Table13[[#This Row],[Gender]]="male",R1317&lt;13),"Athletes",AND(Table13[[#This Row],[Gender]]="male",R1317&lt;17),"Fitnesss",AND(Table13[[#This Row],[Gender]]="male",R1317&lt;24.9),"Acceptable",AND(Table13[[#This Row],[Gender]]="male",R1317&lt;40),"Obese",AND(Table13[[#This Row],[Gender]]="others",R1317&lt;20),"Athletes",AND(Table13[[#This Row],[Gender]]="others",R1317&lt;24),"Fitnesss",AND(Table13[[#This Row],[Gender]]="others",R1317&lt;31),"Acceptable",AND(Table13[[#This Row],[Gender]]="others",R1317&lt;40),"Obese")</f>
        <v>Fitnesss</v>
      </c>
      <c r="R1317" s="8">
        <v>20.6</v>
      </c>
      <c r="S1317" s="8">
        <v>3.3</v>
      </c>
      <c r="T1317" s="8">
        <v>4</v>
      </c>
      <c r="U1317" s="8">
        <v>1</v>
      </c>
      <c r="V1317" s="8" t="str">
        <f>IF(Table13[[#This Row],[BMI]]&lt;=18.5,"Underweight",IF(Table13[[#This Row],[BMI]]&lt;=24.9,"Normal",IF(Table13[[#This Row],[BMI]]&lt;=29.9,"Overweight",IF(Table13[[#This Row],[BMI]]&lt;=39,"Obese","Severly Obese"))))</f>
        <v>Underweight</v>
      </c>
      <c r="W1317" s="18">
        <v>13.72</v>
      </c>
    </row>
    <row r="1318" spans="6:23" x14ac:dyDescent="0.3">
      <c r="F1318" s="17">
        <v>27</v>
      </c>
      <c r="G1318" s="8" t="str">
        <f>IF(Table13[[#This Row],[Age]]&lt;25,"18-24",IF(Table13[[#This Row],[Age]]&lt;35,"25-34",IF(Table13[[#This Row],[Age]]&lt;45,"35-44",IF(Table13[[#This Row],[Age]]&lt;55,"45-54","55-64"))))</f>
        <v>25-34</v>
      </c>
      <c r="H1318" s="8" t="s">
        <v>19</v>
      </c>
      <c r="I1318" s="8">
        <v>77.7</v>
      </c>
      <c r="J1318" s="8">
        <v>1.76</v>
      </c>
      <c r="K1318" s="8">
        <v>167</v>
      </c>
      <c r="L1318" s="8">
        <v>131</v>
      </c>
      <c r="M1318" s="8">
        <v>74</v>
      </c>
      <c r="N1318" s="8">
        <v>1.36</v>
      </c>
      <c r="O1318" s="8">
        <v>448</v>
      </c>
      <c r="P1318" s="8" t="s">
        <v>21</v>
      </c>
      <c r="Q1318" s="8" t="str">
        <f>_xlfn.IFS(AND(Table13[[#This Row],[Gender]]="female",R1318&lt;20),"Athletes",AND(Table13[[#This Row],[Gender]]="female",R1318&lt;24),"Fitnesss",AND(Table13[[#This Row],[Gender]]="female",R1318&lt;31),"Acceptable",AND(Table13[[#This Row],[Gender]]="female",R1318&lt;40),"Obese",AND(Table13[[#This Row],[Gender]]="male",R1318&lt;13),"Athletes",AND(Table13[[#This Row],[Gender]]="male",R1318&lt;17),"Fitnesss",AND(Table13[[#This Row],[Gender]]="male",R1318&lt;24.9),"Acceptable",AND(Table13[[#This Row],[Gender]]="male",R1318&lt;40),"Obese",AND(Table13[[#This Row],[Gender]]="others",R1318&lt;20),"Athletes",AND(Table13[[#This Row],[Gender]]="others",R1318&lt;24),"Fitnesss",AND(Table13[[#This Row],[Gender]]="others",R1318&lt;31),"Acceptable",AND(Table13[[#This Row],[Gender]]="others",R1318&lt;40),"Obese")</f>
        <v>Obese</v>
      </c>
      <c r="R1318" s="8">
        <v>24.9</v>
      </c>
      <c r="S1318" s="8">
        <v>2.1</v>
      </c>
      <c r="T1318" s="8">
        <v>5</v>
      </c>
      <c r="U1318" s="8">
        <v>2</v>
      </c>
      <c r="V1318" s="8" t="str">
        <f>IF(Table13[[#This Row],[BMI]]&lt;=18.5,"Underweight",IF(Table13[[#This Row],[BMI]]&lt;=24.9,"Normal",IF(Table13[[#This Row],[BMI]]&lt;=29.9,"Overweight",IF(Table13[[#This Row],[BMI]]&lt;=39,"Obese","Severly Obese"))))</f>
        <v>Normal</v>
      </c>
      <c r="W1318" s="18">
        <v>23.19</v>
      </c>
    </row>
    <row r="1319" spans="6:23" x14ac:dyDescent="0.3">
      <c r="F1319" s="17">
        <v>18</v>
      </c>
      <c r="G1319" s="8" t="str">
        <f>IF(Table13[[#This Row],[Age]]&lt;25,"18-24",IF(Table13[[#This Row],[Age]]&lt;35,"25-34",IF(Table13[[#This Row],[Age]]&lt;45,"35-44",IF(Table13[[#This Row],[Age]]&lt;55,"45-54","55-64"))))</f>
        <v>18-24</v>
      </c>
      <c r="H1319" s="8" t="s">
        <v>19</v>
      </c>
      <c r="I1319" s="8">
        <v>100</v>
      </c>
      <c r="J1319" s="8">
        <v>1.73</v>
      </c>
      <c r="K1319" s="8">
        <v>192</v>
      </c>
      <c r="L1319" s="8">
        <v>166</v>
      </c>
      <c r="M1319" s="8">
        <v>56</v>
      </c>
      <c r="N1319" s="8">
        <v>1.22</v>
      </c>
      <c r="O1319" s="8">
        <v>1631</v>
      </c>
      <c r="P1319" s="8" t="s">
        <v>18</v>
      </c>
      <c r="Q1319" s="8" t="str">
        <f>_xlfn.IFS(AND(Table13[[#This Row],[Gender]]="female",R1319&lt;20),"Athletes",AND(Table13[[#This Row],[Gender]]="female",R1319&lt;24),"Fitnesss",AND(Table13[[#This Row],[Gender]]="female",R1319&lt;31),"Acceptable",AND(Table13[[#This Row],[Gender]]="female",R1319&lt;40),"Obese",AND(Table13[[#This Row],[Gender]]="male",R1319&lt;13),"Athletes",AND(Table13[[#This Row],[Gender]]="male",R1319&lt;17),"Fitnesss",AND(Table13[[#This Row],[Gender]]="male",R1319&lt;24.9),"Acceptable",AND(Table13[[#This Row],[Gender]]="male",R1319&lt;40),"Obese",AND(Table13[[#This Row],[Gender]]="others",R1319&lt;20),"Athletes",AND(Table13[[#This Row],[Gender]]="others",R1319&lt;24),"Fitnesss",AND(Table13[[#This Row],[Gender]]="others",R1319&lt;31),"Acceptable",AND(Table13[[#This Row],[Gender]]="others",R1319&lt;40),"Obese")</f>
        <v>Acceptable</v>
      </c>
      <c r="R1319" s="8">
        <v>23.3</v>
      </c>
      <c r="S1319" s="8">
        <v>1.8</v>
      </c>
      <c r="T1319" s="8">
        <v>4</v>
      </c>
      <c r="U1319" s="8">
        <v>2</v>
      </c>
      <c r="V1319" s="8" t="str">
        <f>IF(Table13[[#This Row],[BMI]]&lt;=18.5,"Underweight",IF(Table13[[#This Row],[BMI]]&lt;=24.9,"Normal",IF(Table13[[#This Row],[BMI]]&lt;=29.9,"Overweight",IF(Table13[[#This Row],[BMI]]&lt;=39,"Obese","Severly Obese"))))</f>
        <v>Underweight</v>
      </c>
      <c r="W1319" s="18">
        <v>12.32</v>
      </c>
    </row>
    <row r="1320" spans="6:23" x14ac:dyDescent="0.3">
      <c r="F1320" s="17">
        <v>52</v>
      </c>
      <c r="G1320" s="8" t="str">
        <f>IF(Table13[[#This Row],[Age]]&lt;25,"18-24",IF(Table13[[#This Row],[Age]]&lt;35,"25-34",IF(Table13[[#This Row],[Age]]&lt;45,"35-44",IF(Table13[[#This Row],[Age]]&lt;55,"45-54","55-64"))))</f>
        <v>45-54</v>
      </c>
      <c r="H1320" s="8" t="s">
        <v>19</v>
      </c>
      <c r="I1320" s="8">
        <v>83.4</v>
      </c>
      <c r="J1320" s="8">
        <v>1.52</v>
      </c>
      <c r="K1320" s="8">
        <v>176</v>
      </c>
      <c r="L1320" s="8">
        <v>142</v>
      </c>
      <c r="M1320" s="8">
        <v>56</v>
      </c>
      <c r="N1320" s="8">
        <v>1.45</v>
      </c>
      <c r="O1320" s="8">
        <v>596</v>
      </c>
      <c r="P1320" s="8" t="s">
        <v>21</v>
      </c>
      <c r="Q1320" s="8" t="str">
        <f>_xlfn.IFS(AND(Table13[[#This Row],[Gender]]="female",R1320&lt;20),"Athletes",AND(Table13[[#This Row],[Gender]]="female",R1320&lt;24),"Fitnesss",AND(Table13[[#This Row],[Gender]]="female",R1320&lt;31),"Acceptable",AND(Table13[[#This Row],[Gender]]="female",R1320&lt;40),"Obese",AND(Table13[[#This Row],[Gender]]="male",R1320&lt;13),"Athletes",AND(Table13[[#This Row],[Gender]]="male",R1320&lt;17),"Fitnesss",AND(Table13[[#This Row],[Gender]]="male",R1320&lt;24.9),"Acceptable",AND(Table13[[#This Row],[Gender]]="male",R1320&lt;40),"Obese",AND(Table13[[#This Row],[Gender]]="others",R1320&lt;20),"Athletes",AND(Table13[[#This Row],[Gender]]="others",R1320&lt;24),"Fitnesss",AND(Table13[[#This Row],[Gender]]="others",R1320&lt;31),"Acceptable",AND(Table13[[#This Row],[Gender]]="others",R1320&lt;40),"Obese")</f>
        <v>Obese</v>
      </c>
      <c r="R1320" s="8">
        <v>25.6</v>
      </c>
      <c r="S1320" s="8">
        <v>1.9</v>
      </c>
      <c r="T1320" s="8">
        <v>3</v>
      </c>
      <c r="U1320" s="8">
        <v>2</v>
      </c>
      <c r="V1320" s="8" t="str">
        <f>IF(Table13[[#This Row],[BMI]]&lt;=18.5,"Underweight",IF(Table13[[#This Row],[BMI]]&lt;=24.9,"Normal",IF(Table13[[#This Row],[BMI]]&lt;=29.9,"Overweight",IF(Table13[[#This Row],[BMI]]&lt;=39,"Obese","Severly Obese"))))</f>
        <v>Underweight</v>
      </c>
      <c r="W1320" s="18">
        <v>15.21</v>
      </c>
    </row>
    <row r="1321" spans="6:23" x14ac:dyDescent="0.3">
      <c r="F1321" s="17">
        <v>32</v>
      </c>
      <c r="G1321" s="8" t="str">
        <f>IF(Table13[[#This Row],[Age]]&lt;25,"18-24",IF(Table13[[#This Row],[Age]]&lt;35,"25-34",IF(Table13[[#This Row],[Age]]&lt;45,"35-44",IF(Table13[[#This Row],[Age]]&lt;55,"45-54","55-64"))))</f>
        <v>25-34</v>
      </c>
      <c r="H1321" s="8" t="s">
        <v>17</v>
      </c>
      <c r="I1321" s="8">
        <v>46.5</v>
      </c>
      <c r="J1321" s="8">
        <v>1.83</v>
      </c>
      <c r="K1321" s="8">
        <v>176</v>
      </c>
      <c r="L1321" s="8">
        <v>128</v>
      </c>
      <c r="M1321" s="8">
        <v>74</v>
      </c>
      <c r="N1321" s="8">
        <v>1.01</v>
      </c>
      <c r="O1321" s="8">
        <v>1061</v>
      </c>
      <c r="P1321" s="8" t="s">
        <v>20</v>
      </c>
      <c r="Q1321" s="8" t="str">
        <f>_xlfn.IFS(AND(Table13[[#This Row],[Gender]]="female",R1321&lt;20),"Athletes",AND(Table13[[#This Row],[Gender]]="female",R1321&lt;24),"Fitnesss",AND(Table13[[#This Row],[Gender]]="female",R1321&lt;31),"Acceptable",AND(Table13[[#This Row],[Gender]]="female",R1321&lt;40),"Obese",AND(Table13[[#This Row],[Gender]]="male",R1321&lt;13),"Athletes",AND(Table13[[#This Row],[Gender]]="male",R1321&lt;17),"Fitnesss",AND(Table13[[#This Row],[Gender]]="male",R1321&lt;24.9),"Acceptable",AND(Table13[[#This Row],[Gender]]="male",R1321&lt;40),"Obese",AND(Table13[[#This Row],[Gender]]="others",R1321&lt;20),"Athletes",AND(Table13[[#This Row],[Gender]]="others",R1321&lt;24),"Fitnesss",AND(Table13[[#This Row],[Gender]]="others",R1321&lt;31),"Acceptable",AND(Table13[[#This Row],[Gender]]="others",R1321&lt;40),"Obese")</f>
        <v>Athletes</v>
      </c>
      <c r="R1321" s="8">
        <v>10</v>
      </c>
      <c r="S1321" s="8">
        <v>2.5</v>
      </c>
      <c r="T1321" s="8">
        <v>4</v>
      </c>
      <c r="U1321" s="8">
        <v>3</v>
      </c>
      <c r="V1321" s="8" t="str">
        <f>IF(Table13[[#This Row],[BMI]]&lt;=18.5,"Underweight",IF(Table13[[#This Row],[BMI]]&lt;=24.9,"Normal",IF(Table13[[#This Row],[BMI]]&lt;=29.9,"Overweight",IF(Table13[[#This Row],[BMI]]&lt;=39,"Obese","Severly Obese"))))</f>
        <v>Underweight</v>
      </c>
      <c r="W1321" s="18">
        <v>14.63</v>
      </c>
    </row>
    <row r="1322" spans="6:23" x14ac:dyDescent="0.3">
      <c r="F1322" s="17">
        <v>37</v>
      </c>
      <c r="G1322" s="8" t="str">
        <f>IF(Table13[[#This Row],[Age]]&lt;25,"18-24",IF(Table13[[#This Row],[Age]]&lt;35,"25-34",IF(Table13[[#This Row],[Age]]&lt;45,"35-44",IF(Table13[[#This Row],[Age]]&lt;55,"45-54","55-64"))))</f>
        <v>35-44</v>
      </c>
      <c r="H1322" s="8" t="s">
        <v>17</v>
      </c>
      <c r="I1322" s="8">
        <v>81.099999999999994</v>
      </c>
      <c r="J1322" s="8">
        <v>1.78</v>
      </c>
      <c r="K1322" s="8">
        <v>195</v>
      </c>
      <c r="L1322" s="8">
        <v>143</v>
      </c>
      <c r="M1322" s="8">
        <v>72</v>
      </c>
      <c r="N1322" s="8">
        <v>1.07</v>
      </c>
      <c r="O1322" s="8">
        <v>770</v>
      </c>
      <c r="P1322" s="8" t="s">
        <v>21</v>
      </c>
      <c r="Q1322" s="8" t="str">
        <f>_xlfn.IFS(AND(Table13[[#This Row],[Gender]]="female",R1322&lt;20),"Athletes",AND(Table13[[#This Row],[Gender]]="female",R1322&lt;24),"Fitnesss",AND(Table13[[#This Row],[Gender]]="female",R1322&lt;31),"Acceptable",AND(Table13[[#This Row],[Gender]]="female",R1322&lt;40),"Obese",AND(Table13[[#This Row],[Gender]]="male",R1322&lt;13),"Athletes",AND(Table13[[#This Row],[Gender]]="male",R1322&lt;17),"Fitnesss",AND(Table13[[#This Row],[Gender]]="male",R1322&lt;24.9),"Acceptable",AND(Table13[[#This Row],[Gender]]="male",R1322&lt;40),"Obese",AND(Table13[[#This Row],[Gender]]="others",R1322&lt;20),"Athletes",AND(Table13[[#This Row],[Gender]]="others",R1322&lt;24),"Fitnesss",AND(Table13[[#This Row],[Gender]]="others",R1322&lt;31),"Acceptable",AND(Table13[[#This Row],[Gender]]="others",R1322&lt;40),"Obese")</f>
        <v>Fitnesss</v>
      </c>
      <c r="R1322" s="8">
        <v>22.5</v>
      </c>
      <c r="S1322" s="8">
        <v>2.5</v>
      </c>
      <c r="T1322" s="8">
        <v>3</v>
      </c>
      <c r="U1322" s="8">
        <v>2</v>
      </c>
      <c r="V1322" s="8" t="str">
        <f>IF(Table13[[#This Row],[BMI]]&lt;=18.5,"Underweight",IF(Table13[[#This Row],[BMI]]&lt;=24.9,"Normal",IF(Table13[[#This Row],[BMI]]&lt;=29.9,"Overweight",IF(Table13[[#This Row],[BMI]]&lt;=39,"Obese","Severly Obese"))))</f>
        <v>Underweight</v>
      </c>
      <c r="W1322" s="18">
        <v>12.51</v>
      </c>
    </row>
    <row r="1323" spans="6:23" x14ac:dyDescent="0.3">
      <c r="F1323" s="17">
        <v>31</v>
      </c>
      <c r="G1323" s="8" t="str">
        <f>IF(Table13[[#This Row],[Age]]&lt;25,"18-24",IF(Table13[[#This Row],[Age]]&lt;35,"25-34",IF(Table13[[#This Row],[Age]]&lt;45,"35-44",IF(Table13[[#This Row],[Age]]&lt;55,"45-54","55-64"))))</f>
        <v>25-34</v>
      </c>
      <c r="H1323" s="8" t="s">
        <v>19</v>
      </c>
      <c r="I1323" s="8">
        <v>50.7</v>
      </c>
      <c r="J1323" s="8">
        <v>1.86</v>
      </c>
      <c r="K1323" s="8">
        <v>171</v>
      </c>
      <c r="L1323" s="8">
        <v>149</v>
      </c>
      <c r="M1323" s="8">
        <v>74</v>
      </c>
      <c r="N1323" s="8">
        <v>1.29</v>
      </c>
      <c r="O1323" s="8">
        <v>580</v>
      </c>
      <c r="P1323" s="8" t="s">
        <v>20</v>
      </c>
      <c r="Q1323" s="8" t="str">
        <f>_xlfn.IFS(AND(Table13[[#This Row],[Gender]]="female",R1323&lt;20),"Athletes",AND(Table13[[#This Row],[Gender]]="female",R1323&lt;24),"Fitnesss",AND(Table13[[#This Row],[Gender]]="female",R1323&lt;31),"Acceptable",AND(Table13[[#This Row],[Gender]]="female",R1323&lt;40),"Obese",AND(Table13[[#This Row],[Gender]]="male",R1323&lt;13),"Athletes",AND(Table13[[#This Row],[Gender]]="male",R1323&lt;17),"Fitnesss",AND(Table13[[#This Row],[Gender]]="male",R1323&lt;24.9),"Acceptable",AND(Table13[[#This Row],[Gender]]="male",R1323&lt;40),"Obese",AND(Table13[[#This Row],[Gender]]="others",R1323&lt;20),"Athletes",AND(Table13[[#This Row],[Gender]]="others",R1323&lt;24),"Fitnesss",AND(Table13[[#This Row],[Gender]]="others",R1323&lt;31),"Acceptable",AND(Table13[[#This Row],[Gender]]="others",R1323&lt;40),"Obese")</f>
        <v>Athletes</v>
      </c>
      <c r="R1323" s="8"/>
      <c r="S1323" s="8">
        <v>3.6</v>
      </c>
      <c r="T1323" s="8">
        <v>3</v>
      </c>
      <c r="U1323" s="8">
        <v>2</v>
      </c>
      <c r="V1323" s="8" t="str">
        <f>IF(Table13[[#This Row],[BMI]]&lt;=18.5,"Underweight",IF(Table13[[#This Row],[BMI]]&lt;=24.9,"Normal",IF(Table13[[#This Row],[BMI]]&lt;=29.9,"Overweight",IF(Table13[[#This Row],[BMI]]&lt;=39,"Obese","Severly Obese"))))</f>
        <v>Normal</v>
      </c>
      <c r="W1323" s="18">
        <v>21.13</v>
      </c>
    </row>
    <row r="1324" spans="6:23" x14ac:dyDescent="0.3">
      <c r="F1324" s="17">
        <v>23</v>
      </c>
      <c r="G1324" s="8" t="str">
        <f>IF(Table13[[#This Row],[Age]]&lt;25,"18-24",IF(Table13[[#This Row],[Age]]&lt;35,"25-34",IF(Table13[[#This Row],[Age]]&lt;45,"35-44",IF(Table13[[#This Row],[Age]]&lt;55,"45-54","55-64"))))</f>
        <v>18-24</v>
      </c>
      <c r="H1324" s="8" t="s">
        <v>17</v>
      </c>
      <c r="I1324" s="8">
        <v>55.4</v>
      </c>
      <c r="J1324" s="8">
        <v>1.8</v>
      </c>
      <c r="K1324" s="8">
        <v>164</v>
      </c>
      <c r="L1324" s="8">
        <v>163</v>
      </c>
      <c r="M1324" s="8">
        <v>73</v>
      </c>
      <c r="N1324" s="8">
        <v>1.33</v>
      </c>
      <c r="O1324" s="8">
        <v>783</v>
      </c>
      <c r="P1324" s="8" t="s">
        <v>18</v>
      </c>
      <c r="Q1324" s="8" t="str">
        <f>_xlfn.IFS(AND(Table13[[#This Row],[Gender]]="female",R1324&lt;20),"Athletes",AND(Table13[[#This Row],[Gender]]="female",R1324&lt;24),"Fitnesss",AND(Table13[[#This Row],[Gender]]="female",R1324&lt;31),"Acceptable",AND(Table13[[#This Row],[Gender]]="female",R1324&lt;40),"Obese",AND(Table13[[#This Row],[Gender]]="male",R1324&lt;13),"Athletes",AND(Table13[[#This Row],[Gender]]="male",R1324&lt;17),"Fitnesss",AND(Table13[[#This Row],[Gender]]="male",R1324&lt;24.9),"Acceptable",AND(Table13[[#This Row],[Gender]]="male",R1324&lt;40),"Obese",AND(Table13[[#This Row],[Gender]]="others",R1324&lt;20),"Athletes",AND(Table13[[#This Row],[Gender]]="others",R1324&lt;24),"Fitnesss",AND(Table13[[#This Row],[Gender]]="others",R1324&lt;31),"Acceptable",AND(Table13[[#This Row],[Gender]]="others",R1324&lt;40),"Obese")</f>
        <v>Acceptable</v>
      </c>
      <c r="R1324" s="8">
        <v>27.1</v>
      </c>
      <c r="S1324" s="8">
        <v>1.5</v>
      </c>
      <c r="T1324" s="8">
        <v>2</v>
      </c>
      <c r="U1324" s="8">
        <v>1</v>
      </c>
      <c r="V1324" s="8" t="str">
        <f>IF(Table13[[#This Row],[BMI]]&lt;=18.5,"Underweight",IF(Table13[[#This Row],[BMI]]&lt;=24.9,"Normal",IF(Table13[[#This Row],[BMI]]&lt;=29.9,"Overweight",IF(Table13[[#This Row],[BMI]]&lt;=39,"Obese","Severly Obese"))))</f>
        <v>Normal</v>
      </c>
      <c r="W1324" s="18">
        <v>18.71</v>
      </c>
    </row>
    <row r="1325" spans="6:23" x14ac:dyDescent="0.3">
      <c r="F1325" s="17">
        <v>23</v>
      </c>
      <c r="G1325" s="8" t="str">
        <f>IF(Table13[[#This Row],[Age]]&lt;25,"18-24",IF(Table13[[#This Row],[Age]]&lt;35,"25-34",IF(Table13[[#This Row],[Age]]&lt;45,"35-44",IF(Table13[[#This Row],[Age]]&lt;55,"45-54","55-64"))))</f>
        <v>18-24</v>
      </c>
      <c r="H1325" s="8" t="s">
        <v>17</v>
      </c>
      <c r="I1325" s="8">
        <v>40</v>
      </c>
      <c r="J1325" s="8">
        <v>1.8</v>
      </c>
      <c r="K1325" s="8">
        <v>160</v>
      </c>
      <c r="L1325" s="8">
        <v>136</v>
      </c>
      <c r="M1325" s="8">
        <v>62</v>
      </c>
      <c r="N1325" s="8">
        <v>1.85</v>
      </c>
      <c r="O1325" s="8">
        <v>1113</v>
      </c>
      <c r="P1325" s="8" t="s">
        <v>18</v>
      </c>
      <c r="Q1325" s="8" t="str">
        <f>_xlfn.IFS(AND(Table13[[#This Row],[Gender]]="female",R1325&lt;20),"Athletes",AND(Table13[[#This Row],[Gender]]="female",R1325&lt;24),"Fitnesss",AND(Table13[[#This Row],[Gender]]="female",R1325&lt;31),"Acceptable",AND(Table13[[#This Row],[Gender]]="female",R1325&lt;40),"Obese",AND(Table13[[#This Row],[Gender]]="male",R1325&lt;13),"Athletes",AND(Table13[[#This Row],[Gender]]="male",R1325&lt;17),"Fitnesss",AND(Table13[[#This Row],[Gender]]="male",R1325&lt;24.9),"Acceptable",AND(Table13[[#This Row],[Gender]]="male",R1325&lt;40),"Obese",AND(Table13[[#This Row],[Gender]]="others",R1325&lt;20),"Athletes",AND(Table13[[#This Row],[Gender]]="others",R1325&lt;24),"Fitnesss",AND(Table13[[#This Row],[Gender]]="others",R1325&lt;31),"Acceptable",AND(Table13[[#This Row],[Gender]]="others",R1325&lt;40),"Obese")</f>
        <v>Athletes</v>
      </c>
      <c r="R1325" s="8">
        <v>16.8</v>
      </c>
      <c r="S1325" s="8">
        <v>1.7</v>
      </c>
      <c r="T1325" s="8">
        <v>3</v>
      </c>
      <c r="U1325" s="8"/>
      <c r="V1325" s="8" t="str">
        <f>IF(Table13[[#This Row],[BMI]]&lt;=18.5,"Underweight",IF(Table13[[#This Row],[BMI]]&lt;=24.9,"Normal",IF(Table13[[#This Row],[BMI]]&lt;=29.9,"Overweight",IF(Table13[[#This Row],[BMI]]&lt;=39,"Obese","Severly Obese"))))</f>
        <v>Underweight</v>
      </c>
      <c r="W1325" s="18">
        <v>16.37</v>
      </c>
    </row>
    <row r="1326" spans="6:23" x14ac:dyDescent="0.3">
      <c r="F1326" s="17">
        <v>25</v>
      </c>
      <c r="G1326" s="8" t="str">
        <f>IF(Table13[[#This Row],[Age]]&lt;25,"18-24",IF(Table13[[#This Row],[Age]]&lt;35,"25-34",IF(Table13[[#This Row],[Age]]&lt;45,"35-44",IF(Table13[[#This Row],[Age]]&lt;55,"45-54","55-64"))))</f>
        <v>25-34</v>
      </c>
      <c r="H1326" s="8" t="s">
        <v>17</v>
      </c>
      <c r="I1326" s="8">
        <v>76.2</v>
      </c>
      <c r="J1326" s="8">
        <v>1.87</v>
      </c>
      <c r="K1326" s="8">
        <v>184</v>
      </c>
      <c r="L1326" s="8">
        <v>148</v>
      </c>
      <c r="M1326" s="8">
        <v>69</v>
      </c>
      <c r="N1326" s="8">
        <v>1.96</v>
      </c>
      <c r="O1326" s="8">
        <v>809</v>
      </c>
      <c r="P1326" s="8" t="s">
        <v>21</v>
      </c>
      <c r="Q1326" s="8" t="str">
        <f>_xlfn.IFS(AND(Table13[[#This Row],[Gender]]="female",R1326&lt;20),"Athletes",AND(Table13[[#This Row],[Gender]]="female",R1326&lt;24),"Fitnesss",AND(Table13[[#This Row],[Gender]]="female",R1326&lt;31),"Acceptable",AND(Table13[[#This Row],[Gender]]="female",R1326&lt;40),"Obese",AND(Table13[[#This Row],[Gender]]="male",R1326&lt;13),"Athletes",AND(Table13[[#This Row],[Gender]]="male",R1326&lt;17),"Fitnesss",AND(Table13[[#This Row],[Gender]]="male",R1326&lt;24.9),"Acceptable",AND(Table13[[#This Row],[Gender]]="male",R1326&lt;40),"Obese",AND(Table13[[#This Row],[Gender]]="others",R1326&lt;20),"Athletes",AND(Table13[[#This Row],[Gender]]="others",R1326&lt;24),"Fitnesss",AND(Table13[[#This Row],[Gender]]="others",R1326&lt;31),"Acceptable",AND(Table13[[#This Row],[Gender]]="others",R1326&lt;40),"Obese")</f>
        <v>Acceptable</v>
      </c>
      <c r="R1326" s="8">
        <v>26.2</v>
      </c>
      <c r="S1326" s="8">
        <v>2.2999999999999998</v>
      </c>
      <c r="T1326" s="8">
        <v>3</v>
      </c>
      <c r="U1326" s="8">
        <v>1</v>
      </c>
      <c r="V1326" s="8" t="str">
        <f>IF(Table13[[#This Row],[BMI]]&lt;=18.5,"Underweight",IF(Table13[[#This Row],[BMI]]&lt;=24.9,"Normal",IF(Table13[[#This Row],[BMI]]&lt;=29.9,"Overweight",IF(Table13[[#This Row],[BMI]]&lt;=39,"Obese","Severly Obese"))))</f>
        <v>Underweight</v>
      </c>
      <c r="W1326" s="18">
        <v>17.02</v>
      </c>
    </row>
    <row r="1327" spans="6:23" x14ac:dyDescent="0.3">
      <c r="F1327" s="17">
        <v>52</v>
      </c>
      <c r="G1327" s="8" t="str">
        <f>IF(Table13[[#This Row],[Age]]&lt;25,"18-24",IF(Table13[[#This Row],[Age]]&lt;35,"25-34",IF(Table13[[#This Row],[Age]]&lt;45,"35-44",IF(Table13[[#This Row],[Age]]&lt;55,"45-54","55-64"))))</f>
        <v>45-54</v>
      </c>
      <c r="H1327" s="8" t="s">
        <v>19</v>
      </c>
      <c r="I1327" s="8">
        <v>84.5</v>
      </c>
      <c r="J1327" s="8">
        <v>1.75</v>
      </c>
      <c r="K1327" s="8">
        <v>180</v>
      </c>
      <c r="L1327" s="8">
        <v>158</v>
      </c>
      <c r="M1327" s="8">
        <v>71</v>
      </c>
      <c r="N1327" s="8">
        <v>2</v>
      </c>
      <c r="O1327" s="8">
        <v>830</v>
      </c>
      <c r="P1327" s="8" t="s">
        <v>18</v>
      </c>
      <c r="Q1327" s="8" t="str">
        <f>_xlfn.IFS(AND(Table13[[#This Row],[Gender]]="female",R1327&lt;20),"Athletes",AND(Table13[[#This Row],[Gender]]="female",R1327&lt;24),"Fitnesss",AND(Table13[[#This Row],[Gender]]="female",R1327&lt;31),"Acceptable",AND(Table13[[#This Row],[Gender]]="female",R1327&lt;40),"Obese",AND(Table13[[#This Row],[Gender]]="male",R1327&lt;13),"Athletes",AND(Table13[[#This Row],[Gender]]="male",R1327&lt;17),"Fitnesss",AND(Table13[[#This Row],[Gender]]="male",R1327&lt;24.9),"Acceptable",AND(Table13[[#This Row],[Gender]]="male",R1327&lt;40),"Obese",AND(Table13[[#This Row],[Gender]]="others",R1327&lt;20),"Athletes",AND(Table13[[#This Row],[Gender]]="others",R1327&lt;24),"Fitnesss",AND(Table13[[#This Row],[Gender]]="others",R1327&lt;31),"Acceptable",AND(Table13[[#This Row],[Gender]]="others",R1327&lt;40),"Obese")</f>
        <v>Fitnesss</v>
      </c>
      <c r="R1327" s="8">
        <v>14.1</v>
      </c>
      <c r="S1327" s="8">
        <v>1.5</v>
      </c>
      <c r="T1327" s="8">
        <v>4</v>
      </c>
      <c r="U1327" s="8">
        <v>3</v>
      </c>
      <c r="V1327" s="8" t="str">
        <f>IF(Table13[[#This Row],[BMI]]&lt;=18.5,"Underweight",IF(Table13[[#This Row],[BMI]]&lt;=24.9,"Normal",IF(Table13[[#This Row],[BMI]]&lt;=29.9,"Overweight",IF(Table13[[#This Row],[BMI]]&lt;=39,"Obese","Severly Obese"))))</f>
        <v>Underweight</v>
      </c>
      <c r="W1327" s="18">
        <v>18.25</v>
      </c>
    </row>
    <row r="1328" spans="6:23" x14ac:dyDescent="0.3">
      <c r="F1328" s="17">
        <v>59</v>
      </c>
      <c r="G1328" s="8" t="str">
        <f>IF(Table13[[#This Row],[Age]]&lt;25,"18-24",IF(Table13[[#This Row],[Age]]&lt;35,"25-34",IF(Table13[[#This Row],[Age]]&lt;45,"35-44",IF(Table13[[#This Row],[Age]]&lt;55,"45-54","55-64"))))</f>
        <v>55-64</v>
      </c>
      <c r="H1328" s="8" t="s">
        <v>19</v>
      </c>
      <c r="I1328" s="8">
        <v>40</v>
      </c>
      <c r="J1328" s="8">
        <v>2</v>
      </c>
      <c r="K1328" s="8">
        <v>173</v>
      </c>
      <c r="L1328" s="8">
        <v>141</v>
      </c>
      <c r="M1328" s="8">
        <v>68</v>
      </c>
      <c r="N1328" s="8">
        <v>1.04</v>
      </c>
      <c r="O1328" s="8">
        <v>1331</v>
      </c>
      <c r="P1328" s="8" t="s">
        <v>18</v>
      </c>
      <c r="Q1328" s="8" t="str">
        <f>_xlfn.IFS(AND(Table13[[#This Row],[Gender]]="female",R1328&lt;20),"Athletes",AND(Table13[[#This Row],[Gender]]="female",R1328&lt;24),"Fitnesss",AND(Table13[[#This Row],[Gender]]="female",R1328&lt;31),"Acceptable",AND(Table13[[#This Row],[Gender]]="female",R1328&lt;40),"Obese",AND(Table13[[#This Row],[Gender]]="male",R1328&lt;13),"Athletes",AND(Table13[[#This Row],[Gender]]="male",R1328&lt;17),"Fitnesss",AND(Table13[[#This Row],[Gender]]="male",R1328&lt;24.9),"Acceptable",AND(Table13[[#This Row],[Gender]]="male",R1328&lt;40),"Obese",AND(Table13[[#This Row],[Gender]]="others",R1328&lt;20),"Athletes",AND(Table13[[#This Row],[Gender]]="others",R1328&lt;24),"Fitnesss",AND(Table13[[#This Row],[Gender]]="others",R1328&lt;31),"Acceptable",AND(Table13[[#This Row],[Gender]]="others",R1328&lt;40),"Obese")</f>
        <v>Obese</v>
      </c>
      <c r="R1328" s="8">
        <v>27</v>
      </c>
      <c r="S1328" s="8">
        <v>3.7</v>
      </c>
      <c r="T1328" s="8">
        <v>2</v>
      </c>
      <c r="U1328" s="8">
        <v>1</v>
      </c>
      <c r="V1328" s="8" t="str">
        <f>IF(Table13[[#This Row],[BMI]]&lt;=18.5,"Underweight",IF(Table13[[#This Row],[BMI]]&lt;=24.9,"Normal",IF(Table13[[#This Row],[BMI]]&lt;=29.9,"Overweight",IF(Table13[[#This Row],[BMI]]&lt;=39,"Obese","Severly Obese"))))</f>
        <v>Severly Obese</v>
      </c>
      <c r="W1328" s="18">
        <v>43.74</v>
      </c>
    </row>
    <row r="1329" spans="6:23" x14ac:dyDescent="0.3">
      <c r="F1329" s="17">
        <v>37</v>
      </c>
      <c r="G1329" s="8" t="str">
        <f>IF(Table13[[#This Row],[Age]]&lt;25,"18-24",IF(Table13[[#This Row],[Age]]&lt;35,"25-34",IF(Table13[[#This Row],[Age]]&lt;45,"35-44",IF(Table13[[#This Row],[Age]]&lt;55,"45-54","55-64"))))</f>
        <v>35-44</v>
      </c>
      <c r="H1329" s="8" t="s">
        <v>23</v>
      </c>
      <c r="I1329" s="8">
        <v>40</v>
      </c>
      <c r="J1329" s="8">
        <v>1.92</v>
      </c>
      <c r="K1329" s="8">
        <v>163</v>
      </c>
      <c r="L1329" s="8">
        <v>129</v>
      </c>
      <c r="M1329" s="8">
        <v>68</v>
      </c>
      <c r="N1329" s="8">
        <v>1.22</v>
      </c>
      <c r="O1329" s="8">
        <v>1025</v>
      </c>
      <c r="P1329" s="8" t="s">
        <v>20</v>
      </c>
      <c r="Q1329" s="8" t="str">
        <f>_xlfn.IFS(AND(Table13[[#This Row],[Gender]]="female",R1329&lt;20),"Athletes",AND(Table13[[#This Row],[Gender]]="female",R1329&lt;24),"Fitnesss",AND(Table13[[#This Row],[Gender]]="female",R1329&lt;31),"Acceptable",AND(Table13[[#This Row],[Gender]]="female",R1329&lt;40),"Obese",AND(Table13[[#This Row],[Gender]]="male",R1329&lt;13),"Athletes",AND(Table13[[#This Row],[Gender]]="male",R1329&lt;17),"Fitnesss",AND(Table13[[#This Row],[Gender]]="male",R1329&lt;24.9),"Acceptable",AND(Table13[[#This Row],[Gender]]="male",R1329&lt;40),"Obese",AND(Table13[[#This Row],[Gender]]="others",R1329&lt;20),"Athletes",AND(Table13[[#This Row],[Gender]]="others",R1329&lt;24),"Fitnesss",AND(Table13[[#This Row],[Gender]]="others",R1329&lt;31),"Acceptable",AND(Table13[[#This Row],[Gender]]="others",R1329&lt;40),"Obese")</f>
        <v>Fitnesss</v>
      </c>
      <c r="R1329" s="8">
        <v>22.7</v>
      </c>
      <c r="S1329" s="8">
        <v>3.3</v>
      </c>
      <c r="T1329" s="8">
        <v>2</v>
      </c>
      <c r="U1329" s="8">
        <v>1</v>
      </c>
      <c r="V1329" s="8" t="str">
        <f>IF(Table13[[#This Row],[BMI]]&lt;=18.5,"Underweight",IF(Table13[[#This Row],[BMI]]&lt;=24.9,"Normal",IF(Table13[[#This Row],[BMI]]&lt;=29.9,"Overweight",IF(Table13[[#This Row],[BMI]]&lt;=39,"Obese","Severly Obese"))))</f>
        <v>Normal</v>
      </c>
      <c r="W1329" s="18">
        <v>23.28</v>
      </c>
    </row>
    <row r="1330" spans="6:23" x14ac:dyDescent="0.3">
      <c r="F1330" s="17">
        <v>42</v>
      </c>
      <c r="G1330" s="8" t="str">
        <f>IF(Table13[[#This Row],[Age]]&lt;25,"18-24",IF(Table13[[#This Row],[Age]]&lt;35,"25-34",IF(Table13[[#This Row],[Age]]&lt;45,"35-44",IF(Table13[[#This Row],[Age]]&lt;55,"45-54","55-64"))))</f>
        <v>35-44</v>
      </c>
      <c r="H1330" s="8" t="s">
        <v>17</v>
      </c>
      <c r="I1330" s="8">
        <v>55.6</v>
      </c>
      <c r="J1330" s="8">
        <v>1.63</v>
      </c>
      <c r="K1330" s="8">
        <v>176</v>
      </c>
      <c r="L1330" s="8">
        <v>134</v>
      </c>
      <c r="M1330" s="8">
        <v>74</v>
      </c>
      <c r="N1330" s="8">
        <v>1.41</v>
      </c>
      <c r="O1330" s="8">
        <v>384</v>
      </c>
      <c r="P1330" s="8" t="s">
        <v>20</v>
      </c>
      <c r="Q1330" s="8" t="str">
        <f>_xlfn.IFS(AND(Table13[[#This Row],[Gender]]="female",R1330&lt;20),"Athletes",AND(Table13[[#This Row],[Gender]]="female",R1330&lt;24),"Fitnesss",AND(Table13[[#This Row],[Gender]]="female",R1330&lt;31),"Acceptable",AND(Table13[[#This Row],[Gender]]="female",R1330&lt;40),"Obese",AND(Table13[[#This Row],[Gender]]="male",R1330&lt;13),"Athletes",AND(Table13[[#This Row],[Gender]]="male",R1330&lt;17),"Fitnesss",AND(Table13[[#This Row],[Gender]]="male",R1330&lt;24.9),"Acceptable",AND(Table13[[#This Row],[Gender]]="male",R1330&lt;40),"Obese",AND(Table13[[#This Row],[Gender]]="others",R1330&lt;20),"Athletes",AND(Table13[[#This Row],[Gender]]="others",R1330&lt;24),"Fitnesss",AND(Table13[[#This Row],[Gender]]="others",R1330&lt;31),"Acceptable",AND(Table13[[#This Row],[Gender]]="others",R1330&lt;40),"Obese")</f>
        <v>Fitnesss</v>
      </c>
      <c r="R1330" s="8">
        <v>22</v>
      </c>
      <c r="S1330" s="8">
        <v>3.3</v>
      </c>
      <c r="T1330" s="8">
        <v>3</v>
      </c>
      <c r="U1330" s="8">
        <v>1</v>
      </c>
      <c r="V1330" s="8" t="str">
        <f>IF(Table13[[#This Row],[BMI]]&lt;=18.5,"Underweight",IF(Table13[[#This Row],[BMI]]&lt;=24.9,"Normal",IF(Table13[[#This Row],[BMI]]&lt;=29.9,"Overweight",IF(Table13[[#This Row],[BMI]]&lt;=39,"Obese","Severly Obese"))))</f>
        <v>Obese</v>
      </c>
      <c r="W1330" s="18">
        <v>32.64</v>
      </c>
    </row>
    <row r="1331" spans="6:23" x14ac:dyDescent="0.3">
      <c r="F1331" s="17">
        <v>29</v>
      </c>
      <c r="G1331" s="8" t="str">
        <f>IF(Table13[[#This Row],[Age]]&lt;25,"18-24",IF(Table13[[#This Row],[Age]]&lt;35,"25-34",IF(Table13[[#This Row],[Age]]&lt;45,"35-44",IF(Table13[[#This Row],[Age]]&lt;55,"45-54","55-64"))))</f>
        <v>25-34</v>
      </c>
      <c r="H1331" s="8" t="s">
        <v>19</v>
      </c>
      <c r="I1331" s="8">
        <v>73.599999999999994</v>
      </c>
      <c r="J1331" s="8">
        <v>1.82</v>
      </c>
      <c r="K1331" s="8">
        <v>162</v>
      </c>
      <c r="L1331" s="8">
        <v>141</v>
      </c>
      <c r="M1331" s="8">
        <v>55</v>
      </c>
      <c r="N1331" s="8">
        <v>1.5</v>
      </c>
      <c r="O1331" s="8">
        <v>1057</v>
      </c>
      <c r="P1331" s="8" t="s">
        <v>20</v>
      </c>
      <c r="Q1331" s="8" t="str">
        <f>_xlfn.IFS(AND(Table13[[#This Row],[Gender]]="female",R1331&lt;20),"Athletes",AND(Table13[[#This Row],[Gender]]="female",R1331&lt;24),"Fitnesss",AND(Table13[[#This Row],[Gender]]="female",R1331&lt;31),"Acceptable",AND(Table13[[#This Row],[Gender]]="female",R1331&lt;40),"Obese",AND(Table13[[#This Row],[Gender]]="male",R1331&lt;13),"Athletes",AND(Table13[[#This Row],[Gender]]="male",R1331&lt;17),"Fitnesss",AND(Table13[[#This Row],[Gender]]="male",R1331&lt;24.9),"Acceptable",AND(Table13[[#This Row],[Gender]]="male",R1331&lt;40),"Obese",AND(Table13[[#This Row],[Gender]]="others",R1331&lt;20),"Athletes",AND(Table13[[#This Row],[Gender]]="others",R1331&lt;24),"Fitnesss",AND(Table13[[#This Row],[Gender]]="others",R1331&lt;31),"Acceptable",AND(Table13[[#This Row],[Gender]]="others",R1331&lt;40),"Obese")</f>
        <v>Obese</v>
      </c>
      <c r="R1331" s="8">
        <v>25.2</v>
      </c>
      <c r="S1331" s="8">
        <v>2.1</v>
      </c>
      <c r="T1331" s="8">
        <v>2</v>
      </c>
      <c r="U1331" s="8">
        <v>2</v>
      </c>
      <c r="V1331" s="8" t="str">
        <f>IF(Table13[[#This Row],[BMI]]&lt;=18.5,"Underweight",IF(Table13[[#This Row],[BMI]]&lt;=24.9,"Normal",IF(Table13[[#This Row],[BMI]]&lt;=29.9,"Overweight",IF(Table13[[#This Row],[BMI]]&lt;=39,"Obese","Severly Obese"))))</f>
        <v>Obese</v>
      </c>
      <c r="W1331" s="18">
        <v>30.41</v>
      </c>
    </row>
    <row r="1332" spans="6:23" x14ac:dyDescent="0.3">
      <c r="F1332" s="17">
        <v>29</v>
      </c>
      <c r="G1332" s="8" t="str">
        <f>IF(Table13[[#This Row],[Age]]&lt;25,"18-24",IF(Table13[[#This Row],[Age]]&lt;35,"25-34",IF(Table13[[#This Row],[Age]]&lt;45,"35-44",IF(Table13[[#This Row],[Age]]&lt;55,"45-54","55-64"))))</f>
        <v>25-34</v>
      </c>
      <c r="H1332" s="8" t="s">
        <v>17</v>
      </c>
      <c r="I1332" s="8">
        <v>50.8</v>
      </c>
      <c r="J1332" s="8">
        <v>1.89</v>
      </c>
      <c r="K1332" s="8">
        <v>199</v>
      </c>
      <c r="L1332" s="8">
        <v>163</v>
      </c>
      <c r="M1332" s="8">
        <v>59</v>
      </c>
      <c r="N1332" s="8">
        <v>0.8</v>
      </c>
      <c r="O1332" s="8">
        <v>784</v>
      </c>
      <c r="P1332" s="8" t="s">
        <v>21</v>
      </c>
      <c r="Q1332" s="8" t="str">
        <f>_xlfn.IFS(AND(Table13[[#This Row],[Gender]]="female",R1332&lt;20),"Athletes",AND(Table13[[#This Row],[Gender]]="female",R1332&lt;24),"Fitnesss",AND(Table13[[#This Row],[Gender]]="female",R1332&lt;31),"Acceptable",AND(Table13[[#This Row],[Gender]]="female",R1332&lt;40),"Obese",AND(Table13[[#This Row],[Gender]]="male",R1332&lt;13),"Athletes",AND(Table13[[#This Row],[Gender]]="male",R1332&lt;17),"Fitnesss",AND(Table13[[#This Row],[Gender]]="male",R1332&lt;24.9),"Acceptable",AND(Table13[[#This Row],[Gender]]="male",R1332&lt;40),"Obese",AND(Table13[[#This Row],[Gender]]="others",R1332&lt;20),"Athletes",AND(Table13[[#This Row],[Gender]]="others",R1332&lt;24),"Fitnesss",AND(Table13[[#This Row],[Gender]]="others",R1332&lt;31),"Acceptable",AND(Table13[[#This Row],[Gender]]="others",R1332&lt;40),"Obese")</f>
        <v>Obese</v>
      </c>
      <c r="R1332" s="8">
        <v>35</v>
      </c>
      <c r="S1332" s="8">
        <v>2.5</v>
      </c>
      <c r="T1332" s="8">
        <v>3</v>
      </c>
      <c r="U1332" s="8">
        <v>2</v>
      </c>
      <c r="V1332" s="8" t="str">
        <f>IF(Table13[[#This Row],[BMI]]&lt;=18.5,"Underweight",IF(Table13[[#This Row],[BMI]]&lt;=24.9,"Normal",IF(Table13[[#This Row],[BMI]]&lt;=29.9,"Overweight",IF(Table13[[#This Row],[BMI]]&lt;=39,"Obese","Severly Obese"))))</f>
        <v>Normal</v>
      </c>
      <c r="W1332" s="18">
        <v>22.37</v>
      </c>
    </row>
    <row r="1333" spans="6:23" x14ac:dyDescent="0.3">
      <c r="F1333" s="17">
        <v>27</v>
      </c>
      <c r="G1333" s="8" t="str">
        <f>IF(Table13[[#This Row],[Age]]&lt;25,"18-24",IF(Table13[[#This Row],[Age]]&lt;35,"25-34",IF(Table13[[#This Row],[Age]]&lt;45,"35-44",IF(Table13[[#This Row],[Age]]&lt;55,"45-54","55-64"))))</f>
        <v>25-34</v>
      </c>
      <c r="H1333" s="8" t="s">
        <v>19</v>
      </c>
      <c r="I1333" s="8">
        <v>72.5</v>
      </c>
      <c r="J1333" s="8">
        <v>1.88</v>
      </c>
      <c r="K1333" s="8">
        <v>181</v>
      </c>
      <c r="L1333" s="8">
        <v>162</v>
      </c>
      <c r="M1333" s="8">
        <v>69</v>
      </c>
      <c r="N1333" s="8">
        <v>1.21</v>
      </c>
      <c r="O1333" s="8">
        <v>1120</v>
      </c>
      <c r="P1333" s="8" t="s">
        <v>21</v>
      </c>
      <c r="Q1333" s="8" t="str">
        <f>_xlfn.IFS(AND(Table13[[#This Row],[Gender]]="female",R1333&lt;20),"Athletes",AND(Table13[[#This Row],[Gender]]="female",R1333&lt;24),"Fitnesss",AND(Table13[[#This Row],[Gender]]="female",R1333&lt;31),"Acceptable",AND(Table13[[#This Row],[Gender]]="female",R1333&lt;40),"Obese",AND(Table13[[#This Row],[Gender]]="male",R1333&lt;13),"Athletes",AND(Table13[[#This Row],[Gender]]="male",R1333&lt;17),"Fitnesss",AND(Table13[[#This Row],[Gender]]="male",R1333&lt;24.9),"Acceptable",AND(Table13[[#This Row],[Gender]]="male",R1333&lt;40),"Obese",AND(Table13[[#This Row],[Gender]]="others",R1333&lt;20),"Athletes",AND(Table13[[#This Row],[Gender]]="others",R1333&lt;24),"Fitnesss",AND(Table13[[#This Row],[Gender]]="others",R1333&lt;31),"Acceptable",AND(Table13[[#This Row],[Gender]]="others",R1333&lt;40),"Obese")</f>
        <v>Obese</v>
      </c>
      <c r="R1333" s="8">
        <v>34.6</v>
      </c>
      <c r="S1333" s="8">
        <v>3.4</v>
      </c>
      <c r="T1333" s="8">
        <v>4</v>
      </c>
      <c r="U1333" s="8">
        <v>1</v>
      </c>
      <c r="V1333" s="8" t="str">
        <f>IF(Table13[[#This Row],[BMI]]&lt;=18.5,"Underweight",IF(Table13[[#This Row],[BMI]]&lt;=24.9,"Normal",IF(Table13[[#This Row],[BMI]]&lt;=29.9,"Overweight",IF(Table13[[#This Row],[BMI]]&lt;=39,"Obese","Severly Obese"))))</f>
        <v>Overweight</v>
      </c>
      <c r="W1333" s="18">
        <v>27.76</v>
      </c>
    </row>
    <row r="1334" spans="6:23" x14ac:dyDescent="0.3">
      <c r="F1334" s="17">
        <v>22</v>
      </c>
      <c r="G1334" s="8" t="str">
        <f>IF(Table13[[#This Row],[Age]]&lt;25,"18-24",IF(Table13[[#This Row],[Age]]&lt;35,"25-34",IF(Table13[[#This Row],[Age]]&lt;45,"35-44",IF(Table13[[#This Row],[Age]]&lt;55,"45-54","55-64"))))</f>
        <v>18-24</v>
      </c>
      <c r="H1334" s="8" t="s">
        <v>19</v>
      </c>
      <c r="I1334" s="8">
        <v>128.4</v>
      </c>
      <c r="J1334" s="8"/>
      <c r="K1334" s="8">
        <v>166</v>
      </c>
      <c r="L1334" s="8">
        <v>169</v>
      </c>
      <c r="M1334" s="8">
        <v>50</v>
      </c>
      <c r="N1334" s="8">
        <v>1.53</v>
      </c>
      <c r="O1334" s="8">
        <v>914</v>
      </c>
      <c r="P1334" s="8" t="s">
        <v>21</v>
      </c>
      <c r="Q1334" s="8" t="str">
        <f>_xlfn.IFS(AND(Table13[[#This Row],[Gender]]="female",R1334&lt;20),"Athletes",AND(Table13[[#This Row],[Gender]]="female",R1334&lt;24),"Fitnesss",AND(Table13[[#This Row],[Gender]]="female",R1334&lt;31),"Acceptable",AND(Table13[[#This Row],[Gender]]="female",R1334&lt;40),"Obese",AND(Table13[[#This Row],[Gender]]="male",R1334&lt;13),"Athletes",AND(Table13[[#This Row],[Gender]]="male",R1334&lt;17),"Fitnesss",AND(Table13[[#This Row],[Gender]]="male",R1334&lt;24.9),"Acceptable",AND(Table13[[#This Row],[Gender]]="male",R1334&lt;40),"Obese",AND(Table13[[#This Row],[Gender]]="others",R1334&lt;20),"Athletes",AND(Table13[[#This Row],[Gender]]="others",R1334&lt;24),"Fitnesss",AND(Table13[[#This Row],[Gender]]="others",R1334&lt;31),"Acceptable",AND(Table13[[#This Row],[Gender]]="others",R1334&lt;40),"Obese")</f>
        <v>Fitnesss</v>
      </c>
      <c r="R1334" s="8">
        <v>16.7</v>
      </c>
      <c r="S1334" s="8">
        <v>2.8</v>
      </c>
      <c r="T1334" s="8">
        <v>3</v>
      </c>
      <c r="U1334" s="8">
        <v>2</v>
      </c>
      <c r="V1334" s="8" t="str">
        <f>IF(Table13[[#This Row],[BMI]]&lt;=18.5,"Underweight",IF(Table13[[#This Row],[BMI]]&lt;=24.9,"Normal",IF(Table13[[#This Row],[BMI]]&lt;=29.9,"Overweight",IF(Table13[[#This Row],[BMI]]&lt;=39,"Obese","Severly Obese"))))</f>
        <v>Underweight</v>
      </c>
      <c r="W1334" s="18">
        <v>13.01</v>
      </c>
    </row>
    <row r="1335" spans="6:23" x14ac:dyDescent="0.3">
      <c r="F1335" s="17">
        <v>41</v>
      </c>
      <c r="G1335" s="8" t="str">
        <f>IF(Table13[[#This Row],[Age]]&lt;25,"18-24",IF(Table13[[#This Row],[Age]]&lt;35,"25-34",IF(Table13[[#This Row],[Age]]&lt;45,"35-44",IF(Table13[[#This Row],[Age]]&lt;55,"45-54","55-64"))))</f>
        <v>35-44</v>
      </c>
      <c r="H1335" s="8" t="s">
        <v>19</v>
      </c>
      <c r="I1335" s="8">
        <v>74.7</v>
      </c>
      <c r="J1335" s="8">
        <v>1.84</v>
      </c>
      <c r="K1335" s="8">
        <v>170</v>
      </c>
      <c r="L1335" s="8">
        <v>169</v>
      </c>
      <c r="M1335" s="8">
        <v>57</v>
      </c>
      <c r="N1335" s="8"/>
      <c r="O1335" s="8">
        <v>1257</v>
      </c>
      <c r="P1335" s="8" t="s">
        <v>18</v>
      </c>
      <c r="Q1335" s="8" t="str">
        <f>_xlfn.IFS(AND(Table13[[#This Row],[Gender]]="female",R1335&lt;20),"Athletes",AND(Table13[[#This Row],[Gender]]="female",R1335&lt;24),"Fitnesss",AND(Table13[[#This Row],[Gender]]="female",R1335&lt;31),"Acceptable",AND(Table13[[#This Row],[Gender]]="female",R1335&lt;40),"Obese",AND(Table13[[#This Row],[Gender]]="male",R1335&lt;13),"Athletes",AND(Table13[[#This Row],[Gender]]="male",R1335&lt;17),"Fitnesss",AND(Table13[[#This Row],[Gender]]="male",R1335&lt;24.9),"Acceptable",AND(Table13[[#This Row],[Gender]]="male",R1335&lt;40),"Obese",AND(Table13[[#This Row],[Gender]]="others",R1335&lt;20),"Athletes",AND(Table13[[#This Row],[Gender]]="others",R1335&lt;24),"Fitnesss",AND(Table13[[#This Row],[Gender]]="others",R1335&lt;31),"Acceptable",AND(Table13[[#This Row],[Gender]]="others",R1335&lt;40),"Obese")</f>
        <v>Acceptable</v>
      </c>
      <c r="R1335" s="8">
        <v>24.8</v>
      </c>
      <c r="S1335" s="8">
        <v>2.5</v>
      </c>
      <c r="T1335" s="8">
        <v>3</v>
      </c>
      <c r="U1335" s="8">
        <v>3</v>
      </c>
      <c r="V1335" s="8" t="str">
        <f>IF(Table13[[#This Row],[BMI]]&lt;=18.5,"Underweight",IF(Table13[[#This Row],[BMI]]&lt;=24.9,"Normal",IF(Table13[[#This Row],[BMI]]&lt;=29.9,"Overweight",IF(Table13[[#This Row],[BMI]]&lt;=39,"Obese","Severly Obese"))))</f>
        <v>Underweight</v>
      </c>
      <c r="W1335" s="18">
        <v>14.71</v>
      </c>
    </row>
    <row r="1336" spans="6:23" x14ac:dyDescent="0.3">
      <c r="F1336" s="17">
        <v>21</v>
      </c>
      <c r="G1336" s="8" t="str">
        <f>IF(Table13[[#This Row],[Age]]&lt;25,"18-24",IF(Table13[[#This Row],[Age]]&lt;35,"25-34",IF(Table13[[#This Row],[Age]]&lt;45,"35-44",IF(Table13[[#This Row],[Age]]&lt;55,"45-54","55-64"))))</f>
        <v>18-24</v>
      </c>
      <c r="H1336" s="8" t="s">
        <v>17</v>
      </c>
      <c r="I1336" s="8">
        <v>94.4</v>
      </c>
      <c r="J1336" s="8">
        <v>1.69</v>
      </c>
      <c r="K1336" s="8">
        <v>197</v>
      </c>
      <c r="L1336" s="8">
        <v>155</v>
      </c>
      <c r="M1336" s="8">
        <v>61</v>
      </c>
      <c r="N1336" s="8">
        <v>1.94</v>
      </c>
      <c r="O1336" s="8">
        <v>1089</v>
      </c>
      <c r="P1336" s="8" t="s">
        <v>18</v>
      </c>
      <c r="Q1336" s="8" t="str">
        <f>_xlfn.IFS(AND(Table13[[#This Row],[Gender]]="female",R1336&lt;20),"Athletes",AND(Table13[[#This Row],[Gender]]="female",R1336&lt;24),"Fitnesss",AND(Table13[[#This Row],[Gender]]="female",R1336&lt;31),"Acceptable",AND(Table13[[#This Row],[Gender]]="female",R1336&lt;40),"Obese",AND(Table13[[#This Row],[Gender]]="male",R1336&lt;13),"Athletes",AND(Table13[[#This Row],[Gender]]="male",R1336&lt;17),"Fitnesss",AND(Table13[[#This Row],[Gender]]="male",R1336&lt;24.9),"Acceptable",AND(Table13[[#This Row],[Gender]]="male",R1336&lt;40),"Obese",AND(Table13[[#This Row],[Gender]]="others",R1336&lt;20),"Athletes",AND(Table13[[#This Row],[Gender]]="others",R1336&lt;24),"Fitnesss",AND(Table13[[#This Row],[Gender]]="others",R1336&lt;31),"Acceptable",AND(Table13[[#This Row],[Gender]]="others",R1336&lt;40),"Obese")</f>
        <v>Fitnesss</v>
      </c>
      <c r="R1336" s="8">
        <v>20.7</v>
      </c>
      <c r="S1336" s="8">
        <v>2.4</v>
      </c>
      <c r="T1336" s="8"/>
      <c r="U1336" s="8">
        <v>2</v>
      </c>
      <c r="V1336" s="8" t="str">
        <f>IF(Table13[[#This Row],[BMI]]&lt;=18.5,"Underweight",IF(Table13[[#This Row],[BMI]]&lt;=24.9,"Normal",IF(Table13[[#This Row],[BMI]]&lt;=29.9,"Overweight",IF(Table13[[#This Row],[BMI]]&lt;=39,"Obese","Severly Obese"))))</f>
        <v>Underweight</v>
      </c>
      <c r="W1336" s="18">
        <v>14.52</v>
      </c>
    </row>
    <row r="1337" spans="6:23" x14ac:dyDescent="0.3">
      <c r="F1337" s="17">
        <v>52</v>
      </c>
      <c r="G1337" s="8" t="str">
        <f>IF(Table13[[#This Row],[Age]]&lt;25,"18-24",IF(Table13[[#This Row],[Age]]&lt;35,"25-34",IF(Table13[[#This Row],[Age]]&lt;45,"35-44",IF(Table13[[#This Row],[Age]]&lt;55,"45-54","55-64"))))</f>
        <v>45-54</v>
      </c>
      <c r="H1337" s="8" t="s">
        <v>19</v>
      </c>
      <c r="I1337" s="8">
        <v>57.5</v>
      </c>
      <c r="J1337" s="8">
        <v>1.87</v>
      </c>
      <c r="K1337" s="8">
        <v>174</v>
      </c>
      <c r="L1337" s="8">
        <v>149</v>
      </c>
      <c r="M1337" s="8">
        <v>70</v>
      </c>
      <c r="N1337" s="8">
        <v>1.05</v>
      </c>
      <c r="O1337" s="8">
        <v>880</v>
      </c>
      <c r="P1337" s="8" t="s">
        <v>23</v>
      </c>
      <c r="Q1337" s="8" t="str">
        <f>_xlfn.IFS(AND(Table13[[#This Row],[Gender]]="female",R1337&lt;20),"Athletes",AND(Table13[[#This Row],[Gender]]="female",R1337&lt;24),"Fitnesss",AND(Table13[[#This Row],[Gender]]="female",R1337&lt;31),"Acceptable",AND(Table13[[#This Row],[Gender]]="female",R1337&lt;40),"Obese",AND(Table13[[#This Row],[Gender]]="male",R1337&lt;13),"Athletes",AND(Table13[[#This Row],[Gender]]="male",R1337&lt;17),"Fitnesss",AND(Table13[[#This Row],[Gender]]="male",R1337&lt;24.9),"Acceptable",AND(Table13[[#This Row],[Gender]]="male",R1337&lt;40),"Obese",AND(Table13[[#This Row],[Gender]]="others",R1337&lt;20),"Athletes",AND(Table13[[#This Row],[Gender]]="others",R1337&lt;24),"Fitnesss",AND(Table13[[#This Row],[Gender]]="others",R1337&lt;31),"Acceptable",AND(Table13[[#This Row],[Gender]]="others",R1337&lt;40),"Obese")</f>
        <v>Athletes</v>
      </c>
      <c r="R1337" s="8">
        <v>12.5</v>
      </c>
      <c r="S1337" s="8">
        <v>2.5</v>
      </c>
      <c r="T1337" s="8">
        <v>2</v>
      </c>
      <c r="U1337" s="8">
        <v>2</v>
      </c>
      <c r="V1337" s="8" t="str">
        <f>IF(Table13[[#This Row],[BMI]]&lt;=18.5,"Underweight",IF(Table13[[#This Row],[BMI]]&lt;=24.9,"Normal",IF(Table13[[#This Row],[BMI]]&lt;=29.9,"Overweight",IF(Table13[[#This Row],[BMI]]&lt;=39,"Obese","Severly Obese"))))</f>
        <v>Underweight</v>
      </c>
      <c r="W1337" s="18">
        <v>12.32</v>
      </c>
    </row>
    <row r="1338" spans="6:23" x14ac:dyDescent="0.3">
      <c r="F1338" s="17">
        <v>32</v>
      </c>
      <c r="G1338" s="8" t="str">
        <f>IF(Table13[[#This Row],[Age]]&lt;25,"18-24",IF(Table13[[#This Row],[Age]]&lt;35,"25-34",IF(Table13[[#This Row],[Age]]&lt;45,"35-44",IF(Table13[[#This Row],[Age]]&lt;55,"45-54","55-64"))))</f>
        <v>25-34</v>
      </c>
      <c r="H1338" s="8" t="s">
        <v>19</v>
      </c>
      <c r="I1338" s="8">
        <v>51.1</v>
      </c>
      <c r="J1338" s="8">
        <v>1.86</v>
      </c>
      <c r="K1338" s="8">
        <v>199</v>
      </c>
      <c r="L1338" s="8">
        <v>131</v>
      </c>
      <c r="M1338" s="8">
        <v>63</v>
      </c>
      <c r="N1338" s="8">
        <v>1</v>
      </c>
      <c r="O1338" s="8">
        <v>865</v>
      </c>
      <c r="P1338" s="8" t="s">
        <v>21</v>
      </c>
      <c r="Q1338" s="8" t="str">
        <f>_xlfn.IFS(AND(Table13[[#This Row],[Gender]]="female",R1338&lt;20),"Athletes",AND(Table13[[#This Row],[Gender]]="female",R1338&lt;24),"Fitnesss",AND(Table13[[#This Row],[Gender]]="female",R1338&lt;31),"Acceptable",AND(Table13[[#This Row],[Gender]]="female",R1338&lt;40),"Obese",AND(Table13[[#This Row],[Gender]]="male",R1338&lt;13),"Athletes",AND(Table13[[#This Row],[Gender]]="male",R1338&lt;17),"Fitnesss",AND(Table13[[#This Row],[Gender]]="male",R1338&lt;24.9),"Acceptable",AND(Table13[[#This Row],[Gender]]="male",R1338&lt;40),"Obese",AND(Table13[[#This Row],[Gender]]="others",R1338&lt;20),"Athletes",AND(Table13[[#This Row],[Gender]]="others",R1338&lt;24),"Fitnesss",AND(Table13[[#This Row],[Gender]]="others",R1338&lt;31),"Acceptable",AND(Table13[[#This Row],[Gender]]="others",R1338&lt;40),"Obese")</f>
        <v>Obese</v>
      </c>
      <c r="R1338" s="8">
        <v>34.799999999999997</v>
      </c>
      <c r="S1338" s="8">
        <v>3.2</v>
      </c>
      <c r="T1338" s="8">
        <v>3</v>
      </c>
      <c r="U1338" s="8">
        <v>1</v>
      </c>
      <c r="V1338" s="8" t="str">
        <f>IF(Table13[[#This Row],[BMI]]&lt;=18.5,"Underweight",IF(Table13[[#This Row],[BMI]]&lt;=24.9,"Normal",IF(Table13[[#This Row],[BMI]]&lt;=29.9,"Overweight",IF(Table13[[#This Row],[BMI]]&lt;=39,"Obese","Severly Obese"))))</f>
        <v>Normal</v>
      </c>
      <c r="W1338" s="18">
        <v>21.49</v>
      </c>
    </row>
    <row r="1339" spans="6:23" x14ac:dyDescent="0.3">
      <c r="F1339" s="17">
        <v>30</v>
      </c>
      <c r="G1339" s="8" t="str">
        <f>IF(Table13[[#This Row],[Age]]&lt;25,"18-24",IF(Table13[[#This Row],[Age]]&lt;35,"25-34",IF(Table13[[#This Row],[Age]]&lt;45,"35-44",IF(Table13[[#This Row],[Age]]&lt;55,"45-54","55-64"))))</f>
        <v>25-34</v>
      </c>
      <c r="H1339" s="8" t="s">
        <v>17</v>
      </c>
      <c r="I1339" s="8">
        <v>88.8</v>
      </c>
      <c r="J1339" s="8">
        <v>1.69</v>
      </c>
      <c r="K1339" s="8">
        <v>171</v>
      </c>
      <c r="L1339" s="8">
        <v>127</v>
      </c>
      <c r="M1339" s="8">
        <v>70</v>
      </c>
      <c r="N1339" s="8">
        <v>1.21</v>
      </c>
      <c r="O1339" s="8">
        <v>1097</v>
      </c>
      <c r="P1339" s="8" t="s">
        <v>18</v>
      </c>
      <c r="Q1339" s="8" t="str">
        <f>_xlfn.IFS(AND(Table13[[#This Row],[Gender]]="female",R1339&lt;20),"Athletes",AND(Table13[[#This Row],[Gender]]="female",R1339&lt;24),"Fitnesss",AND(Table13[[#This Row],[Gender]]="female",R1339&lt;31),"Acceptable",AND(Table13[[#This Row],[Gender]]="female",R1339&lt;40),"Obese",AND(Table13[[#This Row],[Gender]]="male",R1339&lt;13),"Athletes",AND(Table13[[#This Row],[Gender]]="male",R1339&lt;17),"Fitnesss",AND(Table13[[#This Row],[Gender]]="male",R1339&lt;24.9),"Acceptable",AND(Table13[[#This Row],[Gender]]="male",R1339&lt;40),"Obese",AND(Table13[[#This Row],[Gender]]="others",R1339&lt;20),"Athletes",AND(Table13[[#This Row],[Gender]]="others",R1339&lt;24),"Fitnesss",AND(Table13[[#This Row],[Gender]]="others",R1339&lt;31),"Acceptable",AND(Table13[[#This Row],[Gender]]="others",R1339&lt;40),"Obese")</f>
        <v>Acceptable</v>
      </c>
      <c r="R1339" s="8">
        <v>25.6</v>
      </c>
      <c r="S1339" s="8">
        <v>3.4</v>
      </c>
      <c r="T1339" s="8"/>
      <c r="U1339" s="8">
        <v>1</v>
      </c>
      <c r="V1339" s="8" t="str">
        <f>IF(Table13[[#This Row],[BMI]]&lt;=18.5,"Underweight",IF(Table13[[#This Row],[BMI]]&lt;=24.9,"Normal",IF(Table13[[#This Row],[BMI]]&lt;=29.9,"Overweight",IF(Table13[[#This Row],[BMI]]&lt;=39,"Obese","Severly Obese"))))</f>
        <v>Normal</v>
      </c>
      <c r="W1339" s="18">
        <v>19.29</v>
      </c>
    </row>
    <row r="1340" spans="6:23" x14ac:dyDescent="0.3">
      <c r="F1340" s="17">
        <v>31</v>
      </c>
      <c r="G1340" s="8" t="str">
        <f>IF(Table13[[#This Row],[Age]]&lt;25,"18-24",IF(Table13[[#This Row],[Age]]&lt;35,"25-34",IF(Table13[[#This Row],[Age]]&lt;45,"35-44",IF(Table13[[#This Row],[Age]]&lt;55,"45-54","55-64"))))</f>
        <v>25-34</v>
      </c>
      <c r="H1340" s="8" t="s">
        <v>17</v>
      </c>
      <c r="I1340" s="8"/>
      <c r="J1340" s="8">
        <v>1.54</v>
      </c>
      <c r="K1340" s="8">
        <v>161</v>
      </c>
      <c r="L1340" s="8">
        <v>156</v>
      </c>
      <c r="M1340" s="8">
        <v>74</v>
      </c>
      <c r="N1340" s="8">
        <v>0.68</v>
      </c>
      <c r="O1340" s="8">
        <v>882</v>
      </c>
      <c r="P1340" s="8" t="s">
        <v>20</v>
      </c>
      <c r="Q1340" s="8" t="str">
        <f>_xlfn.IFS(AND(Table13[[#This Row],[Gender]]="female",R1340&lt;20),"Athletes",AND(Table13[[#This Row],[Gender]]="female",R1340&lt;24),"Fitnesss",AND(Table13[[#This Row],[Gender]]="female",R1340&lt;31),"Acceptable",AND(Table13[[#This Row],[Gender]]="female",R1340&lt;40),"Obese",AND(Table13[[#This Row],[Gender]]="male",R1340&lt;13),"Athletes",AND(Table13[[#This Row],[Gender]]="male",R1340&lt;17),"Fitnesss",AND(Table13[[#This Row],[Gender]]="male",R1340&lt;24.9),"Acceptable",AND(Table13[[#This Row],[Gender]]="male",R1340&lt;40),"Obese",AND(Table13[[#This Row],[Gender]]="others",R1340&lt;20),"Athletes",AND(Table13[[#This Row],[Gender]]="others",R1340&lt;24),"Fitnesss",AND(Table13[[#This Row],[Gender]]="others",R1340&lt;31),"Acceptable",AND(Table13[[#This Row],[Gender]]="others",R1340&lt;40),"Obese")</f>
        <v>Acceptable</v>
      </c>
      <c r="R1340" s="8">
        <v>28.9</v>
      </c>
      <c r="S1340" s="8">
        <v>2.6</v>
      </c>
      <c r="T1340" s="8">
        <v>4</v>
      </c>
      <c r="U1340" s="8">
        <v>1</v>
      </c>
      <c r="V1340" s="8" t="str">
        <f>IF(Table13[[#This Row],[BMI]]&lt;=18.5,"Underweight",IF(Table13[[#This Row],[BMI]]&lt;=24.9,"Normal",IF(Table13[[#This Row],[BMI]]&lt;=29.9,"Overweight",IF(Table13[[#This Row],[BMI]]&lt;=39,"Obese","Severly Obese"))))</f>
        <v>Underweight</v>
      </c>
      <c r="W1340" s="18">
        <v>12.32</v>
      </c>
    </row>
    <row r="1341" spans="6:23" x14ac:dyDescent="0.3">
      <c r="F1341" s="17">
        <v>49</v>
      </c>
      <c r="G1341" s="8" t="str">
        <f>IF(Table13[[#This Row],[Age]]&lt;25,"18-24",IF(Table13[[#This Row],[Age]]&lt;35,"25-34",IF(Table13[[#This Row],[Age]]&lt;45,"35-44",IF(Table13[[#This Row],[Age]]&lt;55,"45-54","55-64"))))</f>
        <v>45-54</v>
      </c>
      <c r="H1341" s="8" t="s">
        <v>17</v>
      </c>
      <c r="I1341" s="8">
        <v>80</v>
      </c>
      <c r="J1341" s="8">
        <v>2</v>
      </c>
      <c r="K1341" s="8">
        <v>162</v>
      </c>
      <c r="L1341" s="8">
        <v>151</v>
      </c>
      <c r="M1341" s="8">
        <v>74</v>
      </c>
      <c r="N1341" s="8">
        <v>1.07</v>
      </c>
      <c r="O1341" s="8"/>
      <c r="P1341" s="8" t="s">
        <v>23</v>
      </c>
      <c r="Q1341" s="8" t="str">
        <f>_xlfn.IFS(AND(Table13[[#This Row],[Gender]]="female",R1341&lt;20),"Athletes",AND(Table13[[#This Row],[Gender]]="female",R1341&lt;24),"Fitnesss",AND(Table13[[#This Row],[Gender]]="female",R1341&lt;31),"Acceptable",AND(Table13[[#This Row],[Gender]]="female",R1341&lt;40),"Obese",AND(Table13[[#This Row],[Gender]]="male",R1341&lt;13),"Athletes",AND(Table13[[#This Row],[Gender]]="male",R1341&lt;17),"Fitnesss",AND(Table13[[#This Row],[Gender]]="male",R1341&lt;24.9),"Acceptable",AND(Table13[[#This Row],[Gender]]="male",R1341&lt;40),"Obese",AND(Table13[[#This Row],[Gender]]="others",R1341&lt;20),"Athletes",AND(Table13[[#This Row],[Gender]]="others",R1341&lt;24),"Fitnesss",AND(Table13[[#This Row],[Gender]]="others",R1341&lt;31),"Acceptable",AND(Table13[[#This Row],[Gender]]="others",R1341&lt;40),"Obese")</f>
        <v>Athletes</v>
      </c>
      <c r="R1341" s="8">
        <v>15.7</v>
      </c>
      <c r="S1341" s="8">
        <v>3.6</v>
      </c>
      <c r="T1341" s="8">
        <v>3</v>
      </c>
      <c r="U1341" s="8">
        <v>2</v>
      </c>
      <c r="V1341" s="8" t="str">
        <f>IF(Table13[[#This Row],[BMI]]&lt;=18.5,"Underweight",IF(Table13[[#This Row],[BMI]]&lt;=24.9,"Normal",IF(Table13[[#This Row],[BMI]]&lt;=29.9,"Overweight",IF(Table13[[#This Row],[BMI]]&lt;=39,"Obese","Severly Obese"))))</f>
        <v>Overweight</v>
      </c>
      <c r="W1341" s="18">
        <v>29.6</v>
      </c>
    </row>
    <row r="1342" spans="6:23" x14ac:dyDescent="0.3">
      <c r="F1342" s="17">
        <v>23</v>
      </c>
      <c r="G1342" s="8" t="str">
        <f>IF(Table13[[#This Row],[Age]]&lt;25,"18-24",IF(Table13[[#This Row],[Age]]&lt;35,"25-34",IF(Table13[[#This Row],[Age]]&lt;45,"35-44",IF(Table13[[#This Row],[Age]]&lt;55,"45-54","55-64"))))</f>
        <v>18-24</v>
      </c>
      <c r="H1342" s="8" t="s">
        <v>17</v>
      </c>
      <c r="I1342" s="8">
        <v>52.6</v>
      </c>
      <c r="J1342" s="8">
        <v>1.78</v>
      </c>
      <c r="K1342" s="8">
        <v>176</v>
      </c>
      <c r="L1342" s="8">
        <v>169</v>
      </c>
      <c r="M1342" s="8">
        <v>53</v>
      </c>
      <c r="N1342" s="8">
        <v>1.1499999999999999</v>
      </c>
      <c r="O1342" s="8">
        <v>1384</v>
      </c>
      <c r="P1342" s="8" t="s">
        <v>20</v>
      </c>
      <c r="Q1342" s="8" t="str">
        <f>_xlfn.IFS(AND(Table13[[#This Row],[Gender]]="female",R1342&lt;20),"Athletes",AND(Table13[[#This Row],[Gender]]="female",R1342&lt;24),"Fitnesss",AND(Table13[[#This Row],[Gender]]="female",R1342&lt;31),"Acceptable",AND(Table13[[#This Row],[Gender]]="female",R1342&lt;40),"Obese",AND(Table13[[#This Row],[Gender]]="male",R1342&lt;13),"Athletes",AND(Table13[[#This Row],[Gender]]="male",R1342&lt;17),"Fitnesss",AND(Table13[[#This Row],[Gender]]="male",R1342&lt;24.9),"Acceptable",AND(Table13[[#This Row],[Gender]]="male",R1342&lt;40),"Obese",AND(Table13[[#This Row],[Gender]]="others",R1342&lt;20),"Athletes",AND(Table13[[#This Row],[Gender]]="others",R1342&lt;24),"Fitnesss",AND(Table13[[#This Row],[Gender]]="others",R1342&lt;31),"Acceptable",AND(Table13[[#This Row],[Gender]]="others",R1342&lt;40),"Obese")</f>
        <v>Obese</v>
      </c>
      <c r="R1342" s="8">
        <v>31.1</v>
      </c>
      <c r="S1342" s="8">
        <v>2.4</v>
      </c>
      <c r="T1342" s="8">
        <v>3</v>
      </c>
      <c r="U1342" s="8">
        <v>2</v>
      </c>
      <c r="V1342" s="8" t="str">
        <f>IF(Table13[[#This Row],[BMI]]&lt;=18.5,"Underweight",IF(Table13[[#This Row],[BMI]]&lt;=24.9,"Normal",IF(Table13[[#This Row],[BMI]]&lt;=29.9,"Overweight",IF(Table13[[#This Row],[BMI]]&lt;=39,"Obese","Severly Obese"))))</f>
        <v>Normal</v>
      </c>
      <c r="W1342" s="18">
        <v>21.08</v>
      </c>
    </row>
    <row r="1343" spans="6:23" x14ac:dyDescent="0.3">
      <c r="F1343" s="17">
        <v>18</v>
      </c>
      <c r="G1343" s="8" t="str">
        <f>IF(Table13[[#This Row],[Age]]&lt;25,"18-24",IF(Table13[[#This Row],[Age]]&lt;35,"25-34",IF(Table13[[#This Row],[Age]]&lt;45,"35-44",IF(Table13[[#This Row],[Age]]&lt;55,"45-54","55-64"))))</f>
        <v>18-24</v>
      </c>
      <c r="H1343" s="8" t="s">
        <v>19</v>
      </c>
      <c r="I1343" s="8">
        <v>57.5</v>
      </c>
      <c r="J1343" s="8">
        <v>1.74</v>
      </c>
      <c r="K1343" s="8">
        <v>193</v>
      </c>
      <c r="L1343" s="8">
        <v>154</v>
      </c>
      <c r="M1343" s="8">
        <v>70</v>
      </c>
      <c r="N1343" s="8">
        <v>1.1599999999999999</v>
      </c>
      <c r="O1343" s="8">
        <v>1358</v>
      </c>
      <c r="P1343" s="8" t="s">
        <v>21</v>
      </c>
      <c r="Q1343" s="8" t="str">
        <f>_xlfn.IFS(AND(Table13[[#This Row],[Gender]]="female",R1343&lt;20),"Athletes",AND(Table13[[#This Row],[Gender]]="female",R1343&lt;24),"Fitnesss",AND(Table13[[#This Row],[Gender]]="female",R1343&lt;31),"Acceptable",AND(Table13[[#This Row],[Gender]]="female",R1343&lt;40),"Obese",AND(Table13[[#This Row],[Gender]]="male",R1343&lt;13),"Athletes",AND(Table13[[#This Row],[Gender]]="male",R1343&lt;17),"Fitnesss",AND(Table13[[#This Row],[Gender]]="male",R1343&lt;24.9),"Acceptable",AND(Table13[[#This Row],[Gender]]="male",R1343&lt;40),"Obese",AND(Table13[[#This Row],[Gender]]="others",R1343&lt;20),"Athletes",AND(Table13[[#This Row],[Gender]]="others",R1343&lt;24),"Fitnesss",AND(Table13[[#This Row],[Gender]]="others",R1343&lt;31),"Acceptable",AND(Table13[[#This Row],[Gender]]="others",R1343&lt;40),"Obese")</f>
        <v>Obese</v>
      </c>
      <c r="R1343" s="8">
        <v>33.9</v>
      </c>
      <c r="S1343" s="8">
        <v>3.7</v>
      </c>
      <c r="T1343" s="8">
        <v>4</v>
      </c>
      <c r="U1343" s="8">
        <v>3</v>
      </c>
      <c r="V1343" s="8" t="str">
        <f>IF(Table13[[#This Row],[BMI]]&lt;=18.5,"Underweight",IF(Table13[[#This Row],[BMI]]&lt;=24.9,"Normal",IF(Table13[[#This Row],[BMI]]&lt;=29.9,"Overweight",IF(Table13[[#This Row],[BMI]]&lt;=39,"Obese","Severly Obese"))))</f>
        <v>Underweight</v>
      </c>
      <c r="W1343" s="18">
        <v>12.32</v>
      </c>
    </row>
    <row r="1344" spans="6:23" x14ac:dyDescent="0.3">
      <c r="F1344" s="17">
        <v>52</v>
      </c>
      <c r="G1344" s="8" t="str">
        <f>IF(Table13[[#This Row],[Age]]&lt;25,"18-24",IF(Table13[[#This Row],[Age]]&lt;35,"25-34",IF(Table13[[#This Row],[Age]]&lt;45,"35-44",IF(Table13[[#This Row],[Age]]&lt;55,"45-54","55-64"))))</f>
        <v>45-54</v>
      </c>
      <c r="H1344" s="8" t="s">
        <v>17</v>
      </c>
      <c r="I1344" s="8">
        <v>45.1</v>
      </c>
      <c r="J1344" s="8">
        <v>1.65</v>
      </c>
      <c r="K1344" s="8">
        <v>165</v>
      </c>
      <c r="L1344" s="8">
        <v>164</v>
      </c>
      <c r="M1344" s="8">
        <v>71</v>
      </c>
      <c r="N1344" s="8">
        <v>1.76</v>
      </c>
      <c r="O1344" s="8">
        <v>1380</v>
      </c>
      <c r="P1344" s="8" t="s">
        <v>22</v>
      </c>
      <c r="Q1344" s="8" t="str">
        <f>_xlfn.IFS(AND(Table13[[#This Row],[Gender]]="female",R1344&lt;20),"Athletes",AND(Table13[[#This Row],[Gender]]="female",R1344&lt;24),"Fitnesss",AND(Table13[[#This Row],[Gender]]="female",R1344&lt;31),"Acceptable",AND(Table13[[#This Row],[Gender]]="female",R1344&lt;40),"Obese",AND(Table13[[#This Row],[Gender]]="male",R1344&lt;13),"Athletes",AND(Table13[[#This Row],[Gender]]="male",R1344&lt;17),"Fitnesss",AND(Table13[[#This Row],[Gender]]="male",R1344&lt;24.9),"Acceptable",AND(Table13[[#This Row],[Gender]]="male",R1344&lt;40),"Obese",AND(Table13[[#This Row],[Gender]]="others",R1344&lt;20),"Athletes",AND(Table13[[#This Row],[Gender]]="others",R1344&lt;24),"Fitnesss",AND(Table13[[#This Row],[Gender]]="others",R1344&lt;31),"Acceptable",AND(Table13[[#This Row],[Gender]]="others",R1344&lt;40),"Obese")</f>
        <v>Fitnesss</v>
      </c>
      <c r="R1344" s="8">
        <v>21.5</v>
      </c>
      <c r="S1344" s="8">
        <v>3.3</v>
      </c>
      <c r="T1344" s="8">
        <v>5</v>
      </c>
      <c r="U1344" s="8">
        <v>1</v>
      </c>
      <c r="V1344" s="8" t="str">
        <f>IF(Table13[[#This Row],[BMI]]&lt;=18.5,"Underweight",IF(Table13[[#This Row],[BMI]]&lt;=24.9,"Normal",IF(Table13[[#This Row],[BMI]]&lt;=29.9,"Overweight",IF(Table13[[#This Row],[BMI]]&lt;=39,"Obese","Severly Obese"))))</f>
        <v>Overweight</v>
      </c>
      <c r="W1344" s="18">
        <v>29.89</v>
      </c>
    </row>
    <row r="1345" spans="6:23" x14ac:dyDescent="0.3">
      <c r="F1345" s="17">
        <v>45</v>
      </c>
      <c r="G1345" s="8" t="str">
        <f>IF(Table13[[#This Row],[Age]]&lt;25,"18-24",IF(Table13[[#This Row],[Age]]&lt;35,"25-34",IF(Table13[[#This Row],[Age]]&lt;45,"35-44",IF(Table13[[#This Row],[Age]]&lt;55,"45-54","55-64"))))</f>
        <v>45-54</v>
      </c>
      <c r="H1345" s="8" t="s">
        <v>19</v>
      </c>
      <c r="I1345" s="8">
        <v>98.7</v>
      </c>
      <c r="J1345" s="8">
        <v>1.77</v>
      </c>
      <c r="K1345" s="8">
        <v>183</v>
      </c>
      <c r="L1345" s="8">
        <v>132</v>
      </c>
      <c r="M1345" s="8">
        <v>74</v>
      </c>
      <c r="N1345" s="8">
        <v>1.32</v>
      </c>
      <c r="O1345" s="8">
        <v>400</v>
      </c>
      <c r="P1345" s="8" t="s">
        <v>20</v>
      </c>
      <c r="Q1345" s="8" t="str">
        <f>_xlfn.IFS(AND(Table13[[#This Row],[Gender]]="female",R1345&lt;20),"Athletes",AND(Table13[[#This Row],[Gender]]="female",R1345&lt;24),"Fitnesss",AND(Table13[[#This Row],[Gender]]="female",R1345&lt;31),"Acceptable",AND(Table13[[#This Row],[Gender]]="female",R1345&lt;40),"Obese",AND(Table13[[#This Row],[Gender]]="male",R1345&lt;13),"Athletes",AND(Table13[[#This Row],[Gender]]="male",R1345&lt;17),"Fitnesss",AND(Table13[[#This Row],[Gender]]="male",R1345&lt;24.9),"Acceptable",AND(Table13[[#This Row],[Gender]]="male",R1345&lt;40),"Obese",AND(Table13[[#This Row],[Gender]]="others",R1345&lt;20),"Athletes",AND(Table13[[#This Row],[Gender]]="others",R1345&lt;24),"Fitnesss",AND(Table13[[#This Row],[Gender]]="others",R1345&lt;31),"Acceptable",AND(Table13[[#This Row],[Gender]]="others",R1345&lt;40),"Obese")</f>
        <v>Acceptable</v>
      </c>
      <c r="R1345" s="8">
        <v>19.5</v>
      </c>
      <c r="S1345" s="8">
        <v>2</v>
      </c>
      <c r="T1345" s="8">
        <v>4</v>
      </c>
      <c r="U1345" s="8">
        <v>2</v>
      </c>
      <c r="V1345" s="8" t="str">
        <f>IF(Table13[[#This Row],[BMI]]&lt;=18.5,"Underweight",IF(Table13[[#This Row],[BMI]]&lt;=24.9,"Normal",IF(Table13[[#This Row],[BMI]]&lt;=29.9,"Overweight",IF(Table13[[#This Row],[BMI]]&lt;=39,"Obese","Severly Obese"))))</f>
        <v>Underweight</v>
      </c>
      <c r="W1345" s="18">
        <v>18.18</v>
      </c>
    </row>
    <row r="1346" spans="6:23" x14ac:dyDescent="0.3">
      <c r="F1346" s="17">
        <v>51</v>
      </c>
      <c r="G1346" s="8" t="str">
        <f>IF(Table13[[#This Row],[Age]]&lt;25,"18-24",IF(Table13[[#This Row],[Age]]&lt;35,"25-34",IF(Table13[[#This Row],[Age]]&lt;45,"35-44",IF(Table13[[#This Row],[Age]]&lt;55,"45-54","55-64"))))</f>
        <v>45-54</v>
      </c>
      <c r="H1346" s="8" t="s">
        <v>19</v>
      </c>
      <c r="I1346" s="8">
        <v>63</v>
      </c>
      <c r="J1346" s="8">
        <v>1.78</v>
      </c>
      <c r="K1346" s="8">
        <v>161</v>
      </c>
      <c r="L1346" s="8">
        <v>152</v>
      </c>
      <c r="M1346" s="8">
        <v>50</v>
      </c>
      <c r="N1346" s="8">
        <v>1.33</v>
      </c>
      <c r="O1346" s="8">
        <v>1339</v>
      </c>
      <c r="P1346" s="8" t="s">
        <v>18</v>
      </c>
      <c r="Q1346" s="8" t="str">
        <f>_xlfn.IFS(AND(Table13[[#This Row],[Gender]]="female",R1346&lt;20),"Athletes",AND(Table13[[#This Row],[Gender]]="female",R1346&lt;24),"Fitnesss",AND(Table13[[#This Row],[Gender]]="female",R1346&lt;31),"Acceptable",AND(Table13[[#This Row],[Gender]]="female",R1346&lt;40),"Obese",AND(Table13[[#This Row],[Gender]]="male",R1346&lt;13),"Athletes",AND(Table13[[#This Row],[Gender]]="male",R1346&lt;17),"Fitnesss",AND(Table13[[#This Row],[Gender]]="male",R1346&lt;24.9),"Acceptable",AND(Table13[[#This Row],[Gender]]="male",R1346&lt;40),"Obese",AND(Table13[[#This Row],[Gender]]="others",R1346&lt;20),"Athletes",AND(Table13[[#This Row],[Gender]]="others",R1346&lt;24),"Fitnesss",AND(Table13[[#This Row],[Gender]]="others",R1346&lt;31),"Acceptable",AND(Table13[[#This Row],[Gender]]="others",R1346&lt;40),"Obese")</f>
        <v>Obese</v>
      </c>
      <c r="R1346" s="8">
        <v>29.1</v>
      </c>
      <c r="S1346" s="8">
        <v>1.8</v>
      </c>
      <c r="T1346" s="8">
        <v>2</v>
      </c>
      <c r="U1346" s="8">
        <v>2</v>
      </c>
      <c r="V1346" s="8" t="str">
        <f>IF(Table13[[#This Row],[BMI]]&lt;=18.5,"Underweight",IF(Table13[[#This Row],[BMI]]&lt;=24.9,"Normal",IF(Table13[[#This Row],[BMI]]&lt;=29.9,"Overweight",IF(Table13[[#This Row],[BMI]]&lt;=39,"Obese","Severly Obese"))))</f>
        <v>Underweight</v>
      </c>
      <c r="W1346" s="18">
        <v>15.95</v>
      </c>
    </row>
    <row r="1347" spans="6:23" x14ac:dyDescent="0.3">
      <c r="F1347" s="17">
        <v>34</v>
      </c>
      <c r="G1347" s="8" t="str">
        <f>IF(Table13[[#This Row],[Age]]&lt;25,"18-24",IF(Table13[[#This Row],[Age]]&lt;35,"25-34",IF(Table13[[#This Row],[Age]]&lt;45,"35-44",IF(Table13[[#This Row],[Age]]&lt;55,"45-54","55-64"))))</f>
        <v>25-34</v>
      </c>
      <c r="H1347" s="8" t="s">
        <v>17</v>
      </c>
      <c r="I1347" s="8">
        <v>101.5</v>
      </c>
      <c r="J1347" s="8">
        <v>1.57</v>
      </c>
      <c r="K1347" s="8">
        <v>184</v>
      </c>
      <c r="L1347" s="8">
        <v>120</v>
      </c>
      <c r="M1347" s="8">
        <v>55</v>
      </c>
      <c r="N1347" s="8">
        <v>1.02</v>
      </c>
      <c r="O1347" s="8">
        <v>601</v>
      </c>
      <c r="P1347" s="8" t="s">
        <v>18</v>
      </c>
      <c r="Q1347" s="8" t="str">
        <f>_xlfn.IFS(AND(Table13[[#This Row],[Gender]]="female",R1347&lt;20),"Athletes",AND(Table13[[#This Row],[Gender]]="female",R1347&lt;24),"Fitnesss",AND(Table13[[#This Row],[Gender]]="female",R1347&lt;31),"Acceptable",AND(Table13[[#This Row],[Gender]]="female",R1347&lt;40),"Obese",AND(Table13[[#This Row],[Gender]]="male",R1347&lt;13),"Athletes",AND(Table13[[#This Row],[Gender]]="male",R1347&lt;17),"Fitnesss",AND(Table13[[#This Row],[Gender]]="male",R1347&lt;24.9),"Acceptable",AND(Table13[[#This Row],[Gender]]="male",R1347&lt;40),"Obese",AND(Table13[[#This Row],[Gender]]="others",R1347&lt;20),"Athletes",AND(Table13[[#This Row],[Gender]]="others",R1347&lt;24),"Fitnesss",AND(Table13[[#This Row],[Gender]]="others",R1347&lt;31),"Acceptable",AND(Table13[[#This Row],[Gender]]="others",R1347&lt;40),"Obese")</f>
        <v>Athletes</v>
      </c>
      <c r="R1347" s="8">
        <v>17.7</v>
      </c>
      <c r="S1347" s="8">
        <v>2.2999999999999998</v>
      </c>
      <c r="T1347" s="8">
        <v>5</v>
      </c>
      <c r="U1347" s="8"/>
      <c r="V1347" s="8" t="str">
        <f>IF(Table13[[#This Row],[BMI]]&lt;=18.5,"Underweight",IF(Table13[[#This Row],[BMI]]&lt;=24.9,"Normal",IF(Table13[[#This Row],[BMI]]&lt;=29.9,"Overweight",IF(Table13[[#This Row],[BMI]]&lt;=39,"Obese","Severly Obese"))))</f>
        <v>Severly Obese</v>
      </c>
      <c r="W1347" s="18">
        <v>46.11</v>
      </c>
    </row>
    <row r="1348" spans="6:23" x14ac:dyDescent="0.3">
      <c r="F1348" s="17">
        <v>18</v>
      </c>
      <c r="G1348" s="8" t="str">
        <f>IF(Table13[[#This Row],[Age]]&lt;25,"18-24",IF(Table13[[#This Row],[Age]]&lt;35,"25-34",IF(Table13[[#This Row],[Age]]&lt;45,"35-44",IF(Table13[[#This Row],[Age]]&lt;55,"45-54","55-64"))))</f>
        <v>18-24</v>
      </c>
      <c r="H1348" s="8" t="s">
        <v>17</v>
      </c>
      <c r="I1348" s="8">
        <v>89.8</v>
      </c>
      <c r="J1348" s="8">
        <v>1.66</v>
      </c>
      <c r="K1348" s="8">
        <v>185</v>
      </c>
      <c r="L1348" s="8">
        <v>140</v>
      </c>
      <c r="M1348" s="8">
        <v>54</v>
      </c>
      <c r="N1348" s="8">
        <v>2</v>
      </c>
      <c r="O1348" s="8">
        <v>1283</v>
      </c>
      <c r="P1348" s="8" t="s">
        <v>21</v>
      </c>
      <c r="Q1348" s="8" t="str">
        <f>_xlfn.IFS(AND(Table13[[#This Row],[Gender]]="female",R1348&lt;20),"Athletes",AND(Table13[[#This Row],[Gender]]="female",R1348&lt;24),"Fitnesss",AND(Table13[[#This Row],[Gender]]="female",R1348&lt;31),"Acceptable",AND(Table13[[#This Row],[Gender]]="female",R1348&lt;40),"Obese",AND(Table13[[#This Row],[Gender]]="male",R1348&lt;13),"Athletes",AND(Table13[[#This Row],[Gender]]="male",R1348&lt;17),"Fitnesss",AND(Table13[[#This Row],[Gender]]="male",R1348&lt;24.9),"Acceptable",AND(Table13[[#This Row],[Gender]]="male",R1348&lt;40),"Obese",AND(Table13[[#This Row],[Gender]]="others",R1348&lt;20),"Athletes",AND(Table13[[#This Row],[Gender]]="others",R1348&lt;24),"Fitnesss",AND(Table13[[#This Row],[Gender]]="others",R1348&lt;31),"Acceptable",AND(Table13[[#This Row],[Gender]]="others",R1348&lt;40),"Obese")</f>
        <v>Acceptable</v>
      </c>
      <c r="R1348" s="8">
        <v>28.4</v>
      </c>
      <c r="S1348" s="8">
        <v>1.9</v>
      </c>
      <c r="T1348" s="8"/>
      <c r="U1348" s="8">
        <v>2</v>
      </c>
      <c r="V1348" s="8" t="str">
        <f>IF(Table13[[#This Row],[BMI]]&lt;=18.5,"Underweight",IF(Table13[[#This Row],[BMI]]&lt;=24.9,"Normal",IF(Table13[[#This Row],[BMI]]&lt;=29.9,"Overweight",IF(Table13[[#This Row],[BMI]]&lt;=39,"Obese","Severly Obese"))))</f>
        <v>Underweight</v>
      </c>
      <c r="W1348" s="18">
        <v>16.690000000000001</v>
      </c>
    </row>
    <row r="1349" spans="6:23" x14ac:dyDescent="0.3">
      <c r="F1349" s="17">
        <v>42</v>
      </c>
      <c r="G1349" s="8" t="str">
        <f>IF(Table13[[#This Row],[Age]]&lt;25,"18-24",IF(Table13[[#This Row],[Age]]&lt;35,"25-34",IF(Table13[[#This Row],[Age]]&lt;45,"35-44",IF(Table13[[#This Row],[Age]]&lt;55,"45-54","55-64"))))</f>
        <v>35-44</v>
      </c>
      <c r="H1349" s="8" t="s">
        <v>19</v>
      </c>
      <c r="I1349" s="8">
        <v>43.5</v>
      </c>
      <c r="J1349" s="8">
        <v>1.56</v>
      </c>
      <c r="K1349" s="8">
        <v>192</v>
      </c>
      <c r="L1349" s="8">
        <v>159</v>
      </c>
      <c r="M1349" s="8">
        <v>57</v>
      </c>
      <c r="N1349" s="8">
        <v>1.96</v>
      </c>
      <c r="O1349" s="8">
        <v>555</v>
      </c>
      <c r="P1349" s="8" t="s">
        <v>23</v>
      </c>
      <c r="Q1349" s="8" t="str">
        <f>_xlfn.IFS(AND(Table13[[#This Row],[Gender]]="female",R1349&lt;20),"Athletes",AND(Table13[[#This Row],[Gender]]="female",R1349&lt;24),"Fitnesss",AND(Table13[[#This Row],[Gender]]="female",R1349&lt;31),"Acceptable",AND(Table13[[#This Row],[Gender]]="female",R1349&lt;40),"Obese",AND(Table13[[#This Row],[Gender]]="male",R1349&lt;13),"Athletes",AND(Table13[[#This Row],[Gender]]="male",R1349&lt;17),"Fitnesss",AND(Table13[[#This Row],[Gender]]="male",R1349&lt;24.9),"Acceptable",AND(Table13[[#This Row],[Gender]]="male",R1349&lt;40),"Obese",AND(Table13[[#This Row],[Gender]]="others",R1349&lt;20),"Athletes",AND(Table13[[#This Row],[Gender]]="others",R1349&lt;24),"Fitnesss",AND(Table13[[#This Row],[Gender]]="others",R1349&lt;31),"Acceptable",AND(Table13[[#This Row],[Gender]]="others",R1349&lt;40),"Obese")</f>
        <v>Obese</v>
      </c>
      <c r="R1349" s="8">
        <v>25.3</v>
      </c>
      <c r="S1349" s="8">
        <v>3.6</v>
      </c>
      <c r="T1349" s="8">
        <v>3</v>
      </c>
      <c r="U1349" s="8">
        <v>2</v>
      </c>
      <c r="V1349" s="8" t="str">
        <f>IF(Table13[[#This Row],[BMI]]&lt;=18.5,"Underweight",IF(Table13[[#This Row],[BMI]]&lt;=24.9,"Normal",IF(Table13[[#This Row],[BMI]]&lt;=29.9,"Overweight",IF(Table13[[#This Row],[BMI]]&lt;=39,"Obese","Severly Obese"))))</f>
        <v>Overweight</v>
      </c>
      <c r="W1349" s="18">
        <v>28.64</v>
      </c>
    </row>
    <row r="1350" spans="6:23" x14ac:dyDescent="0.3">
      <c r="F1350" s="17">
        <v>28</v>
      </c>
      <c r="G1350" s="8" t="str">
        <f>IF(Table13[[#This Row],[Age]]&lt;25,"18-24",IF(Table13[[#This Row],[Age]]&lt;35,"25-34",IF(Table13[[#This Row],[Age]]&lt;45,"35-44",IF(Table13[[#This Row],[Age]]&lt;55,"45-54","55-64"))))</f>
        <v>25-34</v>
      </c>
      <c r="H1350" s="8" t="s">
        <v>17</v>
      </c>
      <c r="I1350" s="8">
        <v>121.1</v>
      </c>
      <c r="J1350" s="8">
        <v>1.75</v>
      </c>
      <c r="K1350" s="8">
        <v>163</v>
      </c>
      <c r="L1350" s="8">
        <v>149</v>
      </c>
      <c r="M1350" s="8">
        <v>68</v>
      </c>
      <c r="N1350" s="8">
        <v>1.57</v>
      </c>
      <c r="O1350" s="8">
        <v>716</v>
      </c>
      <c r="P1350" s="8" t="s">
        <v>18</v>
      </c>
      <c r="Q1350" s="8" t="str">
        <f>_xlfn.IFS(AND(Table13[[#This Row],[Gender]]="female",R1350&lt;20),"Athletes",AND(Table13[[#This Row],[Gender]]="female",R1350&lt;24),"Fitnesss",AND(Table13[[#This Row],[Gender]]="female",R1350&lt;31),"Acceptable",AND(Table13[[#This Row],[Gender]]="female",R1350&lt;40),"Obese",AND(Table13[[#This Row],[Gender]]="male",R1350&lt;13),"Athletes",AND(Table13[[#This Row],[Gender]]="male",R1350&lt;17),"Fitnesss",AND(Table13[[#This Row],[Gender]]="male",R1350&lt;24.9),"Acceptable",AND(Table13[[#This Row],[Gender]]="male",R1350&lt;40),"Obese",AND(Table13[[#This Row],[Gender]]="others",R1350&lt;20),"Athletes",AND(Table13[[#This Row],[Gender]]="others",R1350&lt;24),"Fitnesss",AND(Table13[[#This Row],[Gender]]="others",R1350&lt;31),"Acceptable",AND(Table13[[#This Row],[Gender]]="others",R1350&lt;40),"Obese")</f>
        <v>Fitnesss</v>
      </c>
      <c r="R1350" s="8">
        <v>21</v>
      </c>
      <c r="S1350" s="8">
        <v>3.3</v>
      </c>
      <c r="T1350" s="8">
        <v>5</v>
      </c>
      <c r="U1350" s="8">
        <v>1</v>
      </c>
      <c r="V1350" s="8" t="str">
        <f>IF(Table13[[#This Row],[BMI]]&lt;=18.5,"Underweight",IF(Table13[[#This Row],[BMI]]&lt;=24.9,"Normal",IF(Table13[[#This Row],[BMI]]&lt;=29.9,"Overweight",IF(Table13[[#This Row],[BMI]]&lt;=39,"Obese","Severly Obese"))))</f>
        <v>Overweight</v>
      </c>
      <c r="W1350" s="18">
        <v>26.5</v>
      </c>
    </row>
    <row r="1351" spans="6:23" x14ac:dyDescent="0.3">
      <c r="F1351" s="17">
        <v>18</v>
      </c>
      <c r="G1351" s="8" t="str">
        <f>IF(Table13[[#This Row],[Age]]&lt;25,"18-24",IF(Table13[[#This Row],[Age]]&lt;35,"25-34",IF(Table13[[#This Row],[Age]]&lt;45,"35-44",IF(Table13[[#This Row],[Age]]&lt;55,"45-54","55-64"))))</f>
        <v>18-24</v>
      </c>
      <c r="H1351" s="8" t="s">
        <v>19</v>
      </c>
      <c r="I1351" s="8">
        <v>46.3</v>
      </c>
      <c r="J1351" s="8">
        <v>2</v>
      </c>
      <c r="K1351" s="8">
        <v>167</v>
      </c>
      <c r="L1351" s="8">
        <v>169</v>
      </c>
      <c r="M1351" s="8">
        <v>64</v>
      </c>
      <c r="N1351" s="8">
        <v>1.29</v>
      </c>
      <c r="O1351" s="8">
        <v>1556</v>
      </c>
      <c r="P1351" s="8" t="s">
        <v>22</v>
      </c>
      <c r="Q1351" s="8" t="str">
        <f>_xlfn.IFS(AND(Table13[[#This Row],[Gender]]="female",R1351&lt;20),"Athletes",AND(Table13[[#This Row],[Gender]]="female",R1351&lt;24),"Fitnesss",AND(Table13[[#This Row],[Gender]]="female",R1351&lt;31),"Acceptable",AND(Table13[[#This Row],[Gender]]="female",R1351&lt;40),"Obese",AND(Table13[[#This Row],[Gender]]="male",R1351&lt;13),"Athletes",AND(Table13[[#This Row],[Gender]]="male",R1351&lt;17),"Fitnesss",AND(Table13[[#This Row],[Gender]]="male",R1351&lt;24.9),"Acceptable",AND(Table13[[#This Row],[Gender]]="male",R1351&lt;40),"Obese",AND(Table13[[#This Row],[Gender]]="others",R1351&lt;20),"Athletes",AND(Table13[[#This Row],[Gender]]="others",R1351&lt;24),"Fitnesss",AND(Table13[[#This Row],[Gender]]="others",R1351&lt;31),"Acceptable",AND(Table13[[#This Row],[Gender]]="others",R1351&lt;40),"Obese")</f>
        <v>Acceptable</v>
      </c>
      <c r="R1351" s="8">
        <v>22.5</v>
      </c>
      <c r="S1351" s="8">
        <v>2.6</v>
      </c>
      <c r="T1351" s="8">
        <v>2</v>
      </c>
      <c r="U1351" s="8">
        <v>3</v>
      </c>
      <c r="V1351" s="8" t="str">
        <f>IF(Table13[[#This Row],[BMI]]&lt;=18.5,"Underweight",IF(Table13[[#This Row],[BMI]]&lt;=24.9,"Normal",IF(Table13[[#This Row],[BMI]]&lt;=29.9,"Overweight",IF(Table13[[#This Row],[BMI]]&lt;=39,"Obese","Severly Obese"))))</f>
        <v>Underweight</v>
      </c>
      <c r="W1351" s="18">
        <v>17.38</v>
      </c>
    </row>
    <row r="1352" spans="6:23" x14ac:dyDescent="0.3">
      <c r="F1352" s="17">
        <v>35</v>
      </c>
      <c r="G1352" s="8" t="str">
        <f>IF(Table13[[#This Row],[Age]]&lt;25,"18-24",IF(Table13[[#This Row],[Age]]&lt;35,"25-34",IF(Table13[[#This Row],[Age]]&lt;45,"35-44",IF(Table13[[#This Row],[Age]]&lt;55,"45-54","55-64"))))</f>
        <v>35-44</v>
      </c>
      <c r="H1352" s="8" t="s">
        <v>19</v>
      </c>
      <c r="I1352" s="8">
        <v>40</v>
      </c>
      <c r="J1352" s="8">
        <v>1.71</v>
      </c>
      <c r="K1352" s="8">
        <v>162</v>
      </c>
      <c r="L1352" s="8">
        <v>133</v>
      </c>
      <c r="M1352" s="8">
        <v>69</v>
      </c>
      <c r="N1352" s="8">
        <v>1.99</v>
      </c>
      <c r="O1352" s="8">
        <v>840</v>
      </c>
      <c r="P1352" s="8" t="s">
        <v>22</v>
      </c>
      <c r="Q1352" s="8" t="str">
        <f>_xlfn.IFS(AND(Table13[[#This Row],[Gender]]="female",R1352&lt;20),"Athletes",AND(Table13[[#This Row],[Gender]]="female",R1352&lt;24),"Fitnesss",AND(Table13[[#This Row],[Gender]]="female",R1352&lt;31),"Acceptable",AND(Table13[[#This Row],[Gender]]="female",R1352&lt;40),"Obese",AND(Table13[[#This Row],[Gender]]="male",R1352&lt;13),"Athletes",AND(Table13[[#This Row],[Gender]]="male",R1352&lt;17),"Fitnesss",AND(Table13[[#This Row],[Gender]]="male",R1352&lt;24.9),"Acceptable",AND(Table13[[#This Row],[Gender]]="male",R1352&lt;40),"Obese",AND(Table13[[#This Row],[Gender]]="others",R1352&lt;20),"Athletes",AND(Table13[[#This Row],[Gender]]="others",R1352&lt;24),"Fitnesss",AND(Table13[[#This Row],[Gender]]="others",R1352&lt;31),"Acceptable",AND(Table13[[#This Row],[Gender]]="others",R1352&lt;40),"Obese")</f>
        <v>Acceptable</v>
      </c>
      <c r="R1352" s="8">
        <v>20.2</v>
      </c>
      <c r="S1352" s="8">
        <v>3.2</v>
      </c>
      <c r="T1352" s="8">
        <v>4</v>
      </c>
      <c r="U1352" s="8">
        <v>2</v>
      </c>
      <c r="V1352" s="8" t="str">
        <f>IF(Table13[[#This Row],[BMI]]&lt;=18.5,"Underweight",IF(Table13[[#This Row],[BMI]]&lt;=24.9,"Normal",IF(Table13[[#This Row],[BMI]]&lt;=29.9,"Overweight",IF(Table13[[#This Row],[BMI]]&lt;=39,"Obese","Severly Obese"))))</f>
        <v>Overweight</v>
      </c>
      <c r="W1352" s="18">
        <v>27.14</v>
      </c>
    </row>
    <row r="1353" spans="6:23" x14ac:dyDescent="0.3">
      <c r="F1353" s="17">
        <v>56</v>
      </c>
      <c r="G1353" s="8" t="str">
        <f>IF(Table13[[#This Row],[Age]]&lt;25,"18-24",IF(Table13[[#This Row],[Age]]&lt;35,"25-34",IF(Table13[[#This Row],[Age]]&lt;45,"35-44",IF(Table13[[#This Row],[Age]]&lt;55,"45-54","55-64"))))</f>
        <v>55-64</v>
      </c>
      <c r="H1353" s="8" t="s">
        <v>17</v>
      </c>
      <c r="I1353" s="8">
        <v>64.2</v>
      </c>
      <c r="J1353" s="8">
        <v>1.79</v>
      </c>
      <c r="K1353" s="8">
        <v>196</v>
      </c>
      <c r="L1353" s="8">
        <v>165</v>
      </c>
      <c r="M1353" s="8">
        <v>58</v>
      </c>
      <c r="N1353" s="8">
        <v>0.97</v>
      </c>
      <c r="O1353" s="8">
        <v>667</v>
      </c>
      <c r="P1353" s="8" t="s">
        <v>20</v>
      </c>
      <c r="Q1353" s="8" t="str">
        <f>_xlfn.IFS(AND(Table13[[#This Row],[Gender]]="female",R1353&lt;20),"Athletes",AND(Table13[[#This Row],[Gender]]="female",R1353&lt;24),"Fitnesss",AND(Table13[[#This Row],[Gender]]="female",R1353&lt;31),"Acceptable",AND(Table13[[#This Row],[Gender]]="female",R1353&lt;40),"Obese",AND(Table13[[#This Row],[Gender]]="male",R1353&lt;13),"Athletes",AND(Table13[[#This Row],[Gender]]="male",R1353&lt;17),"Fitnesss",AND(Table13[[#This Row],[Gender]]="male",R1353&lt;24.9),"Acceptable",AND(Table13[[#This Row],[Gender]]="male",R1353&lt;40),"Obese",AND(Table13[[#This Row],[Gender]]="others",R1353&lt;20),"Athletes",AND(Table13[[#This Row],[Gender]]="others",R1353&lt;24),"Fitnesss",AND(Table13[[#This Row],[Gender]]="others",R1353&lt;31),"Acceptable",AND(Table13[[#This Row],[Gender]]="others",R1353&lt;40),"Obese")</f>
        <v>Athletes</v>
      </c>
      <c r="R1353" s="8">
        <v>15.9</v>
      </c>
      <c r="S1353" s="8">
        <v>3.3</v>
      </c>
      <c r="T1353" s="8">
        <v>4</v>
      </c>
      <c r="U1353" s="8">
        <v>1</v>
      </c>
      <c r="V1353" s="8" t="str">
        <f>IF(Table13[[#This Row],[BMI]]&lt;=18.5,"Underweight",IF(Table13[[#This Row],[BMI]]&lt;=24.9,"Normal",IF(Table13[[#This Row],[BMI]]&lt;=29.9,"Overweight",IF(Table13[[#This Row],[BMI]]&lt;=39,"Obese","Severly Obese"))))</f>
        <v>Underweight</v>
      </c>
      <c r="W1353" s="18">
        <v>12.32</v>
      </c>
    </row>
    <row r="1354" spans="6:23" x14ac:dyDescent="0.3">
      <c r="F1354" s="17">
        <v>18</v>
      </c>
      <c r="G1354" s="8" t="str">
        <f>IF(Table13[[#This Row],[Age]]&lt;25,"18-24",IF(Table13[[#This Row],[Age]]&lt;35,"25-34",IF(Table13[[#This Row],[Age]]&lt;45,"35-44",IF(Table13[[#This Row],[Age]]&lt;55,"45-54","55-64"))))</f>
        <v>18-24</v>
      </c>
      <c r="H1354" s="8" t="s">
        <v>17</v>
      </c>
      <c r="I1354" s="8">
        <v>56</v>
      </c>
      <c r="J1354" s="8">
        <v>1.82</v>
      </c>
      <c r="K1354" s="8">
        <v>170</v>
      </c>
      <c r="L1354" s="8">
        <v>131</v>
      </c>
      <c r="M1354" s="8">
        <v>62</v>
      </c>
      <c r="N1354" s="8">
        <v>1.55</v>
      </c>
      <c r="O1354" s="8">
        <v>1249</v>
      </c>
      <c r="P1354" s="8" t="s">
        <v>21</v>
      </c>
      <c r="Q1354" s="8" t="str">
        <f>_xlfn.IFS(AND(Table13[[#This Row],[Gender]]="female",R1354&lt;20),"Athletes",AND(Table13[[#This Row],[Gender]]="female",R1354&lt;24),"Fitnesss",AND(Table13[[#This Row],[Gender]]="female",R1354&lt;31),"Acceptable",AND(Table13[[#This Row],[Gender]]="female",R1354&lt;40),"Obese",AND(Table13[[#This Row],[Gender]]="male",R1354&lt;13),"Athletes",AND(Table13[[#This Row],[Gender]]="male",R1354&lt;17),"Fitnesss",AND(Table13[[#This Row],[Gender]]="male",R1354&lt;24.9),"Acceptable",AND(Table13[[#This Row],[Gender]]="male",R1354&lt;40),"Obese",AND(Table13[[#This Row],[Gender]]="others",R1354&lt;20),"Athletes",AND(Table13[[#This Row],[Gender]]="others",R1354&lt;24),"Fitnesss",AND(Table13[[#This Row],[Gender]]="others",R1354&lt;31),"Acceptable",AND(Table13[[#This Row],[Gender]]="others",R1354&lt;40),"Obese")</f>
        <v>Athletes</v>
      </c>
      <c r="R1354" s="8"/>
      <c r="S1354" s="8">
        <v>2</v>
      </c>
      <c r="T1354" s="8">
        <v>3</v>
      </c>
      <c r="U1354" s="8">
        <v>3</v>
      </c>
      <c r="V1354" s="8" t="str">
        <f>IF(Table13[[#This Row],[BMI]]&lt;=18.5,"Underweight",IF(Table13[[#This Row],[BMI]]&lt;=24.9,"Normal",IF(Table13[[#This Row],[BMI]]&lt;=29.9,"Overweight",IF(Table13[[#This Row],[BMI]]&lt;=39,"Obese","Severly Obese"))))</f>
        <v>Underweight</v>
      </c>
      <c r="W1354" s="18">
        <v>15.72</v>
      </c>
    </row>
    <row r="1355" spans="6:23" x14ac:dyDescent="0.3">
      <c r="F1355" s="17">
        <v>45</v>
      </c>
      <c r="G1355" s="8" t="str">
        <f>IF(Table13[[#This Row],[Age]]&lt;25,"18-24",IF(Table13[[#This Row],[Age]]&lt;35,"25-34",IF(Table13[[#This Row],[Age]]&lt;45,"35-44",IF(Table13[[#This Row],[Age]]&lt;55,"45-54","55-64"))))</f>
        <v>45-54</v>
      </c>
      <c r="H1355" s="8" t="s">
        <v>19</v>
      </c>
      <c r="I1355" s="8">
        <v>43.8</v>
      </c>
      <c r="J1355" s="8"/>
      <c r="K1355" s="8">
        <v>161</v>
      </c>
      <c r="L1355" s="8">
        <v>169</v>
      </c>
      <c r="M1355" s="8">
        <v>72</v>
      </c>
      <c r="N1355" s="8">
        <v>1.97</v>
      </c>
      <c r="O1355" s="8">
        <v>1783</v>
      </c>
      <c r="P1355" s="8" t="s">
        <v>21</v>
      </c>
      <c r="Q1355" s="8" t="str">
        <f>_xlfn.IFS(AND(Table13[[#This Row],[Gender]]="female",R1355&lt;20),"Athletes",AND(Table13[[#This Row],[Gender]]="female",R1355&lt;24),"Fitnesss",AND(Table13[[#This Row],[Gender]]="female",R1355&lt;31),"Acceptable",AND(Table13[[#This Row],[Gender]]="female",R1355&lt;40),"Obese",AND(Table13[[#This Row],[Gender]]="male",R1355&lt;13),"Athletes",AND(Table13[[#This Row],[Gender]]="male",R1355&lt;17),"Fitnesss",AND(Table13[[#This Row],[Gender]]="male",R1355&lt;24.9),"Acceptable",AND(Table13[[#This Row],[Gender]]="male",R1355&lt;40),"Obese",AND(Table13[[#This Row],[Gender]]="others",R1355&lt;20),"Athletes",AND(Table13[[#This Row],[Gender]]="others",R1355&lt;24),"Fitnesss",AND(Table13[[#This Row],[Gender]]="others",R1355&lt;31),"Acceptable",AND(Table13[[#This Row],[Gender]]="others",R1355&lt;40),"Obese")</f>
        <v>Obese</v>
      </c>
      <c r="R1355" s="8">
        <v>24.9</v>
      </c>
      <c r="S1355" s="8">
        <v>3.5</v>
      </c>
      <c r="T1355" s="8">
        <v>4</v>
      </c>
      <c r="U1355" s="8">
        <v>3</v>
      </c>
      <c r="V1355" s="8" t="str">
        <f>IF(Table13[[#This Row],[BMI]]&lt;=18.5,"Underweight",IF(Table13[[#This Row],[BMI]]&lt;=24.9,"Normal",IF(Table13[[#This Row],[BMI]]&lt;=29.9,"Overweight",IF(Table13[[#This Row],[BMI]]&lt;=39,"Obese","Severly Obese"))))</f>
        <v>Underweight</v>
      </c>
      <c r="W1355" s="18">
        <v>15.83</v>
      </c>
    </row>
    <row r="1356" spans="6:23" x14ac:dyDescent="0.3">
      <c r="F1356" s="17">
        <v>32</v>
      </c>
      <c r="G1356" s="8" t="str">
        <f>IF(Table13[[#This Row],[Age]]&lt;25,"18-24",IF(Table13[[#This Row],[Age]]&lt;35,"25-34",IF(Table13[[#This Row],[Age]]&lt;45,"35-44",IF(Table13[[#This Row],[Age]]&lt;55,"45-54","55-64"))))</f>
        <v>25-34</v>
      </c>
      <c r="H1356" s="8" t="s">
        <v>17</v>
      </c>
      <c r="I1356" s="8">
        <v>90.5</v>
      </c>
      <c r="J1356" s="8">
        <v>1.63</v>
      </c>
      <c r="K1356" s="8">
        <v>184</v>
      </c>
      <c r="L1356" s="8">
        <v>166</v>
      </c>
      <c r="M1356" s="8">
        <v>50</v>
      </c>
      <c r="N1356" s="8">
        <v>1.46</v>
      </c>
      <c r="O1356" s="8">
        <v>1217</v>
      </c>
      <c r="P1356" s="8" t="s">
        <v>18</v>
      </c>
      <c r="Q1356" s="8" t="str">
        <f>_xlfn.IFS(AND(Table13[[#This Row],[Gender]]="female",R1356&lt;20),"Athletes",AND(Table13[[#This Row],[Gender]]="female",R1356&lt;24),"Fitnesss",AND(Table13[[#This Row],[Gender]]="female",R1356&lt;31),"Acceptable",AND(Table13[[#This Row],[Gender]]="female",R1356&lt;40),"Obese",AND(Table13[[#This Row],[Gender]]="male",R1356&lt;13),"Athletes",AND(Table13[[#This Row],[Gender]]="male",R1356&lt;17),"Fitnesss",AND(Table13[[#This Row],[Gender]]="male",R1356&lt;24.9),"Acceptable",AND(Table13[[#This Row],[Gender]]="male",R1356&lt;40),"Obese",AND(Table13[[#This Row],[Gender]]="others",R1356&lt;20),"Athletes",AND(Table13[[#This Row],[Gender]]="others",R1356&lt;24),"Fitnesss",AND(Table13[[#This Row],[Gender]]="others",R1356&lt;31),"Acceptable",AND(Table13[[#This Row],[Gender]]="others",R1356&lt;40),"Obese")</f>
        <v>Obese</v>
      </c>
      <c r="R1356" s="8">
        <v>31.3</v>
      </c>
      <c r="S1356" s="8">
        <v>2</v>
      </c>
      <c r="T1356" s="8">
        <v>5</v>
      </c>
      <c r="U1356" s="8">
        <v>1</v>
      </c>
      <c r="V1356" s="8" t="str">
        <f>IF(Table13[[#This Row],[BMI]]&lt;=18.5,"Underweight",IF(Table13[[#This Row],[BMI]]&lt;=24.9,"Normal",IF(Table13[[#This Row],[BMI]]&lt;=29.9,"Overweight",IF(Table13[[#This Row],[BMI]]&lt;=39,"Obese","Severly Obese"))))</f>
        <v>Underweight</v>
      </c>
      <c r="W1356" s="18">
        <v>12.99</v>
      </c>
    </row>
    <row r="1357" spans="6:23" x14ac:dyDescent="0.3">
      <c r="F1357" s="17">
        <v>42</v>
      </c>
      <c r="G1357" s="8" t="str">
        <f>IF(Table13[[#This Row],[Age]]&lt;25,"18-24",IF(Table13[[#This Row],[Age]]&lt;35,"25-34",IF(Table13[[#This Row],[Age]]&lt;45,"35-44",IF(Table13[[#This Row],[Age]]&lt;55,"45-54","55-64"))))</f>
        <v>35-44</v>
      </c>
      <c r="H1357" s="8" t="s">
        <v>17</v>
      </c>
      <c r="I1357" s="8">
        <v>40</v>
      </c>
      <c r="J1357" s="8">
        <v>1.81</v>
      </c>
      <c r="K1357" s="8">
        <v>177</v>
      </c>
      <c r="L1357" s="8">
        <v>145</v>
      </c>
      <c r="M1357" s="8">
        <v>59</v>
      </c>
      <c r="N1357" s="8">
        <v>1.71</v>
      </c>
      <c r="O1357" s="8">
        <v>1065</v>
      </c>
      <c r="P1357" s="8" t="s">
        <v>21</v>
      </c>
      <c r="Q1357" s="8" t="str">
        <f>_xlfn.IFS(AND(Table13[[#This Row],[Gender]]="female",R1357&lt;20),"Athletes",AND(Table13[[#This Row],[Gender]]="female",R1357&lt;24),"Fitnesss",AND(Table13[[#This Row],[Gender]]="female",R1357&lt;31),"Acceptable",AND(Table13[[#This Row],[Gender]]="female",R1357&lt;40),"Obese",AND(Table13[[#This Row],[Gender]]="male",R1357&lt;13),"Athletes",AND(Table13[[#This Row],[Gender]]="male",R1357&lt;17),"Fitnesss",AND(Table13[[#This Row],[Gender]]="male",R1357&lt;24.9),"Acceptable",AND(Table13[[#This Row],[Gender]]="male",R1357&lt;40),"Obese",AND(Table13[[#This Row],[Gender]]="others",R1357&lt;20),"Athletes",AND(Table13[[#This Row],[Gender]]="others",R1357&lt;24),"Fitnesss",AND(Table13[[#This Row],[Gender]]="others",R1357&lt;31),"Acceptable",AND(Table13[[#This Row],[Gender]]="others",R1357&lt;40),"Obese")</f>
        <v>Acceptable</v>
      </c>
      <c r="R1357" s="8">
        <v>26.6</v>
      </c>
      <c r="S1357" s="8">
        <v>1.5</v>
      </c>
      <c r="T1357" s="8">
        <v>3</v>
      </c>
      <c r="U1357" s="8">
        <v>1</v>
      </c>
      <c r="V1357" s="8" t="str">
        <f>IF(Table13[[#This Row],[BMI]]&lt;=18.5,"Underweight",IF(Table13[[#This Row],[BMI]]&lt;=24.9,"Normal",IF(Table13[[#This Row],[BMI]]&lt;=29.9,"Overweight",IF(Table13[[#This Row],[BMI]]&lt;=39,"Obese","Severly Obese"))))</f>
        <v>Normal</v>
      </c>
      <c r="W1357" s="18">
        <v>23.25</v>
      </c>
    </row>
    <row r="1358" spans="6:23" x14ac:dyDescent="0.3">
      <c r="F1358" s="17">
        <v>54</v>
      </c>
      <c r="G1358" s="8" t="str">
        <f>IF(Table13[[#This Row],[Age]]&lt;25,"18-24",IF(Table13[[#This Row],[Age]]&lt;35,"25-34",IF(Table13[[#This Row],[Age]]&lt;45,"35-44",IF(Table13[[#This Row],[Age]]&lt;55,"45-54","55-64"))))</f>
        <v>45-54</v>
      </c>
      <c r="H1358" s="8" t="s">
        <v>19</v>
      </c>
      <c r="I1358" s="8">
        <v>72.599999999999994</v>
      </c>
      <c r="J1358" s="8">
        <v>1.56</v>
      </c>
      <c r="K1358" s="8">
        <v>172</v>
      </c>
      <c r="L1358" s="8">
        <v>165</v>
      </c>
      <c r="M1358" s="8">
        <v>69</v>
      </c>
      <c r="N1358" s="8">
        <v>1.26</v>
      </c>
      <c r="O1358" s="8">
        <v>966</v>
      </c>
      <c r="P1358" s="8" t="s">
        <v>21</v>
      </c>
      <c r="Q1358" s="8" t="str">
        <f>_xlfn.IFS(AND(Table13[[#This Row],[Gender]]="female",R1358&lt;20),"Athletes",AND(Table13[[#This Row],[Gender]]="female",R1358&lt;24),"Fitnesss",AND(Table13[[#This Row],[Gender]]="female",R1358&lt;31),"Acceptable",AND(Table13[[#This Row],[Gender]]="female",R1358&lt;40),"Obese",AND(Table13[[#This Row],[Gender]]="male",R1358&lt;13),"Athletes",AND(Table13[[#This Row],[Gender]]="male",R1358&lt;17),"Fitnesss",AND(Table13[[#This Row],[Gender]]="male",R1358&lt;24.9),"Acceptable",AND(Table13[[#This Row],[Gender]]="male",R1358&lt;40),"Obese",AND(Table13[[#This Row],[Gender]]="others",R1358&lt;20),"Athletes",AND(Table13[[#This Row],[Gender]]="others",R1358&lt;24),"Fitnesss",AND(Table13[[#This Row],[Gender]]="others",R1358&lt;31),"Acceptable",AND(Table13[[#This Row],[Gender]]="others",R1358&lt;40),"Obese")</f>
        <v>Obese</v>
      </c>
      <c r="R1358" s="8">
        <v>26.1</v>
      </c>
      <c r="S1358" s="8">
        <v>3.5</v>
      </c>
      <c r="T1358" s="8">
        <v>2</v>
      </c>
      <c r="U1358" s="8">
        <v>1</v>
      </c>
      <c r="V1358" s="8" t="str">
        <f>IF(Table13[[#This Row],[BMI]]&lt;=18.5,"Underweight",IF(Table13[[#This Row],[BMI]]&lt;=24.9,"Normal",IF(Table13[[#This Row],[BMI]]&lt;=29.9,"Overweight",IF(Table13[[#This Row],[BMI]]&lt;=39,"Obese","Severly Obese"))))</f>
        <v>Obese</v>
      </c>
      <c r="W1358" s="18">
        <v>31.41</v>
      </c>
    </row>
    <row r="1359" spans="6:23" x14ac:dyDescent="0.3">
      <c r="F1359" s="17">
        <v>18</v>
      </c>
      <c r="G1359" s="8" t="str">
        <f>IF(Table13[[#This Row],[Age]]&lt;25,"18-24",IF(Table13[[#This Row],[Age]]&lt;35,"25-34",IF(Table13[[#This Row],[Age]]&lt;45,"35-44",IF(Table13[[#This Row],[Age]]&lt;55,"45-54","55-64"))))</f>
        <v>18-24</v>
      </c>
      <c r="H1359" s="8" t="s">
        <v>19</v>
      </c>
      <c r="I1359" s="8">
        <v>40</v>
      </c>
      <c r="J1359" s="8">
        <v>1.58</v>
      </c>
      <c r="K1359" s="8"/>
      <c r="L1359" s="8">
        <v>164</v>
      </c>
      <c r="M1359" s="8">
        <v>52</v>
      </c>
      <c r="N1359" s="8">
        <v>1.08</v>
      </c>
      <c r="O1359" s="8">
        <v>1262</v>
      </c>
      <c r="P1359" s="8" t="s">
        <v>21</v>
      </c>
      <c r="Q1359" s="8" t="str">
        <f>_xlfn.IFS(AND(Table13[[#This Row],[Gender]]="female",R1359&lt;20),"Athletes",AND(Table13[[#This Row],[Gender]]="female",R1359&lt;24),"Fitnesss",AND(Table13[[#This Row],[Gender]]="female",R1359&lt;31),"Acceptable",AND(Table13[[#This Row],[Gender]]="female",R1359&lt;40),"Obese",AND(Table13[[#This Row],[Gender]]="male",R1359&lt;13),"Athletes",AND(Table13[[#This Row],[Gender]]="male",R1359&lt;17),"Fitnesss",AND(Table13[[#This Row],[Gender]]="male",R1359&lt;24.9),"Acceptable",AND(Table13[[#This Row],[Gender]]="male",R1359&lt;40),"Obese",AND(Table13[[#This Row],[Gender]]="others",R1359&lt;20),"Athletes",AND(Table13[[#This Row],[Gender]]="others",R1359&lt;24),"Fitnesss",AND(Table13[[#This Row],[Gender]]="others",R1359&lt;31),"Acceptable",AND(Table13[[#This Row],[Gender]]="others",R1359&lt;40),"Obese")</f>
        <v>Acceptable</v>
      </c>
      <c r="R1359" s="8">
        <v>24.7</v>
      </c>
      <c r="S1359" s="8">
        <v>3.2</v>
      </c>
      <c r="T1359" s="8">
        <v>4</v>
      </c>
      <c r="U1359" s="8">
        <v>1</v>
      </c>
      <c r="V1359" s="8" t="str">
        <f>IF(Table13[[#This Row],[BMI]]&lt;=18.5,"Underweight",IF(Table13[[#This Row],[BMI]]&lt;=24.9,"Normal",IF(Table13[[#This Row],[BMI]]&lt;=29.9,"Overweight",IF(Table13[[#This Row],[BMI]]&lt;=39,"Obese","Severly Obese"))))</f>
        <v>Overweight</v>
      </c>
      <c r="W1359" s="18">
        <v>28.07</v>
      </c>
    </row>
    <row r="1360" spans="6:23" x14ac:dyDescent="0.3">
      <c r="F1360" s="17">
        <v>34</v>
      </c>
      <c r="G1360" s="8" t="str">
        <f>IF(Table13[[#This Row],[Age]]&lt;25,"18-24",IF(Table13[[#This Row],[Age]]&lt;35,"25-34",IF(Table13[[#This Row],[Age]]&lt;45,"35-44",IF(Table13[[#This Row],[Age]]&lt;55,"45-54","55-64"))))</f>
        <v>25-34</v>
      </c>
      <c r="H1360" s="8" t="s">
        <v>17</v>
      </c>
      <c r="I1360" s="8">
        <v>89.7</v>
      </c>
      <c r="J1360" s="8">
        <v>1.78</v>
      </c>
      <c r="K1360" s="8">
        <v>184</v>
      </c>
      <c r="L1360" s="8">
        <v>142</v>
      </c>
      <c r="M1360" s="8">
        <v>53</v>
      </c>
      <c r="N1360" s="8">
        <v>0.53</v>
      </c>
      <c r="O1360" s="8">
        <v>1662</v>
      </c>
      <c r="P1360" s="8" t="s">
        <v>21</v>
      </c>
      <c r="Q1360" s="8" t="str">
        <f>_xlfn.IFS(AND(Table13[[#This Row],[Gender]]="female",R1360&lt;20),"Athletes",AND(Table13[[#This Row],[Gender]]="female",R1360&lt;24),"Fitnesss",AND(Table13[[#This Row],[Gender]]="female",R1360&lt;31),"Acceptable",AND(Table13[[#This Row],[Gender]]="female",R1360&lt;40),"Obese",AND(Table13[[#This Row],[Gender]]="male",R1360&lt;13),"Athletes",AND(Table13[[#This Row],[Gender]]="male",R1360&lt;17),"Fitnesss",AND(Table13[[#This Row],[Gender]]="male",R1360&lt;24.9),"Acceptable",AND(Table13[[#This Row],[Gender]]="male",R1360&lt;40),"Obese",AND(Table13[[#This Row],[Gender]]="others",R1360&lt;20),"Athletes",AND(Table13[[#This Row],[Gender]]="others",R1360&lt;24),"Fitnesss",AND(Table13[[#This Row],[Gender]]="others",R1360&lt;31),"Acceptable",AND(Table13[[#This Row],[Gender]]="others",R1360&lt;40),"Obese")</f>
        <v>Acceptable</v>
      </c>
      <c r="R1360" s="8">
        <v>24.2</v>
      </c>
      <c r="S1360" s="8">
        <v>1.5</v>
      </c>
      <c r="T1360" s="8">
        <v>3</v>
      </c>
      <c r="U1360" s="8">
        <v>1</v>
      </c>
      <c r="V1360" s="8" t="str">
        <f>IF(Table13[[#This Row],[BMI]]&lt;=18.5,"Underweight",IF(Table13[[#This Row],[BMI]]&lt;=24.9,"Normal",IF(Table13[[#This Row],[BMI]]&lt;=29.9,"Overweight",IF(Table13[[#This Row],[BMI]]&lt;=39,"Obese","Severly Obese"))))</f>
        <v>Severly Obese</v>
      </c>
      <c r="W1360" s="18">
        <v>39.54</v>
      </c>
    </row>
    <row r="1361" spans="6:23" x14ac:dyDescent="0.3">
      <c r="F1361" s="17">
        <v>21</v>
      </c>
      <c r="G1361" s="8" t="str">
        <f>IF(Table13[[#This Row],[Age]]&lt;25,"18-24",IF(Table13[[#This Row],[Age]]&lt;35,"25-34",IF(Table13[[#This Row],[Age]]&lt;45,"35-44",IF(Table13[[#This Row],[Age]]&lt;55,"45-54","55-64"))))</f>
        <v>18-24</v>
      </c>
      <c r="H1361" s="8" t="s">
        <v>17</v>
      </c>
      <c r="I1361" s="8">
        <v>59.7</v>
      </c>
      <c r="J1361" s="8">
        <v>1.65</v>
      </c>
      <c r="K1361" s="8">
        <v>191</v>
      </c>
      <c r="L1361" s="8">
        <v>138</v>
      </c>
      <c r="M1361" s="8">
        <v>68</v>
      </c>
      <c r="N1361" s="8">
        <v>0.95</v>
      </c>
      <c r="O1361" s="8">
        <v>539</v>
      </c>
      <c r="P1361" s="8" t="s">
        <v>21</v>
      </c>
      <c r="Q1361" s="8" t="str">
        <f>_xlfn.IFS(AND(Table13[[#This Row],[Gender]]="female",R1361&lt;20),"Athletes",AND(Table13[[#This Row],[Gender]]="female",R1361&lt;24),"Fitnesss",AND(Table13[[#This Row],[Gender]]="female",R1361&lt;31),"Acceptable",AND(Table13[[#This Row],[Gender]]="female",R1361&lt;40),"Obese",AND(Table13[[#This Row],[Gender]]="male",R1361&lt;13),"Athletes",AND(Table13[[#This Row],[Gender]]="male",R1361&lt;17),"Fitnesss",AND(Table13[[#This Row],[Gender]]="male",R1361&lt;24.9),"Acceptable",AND(Table13[[#This Row],[Gender]]="male",R1361&lt;40),"Obese",AND(Table13[[#This Row],[Gender]]="others",R1361&lt;20),"Athletes",AND(Table13[[#This Row],[Gender]]="others",R1361&lt;24),"Fitnesss",AND(Table13[[#This Row],[Gender]]="others",R1361&lt;31),"Acceptable",AND(Table13[[#This Row],[Gender]]="others",R1361&lt;40),"Obese")</f>
        <v>Obese</v>
      </c>
      <c r="R1361" s="8">
        <v>35</v>
      </c>
      <c r="S1361" s="8">
        <v>3.2</v>
      </c>
      <c r="T1361" s="8">
        <v>4</v>
      </c>
      <c r="U1361" s="8">
        <v>2</v>
      </c>
      <c r="V1361" s="8" t="str">
        <f>IF(Table13[[#This Row],[BMI]]&lt;=18.5,"Underweight",IF(Table13[[#This Row],[BMI]]&lt;=24.9,"Normal",IF(Table13[[#This Row],[BMI]]&lt;=29.9,"Overweight",IF(Table13[[#This Row],[BMI]]&lt;=39,"Obese","Severly Obese"))))</f>
        <v>Underweight</v>
      </c>
      <c r="W1361" s="18">
        <v>17.55</v>
      </c>
    </row>
    <row r="1362" spans="6:23" x14ac:dyDescent="0.3">
      <c r="F1362" s="17">
        <v>18</v>
      </c>
      <c r="G1362" s="8" t="str">
        <f>IF(Table13[[#This Row],[Age]]&lt;25,"18-24",IF(Table13[[#This Row],[Age]]&lt;35,"25-34",IF(Table13[[#This Row],[Age]]&lt;45,"35-44",IF(Table13[[#This Row],[Age]]&lt;55,"45-54","55-64"))))</f>
        <v>18-24</v>
      </c>
      <c r="H1362" s="8" t="s">
        <v>19</v>
      </c>
      <c r="I1362" s="8">
        <v>42</v>
      </c>
      <c r="J1362" s="8">
        <v>1.82</v>
      </c>
      <c r="K1362" s="8">
        <v>188</v>
      </c>
      <c r="L1362" s="8">
        <v>137</v>
      </c>
      <c r="M1362" s="8">
        <v>67</v>
      </c>
      <c r="N1362" s="8">
        <v>0.77</v>
      </c>
      <c r="O1362" s="8">
        <v>589</v>
      </c>
      <c r="P1362" s="8" t="s">
        <v>21</v>
      </c>
      <c r="Q1362" s="8" t="str">
        <f>_xlfn.IFS(AND(Table13[[#This Row],[Gender]]="female",R1362&lt;20),"Athletes",AND(Table13[[#This Row],[Gender]]="female",R1362&lt;24),"Fitnesss",AND(Table13[[#This Row],[Gender]]="female",R1362&lt;31),"Acceptable",AND(Table13[[#This Row],[Gender]]="female",R1362&lt;40),"Obese",AND(Table13[[#This Row],[Gender]]="male",R1362&lt;13),"Athletes",AND(Table13[[#This Row],[Gender]]="male",R1362&lt;17),"Fitnesss",AND(Table13[[#This Row],[Gender]]="male",R1362&lt;24.9),"Acceptable",AND(Table13[[#This Row],[Gender]]="male",R1362&lt;40),"Obese",AND(Table13[[#This Row],[Gender]]="others",R1362&lt;20),"Athletes",AND(Table13[[#This Row],[Gender]]="others",R1362&lt;24),"Fitnesss",AND(Table13[[#This Row],[Gender]]="others",R1362&lt;31),"Acceptable",AND(Table13[[#This Row],[Gender]]="others",R1362&lt;40),"Obese")</f>
        <v>Fitnesss</v>
      </c>
      <c r="R1362" s="8">
        <v>16.399999999999999</v>
      </c>
      <c r="S1362" s="8">
        <v>2</v>
      </c>
      <c r="T1362" s="8">
        <v>2</v>
      </c>
      <c r="U1362" s="8">
        <v>3</v>
      </c>
      <c r="V1362" s="8" t="str">
        <f>IF(Table13[[#This Row],[BMI]]&lt;=18.5,"Underweight",IF(Table13[[#This Row],[BMI]]&lt;=24.9,"Normal",IF(Table13[[#This Row],[BMI]]&lt;=29.9,"Overweight",IF(Table13[[#This Row],[BMI]]&lt;=39,"Obese","Severly Obese"))))</f>
        <v>Overweight</v>
      </c>
      <c r="W1362" s="18">
        <v>29.09</v>
      </c>
    </row>
    <row r="1363" spans="6:23" x14ac:dyDescent="0.3">
      <c r="F1363" s="17">
        <v>18</v>
      </c>
      <c r="G1363" s="8" t="str">
        <f>IF(Table13[[#This Row],[Age]]&lt;25,"18-24",IF(Table13[[#This Row],[Age]]&lt;35,"25-34",IF(Table13[[#This Row],[Age]]&lt;45,"35-44",IF(Table13[[#This Row],[Age]]&lt;55,"45-54","55-64"))))</f>
        <v>18-24</v>
      </c>
      <c r="H1363" s="8" t="s">
        <v>19</v>
      </c>
      <c r="I1363" s="8">
        <v>57.9</v>
      </c>
      <c r="J1363" s="8">
        <v>2</v>
      </c>
      <c r="K1363" s="8">
        <v>168</v>
      </c>
      <c r="L1363" s="8">
        <v>156</v>
      </c>
      <c r="M1363" s="8">
        <v>50</v>
      </c>
      <c r="N1363" s="8">
        <v>1.05</v>
      </c>
      <c r="O1363" s="8">
        <v>689</v>
      </c>
      <c r="P1363" s="8" t="s">
        <v>20</v>
      </c>
      <c r="Q1363" s="8" t="str">
        <f>_xlfn.IFS(AND(Table13[[#This Row],[Gender]]="female",R1363&lt;20),"Athletes",AND(Table13[[#This Row],[Gender]]="female",R1363&lt;24),"Fitnesss",AND(Table13[[#This Row],[Gender]]="female",R1363&lt;31),"Acceptable",AND(Table13[[#This Row],[Gender]]="female",R1363&lt;40),"Obese",AND(Table13[[#This Row],[Gender]]="male",R1363&lt;13),"Athletes",AND(Table13[[#This Row],[Gender]]="male",R1363&lt;17),"Fitnesss",AND(Table13[[#This Row],[Gender]]="male",R1363&lt;24.9),"Acceptable",AND(Table13[[#This Row],[Gender]]="male",R1363&lt;40),"Obese",AND(Table13[[#This Row],[Gender]]="others",R1363&lt;20),"Athletes",AND(Table13[[#This Row],[Gender]]="others",R1363&lt;24),"Fitnesss",AND(Table13[[#This Row],[Gender]]="others",R1363&lt;31),"Acceptable",AND(Table13[[#This Row],[Gender]]="others",R1363&lt;40),"Obese")</f>
        <v>Obese</v>
      </c>
      <c r="R1363" s="8">
        <v>28.3</v>
      </c>
      <c r="S1363" s="8">
        <v>3.6</v>
      </c>
      <c r="T1363" s="8">
        <v>3</v>
      </c>
      <c r="U1363" s="8">
        <v>3</v>
      </c>
      <c r="V1363" s="8" t="str">
        <f>IF(Table13[[#This Row],[BMI]]&lt;=18.5,"Underweight",IF(Table13[[#This Row],[BMI]]&lt;=24.9,"Normal",IF(Table13[[#This Row],[BMI]]&lt;=29.9,"Overweight",IF(Table13[[#This Row],[BMI]]&lt;=39,"Obese","Severly Obese"))))</f>
        <v>Underweight</v>
      </c>
      <c r="W1363" s="18">
        <v>18.309999999999999</v>
      </c>
    </row>
    <row r="1364" spans="6:23" x14ac:dyDescent="0.3">
      <c r="F1364" s="17">
        <v>49</v>
      </c>
      <c r="G1364" s="8" t="str">
        <f>IF(Table13[[#This Row],[Age]]&lt;25,"18-24",IF(Table13[[#This Row],[Age]]&lt;35,"25-34",IF(Table13[[#This Row],[Age]]&lt;45,"35-44",IF(Table13[[#This Row],[Age]]&lt;55,"45-54","55-64"))))</f>
        <v>45-54</v>
      </c>
      <c r="H1364" s="8" t="s">
        <v>23</v>
      </c>
      <c r="I1364" s="8">
        <v>50.2</v>
      </c>
      <c r="J1364" s="8">
        <v>1.7</v>
      </c>
      <c r="K1364" s="8">
        <v>164</v>
      </c>
      <c r="L1364" s="8">
        <v>169</v>
      </c>
      <c r="M1364" s="8">
        <v>73</v>
      </c>
      <c r="N1364" s="8">
        <v>0.75</v>
      </c>
      <c r="O1364" s="8">
        <v>622</v>
      </c>
      <c r="P1364" s="8" t="s">
        <v>20</v>
      </c>
      <c r="Q1364" s="8" t="str">
        <f>_xlfn.IFS(AND(Table13[[#This Row],[Gender]]="female",R1364&lt;20),"Athletes",AND(Table13[[#This Row],[Gender]]="female",R1364&lt;24),"Fitnesss",AND(Table13[[#This Row],[Gender]]="female",R1364&lt;31),"Acceptable",AND(Table13[[#This Row],[Gender]]="female",R1364&lt;40),"Obese",AND(Table13[[#This Row],[Gender]]="male",R1364&lt;13),"Athletes",AND(Table13[[#This Row],[Gender]]="male",R1364&lt;17),"Fitnesss",AND(Table13[[#This Row],[Gender]]="male",R1364&lt;24.9),"Acceptable",AND(Table13[[#This Row],[Gender]]="male",R1364&lt;40),"Obese",AND(Table13[[#This Row],[Gender]]="others",R1364&lt;20),"Athletes",AND(Table13[[#This Row],[Gender]]="others",R1364&lt;24),"Fitnesss",AND(Table13[[#This Row],[Gender]]="others",R1364&lt;31),"Acceptable",AND(Table13[[#This Row],[Gender]]="others",R1364&lt;40),"Obese")</f>
        <v>Acceptable</v>
      </c>
      <c r="R1364" s="8">
        <v>28</v>
      </c>
      <c r="S1364" s="8">
        <v>1.6</v>
      </c>
      <c r="T1364" s="8">
        <v>2</v>
      </c>
      <c r="U1364" s="8">
        <v>1</v>
      </c>
      <c r="V1364" s="8" t="str">
        <f>IF(Table13[[#This Row],[BMI]]&lt;=18.5,"Underweight",IF(Table13[[#This Row],[BMI]]&lt;=24.9,"Normal",IF(Table13[[#This Row],[BMI]]&lt;=29.9,"Overweight",IF(Table13[[#This Row],[BMI]]&lt;=39,"Obese","Severly Obese"))))</f>
        <v>Underweight</v>
      </c>
      <c r="W1364" s="18">
        <v>13.34</v>
      </c>
    </row>
    <row r="1365" spans="6:23" x14ac:dyDescent="0.3">
      <c r="F1365" s="17">
        <v>18</v>
      </c>
      <c r="G1365" s="8" t="str">
        <f>IF(Table13[[#This Row],[Age]]&lt;25,"18-24",IF(Table13[[#This Row],[Age]]&lt;35,"25-34",IF(Table13[[#This Row],[Age]]&lt;45,"35-44",IF(Table13[[#This Row],[Age]]&lt;55,"45-54","55-64"))))</f>
        <v>18-24</v>
      </c>
      <c r="H1365" s="8" t="s">
        <v>17</v>
      </c>
      <c r="I1365" s="8">
        <v>40</v>
      </c>
      <c r="J1365" s="8">
        <v>1.8</v>
      </c>
      <c r="K1365" s="8">
        <v>187</v>
      </c>
      <c r="L1365" s="8">
        <v>158</v>
      </c>
      <c r="M1365" s="8">
        <v>71</v>
      </c>
      <c r="N1365" s="8">
        <v>1.24</v>
      </c>
      <c r="O1365" s="8">
        <v>665</v>
      </c>
      <c r="P1365" s="8" t="s">
        <v>18</v>
      </c>
      <c r="Q1365" s="8" t="str">
        <f>_xlfn.IFS(AND(Table13[[#This Row],[Gender]]="female",R1365&lt;20),"Athletes",AND(Table13[[#This Row],[Gender]]="female",R1365&lt;24),"Fitnesss",AND(Table13[[#This Row],[Gender]]="female",R1365&lt;31),"Acceptable",AND(Table13[[#This Row],[Gender]]="female",R1365&lt;40),"Obese",AND(Table13[[#This Row],[Gender]]="male",R1365&lt;13),"Athletes",AND(Table13[[#This Row],[Gender]]="male",R1365&lt;17),"Fitnesss",AND(Table13[[#This Row],[Gender]]="male",R1365&lt;24.9),"Acceptable",AND(Table13[[#This Row],[Gender]]="male",R1365&lt;40),"Obese",AND(Table13[[#This Row],[Gender]]="others",R1365&lt;20),"Athletes",AND(Table13[[#This Row],[Gender]]="others",R1365&lt;24),"Fitnesss",AND(Table13[[#This Row],[Gender]]="others",R1365&lt;31),"Acceptable",AND(Table13[[#This Row],[Gender]]="others",R1365&lt;40),"Obese")</f>
        <v>Acceptable</v>
      </c>
      <c r="R1365" s="8">
        <v>24.1</v>
      </c>
      <c r="S1365" s="8">
        <v>1.7</v>
      </c>
      <c r="T1365" s="8">
        <v>2</v>
      </c>
      <c r="U1365" s="8">
        <v>2</v>
      </c>
      <c r="V1365" s="8" t="str">
        <f>IF(Table13[[#This Row],[BMI]]&lt;=18.5,"Underweight",IF(Table13[[#This Row],[BMI]]&lt;=24.9,"Normal",IF(Table13[[#This Row],[BMI]]&lt;=29.9,"Overweight",IF(Table13[[#This Row],[BMI]]&lt;=39,"Obese","Severly Obese"))))</f>
        <v>Underweight</v>
      </c>
      <c r="W1365" s="18">
        <v>14.93</v>
      </c>
    </row>
    <row r="1366" spans="6:23" x14ac:dyDescent="0.3">
      <c r="F1366" s="17">
        <v>18</v>
      </c>
      <c r="G1366" s="8" t="str">
        <f>IF(Table13[[#This Row],[Age]]&lt;25,"18-24",IF(Table13[[#This Row],[Age]]&lt;35,"25-34",IF(Table13[[#This Row],[Age]]&lt;45,"35-44",IF(Table13[[#This Row],[Age]]&lt;55,"45-54","55-64"))))</f>
        <v>18-24</v>
      </c>
      <c r="H1366" s="8" t="s">
        <v>17</v>
      </c>
      <c r="I1366" s="8">
        <v>70.900000000000006</v>
      </c>
      <c r="J1366" s="8">
        <v>1.87</v>
      </c>
      <c r="K1366" s="8">
        <v>176</v>
      </c>
      <c r="L1366" s="8">
        <v>164</v>
      </c>
      <c r="M1366" s="8">
        <v>59</v>
      </c>
      <c r="N1366" s="8">
        <v>2</v>
      </c>
      <c r="O1366" s="8">
        <v>745</v>
      </c>
      <c r="P1366" s="8" t="s">
        <v>21</v>
      </c>
      <c r="Q1366" s="8" t="str">
        <f>_xlfn.IFS(AND(Table13[[#This Row],[Gender]]="female",R1366&lt;20),"Athletes",AND(Table13[[#This Row],[Gender]]="female",R1366&lt;24),"Fitnesss",AND(Table13[[#This Row],[Gender]]="female",R1366&lt;31),"Acceptable",AND(Table13[[#This Row],[Gender]]="female",R1366&lt;40),"Obese",AND(Table13[[#This Row],[Gender]]="male",R1366&lt;13),"Athletes",AND(Table13[[#This Row],[Gender]]="male",R1366&lt;17),"Fitnesss",AND(Table13[[#This Row],[Gender]]="male",R1366&lt;24.9),"Acceptable",AND(Table13[[#This Row],[Gender]]="male",R1366&lt;40),"Obese",AND(Table13[[#This Row],[Gender]]="others",R1366&lt;20),"Athletes",AND(Table13[[#This Row],[Gender]]="others",R1366&lt;24),"Fitnesss",AND(Table13[[#This Row],[Gender]]="others",R1366&lt;31),"Acceptable",AND(Table13[[#This Row],[Gender]]="others",R1366&lt;40),"Obese")</f>
        <v>Acceptable</v>
      </c>
      <c r="R1366" s="8">
        <v>28.2</v>
      </c>
      <c r="S1366" s="8">
        <v>3.2</v>
      </c>
      <c r="T1366" s="8">
        <v>4</v>
      </c>
      <c r="U1366" s="8">
        <v>2</v>
      </c>
      <c r="V1366" s="8" t="str">
        <f>IF(Table13[[#This Row],[BMI]]&lt;=18.5,"Underweight",IF(Table13[[#This Row],[BMI]]&lt;=24.9,"Normal",IF(Table13[[#This Row],[BMI]]&lt;=29.9,"Overweight",IF(Table13[[#This Row],[BMI]]&lt;=39,"Obese","Severly Obese"))))</f>
        <v>Underweight</v>
      </c>
      <c r="W1366" s="18">
        <v>15.74</v>
      </c>
    </row>
    <row r="1367" spans="6:23" x14ac:dyDescent="0.3">
      <c r="F1367" s="17">
        <v>26</v>
      </c>
      <c r="G1367" s="8" t="str">
        <f>IF(Table13[[#This Row],[Age]]&lt;25,"18-24",IF(Table13[[#This Row],[Age]]&lt;35,"25-34",IF(Table13[[#This Row],[Age]]&lt;45,"35-44",IF(Table13[[#This Row],[Age]]&lt;55,"45-54","55-64"))))</f>
        <v>25-34</v>
      </c>
      <c r="H1367" s="8" t="s">
        <v>19</v>
      </c>
      <c r="I1367" s="8">
        <v>44</v>
      </c>
      <c r="J1367" s="8">
        <v>1.6</v>
      </c>
      <c r="K1367" s="8">
        <v>190</v>
      </c>
      <c r="L1367" s="8">
        <v>125</v>
      </c>
      <c r="M1367" s="8">
        <v>68</v>
      </c>
      <c r="N1367" s="8">
        <v>1.06</v>
      </c>
      <c r="O1367" s="8">
        <v>1246</v>
      </c>
      <c r="P1367" s="8" t="s">
        <v>18</v>
      </c>
      <c r="Q1367" s="8" t="str">
        <f>_xlfn.IFS(AND(Table13[[#This Row],[Gender]]="female",R1367&lt;20),"Athletes",AND(Table13[[#This Row],[Gender]]="female",R1367&lt;24),"Fitnesss",AND(Table13[[#This Row],[Gender]]="female",R1367&lt;31),"Acceptable",AND(Table13[[#This Row],[Gender]]="female",R1367&lt;40),"Obese",AND(Table13[[#This Row],[Gender]]="male",R1367&lt;13),"Athletes",AND(Table13[[#This Row],[Gender]]="male",R1367&lt;17),"Fitnesss",AND(Table13[[#This Row],[Gender]]="male",R1367&lt;24.9),"Acceptable",AND(Table13[[#This Row],[Gender]]="male",R1367&lt;40),"Obese",AND(Table13[[#This Row],[Gender]]="others",R1367&lt;20),"Athletes",AND(Table13[[#This Row],[Gender]]="others",R1367&lt;24),"Fitnesss",AND(Table13[[#This Row],[Gender]]="others",R1367&lt;31),"Acceptable",AND(Table13[[#This Row],[Gender]]="others",R1367&lt;40),"Obese")</f>
        <v>Acceptable</v>
      </c>
      <c r="R1367" s="8">
        <v>21.1</v>
      </c>
      <c r="S1367" s="8">
        <v>2.7</v>
      </c>
      <c r="T1367" s="8">
        <v>2</v>
      </c>
      <c r="U1367" s="8">
        <v>2</v>
      </c>
      <c r="V1367" s="8" t="str">
        <f>IF(Table13[[#This Row],[BMI]]&lt;=18.5,"Underweight",IF(Table13[[#This Row],[BMI]]&lt;=24.9,"Normal",IF(Table13[[#This Row],[BMI]]&lt;=29.9,"Overweight",IF(Table13[[#This Row],[BMI]]&lt;=39,"Obese","Severly Obese"))))</f>
        <v>Underweight</v>
      </c>
      <c r="W1367" s="18">
        <v>15.5</v>
      </c>
    </row>
    <row r="1368" spans="6:23" x14ac:dyDescent="0.3">
      <c r="F1368" s="17">
        <v>31</v>
      </c>
      <c r="G1368" s="8" t="str">
        <f>IF(Table13[[#This Row],[Age]]&lt;25,"18-24",IF(Table13[[#This Row],[Age]]&lt;35,"25-34",IF(Table13[[#This Row],[Age]]&lt;45,"35-44",IF(Table13[[#This Row],[Age]]&lt;55,"45-54","55-64"))))</f>
        <v>25-34</v>
      </c>
      <c r="H1368" s="8" t="s">
        <v>17</v>
      </c>
      <c r="I1368" s="8">
        <v>46.9</v>
      </c>
      <c r="J1368" s="8">
        <v>1.75</v>
      </c>
      <c r="K1368" s="8">
        <v>192</v>
      </c>
      <c r="L1368" s="8">
        <v>146</v>
      </c>
      <c r="M1368" s="8">
        <v>63</v>
      </c>
      <c r="N1368" s="8">
        <v>2</v>
      </c>
      <c r="O1368" s="8">
        <v>748</v>
      </c>
      <c r="P1368" s="8" t="s">
        <v>20</v>
      </c>
      <c r="Q1368" s="8" t="str">
        <f>_xlfn.IFS(AND(Table13[[#This Row],[Gender]]="female",R1368&lt;20),"Athletes",AND(Table13[[#This Row],[Gender]]="female",R1368&lt;24),"Fitnesss",AND(Table13[[#This Row],[Gender]]="female",R1368&lt;31),"Acceptable",AND(Table13[[#This Row],[Gender]]="female",R1368&lt;40),"Obese",AND(Table13[[#This Row],[Gender]]="male",R1368&lt;13),"Athletes",AND(Table13[[#This Row],[Gender]]="male",R1368&lt;17),"Fitnesss",AND(Table13[[#This Row],[Gender]]="male",R1368&lt;24.9),"Acceptable",AND(Table13[[#This Row],[Gender]]="male",R1368&lt;40),"Obese",AND(Table13[[#This Row],[Gender]]="others",R1368&lt;20),"Athletes",AND(Table13[[#This Row],[Gender]]="others",R1368&lt;24),"Fitnesss",AND(Table13[[#This Row],[Gender]]="others",R1368&lt;31),"Acceptable",AND(Table13[[#This Row],[Gender]]="others",R1368&lt;40),"Obese")</f>
        <v>Athletes</v>
      </c>
      <c r="R1368" s="8">
        <v>15.3</v>
      </c>
      <c r="S1368" s="8">
        <v>1.7</v>
      </c>
      <c r="T1368" s="8">
        <v>4</v>
      </c>
      <c r="U1368" s="8"/>
      <c r="V1368" s="8" t="str">
        <f>IF(Table13[[#This Row],[BMI]]&lt;=18.5,"Underweight",IF(Table13[[#This Row],[BMI]]&lt;=24.9,"Normal",IF(Table13[[#This Row],[BMI]]&lt;=29.9,"Overweight",IF(Table13[[#This Row],[BMI]]&lt;=39,"Obese","Severly Obese"))))</f>
        <v>Underweight</v>
      </c>
      <c r="W1368" s="18">
        <v>12.48</v>
      </c>
    </row>
    <row r="1369" spans="6:23" x14ac:dyDescent="0.3">
      <c r="F1369" s="17">
        <v>49</v>
      </c>
      <c r="G1369" s="8" t="str">
        <f>IF(Table13[[#This Row],[Age]]&lt;25,"18-24",IF(Table13[[#This Row],[Age]]&lt;35,"25-34",IF(Table13[[#This Row],[Age]]&lt;45,"35-44",IF(Table13[[#This Row],[Age]]&lt;55,"45-54","55-64"))))</f>
        <v>45-54</v>
      </c>
      <c r="H1369" s="8" t="s">
        <v>19</v>
      </c>
      <c r="I1369" s="8">
        <v>47.5</v>
      </c>
      <c r="J1369" s="8">
        <v>1.79</v>
      </c>
      <c r="K1369" s="8">
        <v>161</v>
      </c>
      <c r="L1369" s="8">
        <v>169</v>
      </c>
      <c r="M1369" s="8">
        <v>61</v>
      </c>
      <c r="N1369" s="8">
        <v>1.43</v>
      </c>
      <c r="O1369" s="8">
        <v>957</v>
      </c>
      <c r="P1369" s="8" t="s">
        <v>18</v>
      </c>
      <c r="Q1369" s="8" t="str">
        <f>_xlfn.IFS(AND(Table13[[#This Row],[Gender]]="female",R1369&lt;20),"Athletes",AND(Table13[[#This Row],[Gender]]="female",R1369&lt;24),"Fitnesss",AND(Table13[[#This Row],[Gender]]="female",R1369&lt;31),"Acceptable",AND(Table13[[#This Row],[Gender]]="female",R1369&lt;40),"Obese",AND(Table13[[#This Row],[Gender]]="male",R1369&lt;13),"Athletes",AND(Table13[[#This Row],[Gender]]="male",R1369&lt;17),"Fitnesss",AND(Table13[[#This Row],[Gender]]="male",R1369&lt;24.9),"Acceptable",AND(Table13[[#This Row],[Gender]]="male",R1369&lt;40),"Obese",AND(Table13[[#This Row],[Gender]]="others",R1369&lt;20),"Athletes",AND(Table13[[#This Row],[Gender]]="others",R1369&lt;24),"Fitnesss",AND(Table13[[#This Row],[Gender]]="others",R1369&lt;31),"Acceptable",AND(Table13[[#This Row],[Gender]]="others",R1369&lt;40),"Obese")</f>
        <v>Obese</v>
      </c>
      <c r="R1369" s="8">
        <v>25.8</v>
      </c>
      <c r="S1369" s="8">
        <v>3</v>
      </c>
      <c r="T1369" s="8">
        <v>4</v>
      </c>
      <c r="U1369" s="8">
        <v>1</v>
      </c>
      <c r="V1369" s="8" t="str">
        <f>IF(Table13[[#This Row],[BMI]]&lt;=18.5,"Underweight",IF(Table13[[#This Row],[BMI]]&lt;=24.9,"Normal",IF(Table13[[#This Row],[BMI]]&lt;=29.9,"Overweight",IF(Table13[[#This Row],[BMI]]&lt;=39,"Obese","Severly Obese"))))</f>
        <v>Underweight</v>
      </c>
      <c r="W1369" s="18">
        <v>13.47</v>
      </c>
    </row>
    <row r="1370" spans="6:23" x14ac:dyDescent="0.3">
      <c r="F1370" s="17">
        <v>38</v>
      </c>
      <c r="G1370" s="8" t="str">
        <f>IF(Table13[[#This Row],[Age]]&lt;25,"18-24",IF(Table13[[#This Row],[Age]]&lt;35,"25-34",IF(Table13[[#This Row],[Age]]&lt;45,"35-44",IF(Table13[[#This Row],[Age]]&lt;55,"45-54","55-64"))))</f>
        <v>35-44</v>
      </c>
      <c r="H1370" s="8" t="s">
        <v>19</v>
      </c>
      <c r="I1370" s="8">
        <v>69</v>
      </c>
      <c r="J1370" s="8">
        <v>1.82</v>
      </c>
      <c r="K1370" s="8">
        <v>170</v>
      </c>
      <c r="L1370" s="8">
        <v>133</v>
      </c>
      <c r="M1370" s="8">
        <v>53</v>
      </c>
      <c r="N1370" s="8">
        <v>1.24</v>
      </c>
      <c r="O1370" s="8">
        <v>1610</v>
      </c>
      <c r="P1370" s="8" t="s">
        <v>18</v>
      </c>
      <c r="Q1370" s="8" t="str">
        <f>_xlfn.IFS(AND(Table13[[#This Row],[Gender]]="female",R1370&lt;20),"Athletes",AND(Table13[[#This Row],[Gender]]="female",R1370&lt;24),"Fitnesss",AND(Table13[[#This Row],[Gender]]="female",R1370&lt;31),"Acceptable",AND(Table13[[#This Row],[Gender]]="female",R1370&lt;40),"Obese",AND(Table13[[#This Row],[Gender]]="male",R1370&lt;13),"Athletes",AND(Table13[[#This Row],[Gender]]="male",R1370&lt;17),"Fitnesss",AND(Table13[[#This Row],[Gender]]="male",R1370&lt;24.9),"Acceptable",AND(Table13[[#This Row],[Gender]]="male",R1370&lt;40),"Obese",AND(Table13[[#This Row],[Gender]]="others",R1370&lt;20),"Athletes",AND(Table13[[#This Row],[Gender]]="others",R1370&lt;24),"Fitnesss",AND(Table13[[#This Row],[Gender]]="others",R1370&lt;31),"Acceptable",AND(Table13[[#This Row],[Gender]]="others",R1370&lt;40),"Obese")</f>
        <v>Obese</v>
      </c>
      <c r="R1370" s="8">
        <v>30.1</v>
      </c>
      <c r="S1370" s="8">
        <v>2.8</v>
      </c>
      <c r="T1370" s="8">
        <v>2</v>
      </c>
      <c r="U1370" s="8">
        <v>2</v>
      </c>
      <c r="V1370" s="8" t="str">
        <f>IF(Table13[[#This Row],[BMI]]&lt;=18.5,"Underweight",IF(Table13[[#This Row],[BMI]]&lt;=24.9,"Normal",IF(Table13[[#This Row],[BMI]]&lt;=29.9,"Overweight",IF(Table13[[#This Row],[BMI]]&lt;=39,"Obese","Severly Obese"))))</f>
        <v>Normal</v>
      </c>
      <c r="W1370" s="18">
        <v>20.05</v>
      </c>
    </row>
    <row r="1371" spans="6:23" x14ac:dyDescent="0.3">
      <c r="F1371" s="17">
        <v>18</v>
      </c>
      <c r="G1371" s="8" t="str">
        <f>IF(Table13[[#This Row],[Age]]&lt;25,"18-24",IF(Table13[[#This Row],[Age]]&lt;35,"25-34",IF(Table13[[#This Row],[Age]]&lt;45,"35-44",IF(Table13[[#This Row],[Age]]&lt;55,"45-54","55-64"))))</f>
        <v>18-24</v>
      </c>
      <c r="H1371" s="8" t="s">
        <v>17</v>
      </c>
      <c r="I1371" s="8">
        <v>59.1</v>
      </c>
      <c r="J1371" s="8">
        <v>2</v>
      </c>
      <c r="K1371" s="8">
        <v>181</v>
      </c>
      <c r="L1371" s="8">
        <v>123</v>
      </c>
      <c r="M1371" s="8">
        <v>72</v>
      </c>
      <c r="N1371" s="8">
        <v>1.94</v>
      </c>
      <c r="O1371" s="8">
        <v>901</v>
      </c>
      <c r="P1371" s="8" t="s">
        <v>21</v>
      </c>
      <c r="Q1371" s="8" t="str">
        <f>_xlfn.IFS(AND(Table13[[#This Row],[Gender]]="female",R1371&lt;20),"Athletes",AND(Table13[[#This Row],[Gender]]="female",R1371&lt;24),"Fitnesss",AND(Table13[[#This Row],[Gender]]="female",R1371&lt;31),"Acceptable",AND(Table13[[#This Row],[Gender]]="female",R1371&lt;40),"Obese",AND(Table13[[#This Row],[Gender]]="male",R1371&lt;13),"Athletes",AND(Table13[[#This Row],[Gender]]="male",R1371&lt;17),"Fitnesss",AND(Table13[[#This Row],[Gender]]="male",R1371&lt;24.9),"Acceptable",AND(Table13[[#This Row],[Gender]]="male",R1371&lt;40),"Obese",AND(Table13[[#This Row],[Gender]]="others",R1371&lt;20),"Athletes",AND(Table13[[#This Row],[Gender]]="others",R1371&lt;24),"Fitnesss",AND(Table13[[#This Row],[Gender]]="others",R1371&lt;31),"Acceptable",AND(Table13[[#This Row],[Gender]]="others",R1371&lt;40),"Obese")</f>
        <v>Fitnesss</v>
      </c>
      <c r="R1371" s="8">
        <v>23.2</v>
      </c>
      <c r="S1371" s="8">
        <v>2.4</v>
      </c>
      <c r="T1371" s="8">
        <v>4</v>
      </c>
      <c r="U1371" s="8">
        <v>2</v>
      </c>
      <c r="V1371" s="8" t="str">
        <f>IF(Table13[[#This Row],[BMI]]&lt;=18.5,"Underweight",IF(Table13[[#This Row],[BMI]]&lt;=24.9,"Normal",IF(Table13[[#This Row],[BMI]]&lt;=29.9,"Overweight",IF(Table13[[#This Row],[BMI]]&lt;=39,"Obese","Severly Obese"))))</f>
        <v>Underweight</v>
      </c>
      <c r="W1371" s="18">
        <v>13.32</v>
      </c>
    </row>
    <row r="1372" spans="6:23" x14ac:dyDescent="0.3">
      <c r="F1372" s="17">
        <v>53</v>
      </c>
      <c r="G1372" s="8" t="str">
        <f>IF(Table13[[#This Row],[Age]]&lt;25,"18-24",IF(Table13[[#This Row],[Age]]&lt;35,"25-34",IF(Table13[[#This Row],[Age]]&lt;45,"35-44",IF(Table13[[#This Row],[Age]]&lt;55,"45-54","55-64"))))</f>
        <v>45-54</v>
      </c>
      <c r="H1372" s="8" t="s">
        <v>17</v>
      </c>
      <c r="I1372" s="8">
        <v>40</v>
      </c>
      <c r="J1372" s="8">
        <v>1.66</v>
      </c>
      <c r="K1372" s="8">
        <v>192</v>
      </c>
      <c r="L1372" s="8">
        <v>169</v>
      </c>
      <c r="M1372" s="8">
        <v>72</v>
      </c>
      <c r="N1372" s="8">
        <v>1.1100000000000001</v>
      </c>
      <c r="O1372" s="8"/>
      <c r="P1372" s="8" t="s">
        <v>22</v>
      </c>
      <c r="Q1372" s="8" t="str">
        <f>_xlfn.IFS(AND(Table13[[#This Row],[Gender]]="female",R1372&lt;20),"Athletes",AND(Table13[[#This Row],[Gender]]="female",R1372&lt;24),"Fitnesss",AND(Table13[[#This Row],[Gender]]="female",R1372&lt;31),"Acceptable",AND(Table13[[#This Row],[Gender]]="female",R1372&lt;40),"Obese",AND(Table13[[#This Row],[Gender]]="male",R1372&lt;13),"Athletes",AND(Table13[[#This Row],[Gender]]="male",R1372&lt;17),"Fitnesss",AND(Table13[[#This Row],[Gender]]="male",R1372&lt;24.9),"Acceptable",AND(Table13[[#This Row],[Gender]]="male",R1372&lt;40),"Obese",AND(Table13[[#This Row],[Gender]]="others",R1372&lt;20),"Athletes",AND(Table13[[#This Row],[Gender]]="others",R1372&lt;24),"Fitnesss",AND(Table13[[#This Row],[Gender]]="others",R1372&lt;31),"Acceptable",AND(Table13[[#This Row],[Gender]]="others",R1372&lt;40),"Obese")</f>
        <v>Acceptable</v>
      </c>
      <c r="R1372" s="8">
        <v>27.5</v>
      </c>
      <c r="S1372" s="8">
        <v>2.8</v>
      </c>
      <c r="T1372" s="8">
        <v>4</v>
      </c>
      <c r="U1372" s="8">
        <v>3</v>
      </c>
      <c r="V1372" s="8" t="str">
        <f>IF(Table13[[#This Row],[BMI]]&lt;=18.5,"Underweight",IF(Table13[[#This Row],[BMI]]&lt;=24.9,"Normal",IF(Table13[[#This Row],[BMI]]&lt;=29.9,"Overweight",IF(Table13[[#This Row],[BMI]]&lt;=39,"Obese","Severly Obese"))))</f>
        <v>Normal</v>
      </c>
      <c r="W1372" s="18">
        <v>22.65</v>
      </c>
    </row>
    <row r="1373" spans="6:23" x14ac:dyDescent="0.3">
      <c r="F1373" s="17">
        <v>18</v>
      </c>
      <c r="G1373" s="8" t="str">
        <f>IF(Table13[[#This Row],[Age]]&lt;25,"18-24",IF(Table13[[#This Row],[Age]]&lt;35,"25-34",IF(Table13[[#This Row],[Age]]&lt;45,"35-44",IF(Table13[[#This Row],[Age]]&lt;55,"45-54","55-64"))))</f>
        <v>18-24</v>
      </c>
      <c r="H1373" s="8" t="s">
        <v>17</v>
      </c>
      <c r="I1373" s="8">
        <v>74.599999999999994</v>
      </c>
      <c r="J1373" s="8">
        <v>1.71</v>
      </c>
      <c r="K1373" s="8">
        <v>169</v>
      </c>
      <c r="L1373" s="8">
        <v>143</v>
      </c>
      <c r="M1373" s="8">
        <v>54</v>
      </c>
      <c r="N1373" s="8">
        <v>1.49</v>
      </c>
      <c r="O1373" s="8">
        <v>1213</v>
      </c>
      <c r="P1373" s="8" t="s">
        <v>23</v>
      </c>
      <c r="Q1373" s="8" t="str">
        <f>_xlfn.IFS(AND(Table13[[#This Row],[Gender]]="female",R1373&lt;20),"Athletes",AND(Table13[[#This Row],[Gender]]="female",R1373&lt;24),"Fitnesss",AND(Table13[[#This Row],[Gender]]="female",R1373&lt;31),"Acceptable",AND(Table13[[#This Row],[Gender]]="female",R1373&lt;40),"Obese",AND(Table13[[#This Row],[Gender]]="male",R1373&lt;13),"Athletes",AND(Table13[[#This Row],[Gender]]="male",R1373&lt;17),"Fitnesss",AND(Table13[[#This Row],[Gender]]="male",R1373&lt;24.9),"Acceptable",AND(Table13[[#This Row],[Gender]]="male",R1373&lt;40),"Obese",AND(Table13[[#This Row],[Gender]]="others",R1373&lt;20),"Athletes",AND(Table13[[#This Row],[Gender]]="others",R1373&lt;24),"Fitnesss",AND(Table13[[#This Row],[Gender]]="others",R1373&lt;31),"Acceptable",AND(Table13[[#This Row],[Gender]]="others",R1373&lt;40),"Obese")</f>
        <v>Acceptable</v>
      </c>
      <c r="R1373" s="8">
        <v>28.7</v>
      </c>
      <c r="S1373" s="8">
        <v>2</v>
      </c>
      <c r="T1373" s="8">
        <v>2</v>
      </c>
      <c r="U1373" s="8">
        <v>1</v>
      </c>
      <c r="V1373" s="8" t="str">
        <f>IF(Table13[[#This Row],[BMI]]&lt;=18.5,"Underweight",IF(Table13[[#This Row],[BMI]]&lt;=24.9,"Normal",IF(Table13[[#This Row],[BMI]]&lt;=29.9,"Overweight",IF(Table13[[#This Row],[BMI]]&lt;=39,"Obese","Severly Obese"))))</f>
        <v>Normal</v>
      </c>
      <c r="W1373" s="18">
        <v>18.68</v>
      </c>
    </row>
    <row r="1374" spans="6:23" x14ac:dyDescent="0.3">
      <c r="F1374" s="17">
        <v>35</v>
      </c>
      <c r="G1374" s="8" t="str">
        <f>IF(Table13[[#This Row],[Age]]&lt;25,"18-24",IF(Table13[[#This Row],[Age]]&lt;35,"25-34",IF(Table13[[#This Row],[Age]]&lt;45,"35-44",IF(Table13[[#This Row],[Age]]&lt;55,"45-54","55-64"))))</f>
        <v>35-44</v>
      </c>
      <c r="H1374" s="8" t="s">
        <v>19</v>
      </c>
      <c r="I1374" s="8">
        <v>98.6</v>
      </c>
      <c r="J1374" s="8">
        <v>1.55</v>
      </c>
      <c r="K1374" s="8">
        <v>184</v>
      </c>
      <c r="L1374" s="8">
        <v>141</v>
      </c>
      <c r="M1374" s="8">
        <v>59</v>
      </c>
      <c r="N1374" s="8">
        <v>2</v>
      </c>
      <c r="O1374" s="8">
        <v>1172</v>
      </c>
      <c r="P1374" s="8" t="s">
        <v>20</v>
      </c>
      <c r="Q1374" s="8" t="str">
        <f>_xlfn.IFS(AND(Table13[[#This Row],[Gender]]="female",R1374&lt;20),"Athletes",AND(Table13[[#This Row],[Gender]]="female",R1374&lt;24),"Fitnesss",AND(Table13[[#This Row],[Gender]]="female",R1374&lt;31),"Acceptable",AND(Table13[[#This Row],[Gender]]="female",R1374&lt;40),"Obese",AND(Table13[[#This Row],[Gender]]="male",R1374&lt;13),"Athletes",AND(Table13[[#This Row],[Gender]]="male",R1374&lt;17),"Fitnesss",AND(Table13[[#This Row],[Gender]]="male",R1374&lt;24.9),"Acceptable",AND(Table13[[#This Row],[Gender]]="male",R1374&lt;40),"Obese",AND(Table13[[#This Row],[Gender]]="others",R1374&lt;20),"Athletes",AND(Table13[[#This Row],[Gender]]="others",R1374&lt;24),"Fitnesss",AND(Table13[[#This Row],[Gender]]="others",R1374&lt;31),"Acceptable",AND(Table13[[#This Row],[Gender]]="others",R1374&lt;40),"Obese")</f>
        <v>Obese</v>
      </c>
      <c r="R1374" s="8">
        <v>27.8</v>
      </c>
      <c r="S1374" s="8">
        <v>3.2</v>
      </c>
      <c r="T1374" s="8">
        <v>2</v>
      </c>
      <c r="U1374" s="8">
        <v>2</v>
      </c>
      <c r="V1374" s="8" t="str">
        <f>IF(Table13[[#This Row],[BMI]]&lt;=18.5,"Underweight",IF(Table13[[#This Row],[BMI]]&lt;=24.9,"Normal",IF(Table13[[#This Row],[BMI]]&lt;=29.9,"Overweight",IF(Table13[[#This Row],[BMI]]&lt;=39,"Obese","Severly Obese"))))</f>
        <v>Normal</v>
      </c>
      <c r="W1374" s="18">
        <v>23.47</v>
      </c>
    </row>
    <row r="1375" spans="6:23" x14ac:dyDescent="0.3">
      <c r="F1375" s="17">
        <v>29</v>
      </c>
      <c r="G1375" s="8" t="str">
        <f>IF(Table13[[#This Row],[Age]]&lt;25,"18-24",IF(Table13[[#This Row],[Age]]&lt;35,"25-34",IF(Table13[[#This Row],[Age]]&lt;45,"35-44",IF(Table13[[#This Row],[Age]]&lt;55,"45-54","55-64"))))</f>
        <v>25-34</v>
      </c>
      <c r="H1375" s="8" t="s">
        <v>17</v>
      </c>
      <c r="I1375" s="8">
        <v>58.4</v>
      </c>
      <c r="J1375" s="8">
        <v>1.61</v>
      </c>
      <c r="K1375" s="8">
        <v>182</v>
      </c>
      <c r="L1375" s="8">
        <v>165</v>
      </c>
      <c r="M1375" s="8">
        <v>70</v>
      </c>
      <c r="N1375" s="8">
        <v>0.77</v>
      </c>
      <c r="O1375" s="8">
        <v>1259</v>
      </c>
      <c r="P1375" s="8" t="s">
        <v>21</v>
      </c>
      <c r="Q1375" s="8" t="str">
        <f>_xlfn.IFS(AND(Table13[[#This Row],[Gender]]="female",R1375&lt;20),"Athletes",AND(Table13[[#This Row],[Gender]]="female",R1375&lt;24),"Fitnesss",AND(Table13[[#This Row],[Gender]]="female",R1375&lt;31),"Acceptable",AND(Table13[[#This Row],[Gender]]="female",R1375&lt;40),"Obese",AND(Table13[[#This Row],[Gender]]="male",R1375&lt;13),"Athletes",AND(Table13[[#This Row],[Gender]]="male",R1375&lt;17),"Fitnesss",AND(Table13[[#This Row],[Gender]]="male",R1375&lt;24.9),"Acceptable",AND(Table13[[#This Row],[Gender]]="male",R1375&lt;40),"Obese",AND(Table13[[#This Row],[Gender]]="others",R1375&lt;20),"Athletes",AND(Table13[[#This Row],[Gender]]="others",R1375&lt;24),"Fitnesss",AND(Table13[[#This Row],[Gender]]="others",R1375&lt;31),"Acceptable",AND(Table13[[#This Row],[Gender]]="others",R1375&lt;40),"Obese")</f>
        <v>Fitnesss</v>
      </c>
      <c r="R1375" s="8">
        <v>20.100000000000001</v>
      </c>
      <c r="S1375" s="8">
        <v>3.5</v>
      </c>
      <c r="T1375" s="8">
        <v>4</v>
      </c>
      <c r="U1375" s="8">
        <v>2</v>
      </c>
      <c r="V1375" s="8" t="str">
        <f>IF(Table13[[#This Row],[BMI]]&lt;=18.5,"Underweight",IF(Table13[[#This Row],[BMI]]&lt;=24.9,"Normal",IF(Table13[[#This Row],[BMI]]&lt;=29.9,"Overweight",IF(Table13[[#This Row],[BMI]]&lt;=39,"Obese","Severly Obese"))))</f>
        <v>Overweight</v>
      </c>
      <c r="W1375" s="18">
        <v>26.13</v>
      </c>
    </row>
    <row r="1376" spans="6:23" x14ac:dyDescent="0.3">
      <c r="F1376" s="17">
        <v>35</v>
      </c>
      <c r="G1376" s="8" t="str">
        <f>IF(Table13[[#This Row],[Age]]&lt;25,"18-24",IF(Table13[[#This Row],[Age]]&lt;35,"25-34",IF(Table13[[#This Row],[Age]]&lt;45,"35-44",IF(Table13[[#This Row],[Age]]&lt;55,"45-54","55-64"))))</f>
        <v>35-44</v>
      </c>
      <c r="H1376" s="8" t="s">
        <v>17</v>
      </c>
      <c r="I1376" s="8">
        <v>76.099999999999994</v>
      </c>
      <c r="J1376" s="8">
        <v>1.81</v>
      </c>
      <c r="K1376" s="8"/>
      <c r="L1376" s="8">
        <v>153</v>
      </c>
      <c r="M1376" s="8">
        <v>74</v>
      </c>
      <c r="N1376" s="8">
        <v>2</v>
      </c>
      <c r="O1376" s="8">
        <v>1119</v>
      </c>
      <c r="P1376" s="8" t="s">
        <v>21</v>
      </c>
      <c r="Q1376" s="8" t="str">
        <f>_xlfn.IFS(AND(Table13[[#This Row],[Gender]]="female",R1376&lt;20),"Athletes",AND(Table13[[#This Row],[Gender]]="female",R1376&lt;24),"Fitnesss",AND(Table13[[#This Row],[Gender]]="female",R1376&lt;31),"Acceptable",AND(Table13[[#This Row],[Gender]]="female",R1376&lt;40),"Obese",AND(Table13[[#This Row],[Gender]]="male",R1376&lt;13),"Athletes",AND(Table13[[#This Row],[Gender]]="male",R1376&lt;17),"Fitnesss",AND(Table13[[#This Row],[Gender]]="male",R1376&lt;24.9),"Acceptable",AND(Table13[[#This Row],[Gender]]="male",R1376&lt;40),"Obese",AND(Table13[[#This Row],[Gender]]="others",R1376&lt;20),"Athletes",AND(Table13[[#This Row],[Gender]]="others",R1376&lt;24),"Fitnesss",AND(Table13[[#This Row],[Gender]]="others",R1376&lt;31),"Acceptable",AND(Table13[[#This Row],[Gender]]="others",R1376&lt;40),"Obese")</f>
        <v>Athletes</v>
      </c>
      <c r="R1376" s="8">
        <v>17.7</v>
      </c>
      <c r="S1376" s="8">
        <v>3.3</v>
      </c>
      <c r="T1376" s="8">
        <v>2</v>
      </c>
      <c r="U1376" s="8">
        <v>1</v>
      </c>
      <c r="V1376" s="8" t="str">
        <f>IF(Table13[[#This Row],[BMI]]&lt;=18.5,"Underweight",IF(Table13[[#This Row],[BMI]]&lt;=24.9,"Normal",IF(Table13[[#This Row],[BMI]]&lt;=29.9,"Overweight",IF(Table13[[#This Row],[BMI]]&lt;=39,"Obese","Severly Obese"))))</f>
        <v>Overweight</v>
      </c>
      <c r="W1376" s="18">
        <v>26.86</v>
      </c>
    </row>
    <row r="1377" spans="6:23" x14ac:dyDescent="0.3">
      <c r="F1377" s="17">
        <v>38</v>
      </c>
      <c r="G1377" s="8" t="str">
        <f>IF(Table13[[#This Row],[Age]]&lt;25,"18-24",IF(Table13[[#This Row],[Age]]&lt;35,"25-34",IF(Table13[[#This Row],[Age]]&lt;45,"35-44",IF(Table13[[#This Row],[Age]]&lt;55,"45-54","55-64"))))</f>
        <v>35-44</v>
      </c>
      <c r="H1377" s="8" t="s">
        <v>19</v>
      </c>
      <c r="I1377" s="8">
        <v>93.7</v>
      </c>
      <c r="J1377" s="8">
        <v>1.66</v>
      </c>
      <c r="K1377" s="8">
        <v>168</v>
      </c>
      <c r="L1377" s="8">
        <v>169</v>
      </c>
      <c r="M1377" s="8">
        <v>68</v>
      </c>
      <c r="N1377" s="8">
        <v>1.97</v>
      </c>
      <c r="O1377" s="8">
        <v>875</v>
      </c>
      <c r="P1377" s="8" t="s">
        <v>20</v>
      </c>
      <c r="Q1377" s="8" t="str">
        <f>_xlfn.IFS(AND(Table13[[#This Row],[Gender]]="female",R1377&lt;20),"Athletes",AND(Table13[[#This Row],[Gender]]="female",R1377&lt;24),"Fitnesss",AND(Table13[[#This Row],[Gender]]="female",R1377&lt;31),"Acceptable",AND(Table13[[#This Row],[Gender]]="female",R1377&lt;40),"Obese",AND(Table13[[#This Row],[Gender]]="male",R1377&lt;13),"Athletes",AND(Table13[[#This Row],[Gender]]="male",R1377&lt;17),"Fitnesss",AND(Table13[[#This Row],[Gender]]="male",R1377&lt;24.9),"Acceptable",AND(Table13[[#This Row],[Gender]]="male",R1377&lt;40),"Obese",AND(Table13[[#This Row],[Gender]]="others",R1377&lt;20),"Athletes",AND(Table13[[#This Row],[Gender]]="others",R1377&lt;24),"Fitnesss",AND(Table13[[#This Row],[Gender]]="others",R1377&lt;31),"Acceptable",AND(Table13[[#This Row],[Gender]]="others",R1377&lt;40),"Obese")</f>
        <v>Obese</v>
      </c>
      <c r="R1377" s="8">
        <v>29</v>
      </c>
      <c r="S1377" s="8">
        <v>3.4</v>
      </c>
      <c r="T1377" s="8">
        <v>4</v>
      </c>
      <c r="U1377" s="8">
        <v>2</v>
      </c>
      <c r="V1377" s="8" t="str">
        <f>IF(Table13[[#This Row],[BMI]]&lt;=18.5,"Underweight",IF(Table13[[#This Row],[BMI]]&lt;=24.9,"Normal",IF(Table13[[#This Row],[BMI]]&lt;=29.9,"Overweight",IF(Table13[[#This Row],[BMI]]&lt;=39,"Obese","Severly Obese"))))</f>
        <v>Underweight</v>
      </c>
      <c r="W1377" s="18">
        <v>13.87</v>
      </c>
    </row>
    <row r="1378" spans="6:23" x14ac:dyDescent="0.3">
      <c r="F1378" s="17">
        <v>42</v>
      </c>
      <c r="G1378" s="8" t="str">
        <f>IF(Table13[[#This Row],[Age]]&lt;25,"18-24",IF(Table13[[#This Row],[Age]]&lt;35,"25-34",IF(Table13[[#This Row],[Age]]&lt;45,"35-44",IF(Table13[[#This Row],[Age]]&lt;55,"45-54","55-64"))))</f>
        <v>35-44</v>
      </c>
      <c r="H1378" s="8" t="s">
        <v>17</v>
      </c>
      <c r="I1378" s="8">
        <v>88.6</v>
      </c>
      <c r="J1378" s="8">
        <v>2</v>
      </c>
      <c r="K1378" s="8">
        <v>171</v>
      </c>
      <c r="L1378" s="8">
        <v>166</v>
      </c>
      <c r="M1378" s="8">
        <v>72</v>
      </c>
      <c r="N1378" s="8">
        <v>1.1100000000000001</v>
      </c>
      <c r="O1378" s="8">
        <v>1335</v>
      </c>
      <c r="P1378" s="8" t="s">
        <v>22</v>
      </c>
      <c r="Q1378" s="8" t="str">
        <f>_xlfn.IFS(AND(Table13[[#This Row],[Gender]]="female",R1378&lt;20),"Athletes",AND(Table13[[#This Row],[Gender]]="female",R1378&lt;24),"Fitnesss",AND(Table13[[#This Row],[Gender]]="female",R1378&lt;31),"Acceptable",AND(Table13[[#This Row],[Gender]]="female",R1378&lt;40),"Obese",AND(Table13[[#This Row],[Gender]]="male",R1378&lt;13),"Athletes",AND(Table13[[#This Row],[Gender]]="male",R1378&lt;17),"Fitnesss",AND(Table13[[#This Row],[Gender]]="male",R1378&lt;24.9),"Acceptable",AND(Table13[[#This Row],[Gender]]="male",R1378&lt;40),"Obese",AND(Table13[[#This Row],[Gender]]="others",R1378&lt;20),"Athletes",AND(Table13[[#This Row],[Gender]]="others",R1378&lt;24),"Fitnesss",AND(Table13[[#This Row],[Gender]]="others",R1378&lt;31),"Acceptable",AND(Table13[[#This Row],[Gender]]="others",R1378&lt;40),"Obese")</f>
        <v>Athletes</v>
      </c>
      <c r="R1378" s="8">
        <v>18.600000000000001</v>
      </c>
      <c r="S1378" s="8">
        <v>2.2000000000000002</v>
      </c>
      <c r="T1378" s="8">
        <v>5</v>
      </c>
      <c r="U1378" s="8">
        <v>2</v>
      </c>
      <c r="V1378" s="8" t="str">
        <f>IF(Table13[[#This Row],[BMI]]&lt;=18.5,"Underweight",IF(Table13[[#This Row],[BMI]]&lt;=24.9,"Normal",IF(Table13[[#This Row],[BMI]]&lt;=29.9,"Overweight",IF(Table13[[#This Row],[BMI]]&lt;=39,"Obese","Severly Obese"))))</f>
        <v>Underweight</v>
      </c>
      <c r="W1378" s="18">
        <v>18.3</v>
      </c>
    </row>
    <row r="1379" spans="6:23" x14ac:dyDescent="0.3">
      <c r="F1379" s="17">
        <v>18</v>
      </c>
      <c r="G1379" s="8" t="str">
        <f>IF(Table13[[#This Row],[Age]]&lt;25,"18-24",IF(Table13[[#This Row],[Age]]&lt;35,"25-34",IF(Table13[[#This Row],[Age]]&lt;45,"35-44",IF(Table13[[#This Row],[Age]]&lt;55,"45-54","55-64"))))</f>
        <v>18-24</v>
      </c>
      <c r="H1379" s="8" t="s">
        <v>19</v>
      </c>
      <c r="I1379" s="8">
        <v>49.9</v>
      </c>
      <c r="J1379" s="8">
        <v>1.77</v>
      </c>
      <c r="K1379" s="8">
        <v>191</v>
      </c>
      <c r="L1379" s="8">
        <v>123</v>
      </c>
      <c r="M1379" s="8">
        <v>74</v>
      </c>
      <c r="N1379" s="8">
        <v>1.4</v>
      </c>
      <c r="O1379" s="8">
        <v>626</v>
      </c>
      <c r="P1379" s="8" t="s">
        <v>18</v>
      </c>
      <c r="Q1379" s="8" t="str">
        <f>_xlfn.IFS(AND(Table13[[#This Row],[Gender]]="female",R1379&lt;20),"Athletes",AND(Table13[[#This Row],[Gender]]="female",R1379&lt;24),"Fitnesss",AND(Table13[[#This Row],[Gender]]="female",R1379&lt;31),"Acceptable",AND(Table13[[#This Row],[Gender]]="female",R1379&lt;40),"Obese",AND(Table13[[#This Row],[Gender]]="male",R1379&lt;13),"Athletes",AND(Table13[[#This Row],[Gender]]="male",R1379&lt;17),"Fitnesss",AND(Table13[[#This Row],[Gender]]="male",R1379&lt;24.9),"Acceptable",AND(Table13[[#This Row],[Gender]]="male",R1379&lt;40),"Obese",AND(Table13[[#This Row],[Gender]]="others",R1379&lt;20),"Athletes",AND(Table13[[#This Row],[Gender]]="others",R1379&lt;24),"Fitnesss",AND(Table13[[#This Row],[Gender]]="others",R1379&lt;31),"Acceptable",AND(Table13[[#This Row],[Gender]]="others",R1379&lt;40),"Obese")</f>
        <v>Obese</v>
      </c>
      <c r="R1379" s="8">
        <v>25.9</v>
      </c>
      <c r="S1379" s="8">
        <v>3.4</v>
      </c>
      <c r="T1379" s="8">
        <v>2</v>
      </c>
      <c r="U1379" s="8">
        <v>2</v>
      </c>
      <c r="V1379" s="8" t="str">
        <f>IF(Table13[[#This Row],[BMI]]&lt;=18.5,"Underweight",IF(Table13[[#This Row],[BMI]]&lt;=24.9,"Normal",IF(Table13[[#This Row],[BMI]]&lt;=29.9,"Overweight",IF(Table13[[#This Row],[BMI]]&lt;=39,"Obese","Severly Obese"))))</f>
        <v>Normal</v>
      </c>
      <c r="W1379" s="18">
        <v>24.35</v>
      </c>
    </row>
    <row r="1380" spans="6:23" x14ac:dyDescent="0.3">
      <c r="F1380" s="17">
        <v>42</v>
      </c>
      <c r="G1380" s="8" t="str">
        <f>IF(Table13[[#This Row],[Age]]&lt;25,"18-24",IF(Table13[[#This Row],[Age]]&lt;35,"25-34",IF(Table13[[#This Row],[Age]]&lt;45,"35-44",IF(Table13[[#This Row],[Age]]&lt;55,"45-54","55-64"))))</f>
        <v>35-44</v>
      </c>
      <c r="H1380" s="8" t="s">
        <v>17</v>
      </c>
      <c r="I1380" s="8">
        <v>99.9</v>
      </c>
      <c r="J1380" s="8">
        <v>1.6</v>
      </c>
      <c r="K1380" s="8">
        <v>189</v>
      </c>
      <c r="L1380" s="8">
        <v>169</v>
      </c>
      <c r="M1380" s="8">
        <v>58</v>
      </c>
      <c r="N1380" s="8">
        <v>1.85</v>
      </c>
      <c r="O1380" s="8">
        <v>1099</v>
      </c>
      <c r="P1380" s="8" t="s">
        <v>21</v>
      </c>
      <c r="Q1380" s="8" t="str">
        <f>_xlfn.IFS(AND(Table13[[#This Row],[Gender]]="female",R1380&lt;20),"Athletes",AND(Table13[[#This Row],[Gender]]="female",R1380&lt;24),"Fitnesss",AND(Table13[[#This Row],[Gender]]="female",R1380&lt;31),"Acceptable",AND(Table13[[#This Row],[Gender]]="female",R1380&lt;40),"Obese",AND(Table13[[#This Row],[Gender]]="male",R1380&lt;13),"Athletes",AND(Table13[[#This Row],[Gender]]="male",R1380&lt;17),"Fitnesss",AND(Table13[[#This Row],[Gender]]="male",R1380&lt;24.9),"Acceptable",AND(Table13[[#This Row],[Gender]]="male",R1380&lt;40),"Obese",AND(Table13[[#This Row],[Gender]]="others",R1380&lt;20),"Athletes",AND(Table13[[#This Row],[Gender]]="others",R1380&lt;24),"Fitnesss",AND(Table13[[#This Row],[Gender]]="others",R1380&lt;31),"Acceptable",AND(Table13[[#This Row],[Gender]]="others",R1380&lt;40),"Obese")</f>
        <v>Obese</v>
      </c>
      <c r="R1380" s="8">
        <v>32.6</v>
      </c>
      <c r="S1380" s="8">
        <v>2.2000000000000002</v>
      </c>
      <c r="T1380" s="8">
        <v>2</v>
      </c>
      <c r="U1380" s="8">
        <v>1</v>
      </c>
      <c r="V1380" s="8" t="str">
        <f>IF(Table13[[#This Row],[BMI]]&lt;=18.5,"Underweight",IF(Table13[[#This Row],[BMI]]&lt;=24.9,"Normal",IF(Table13[[#This Row],[BMI]]&lt;=29.9,"Overweight",IF(Table13[[#This Row],[BMI]]&lt;=39,"Obese","Severly Obese"))))</f>
        <v>Underweight</v>
      </c>
      <c r="W1380" s="18">
        <v>15.78</v>
      </c>
    </row>
    <row r="1381" spans="6:23" x14ac:dyDescent="0.3">
      <c r="F1381" s="17">
        <v>26</v>
      </c>
      <c r="G1381" s="8" t="str">
        <f>IF(Table13[[#This Row],[Age]]&lt;25,"18-24",IF(Table13[[#This Row],[Age]]&lt;35,"25-34",IF(Table13[[#This Row],[Age]]&lt;45,"35-44",IF(Table13[[#This Row],[Age]]&lt;55,"45-54","55-64"))))</f>
        <v>25-34</v>
      </c>
      <c r="H1381" s="8" t="s">
        <v>17</v>
      </c>
      <c r="I1381" s="8">
        <v>58.6</v>
      </c>
      <c r="J1381" s="8">
        <v>1.78</v>
      </c>
      <c r="K1381" s="8">
        <v>198</v>
      </c>
      <c r="L1381" s="8">
        <v>143</v>
      </c>
      <c r="M1381" s="8">
        <v>74</v>
      </c>
      <c r="N1381" s="8">
        <v>1.59</v>
      </c>
      <c r="O1381" s="8">
        <v>1008</v>
      </c>
      <c r="P1381" s="8" t="s">
        <v>20</v>
      </c>
      <c r="Q1381" s="8" t="str">
        <f>_xlfn.IFS(AND(Table13[[#This Row],[Gender]]="female",R1381&lt;20),"Athletes",AND(Table13[[#This Row],[Gender]]="female",R1381&lt;24),"Fitnesss",AND(Table13[[#This Row],[Gender]]="female",R1381&lt;31),"Acceptable",AND(Table13[[#This Row],[Gender]]="female",R1381&lt;40),"Obese",AND(Table13[[#This Row],[Gender]]="male",R1381&lt;13),"Athletes",AND(Table13[[#This Row],[Gender]]="male",R1381&lt;17),"Fitnesss",AND(Table13[[#This Row],[Gender]]="male",R1381&lt;24.9),"Acceptable",AND(Table13[[#This Row],[Gender]]="male",R1381&lt;40),"Obese",AND(Table13[[#This Row],[Gender]]="others",R1381&lt;20),"Athletes",AND(Table13[[#This Row],[Gender]]="others",R1381&lt;24),"Fitnesss",AND(Table13[[#This Row],[Gender]]="others",R1381&lt;31),"Acceptable",AND(Table13[[#This Row],[Gender]]="others",R1381&lt;40),"Obese")</f>
        <v>Fitnesss</v>
      </c>
      <c r="R1381" s="8">
        <v>21.1</v>
      </c>
      <c r="S1381" s="8">
        <v>2.2000000000000002</v>
      </c>
      <c r="T1381" s="8">
        <v>3</v>
      </c>
      <c r="U1381" s="8">
        <v>1</v>
      </c>
      <c r="V1381" s="8" t="str">
        <f>IF(Table13[[#This Row],[BMI]]&lt;=18.5,"Underweight",IF(Table13[[#This Row],[BMI]]&lt;=24.9,"Normal",IF(Table13[[#This Row],[BMI]]&lt;=29.9,"Overweight",IF(Table13[[#This Row],[BMI]]&lt;=39,"Obese","Severly Obese"))))</f>
        <v>Severly Obese</v>
      </c>
      <c r="W1381" s="18">
        <v>44.77</v>
      </c>
    </row>
    <row r="1382" spans="6:23" x14ac:dyDescent="0.3">
      <c r="F1382" s="17">
        <v>36</v>
      </c>
      <c r="G1382" s="8" t="str">
        <f>IF(Table13[[#This Row],[Age]]&lt;25,"18-24",IF(Table13[[#This Row],[Age]]&lt;35,"25-34",IF(Table13[[#This Row],[Age]]&lt;45,"35-44",IF(Table13[[#This Row],[Age]]&lt;55,"45-54","55-64"))))</f>
        <v>35-44</v>
      </c>
      <c r="H1382" s="8" t="s">
        <v>19</v>
      </c>
      <c r="I1382" s="8">
        <v>57.4</v>
      </c>
      <c r="J1382" s="8">
        <v>1.58</v>
      </c>
      <c r="K1382" s="8">
        <v>192</v>
      </c>
      <c r="L1382" s="8">
        <v>152</v>
      </c>
      <c r="M1382" s="8">
        <v>70</v>
      </c>
      <c r="N1382" s="8">
        <v>1.38</v>
      </c>
      <c r="O1382" s="8">
        <v>1137</v>
      </c>
      <c r="P1382" s="8" t="s">
        <v>22</v>
      </c>
      <c r="Q1382" s="8" t="str">
        <f>_xlfn.IFS(AND(Table13[[#This Row],[Gender]]="female",R1382&lt;20),"Athletes",AND(Table13[[#This Row],[Gender]]="female",R1382&lt;24),"Fitnesss",AND(Table13[[#This Row],[Gender]]="female",R1382&lt;31),"Acceptable",AND(Table13[[#This Row],[Gender]]="female",R1382&lt;40),"Obese",AND(Table13[[#This Row],[Gender]]="male",R1382&lt;13),"Athletes",AND(Table13[[#This Row],[Gender]]="male",R1382&lt;17),"Fitnesss",AND(Table13[[#This Row],[Gender]]="male",R1382&lt;24.9),"Acceptable",AND(Table13[[#This Row],[Gender]]="male",R1382&lt;40),"Obese",AND(Table13[[#This Row],[Gender]]="others",R1382&lt;20),"Athletes",AND(Table13[[#This Row],[Gender]]="others",R1382&lt;24),"Fitnesss",AND(Table13[[#This Row],[Gender]]="others",R1382&lt;31),"Acceptable",AND(Table13[[#This Row],[Gender]]="others",R1382&lt;40),"Obese")</f>
        <v>Acceptable</v>
      </c>
      <c r="R1382" s="8">
        <v>18.3</v>
      </c>
      <c r="S1382" s="8">
        <v>3.2</v>
      </c>
      <c r="T1382" s="8">
        <v>2</v>
      </c>
      <c r="U1382" s="8">
        <v>1</v>
      </c>
      <c r="V1382" s="8" t="str">
        <f>IF(Table13[[#This Row],[BMI]]&lt;=18.5,"Underweight",IF(Table13[[#This Row],[BMI]]&lt;=24.9,"Normal",IF(Table13[[#This Row],[BMI]]&lt;=29.9,"Overweight",IF(Table13[[#This Row],[BMI]]&lt;=39,"Obese","Severly Obese"))))</f>
        <v>Normal</v>
      </c>
      <c r="W1382" s="18">
        <v>20.91</v>
      </c>
    </row>
    <row r="1383" spans="6:23" x14ac:dyDescent="0.3">
      <c r="F1383" s="17">
        <v>47</v>
      </c>
      <c r="G1383" s="8" t="str">
        <f>IF(Table13[[#This Row],[Age]]&lt;25,"18-24",IF(Table13[[#This Row],[Age]]&lt;35,"25-34",IF(Table13[[#This Row],[Age]]&lt;45,"35-44",IF(Table13[[#This Row],[Age]]&lt;55,"45-54","55-64"))))</f>
        <v>45-54</v>
      </c>
      <c r="H1383" s="8" t="s">
        <v>19</v>
      </c>
      <c r="I1383" s="8">
        <v>48.1</v>
      </c>
      <c r="J1383" s="8">
        <v>1.71</v>
      </c>
      <c r="K1383" s="8">
        <v>185</v>
      </c>
      <c r="L1383" s="8">
        <v>129</v>
      </c>
      <c r="M1383" s="8">
        <v>74</v>
      </c>
      <c r="N1383" s="8">
        <v>0.87</v>
      </c>
      <c r="O1383" s="8">
        <v>1177</v>
      </c>
      <c r="P1383" s="8" t="s">
        <v>18</v>
      </c>
      <c r="Q1383" s="8" t="str">
        <f>_xlfn.IFS(AND(Table13[[#This Row],[Gender]]="female",R1383&lt;20),"Athletes",AND(Table13[[#This Row],[Gender]]="female",R1383&lt;24),"Fitnesss",AND(Table13[[#This Row],[Gender]]="female",R1383&lt;31),"Acceptable",AND(Table13[[#This Row],[Gender]]="female",R1383&lt;40),"Obese",AND(Table13[[#This Row],[Gender]]="male",R1383&lt;13),"Athletes",AND(Table13[[#This Row],[Gender]]="male",R1383&lt;17),"Fitnesss",AND(Table13[[#This Row],[Gender]]="male",R1383&lt;24.9),"Acceptable",AND(Table13[[#This Row],[Gender]]="male",R1383&lt;40),"Obese",AND(Table13[[#This Row],[Gender]]="others",R1383&lt;20),"Athletes",AND(Table13[[#This Row],[Gender]]="others",R1383&lt;24),"Fitnesss",AND(Table13[[#This Row],[Gender]]="others",R1383&lt;31),"Acceptable",AND(Table13[[#This Row],[Gender]]="others",R1383&lt;40),"Obese")</f>
        <v>Obese</v>
      </c>
      <c r="R1383" s="8">
        <v>28.1</v>
      </c>
      <c r="S1383" s="8">
        <v>2.6</v>
      </c>
      <c r="T1383" s="8">
        <v>3</v>
      </c>
      <c r="U1383" s="8">
        <v>3</v>
      </c>
      <c r="V1383" s="8" t="str">
        <f>IF(Table13[[#This Row],[BMI]]&lt;=18.5,"Underweight",IF(Table13[[#This Row],[BMI]]&lt;=24.9,"Normal",IF(Table13[[#This Row],[BMI]]&lt;=29.9,"Overweight",IF(Table13[[#This Row],[BMI]]&lt;=39,"Obese","Severly Obese"))))</f>
        <v>Underweight</v>
      </c>
      <c r="W1383" s="18">
        <v>12.32</v>
      </c>
    </row>
    <row r="1384" spans="6:23" x14ac:dyDescent="0.3">
      <c r="F1384" s="17">
        <v>30</v>
      </c>
      <c r="G1384" s="8" t="str">
        <f>IF(Table13[[#This Row],[Age]]&lt;25,"18-24",IF(Table13[[#This Row],[Age]]&lt;35,"25-34",IF(Table13[[#This Row],[Age]]&lt;45,"35-44",IF(Table13[[#This Row],[Age]]&lt;55,"45-54","55-64"))))</f>
        <v>25-34</v>
      </c>
      <c r="H1384" s="8" t="s">
        <v>19</v>
      </c>
      <c r="I1384" s="8">
        <v>60.1</v>
      </c>
      <c r="J1384" s="8">
        <v>1.93</v>
      </c>
      <c r="K1384" s="8">
        <v>187</v>
      </c>
      <c r="L1384" s="8">
        <v>140</v>
      </c>
      <c r="M1384" s="8">
        <v>58</v>
      </c>
      <c r="N1384" s="8">
        <v>1.48</v>
      </c>
      <c r="O1384" s="8">
        <v>875</v>
      </c>
      <c r="P1384" s="8" t="s">
        <v>21</v>
      </c>
      <c r="Q1384" s="8" t="str">
        <f>_xlfn.IFS(AND(Table13[[#This Row],[Gender]]="female",R1384&lt;20),"Athletes",AND(Table13[[#This Row],[Gender]]="female",R1384&lt;24),"Fitnesss",AND(Table13[[#This Row],[Gender]]="female",R1384&lt;31),"Acceptable",AND(Table13[[#This Row],[Gender]]="female",R1384&lt;40),"Obese",AND(Table13[[#This Row],[Gender]]="male",R1384&lt;13),"Athletes",AND(Table13[[#This Row],[Gender]]="male",R1384&lt;17),"Fitnesss",AND(Table13[[#This Row],[Gender]]="male",R1384&lt;24.9),"Acceptable",AND(Table13[[#This Row],[Gender]]="male",R1384&lt;40),"Obese",AND(Table13[[#This Row],[Gender]]="others",R1384&lt;20),"Athletes",AND(Table13[[#This Row],[Gender]]="others",R1384&lt;24),"Fitnesss",AND(Table13[[#This Row],[Gender]]="others",R1384&lt;31),"Acceptable",AND(Table13[[#This Row],[Gender]]="others",R1384&lt;40),"Obese")</f>
        <v>Obese</v>
      </c>
      <c r="R1384" s="8">
        <v>29.7</v>
      </c>
      <c r="S1384" s="8">
        <v>3.1</v>
      </c>
      <c r="T1384" s="8">
        <v>5</v>
      </c>
      <c r="U1384" s="8">
        <v>1</v>
      </c>
      <c r="V1384" s="8" t="str">
        <f>IF(Table13[[#This Row],[BMI]]&lt;=18.5,"Underweight",IF(Table13[[#This Row],[BMI]]&lt;=24.9,"Normal",IF(Table13[[#This Row],[BMI]]&lt;=29.9,"Overweight",IF(Table13[[#This Row],[BMI]]&lt;=39,"Obese","Severly Obese"))))</f>
        <v>Normal</v>
      </c>
      <c r="W1384" s="18">
        <v>24.29</v>
      </c>
    </row>
    <row r="1385" spans="6:23" x14ac:dyDescent="0.3">
      <c r="F1385" s="17">
        <v>23</v>
      </c>
      <c r="G1385" s="8" t="str">
        <f>IF(Table13[[#This Row],[Age]]&lt;25,"18-24",IF(Table13[[#This Row],[Age]]&lt;35,"25-34",IF(Table13[[#This Row],[Age]]&lt;45,"35-44",IF(Table13[[#This Row],[Age]]&lt;55,"45-54","55-64"))))</f>
        <v>18-24</v>
      </c>
      <c r="H1385" s="8" t="s">
        <v>17</v>
      </c>
      <c r="I1385" s="8">
        <v>88</v>
      </c>
      <c r="J1385" s="8">
        <v>2</v>
      </c>
      <c r="K1385" s="8">
        <v>193</v>
      </c>
      <c r="L1385" s="8">
        <v>128</v>
      </c>
      <c r="M1385" s="8">
        <v>70</v>
      </c>
      <c r="N1385" s="8">
        <v>1.24</v>
      </c>
      <c r="O1385" s="8">
        <v>399</v>
      </c>
      <c r="P1385" s="8" t="s">
        <v>21</v>
      </c>
      <c r="Q1385" s="8" t="str">
        <f>_xlfn.IFS(AND(Table13[[#This Row],[Gender]]="female",R1385&lt;20),"Athletes",AND(Table13[[#This Row],[Gender]]="female",R1385&lt;24),"Fitnesss",AND(Table13[[#This Row],[Gender]]="female",R1385&lt;31),"Acceptable",AND(Table13[[#This Row],[Gender]]="female",R1385&lt;40),"Obese",AND(Table13[[#This Row],[Gender]]="male",R1385&lt;13),"Athletes",AND(Table13[[#This Row],[Gender]]="male",R1385&lt;17),"Fitnesss",AND(Table13[[#This Row],[Gender]]="male",R1385&lt;24.9),"Acceptable",AND(Table13[[#This Row],[Gender]]="male",R1385&lt;40),"Obese",AND(Table13[[#This Row],[Gender]]="others",R1385&lt;20),"Athletes",AND(Table13[[#This Row],[Gender]]="others",R1385&lt;24),"Fitnesss",AND(Table13[[#This Row],[Gender]]="others",R1385&lt;31),"Acceptable",AND(Table13[[#This Row],[Gender]]="others",R1385&lt;40),"Obese")</f>
        <v>Fitnesss</v>
      </c>
      <c r="R1385" s="8">
        <v>23.9</v>
      </c>
      <c r="S1385" s="8">
        <v>2.8</v>
      </c>
      <c r="T1385" s="8">
        <v>3</v>
      </c>
      <c r="U1385" s="8">
        <v>1</v>
      </c>
      <c r="V1385" s="8" t="str">
        <f>IF(Table13[[#This Row],[BMI]]&lt;=18.5,"Underweight",IF(Table13[[#This Row],[BMI]]&lt;=24.9,"Normal",IF(Table13[[#This Row],[BMI]]&lt;=29.9,"Overweight",IF(Table13[[#This Row],[BMI]]&lt;=39,"Obese","Severly Obese"))))</f>
        <v>Obese</v>
      </c>
      <c r="W1385" s="18">
        <v>31.33</v>
      </c>
    </row>
    <row r="1386" spans="6:23" x14ac:dyDescent="0.3">
      <c r="F1386" s="17">
        <v>39</v>
      </c>
      <c r="G1386" s="8" t="str">
        <f>IF(Table13[[#This Row],[Age]]&lt;25,"18-24",IF(Table13[[#This Row],[Age]]&lt;35,"25-34",IF(Table13[[#This Row],[Age]]&lt;45,"35-44",IF(Table13[[#This Row],[Age]]&lt;55,"45-54","55-64"))))</f>
        <v>35-44</v>
      </c>
      <c r="H1386" s="8" t="s">
        <v>17</v>
      </c>
      <c r="I1386" s="8">
        <v>62.5</v>
      </c>
      <c r="J1386" s="8">
        <v>1.74</v>
      </c>
      <c r="K1386" s="8">
        <v>162</v>
      </c>
      <c r="L1386" s="8">
        <v>141</v>
      </c>
      <c r="M1386" s="8">
        <v>58</v>
      </c>
      <c r="N1386" s="8">
        <v>1.27</v>
      </c>
      <c r="O1386" s="8">
        <v>699</v>
      </c>
      <c r="P1386" s="8" t="s">
        <v>23</v>
      </c>
      <c r="Q1386" s="8" t="str">
        <f>_xlfn.IFS(AND(Table13[[#This Row],[Gender]]="female",R1386&lt;20),"Athletes",AND(Table13[[#This Row],[Gender]]="female",R1386&lt;24),"Fitnesss",AND(Table13[[#This Row],[Gender]]="female",R1386&lt;31),"Acceptable",AND(Table13[[#This Row],[Gender]]="female",R1386&lt;40),"Obese",AND(Table13[[#This Row],[Gender]]="male",R1386&lt;13),"Athletes",AND(Table13[[#This Row],[Gender]]="male",R1386&lt;17),"Fitnesss",AND(Table13[[#This Row],[Gender]]="male",R1386&lt;24.9),"Acceptable",AND(Table13[[#This Row],[Gender]]="male",R1386&lt;40),"Obese",AND(Table13[[#This Row],[Gender]]="others",R1386&lt;20),"Athletes",AND(Table13[[#This Row],[Gender]]="others",R1386&lt;24),"Fitnesss",AND(Table13[[#This Row],[Gender]]="others",R1386&lt;31),"Acceptable",AND(Table13[[#This Row],[Gender]]="others",R1386&lt;40),"Obese")</f>
        <v>Acceptable</v>
      </c>
      <c r="R1386" s="8">
        <v>24.2</v>
      </c>
      <c r="S1386" s="8">
        <v>1.8</v>
      </c>
      <c r="T1386" s="8">
        <v>3</v>
      </c>
      <c r="U1386" s="8">
        <v>1</v>
      </c>
      <c r="V1386" s="8" t="str">
        <f>IF(Table13[[#This Row],[BMI]]&lt;=18.5,"Underweight",IF(Table13[[#This Row],[BMI]]&lt;=24.9,"Normal",IF(Table13[[#This Row],[BMI]]&lt;=29.9,"Overweight",IF(Table13[[#This Row],[BMI]]&lt;=39,"Obese","Severly Obese"))))</f>
        <v>Underweight</v>
      </c>
      <c r="W1386" s="18">
        <v>17.600000000000001</v>
      </c>
    </row>
    <row r="1387" spans="6:23" x14ac:dyDescent="0.3">
      <c r="F1387" s="17">
        <v>38</v>
      </c>
      <c r="G1387" s="8" t="str">
        <f>IF(Table13[[#This Row],[Age]]&lt;25,"18-24",IF(Table13[[#This Row],[Age]]&lt;35,"25-34",IF(Table13[[#This Row],[Age]]&lt;45,"35-44",IF(Table13[[#This Row],[Age]]&lt;55,"45-54","55-64"))))</f>
        <v>35-44</v>
      </c>
      <c r="H1387" s="8" t="s">
        <v>17</v>
      </c>
      <c r="I1387" s="8">
        <v>69.400000000000006</v>
      </c>
      <c r="J1387" s="8">
        <v>2</v>
      </c>
      <c r="K1387" s="8">
        <v>195</v>
      </c>
      <c r="L1387" s="8">
        <v>130</v>
      </c>
      <c r="M1387" s="8">
        <v>18</v>
      </c>
      <c r="N1387" s="8">
        <v>1.34</v>
      </c>
      <c r="O1387" s="8">
        <v>1197</v>
      </c>
      <c r="P1387" s="8" t="s">
        <v>18</v>
      </c>
      <c r="Q1387" s="8" t="str">
        <f>_xlfn.IFS(AND(Table13[[#This Row],[Gender]]="female",R1387&lt;20),"Athletes",AND(Table13[[#This Row],[Gender]]="female",R1387&lt;24),"Fitnesss",AND(Table13[[#This Row],[Gender]]="female",R1387&lt;31),"Acceptable",AND(Table13[[#This Row],[Gender]]="female",R1387&lt;40),"Obese",AND(Table13[[#This Row],[Gender]]="male",R1387&lt;13),"Athletes",AND(Table13[[#This Row],[Gender]]="male",R1387&lt;17),"Fitnesss",AND(Table13[[#This Row],[Gender]]="male",R1387&lt;24.9),"Acceptable",AND(Table13[[#This Row],[Gender]]="male",R1387&lt;40),"Obese",AND(Table13[[#This Row],[Gender]]="others",R1387&lt;20),"Athletes",AND(Table13[[#This Row],[Gender]]="others",R1387&lt;24),"Fitnesss",AND(Table13[[#This Row],[Gender]]="others",R1387&lt;31),"Acceptable",AND(Table13[[#This Row],[Gender]]="others",R1387&lt;40),"Obese")</f>
        <v>Athletes</v>
      </c>
      <c r="R1387" s="8">
        <v>19.5</v>
      </c>
      <c r="S1387" s="8">
        <v>2.6</v>
      </c>
      <c r="T1387" s="8">
        <v>3</v>
      </c>
      <c r="U1387" s="8">
        <v>3</v>
      </c>
      <c r="V1387" s="8" t="str">
        <f>IF(Table13[[#This Row],[BMI]]&lt;=18.5,"Underweight",IF(Table13[[#This Row],[BMI]]&lt;=24.9,"Normal",IF(Table13[[#This Row],[BMI]]&lt;=29.9,"Overweight",IF(Table13[[#This Row],[BMI]]&lt;=39,"Obese","Severly Obese"))))</f>
        <v>Underweight</v>
      </c>
      <c r="W1387" s="18">
        <v>14.99</v>
      </c>
    </row>
    <row r="1388" spans="6:23" x14ac:dyDescent="0.3">
      <c r="F1388" s="17">
        <v>20</v>
      </c>
      <c r="G1388" s="8" t="str">
        <f>IF(Table13[[#This Row],[Age]]&lt;25,"18-24",IF(Table13[[#This Row],[Age]]&lt;35,"25-34",IF(Table13[[#This Row],[Age]]&lt;45,"35-44",IF(Table13[[#This Row],[Age]]&lt;55,"45-54","55-64"))))</f>
        <v>18-24</v>
      </c>
      <c r="H1388" s="8" t="s">
        <v>17</v>
      </c>
      <c r="I1388" s="8">
        <v>69.3</v>
      </c>
      <c r="J1388" s="8">
        <v>1.75</v>
      </c>
      <c r="K1388" s="8">
        <v>180</v>
      </c>
      <c r="L1388" s="8">
        <v>120</v>
      </c>
      <c r="M1388" s="8">
        <v>72</v>
      </c>
      <c r="N1388" s="8">
        <v>1.06</v>
      </c>
      <c r="O1388" s="8">
        <v>1421</v>
      </c>
      <c r="P1388" s="8" t="s">
        <v>22</v>
      </c>
      <c r="Q1388" s="8" t="str">
        <f>_xlfn.IFS(AND(Table13[[#This Row],[Gender]]="female",R1388&lt;20),"Athletes",AND(Table13[[#This Row],[Gender]]="female",R1388&lt;24),"Fitnesss",AND(Table13[[#This Row],[Gender]]="female",R1388&lt;31),"Acceptable",AND(Table13[[#This Row],[Gender]]="female",R1388&lt;40),"Obese",AND(Table13[[#This Row],[Gender]]="male",R1388&lt;13),"Athletes",AND(Table13[[#This Row],[Gender]]="male",R1388&lt;17),"Fitnesss",AND(Table13[[#This Row],[Gender]]="male",R1388&lt;24.9),"Acceptable",AND(Table13[[#This Row],[Gender]]="male",R1388&lt;40),"Obese",AND(Table13[[#This Row],[Gender]]="others",R1388&lt;20),"Athletes",AND(Table13[[#This Row],[Gender]]="others",R1388&lt;24),"Fitnesss",AND(Table13[[#This Row],[Gender]]="others",R1388&lt;31),"Acceptable",AND(Table13[[#This Row],[Gender]]="others",R1388&lt;40),"Obese")</f>
        <v>Acceptable</v>
      </c>
      <c r="R1388" s="8">
        <v>24.6</v>
      </c>
      <c r="S1388" s="8">
        <v>3.2</v>
      </c>
      <c r="T1388" s="8">
        <v>4</v>
      </c>
      <c r="U1388" s="8">
        <v>2</v>
      </c>
      <c r="V1388" s="8" t="str">
        <f>IF(Table13[[#This Row],[BMI]]&lt;=18.5,"Underweight",IF(Table13[[#This Row],[BMI]]&lt;=24.9,"Normal",IF(Table13[[#This Row],[BMI]]&lt;=29.9,"Overweight",IF(Table13[[#This Row],[BMI]]&lt;=39,"Obese","Severly Obese"))))</f>
        <v>Overweight</v>
      </c>
      <c r="W1388" s="18">
        <v>25.22</v>
      </c>
    </row>
    <row r="1389" spans="6:23" x14ac:dyDescent="0.3">
      <c r="F1389" s="17">
        <v>18</v>
      </c>
      <c r="G1389" s="8" t="str">
        <f>IF(Table13[[#This Row],[Age]]&lt;25,"18-24",IF(Table13[[#This Row],[Age]]&lt;35,"25-34",IF(Table13[[#This Row],[Age]]&lt;45,"35-44",IF(Table13[[#This Row],[Age]]&lt;55,"45-54","55-64"))))</f>
        <v>18-24</v>
      </c>
      <c r="H1389" s="8" t="s">
        <v>19</v>
      </c>
      <c r="I1389" s="8">
        <v>52.6</v>
      </c>
      <c r="J1389" s="8">
        <v>1.76</v>
      </c>
      <c r="K1389" s="8">
        <v>175</v>
      </c>
      <c r="L1389" s="8">
        <v>154</v>
      </c>
      <c r="M1389" s="8">
        <v>50</v>
      </c>
      <c r="N1389" s="8">
        <v>1.17</v>
      </c>
      <c r="O1389" s="8">
        <v>1783</v>
      </c>
      <c r="P1389" s="8" t="s">
        <v>22</v>
      </c>
      <c r="Q1389" s="8" t="str">
        <f>_xlfn.IFS(AND(Table13[[#This Row],[Gender]]="female",R1389&lt;20),"Athletes",AND(Table13[[#This Row],[Gender]]="female",R1389&lt;24),"Fitnesss",AND(Table13[[#This Row],[Gender]]="female",R1389&lt;31),"Acceptable",AND(Table13[[#This Row],[Gender]]="female",R1389&lt;40),"Obese",AND(Table13[[#This Row],[Gender]]="male",R1389&lt;13),"Athletes",AND(Table13[[#This Row],[Gender]]="male",R1389&lt;17),"Fitnesss",AND(Table13[[#This Row],[Gender]]="male",R1389&lt;24.9),"Acceptable",AND(Table13[[#This Row],[Gender]]="male",R1389&lt;40),"Obese",AND(Table13[[#This Row],[Gender]]="others",R1389&lt;20),"Athletes",AND(Table13[[#This Row],[Gender]]="others",R1389&lt;24),"Fitnesss",AND(Table13[[#This Row],[Gender]]="others",R1389&lt;31),"Acceptable",AND(Table13[[#This Row],[Gender]]="others",R1389&lt;40),"Obese")</f>
        <v>Acceptable</v>
      </c>
      <c r="R1389" s="8">
        <v>21</v>
      </c>
      <c r="S1389" s="8">
        <v>3</v>
      </c>
      <c r="T1389" s="8">
        <v>3</v>
      </c>
      <c r="U1389" s="8">
        <v>2</v>
      </c>
      <c r="V1389" s="8" t="str">
        <f>IF(Table13[[#This Row],[BMI]]&lt;=18.5,"Underweight",IF(Table13[[#This Row],[BMI]]&lt;=24.9,"Normal",IF(Table13[[#This Row],[BMI]]&lt;=29.9,"Overweight",IF(Table13[[#This Row],[BMI]]&lt;=39,"Obese","Severly Obese"))))</f>
        <v>Obese</v>
      </c>
      <c r="W1389" s="18">
        <v>30.92</v>
      </c>
    </row>
    <row r="1390" spans="6:23" x14ac:dyDescent="0.3">
      <c r="F1390" s="17">
        <v>39</v>
      </c>
      <c r="G1390" s="8" t="str">
        <f>IF(Table13[[#This Row],[Age]]&lt;25,"18-24",IF(Table13[[#This Row],[Age]]&lt;35,"25-34",IF(Table13[[#This Row],[Age]]&lt;45,"35-44",IF(Table13[[#This Row],[Age]]&lt;55,"45-54","55-64"))))</f>
        <v>35-44</v>
      </c>
      <c r="H1390" s="8" t="s">
        <v>17</v>
      </c>
      <c r="I1390" s="8">
        <v>65.599999999999994</v>
      </c>
      <c r="J1390" s="8">
        <v>1.7</v>
      </c>
      <c r="K1390" s="8">
        <v>172</v>
      </c>
      <c r="L1390" s="8">
        <v>148</v>
      </c>
      <c r="M1390" s="8">
        <v>68</v>
      </c>
      <c r="N1390" s="8">
        <v>0.87</v>
      </c>
      <c r="O1390" s="8">
        <v>1709</v>
      </c>
      <c r="P1390" s="8" t="s">
        <v>21</v>
      </c>
      <c r="Q1390" s="8" t="str">
        <f>_xlfn.IFS(AND(Table13[[#This Row],[Gender]]="female",R1390&lt;20),"Athletes",AND(Table13[[#This Row],[Gender]]="female",R1390&lt;24),"Fitnesss",AND(Table13[[#This Row],[Gender]]="female",R1390&lt;31),"Acceptable",AND(Table13[[#This Row],[Gender]]="female",R1390&lt;40),"Obese",AND(Table13[[#This Row],[Gender]]="male",R1390&lt;13),"Athletes",AND(Table13[[#This Row],[Gender]]="male",R1390&lt;17),"Fitnesss",AND(Table13[[#This Row],[Gender]]="male",R1390&lt;24.9),"Acceptable",AND(Table13[[#This Row],[Gender]]="male",R1390&lt;40),"Obese",AND(Table13[[#This Row],[Gender]]="others",R1390&lt;20),"Athletes",AND(Table13[[#This Row],[Gender]]="others",R1390&lt;24),"Fitnesss",AND(Table13[[#This Row],[Gender]]="others",R1390&lt;31),"Acceptable",AND(Table13[[#This Row],[Gender]]="others",R1390&lt;40),"Obese")</f>
        <v>Fitnesss</v>
      </c>
      <c r="R1390" s="8">
        <v>20.2</v>
      </c>
      <c r="S1390" s="8">
        <v>1.5</v>
      </c>
      <c r="T1390" s="8">
        <v>4</v>
      </c>
      <c r="U1390" s="8">
        <v>3</v>
      </c>
      <c r="V1390" s="8" t="str">
        <f>IF(Table13[[#This Row],[BMI]]&lt;=18.5,"Underweight",IF(Table13[[#This Row],[BMI]]&lt;=24.9,"Normal",IF(Table13[[#This Row],[BMI]]&lt;=29.9,"Overweight",IF(Table13[[#This Row],[BMI]]&lt;=39,"Obese","Severly Obese"))))</f>
        <v>Underweight</v>
      </c>
      <c r="W1390" s="18">
        <v>14.83</v>
      </c>
    </row>
    <row r="1391" spans="6:23" x14ac:dyDescent="0.3">
      <c r="F1391" s="17">
        <v>45</v>
      </c>
      <c r="G1391" s="8" t="str">
        <f>IF(Table13[[#This Row],[Age]]&lt;25,"18-24",IF(Table13[[#This Row],[Age]]&lt;35,"25-34",IF(Table13[[#This Row],[Age]]&lt;45,"35-44",IF(Table13[[#This Row],[Age]]&lt;55,"45-54","55-64"))))</f>
        <v>45-54</v>
      </c>
      <c r="H1391" s="8" t="s">
        <v>19</v>
      </c>
      <c r="I1391" s="8">
        <v>71.400000000000006</v>
      </c>
      <c r="J1391" s="8"/>
      <c r="K1391" s="8">
        <v>179</v>
      </c>
      <c r="L1391" s="8">
        <v>140</v>
      </c>
      <c r="M1391" s="8">
        <v>52</v>
      </c>
      <c r="N1391" s="8">
        <v>1.56</v>
      </c>
      <c r="O1391" s="8">
        <v>1246</v>
      </c>
      <c r="P1391" s="8" t="s">
        <v>18</v>
      </c>
      <c r="Q1391" s="8" t="str">
        <f>_xlfn.IFS(AND(Table13[[#This Row],[Gender]]="female",R1391&lt;20),"Athletes",AND(Table13[[#This Row],[Gender]]="female",R1391&lt;24),"Fitnesss",AND(Table13[[#This Row],[Gender]]="female",R1391&lt;31),"Acceptable",AND(Table13[[#This Row],[Gender]]="female",R1391&lt;40),"Obese",AND(Table13[[#This Row],[Gender]]="male",R1391&lt;13),"Athletes",AND(Table13[[#This Row],[Gender]]="male",R1391&lt;17),"Fitnesss",AND(Table13[[#This Row],[Gender]]="male",R1391&lt;24.9),"Acceptable",AND(Table13[[#This Row],[Gender]]="male",R1391&lt;40),"Obese",AND(Table13[[#This Row],[Gender]]="others",R1391&lt;20),"Athletes",AND(Table13[[#This Row],[Gender]]="others",R1391&lt;24),"Fitnesss",AND(Table13[[#This Row],[Gender]]="others",R1391&lt;31),"Acceptable",AND(Table13[[#This Row],[Gender]]="others",R1391&lt;40),"Obese")</f>
        <v>Acceptable</v>
      </c>
      <c r="R1391" s="8">
        <v>24.6</v>
      </c>
      <c r="S1391" s="8">
        <v>2.6</v>
      </c>
      <c r="T1391" s="8">
        <v>4</v>
      </c>
      <c r="U1391" s="8">
        <v>1</v>
      </c>
      <c r="V1391" s="8" t="str">
        <f>IF(Table13[[#This Row],[BMI]]&lt;=18.5,"Underweight",IF(Table13[[#This Row],[BMI]]&lt;=24.9,"Normal",IF(Table13[[#This Row],[BMI]]&lt;=29.9,"Overweight",IF(Table13[[#This Row],[BMI]]&lt;=39,"Obese","Severly Obese"))))</f>
        <v>Underweight</v>
      </c>
      <c r="W1391" s="18">
        <v>15.53</v>
      </c>
    </row>
    <row r="1392" spans="6:23" x14ac:dyDescent="0.3">
      <c r="F1392" s="17">
        <v>22</v>
      </c>
      <c r="G1392" s="8" t="str">
        <f>IF(Table13[[#This Row],[Age]]&lt;25,"18-24",IF(Table13[[#This Row],[Age]]&lt;35,"25-34",IF(Table13[[#This Row],[Age]]&lt;45,"35-44",IF(Table13[[#This Row],[Age]]&lt;55,"45-54","55-64"))))</f>
        <v>18-24</v>
      </c>
      <c r="H1392" s="8" t="s">
        <v>19</v>
      </c>
      <c r="I1392" s="8">
        <v>80.599999999999994</v>
      </c>
      <c r="J1392" s="8">
        <v>1.71</v>
      </c>
      <c r="K1392" s="8">
        <v>176</v>
      </c>
      <c r="L1392" s="8">
        <v>139</v>
      </c>
      <c r="M1392" s="8">
        <v>60</v>
      </c>
      <c r="N1392" s="8">
        <v>2</v>
      </c>
      <c r="O1392" s="8">
        <v>957</v>
      </c>
      <c r="P1392" s="8" t="s">
        <v>20</v>
      </c>
      <c r="Q1392" s="8" t="str">
        <f>_xlfn.IFS(AND(Table13[[#This Row],[Gender]]="female",R1392&lt;20),"Athletes",AND(Table13[[#This Row],[Gender]]="female",R1392&lt;24),"Fitnesss",AND(Table13[[#This Row],[Gender]]="female",R1392&lt;31),"Acceptable",AND(Table13[[#This Row],[Gender]]="female",R1392&lt;40),"Obese",AND(Table13[[#This Row],[Gender]]="male",R1392&lt;13),"Athletes",AND(Table13[[#This Row],[Gender]]="male",R1392&lt;17),"Fitnesss",AND(Table13[[#This Row],[Gender]]="male",R1392&lt;24.9),"Acceptable",AND(Table13[[#This Row],[Gender]]="male",R1392&lt;40),"Obese",AND(Table13[[#This Row],[Gender]]="others",R1392&lt;20),"Athletes",AND(Table13[[#This Row],[Gender]]="others",R1392&lt;24),"Fitnesss",AND(Table13[[#This Row],[Gender]]="others",R1392&lt;31),"Acceptable",AND(Table13[[#This Row],[Gender]]="others",R1392&lt;40),"Obese")</f>
        <v>Obese</v>
      </c>
      <c r="R1392" s="8">
        <v>31</v>
      </c>
      <c r="S1392" s="8">
        <v>2.4</v>
      </c>
      <c r="T1392" s="8">
        <v>4</v>
      </c>
      <c r="U1392" s="8">
        <v>2</v>
      </c>
      <c r="V1392" s="8" t="str">
        <f>IF(Table13[[#This Row],[BMI]]&lt;=18.5,"Underweight",IF(Table13[[#This Row],[BMI]]&lt;=24.9,"Normal",IF(Table13[[#This Row],[BMI]]&lt;=29.9,"Overweight",IF(Table13[[#This Row],[BMI]]&lt;=39,"Obese","Severly Obese"))))</f>
        <v>Underweight</v>
      </c>
      <c r="W1392" s="18">
        <v>12.32</v>
      </c>
    </row>
    <row r="1393" spans="6:23" x14ac:dyDescent="0.3">
      <c r="F1393" s="17">
        <v>57</v>
      </c>
      <c r="G1393" s="8" t="str">
        <f>IF(Table13[[#This Row],[Age]]&lt;25,"18-24",IF(Table13[[#This Row],[Age]]&lt;35,"25-34",IF(Table13[[#This Row],[Age]]&lt;45,"35-44",IF(Table13[[#This Row],[Age]]&lt;55,"45-54","55-64"))))</f>
        <v>55-64</v>
      </c>
      <c r="H1393" s="8" t="s">
        <v>17</v>
      </c>
      <c r="I1393" s="8">
        <v>43.5</v>
      </c>
      <c r="J1393" s="8">
        <v>2</v>
      </c>
      <c r="K1393" s="8">
        <v>172</v>
      </c>
      <c r="L1393" s="8">
        <v>159</v>
      </c>
      <c r="M1393" s="8">
        <v>59</v>
      </c>
      <c r="N1393" s="8">
        <v>1.73</v>
      </c>
      <c r="O1393" s="8">
        <v>530</v>
      </c>
      <c r="P1393" s="8" t="s">
        <v>22</v>
      </c>
      <c r="Q1393" s="8" t="str">
        <f>_xlfn.IFS(AND(Table13[[#This Row],[Gender]]="female",R1393&lt;20),"Athletes",AND(Table13[[#This Row],[Gender]]="female",R1393&lt;24),"Fitnesss",AND(Table13[[#This Row],[Gender]]="female",R1393&lt;31),"Acceptable",AND(Table13[[#This Row],[Gender]]="female",R1393&lt;40),"Obese",AND(Table13[[#This Row],[Gender]]="male",R1393&lt;13),"Athletes",AND(Table13[[#This Row],[Gender]]="male",R1393&lt;17),"Fitnesss",AND(Table13[[#This Row],[Gender]]="male",R1393&lt;24.9),"Acceptable",AND(Table13[[#This Row],[Gender]]="male",R1393&lt;40),"Obese",AND(Table13[[#This Row],[Gender]]="others",R1393&lt;20),"Athletes",AND(Table13[[#This Row],[Gender]]="others",R1393&lt;24),"Fitnesss",AND(Table13[[#This Row],[Gender]]="others",R1393&lt;31),"Acceptable",AND(Table13[[#This Row],[Gender]]="others",R1393&lt;40),"Obese")</f>
        <v>Athletes</v>
      </c>
      <c r="R1393" s="8">
        <v>18.7</v>
      </c>
      <c r="S1393" s="8">
        <v>2.1</v>
      </c>
      <c r="T1393" s="8">
        <v>2</v>
      </c>
      <c r="U1393" s="8">
        <v>3</v>
      </c>
      <c r="V1393" s="8" t="str">
        <f>IF(Table13[[#This Row],[BMI]]&lt;=18.5,"Underweight",IF(Table13[[#This Row],[BMI]]&lt;=24.9,"Normal",IF(Table13[[#This Row],[BMI]]&lt;=29.9,"Overweight",IF(Table13[[#This Row],[BMI]]&lt;=39,"Obese","Severly Obese"))))</f>
        <v>Normal</v>
      </c>
      <c r="W1393" s="18">
        <v>23.74</v>
      </c>
    </row>
    <row r="1394" spans="6:23" x14ac:dyDescent="0.3">
      <c r="F1394" s="17">
        <v>25</v>
      </c>
      <c r="G1394" s="8" t="str">
        <f>IF(Table13[[#This Row],[Age]]&lt;25,"18-24",IF(Table13[[#This Row],[Age]]&lt;35,"25-34",IF(Table13[[#This Row],[Age]]&lt;45,"35-44",IF(Table13[[#This Row],[Age]]&lt;55,"45-54","55-64"))))</f>
        <v>25-34</v>
      </c>
      <c r="H1394" s="8" t="s">
        <v>17</v>
      </c>
      <c r="I1394" s="8">
        <v>72.599999999999994</v>
      </c>
      <c r="J1394" s="8">
        <v>1.7</v>
      </c>
      <c r="K1394" s="8">
        <v>161</v>
      </c>
      <c r="L1394" s="8">
        <v>168</v>
      </c>
      <c r="M1394" s="8">
        <v>51</v>
      </c>
      <c r="N1394" s="8">
        <v>1.28</v>
      </c>
      <c r="O1394" s="8">
        <v>1262</v>
      </c>
      <c r="P1394" s="8" t="s">
        <v>18</v>
      </c>
      <c r="Q1394" s="8" t="str">
        <f>_xlfn.IFS(AND(Table13[[#This Row],[Gender]]="female",R1394&lt;20),"Athletes",AND(Table13[[#This Row],[Gender]]="female",R1394&lt;24),"Fitnesss",AND(Table13[[#This Row],[Gender]]="female",R1394&lt;31),"Acceptable",AND(Table13[[#This Row],[Gender]]="female",R1394&lt;40),"Obese",AND(Table13[[#This Row],[Gender]]="male",R1394&lt;13),"Athletes",AND(Table13[[#This Row],[Gender]]="male",R1394&lt;17),"Fitnesss",AND(Table13[[#This Row],[Gender]]="male",R1394&lt;24.9),"Acceptable",AND(Table13[[#This Row],[Gender]]="male",R1394&lt;40),"Obese",AND(Table13[[#This Row],[Gender]]="others",R1394&lt;20),"Athletes",AND(Table13[[#This Row],[Gender]]="others",R1394&lt;24),"Fitnesss",AND(Table13[[#This Row],[Gender]]="others",R1394&lt;31),"Acceptable",AND(Table13[[#This Row],[Gender]]="others",R1394&lt;40),"Obese")</f>
        <v>Fitnesss</v>
      </c>
      <c r="R1394" s="8">
        <v>22</v>
      </c>
      <c r="S1394" s="8">
        <v>3.1</v>
      </c>
      <c r="T1394" s="8">
        <v>4</v>
      </c>
      <c r="U1394" s="8">
        <v>2</v>
      </c>
      <c r="V1394" s="8" t="str">
        <f>IF(Table13[[#This Row],[BMI]]&lt;=18.5,"Underweight",IF(Table13[[#This Row],[BMI]]&lt;=24.9,"Normal",IF(Table13[[#This Row],[BMI]]&lt;=29.9,"Overweight",IF(Table13[[#This Row],[BMI]]&lt;=39,"Obese","Severly Obese"))))</f>
        <v>Underweight</v>
      </c>
      <c r="W1394" s="18">
        <v>16.45</v>
      </c>
    </row>
    <row r="1395" spans="6:23" x14ac:dyDescent="0.3">
      <c r="F1395" s="17">
        <v>18</v>
      </c>
      <c r="G1395" s="8" t="str">
        <f>IF(Table13[[#This Row],[Age]]&lt;25,"18-24",IF(Table13[[#This Row],[Age]]&lt;35,"25-34",IF(Table13[[#This Row],[Age]]&lt;45,"35-44",IF(Table13[[#This Row],[Age]]&lt;55,"45-54","55-64"))))</f>
        <v>18-24</v>
      </c>
      <c r="H1395" s="8" t="s">
        <v>19</v>
      </c>
      <c r="I1395" s="8">
        <v>87.5</v>
      </c>
      <c r="J1395" s="8">
        <v>1.76</v>
      </c>
      <c r="K1395" s="8">
        <v>169</v>
      </c>
      <c r="L1395" s="8">
        <v>160</v>
      </c>
      <c r="M1395" s="8">
        <v>60</v>
      </c>
      <c r="N1395" s="8">
        <v>2</v>
      </c>
      <c r="O1395" s="8">
        <v>1042</v>
      </c>
      <c r="P1395" s="8" t="s">
        <v>22</v>
      </c>
      <c r="Q1395" s="8" t="str">
        <f>_xlfn.IFS(AND(Table13[[#This Row],[Gender]]="female",R1395&lt;20),"Athletes",AND(Table13[[#This Row],[Gender]]="female",R1395&lt;24),"Fitnesss",AND(Table13[[#This Row],[Gender]]="female",R1395&lt;31),"Acceptable",AND(Table13[[#This Row],[Gender]]="female",R1395&lt;40),"Obese",AND(Table13[[#This Row],[Gender]]="male",R1395&lt;13),"Athletes",AND(Table13[[#This Row],[Gender]]="male",R1395&lt;17),"Fitnesss",AND(Table13[[#This Row],[Gender]]="male",R1395&lt;24.9),"Acceptable",AND(Table13[[#This Row],[Gender]]="male",R1395&lt;40),"Obese",AND(Table13[[#This Row],[Gender]]="others",R1395&lt;20),"Athletes",AND(Table13[[#This Row],[Gender]]="others",R1395&lt;24),"Fitnesss",AND(Table13[[#This Row],[Gender]]="others",R1395&lt;31),"Acceptable",AND(Table13[[#This Row],[Gender]]="others",R1395&lt;40),"Obese")</f>
        <v>Acceptable</v>
      </c>
      <c r="R1395" s="8">
        <v>22.4</v>
      </c>
      <c r="S1395" s="8">
        <v>3.3</v>
      </c>
      <c r="T1395" s="8">
        <v>2</v>
      </c>
      <c r="U1395" s="8">
        <v>3</v>
      </c>
      <c r="V1395" s="8" t="str">
        <f>IF(Table13[[#This Row],[BMI]]&lt;=18.5,"Underweight",IF(Table13[[#This Row],[BMI]]&lt;=24.9,"Normal",IF(Table13[[#This Row],[BMI]]&lt;=29.9,"Overweight",IF(Table13[[#This Row],[BMI]]&lt;=39,"Obese","Severly Obese"))))</f>
        <v>Normal</v>
      </c>
      <c r="W1395" s="18">
        <v>21.79</v>
      </c>
    </row>
    <row r="1396" spans="6:23" x14ac:dyDescent="0.3">
      <c r="F1396" s="17">
        <v>50</v>
      </c>
      <c r="G1396" s="8" t="str">
        <f>IF(Table13[[#This Row],[Age]]&lt;25,"18-24",IF(Table13[[#This Row],[Age]]&lt;35,"25-34",IF(Table13[[#This Row],[Age]]&lt;45,"35-44",IF(Table13[[#This Row],[Age]]&lt;55,"45-54","55-64"))))</f>
        <v>45-54</v>
      </c>
      <c r="H1396" s="8" t="s">
        <v>19</v>
      </c>
      <c r="I1396" s="8">
        <v>46.8</v>
      </c>
      <c r="J1396" s="8">
        <v>1.77</v>
      </c>
      <c r="K1396" s="8">
        <v>180</v>
      </c>
      <c r="L1396" s="8">
        <v>128</v>
      </c>
      <c r="M1396" s="8">
        <v>70</v>
      </c>
      <c r="N1396" s="8">
        <v>1.4</v>
      </c>
      <c r="O1396" s="8">
        <v>803</v>
      </c>
      <c r="P1396" s="8" t="s">
        <v>21</v>
      </c>
      <c r="Q1396" s="8" t="str">
        <f>_xlfn.IFS(AND(Table13[[#This Row],[Gender]]="female",R1396&lt;20),"Athletes",AND(Table13[[#This Row],[Gender]]="female",R1396&lt;24),"Fitnesss",AND(Table13[[#This Row],[Gender]]="female",R1396&lt;31),"Acceptable",AND(Table13[[#This Row],[Gender]]="female",R1396&lt;40),"Obese",AND(Table13[[#This Row],[Gender]]="male",R1396&lt;13),"Athletes",AND(Table13[[#This Row],[Gender]]="male",R1396&lt;17),"Fitnesss",AND(Table13[[#This Row],[Gender]]="male",R1396&lt;24.9),"Acceptable",AND(Table13[[#This Row],[Gender]]="male",R1396&lt;40),"Obese",AND(Table13[[#This Row],[Gender]]="others",R1396&lt;20),"Athletes",AND(Table13[[#This Row],[Gender]]="others",R1396&lt;24),"Fitnesss",AND(Table13[[#This Row],[Gender]]="others",R1396&lt;31),"Acceptable",AND(Table13[[#This Row],[Gender]]="others",R1396&lt;40),"Obese")</f>
        <v>Acceptable</v>
      </c>
      <c r="R1396" s="8">
        <v>17</v>
      </c>
      <c r="S1396" s="8">
        <v>3.3</v>
      </c>
      <c r="T1396" s="8">
        <v>4</v>
      </c>
      <c r="U1396" s="8">
        <v>1</v>
      </c>
      <c r="V1396" s="8" t="str">
        <f>IF(Table13[[#This Row],[BMI]]&lt;=18.5,"Underweight",IF(Table13[[#This Row],[BMI]]&lt;=24.9,"Normal",IF(Table13[[#This Row],[BMI]]&lt;=29.9,"Overweight",IF(Table13[[#This Row],[BMI]]&lt;=39,"Obese","Severly Obese"))))</f>
        <v>Normal</v>
      </c>
      <c r="W1396" s="18">
        <v>21.83</v>
      </c>
    </row>
    <row r="1397" spans="6:23" x14ac:dyDescent="0.3">
      <c r="F1397" s="17">
        <v>27</v>
      </c>
      <c r="G1397" s="8" t="str">
        <f>IF(Table13[[#This Row],[Age]]&lt;25,"18-24",IF(Table13[[#This Row],[Age]]&lt;35,"25-34",IF(Table13[[#This Row],[Age]]&lt;45,"35-44",IF(Table13[[#This Row],[Age]]&lt;55,"45-54","55-64"))))</f>
        <v>25-34</v>
      </c>
      <c r="H1397" s="8" t="s">
        <v>19</v>
      </c>
      <c r="I1397" s="8">
        <v>42.5</v>
      </c>
      <c r="J1397" s="8">
        <v>1.61</v>
      </c>
      <c r="K1397" s="8">
        <v>183</v>
      </c>
      <c r="L1397" s="8">
        <v>155</v>
      </c>
      <c r="M1397" s="8">
        <v>71</v>
      </c>
      <c r="N1397" s="8">
        <v>2</v>
      </c>
      <c r="O1397" s="8">
        <v>933</v>
      </c>
      <c r="P1397" s="8" t="s">
        <v>21</v>
      </c>
      <c r="Q1397" s="8" t="str">
        <f>_xlfn.IFS(AND(Table13[[#This Row],[Gender]]="female",R1397&lt;20),"Athletes",AND(Table13[[#This Row],[Gender]]="female",R1397&lt;24),"Fitnesss",AND(Table13[[#This Row],[Gender]]="female",R1397&lt;31),"Acceptable",AND(Table13[[#This Row],[Gender]]="female",R1397&lt;40),"Obese",AND(Table13[[#This Row],[Gender]]="male",R1397&lt;13),"Athletes",AND(Table13[[#This Row],[Gender]]="male",R1397&lt;17),"Fitnesss",AND(Table13[[#This Row],[Gender]]="male",R1397&lt;24.9),"Acceptable",AND(Table13[[#This Row],[Gender]]="male",R1397&lt;40),"Obese",AND(Table13[[#This Row],[Gender]]="others",R1397&lt;20),"Athletes",AND(Table13[[#This Row],[Gender]]="others",R1397&lt;24),"Fitnesss",AND(Table13[[#This Row],[Gender]]="others",R1397&lt;31),"Acceptable",AND(Table13[[#This Row],[Gender]]="others",R1397&lt;40),"Obese")</f>
        <v>Acceptable</v>
      </c>
      <c r="R1397" s="8">
        <v>22.9</v>
      </c>
      <c r="S1397" s="8">
        <v>1.6</v>
      </c>
      <c r="T1397" s="8">
        <v>2</v>
      </c>
      <c r="U1397" s="8">
        <v>1</v>
      </c>
      <c r="V1397" s="8" t="str">
        <f>IF(Table13[[#This Row],[BMI]]&lt;=18.5,"Underweight",IF(Table13[[#This Row],[BMI]]&lt;=24.9,"Normal",IF(Table13[[#This Row],[BMI]]&lt;=29.9,"Overweight",IF(Table13[[#This Row],[BMI]]&lt;=39,"Obese","Severly Obese"))))</f>
        <v>Underweight</v>
      </c>
      <c r="W1397" s="18"/>
    </row>
    <row r="1398" spans="6:23" x14ac:dyDescent="0.3">
      <c r="F1398" s="17">
        <v>43</v>
      </c>
      <c r="G1398" s="8" t="str">
        <f>IF(Table13[[#This Row],[Age]]&lt;25,"18-24",IF(Table13[[#This Row],[Age]]&lt;35,"25-34",IF(Table13[[#This Row],[Age]]&lt;45,"35-44",IF(Table13[[#This Row],[Age]]&lt;55,"45-54","55-64"))))</f>
        <v>35-44</v>
      </c>
      <c r="H1398" s="8" t="s">
        <v>19</v>
      </c>
      <c r="I1398" s="8">
        <v>83.5</v>
      </c>
      <c r="J1398" s="8">
        <v>1.96</v>
      </c>
      <c r="K1398" s="8">
        <v>168</v>
      </c>
      <c r="L1398" s="8">
        <v>169</v>
      </c>
      <c r="M1398" s="8">
        <v>54</v>
      </c>
      <c r="N1398" s="8">
        <v>1.47</v>
      </c>
      <c r="O1398" s="8">
        <v>1522</v>
      </c>
      <c r="P1398" s="8" t="s">
        <v>18</v>
      </c>
      <c r="Q1398" s="8" t="str">
        <f>_xlfn.IFS(AND(Table13[[#This Row],[Gender]]="female",R1398&lt;20),"Athletes",AND(Table13[[#This Row],[Gender]]="female",R1398&lt;24),"Fitnesss",AND(Table13[[#This Row],[Gender]]="female",R1398&lt;31),"Acceptable",AND(Table13[[#This Row],[Gender]]="female",R1398&lt;40),"Obese",AND(Table13[[#This Row],[Gender]]="male",R1398&lt;13),"Athletes",AND(Table13[[#This Row],[Gender]]="male",R1398&lt;17),"Fitnesss",AND(Table13[[#This Row],[Gender]]="male",R1398&lt;24.9),"Acceptable",AND(Table13[[#This Row],[Gender]]="male",R1398&lt;40),"Obese",AND(Table13[[#This Row],[Gender]]="others",R1398&lt;20),"Athletes",AND(Table13[[#This Row],[Gender]]="others",R1398&lt;24),"Fitnesss",AND(Table13[[#This Row],[Gender]]="others",R1398&lt;31),"Acceptable",AND(Table13[[#This Row],[Gender]]="others",R1398&lt;40),"Obese")</f>
        <v>Athletes</v>
      </c>
      <c r="R1398" s="8"/>
      <c r="S1398" s="8">
        <v>2.1</v>
      </c>
      <c r="T1398" s="8">
        <v>4</v>
      </c>
      <c r="U1398" s="8">
        <v>2</v>
      </c>
      <c r="V1398" s="8" t="str">
        <f>IF(Table13[[#This Row],[BMI]]&lt;=18.5,"Underweight",IF(Table13[[#This Row],[BMI]]&lt;=24.9,"Normal",IF(Table13[[#This Row],[BMI]]&lt;=29.9,"Overweight",IF(Table13[[#This Row],[BMI]]&lt;=39,"Obese","Severly Obese"))))</f>
        <v>Normal</v>
      </c>
      <c r="W1398" s="18">
        <v>24.03</v>
      </c>
    </row>
    <row r="1399" spans="6:23" x14ac:dyDescent="0.3">
      <c r="F1399" s="17">
        <v>18</v>
      </c>
      <c r="G1399" s="8" t="str">
        <f>IF(Table13[[#This Row],[Age]]&lt;25,"18-24",IF(Table13[[#This Row],[Age]]&lt;35,"25-34",IF(Table13[[#This Row],[Age]]&lt;45,"35-44",IF(Table13[[#This Row],[Age]]&lt;55,"45-54","55-64"))))</f>
        <v>18-24</v>
      </c>
      <c r="H1399" s="8" t="s">
        <v>17</v>
      </c>
      <c r="I1399" s="8">
        <v>44.9</v>
      </c>
      <c r="J1399" s="8">
        <v>1.77</v>
      </c>
      <c r="K1399" s="8">
        <v>168</v>
      </c>
      <c r="L1399" s="8">
        <v>127</v>
      </c>
      <c r="M1399" s="8">
        <v>57</v>
      </c>
      <c r="N1399" s="8">
        <v>1.66</v>
      </c>
      <c r="O1399" s="8">
        <v>512</v>
      </c>
      <c r="P1399" s="8" t="s">
        <v>18</v>
      </c>
      <c r="Q1399" s="8" t="str">
        <f>_xlfn.IFS(AND(Table13[[#This Row],[Gender]]="female",R1399&lt;20),"Athletes",AND(Table13[[#This Row],[Gender]]="female",R1399&lt;24),"Fitnesss",AND(Table13[[#This Row],[Gender]]="female",R1399&lt;31),"Acceptable",AND(Table13[[#This Row],[Gender]]="female",R1399&lt;40),"Obese",AND(Table13[[#This Row],[Gender]]="male",R1399&lt;13),"Athletes",AND(Table13[[#This Row],[Gender]]="male",R1399&lt;17),"Fitnesss",AND(Table13[[#This Row],[Gender]]="male",R1399&lt;24.9),"Acceptable",AND(Table13[[#This Row],[Gender]]="male",R1399&lt;40),"Obese",AND(Table13[[#This Row],[Gender]]="others",R1399&lt;20),"Athletes",AND(Table13[[#This Row],[Gender]]="others",R1399&lt;24),"Fitnesss",AND(Table13[[#This Row],[Gender]]="others",R1399&lt;31),"Acceptable",AND(Table13[[#This Row],[Gender]]="others",R1399&lt;40),"Obese")</f>
        <v>Athletes</v>
      </c>
      <c r="R1399" s="8">
        <v>12.3</v>
      </c>
      <c r="S1399" s="8">
        <v>3.7</v>
      </c>
      <c r="T1399" s="8">
        <v>3</v>
      </c>
      <c r="U1399" s="8">
        <v>1</v>
      </c>
      <c r="V1399" s="8" t="str">
        <f>IF(Table13[[#This Row],[BMI]]&lt;=18.5,"Underweight",IF(Table13[[#This Row],[BMI]]&lt;=24.9,"Normal",IF(Table13[[#This Row],[BMI]]&lt;=29.9,"Overweight",IF(Table13[[#This Row],[BMI]]&lt;=39,"Obese","Severly Obese"))))</f>
        <v>Normal</v>
      </c>
      <c r="W1399" s="18">
        <v>20.39</v>
      </c>
    </row>
    <row r="1400" spans="6:23" x14ac:dyDescent="0.3">
      <c r="F1400" s="17">
        <v>18</v>
      </c>
      <c r="G1400" s="8" t="str">
        <f>IF(Table13[[#This Row],[Age]]&lt;25,"18-24",IF(Table13[[#This Row],[Age]]&lt;35,"25-34",IF(Table13[[#This Row],[Age]]&lt;45,"35-44",IF(Table13[[#This Row],[Age]]&lt;55,"45-54","55-64"))))</f>
        <v>18-24</v>
      </c>
      <c r="H1400" s="8" t="s">
        <v>19</v>
      </c>
      <c r="I1400" s="8">
        <v>63.9</v>
      </c>
      <c r="J1400" s="8">
        <v>1.71</v>
      </c>
      <c r="K1400" s="8">
        <v>164</v>
      </c>
      <c r="L1400" s="8">
        <v>140</v>
      </c>
      <c r="M1400" s="8">
        <v>66</v>
      </c>
      <c r="N1400" s="8">
        <v>1.48</v>
      </c>
      <c r="O1400" s="8">
        <v>785</v>
      </c>
      <c r="P1400" s="8" t="s">
        <v>22</v>
      </c>
      <c r="Q1400" s="8" t="str">
        <f>_xlfn.IFS(AND(Table13[[#This Row],[Gender]]="female",R1400&lt;20),"Athletes",AND(Table13[[#This Row],[Gender]]="female",R1400&lt;24),"Fitnesss",AND(Table13[[#This Row],[Gender]]="female",R1400&lt;31),"Acceptable",AND(Table13[[#This Row],[Gender]]="female",R1400&lt;40),"Obese",AND(Table13[[#This Row],[Gender]]="male",R1400&lt;13),"Athletes",AND(Table13[[#This Row],[Gender]]="male",R1400&lt;17),"Fitnesss",AND(Table13[[#This Row],[Gender]]="male",R1400&lt;24.9),"Acceptable",AND(Table13[[#This Row],[Gender]]="male",R1400&lt;40),"Obese",AND(Table13[[#This Row],[Gender]]="others",R1400&lt;20),"Athletes",AND(Table13[[#This Row],[Gender]]="others",R1400&lt;24),"Fitnesss",AND(Table13[[#This Row],[Gender]]="others",R1400&lt;31),"Acceptable",AND(Table13[[#This Row],[Gender]]="others",R1400&lt;40),"Obese")</f>
        <v>Obese</v>
      </c>
      <c r="R1400" s="8">
        <v>30.2</v>
      </c>
      <c r="S1400" s="8">
        <v>3.3</v>
      </c>
      <c r="T1400" s="8">
        <v>4</v>
      </c>
      <c r="U1400" s="8">
        <v>2</v>
      </c>
      <c r="V1400" s="8" t="str">
        <f>IF(Table13[[#This Row],[BMI]]&lt;=18.5,"Underweight",IF(Table13[[#This Row],[BMI]]&lt;=24.9,"Normal",IF(Table13[[#This Row],[BMI]]&lt;=29.9,"Overweight",IF(Table13[[#This Row],[BMI]]&lt;=39,"Obese","Severly Obese"))))</f>
        <v>Normal</v>
      </c>
      <c r="W1400" s="18">
        <v>21.96</v>
      </c>
    </row>
    <row r="1401" spans="6:23" x14ac:dyDescent="0.3">
      <c r="F1401" s="17">
        <v>36</v>
      </c>
      <c r="G1401" s="8" t="str">
        <f>IF(Table13[[#This Row],[Age]]&lt;25,"18-24",IF(Table13[[#This Row],[Age]]&lt;35,"25-34",IF(Table13[[#This Row],[Age]]&lt;45,"35-44",IF(Table13[[#This Row],[Age]]&lt;55,"45-54","55-64"))))</f>
        <v>35-44</v>
      </c>
      <c r="H1401" s="8" t="s">
        <v>17</v>
      </c>
      <c r="I1401" s="8">
        <v>67.5</v>
      </c>
      <c r="J1401" s="8">
        <v>1.71</v>
      </c>
      <c r="K1401" s="8">
        <v>173</v>
      </c>
      <c r="L1401" s="8"/>
      <c r="M1401" s="8">
        <v>60</v>
      </c>
      <c r="N1401" s="8">
        <v>1.1000000000000001</v>
      </c>
      <c r="O1401" s="8">
        <v>511</v>
      </c>
      <c r="P1401" s="8" t="s">
        <v>21</v>
      </c>
      <c r="Q1401" s="8" t="str">
        <f>_xlfn.IFS(AND(Table13[[#This Row],[Gender]]="female",R1401&lt;20),"Athletes",AND(Table13[[#This Row],[Gender]]="female",R1401&lt;24),"Fitnesss",AND(Table13[[#This Row],[Gender]]="female",R1401&lt;31),"Acceptable",AND(Table13[[#This Row],[Gender]]="female",R1401&lt;40),"Obese",AND(Table13[[#This Row],[Gender]]="male",R1401&lt;13),"Athletes",AND(Table13[[#This Row],[Gender]]="male",R1401&lt;17),"Fitnesss",AND(Table13[[#This Row],[Gender]]="male",R1401&lt;24.9),"Acceptable",AND(Table13[[#This Row],[Gender]]="male",R1401&lt;40),"Obese",AND(Table13[[#This Row],[Gender]]="others",R1401&lt;20),"Athletes",AND(Table13[[#This Row],[Gender]]="others",R1401&lt;24),"Fitnesss",AND(Table13[[#This Row],[Gender]]="others",R1401&lt;31),"Acceptable",AND(Table13[[#This Row],[Gender]]="others",R1401&lt;40),"Obese")</f>
        <v>Fitnesss</v>
      </c>
      <c r="R1401" s="8">
        <v>20.6</v>
      </c>
      <c r="S1401" s="8">
        <v>1.5</v>
      </c>
      <c r="T1401" s="8">
        <v>4</v>
      </c>
      <c r="U1401" s="8">
        <v>1</v>
      </c>
      <c r="V1401" s="8" t="str">
        <f>IF(Table13[[#This Row],[BMI]]&lt;=18.5,"Underweight",IF(Table13[[#This Row],[BMI]]&lt;=24.9,"Normal",IF(Table13[[#This Row],[BMI]]&lt;=29.9,"Overweight",IF(Table13[[#This Row],[BMI]]&lt;=39,"Obese","Severly Obese"))))</f>
        <v>Normal</v>
      </c>
      <c r="W1401" s="18">
        <v>18.75</v>
      </c>
    </row>
    <row r="1402" spans="6:23" x14ac:dyDescent="0.3">
      <c r="F1402" s="17">
        <v>24</v>
      </c>
      <c r="G1402" s="8" t="str">
        <f>IF(Table13[[#This Row],[Age]]&lt;25,"18-24",IF(Table13[[#This Row],[Age]]&lt;35,"25-34",IF(Table13[[#This Row],[Age]]&lt;45,"35-44",IF(Table13[[#This Row],[Age]]&lt;55,"45-54","55-64"))))</f>
        <v>18-24</v>
      </c>
      <c r="H1402" s="8" t="s">
        <v>17</v>
      </c>
      <c r="I1402" s="8">
        <v>59</v>
      </c>
      <c r="J1402" s="8">
        <v>1.68</v>
      </c>
      <c r="K1402" s="8"/>
      <c r="L1402" s="8">
        <v>132</v>
      </c>
      <c r="M1402" s="8">
        <v>56</v>
      </c>
      <c r="N1402" s="8">
        <v>1.17</v>
      </c>
      <c r="O1402" s="8">
        <v>1186</v>
      </c>
      <c r="P1402" s="8" t="s">
        <v>20</v>
      </c>
      <c r="Q1402" s="8" t="str">
        <f>_xlfn.IFS(AND(Table13[[#This Row],[Gender]]="female",R1402&lt;20),"Athletes",AND(Table13[[#This Row],[Gender]]="female",R1402&lt;24),"Fitnesss",AND(Table13[[#This Row],[Gender]]="female",R1402&lt;31),"Acceptable",AND(Table13[[#This Row],[Gender]]="female",R1402&lt;40),"Obese",AND(Table13[[#This Row],[Gender]]="male",R1402&lt;13),"Athletes",AND(Table13[[#This Row],[Gender]]="male",R1402&lt;17),"Fitnesss",AND(Table13[[#This Row],[Gender]]="male",R1402&lt;24.9),"Acceptable",AND(Table13[[#This Row],[Gender]]="male",R1402&lt;40),"Obese",AND(Table13[[#This Row],[Gender]]="others",R1402&lt;20),"Athletes",AND(Table13[[#This Row],[Gender]]="others",R1402&lt;24),"Fitnesss",AND(Table13[[#This Row],[Gender]]="others",R1402&lt;31),"Acceptable",AND(Table13[[#This Row],[Gender]]="others",R1402&lt;40),"Obese")</f>
        <v>Acceptable</v>
      </c>
      <c r="R1402" s="8">
        <v>24.2</v>
      </c>
      <c r="S1402" s="8">
        <v>3.4</v>
      </c>
      <c r="T1402" s="8">
        <v>3</v>
      </c>
      <c r="U1402" s="8">
        <v>3</v>
      </c>
      <c r="V1402" s="8" t="str">
        <f>IF(Table13[[#This Row],[BMI]]&lt;=18.5,"Underweight",IF(Table13[[#This Row],[BMI]]&lt;=24.9,"Normal",IF(Table13[[#This Row],[BMI]]&lt;=29.9,"Overweight",IF(Table13[[#This Row],[BMI]]&lt;=39,"Obese","Severly Obese"))))</f>
        <v>Underweight</v>
      </c>
      <c r="W1402" s="18">
        <v>14.37</v>
      </c>
    </row>
    <row r="1403" spans="6:23" x14ac:dyDescent="0.3">
      <c r="F1403" s="17">
        <v>21</v>
      </c>
      <c r="G1403" s="8" t="str">
        <f>IF(Table13[[#This Row],[Age]]&lt;25,"18-24",IF(Table13[[#This Row],[Age]]&lt;35,"25-34",IF(Table13[[#This Row],[Age]]&lt;45,"35-44",IF(Table13[[#This Row],[Age]]&lt;55,"45-54","55-64"))))</f>
        <v>18-24</v>
      </c>
      <c r="H1403" s="8" t="s">
        <v>19</v>
      </c>
      <c r="I1403" s="8">
        <v>90.1</v>
      </c>
      <c r="J1403" s="8">
        <v>1.72</v>
      </c>
      <c r="K1403" s="8">
        <v>184</v>
      </c>
      <c r="L1403" s="8">
        <v>138</v>
      </c>
      <c r="M1403" s="8">
        <v>68</v>
      </c>
      <c r="N1403" s="8">
        <v>1.35</v>
      </c>
      <c r="O1403" s="8">
        <v>1043</v>
      </c>
      <c r="P1403" s="8" t="s">
        <v>22</v>
      </c>
      <c r="Q1403" s="8" t="str">
        <f>_xlfn.IFS(AND(Table13[[#This Row],[Gender]]="female",R1403&lt;20),"Athletes",AND(Table13[[#This Row],[Gender]]="female",R1403&lt;24),"Fitnesss",AND(Table13[[#This Row],[Gender]]="female",R1403&lt;31),"Acceptable",AND(Table13[[#This Row],[Gender]]="female",R1403&lt;40),"Obese",AND(Table13[[#This Row],[Gender]]="male",R1403&lt;13),"Athletes",AND(Table13[[#This Row],[Gender]]="male",R1403&lt;17),"Fitnesss",AND(Table13[[#This Row],[Gender]]="male",R1403&lt;24.9),"Acceptable",AND(Table13[[#This Row],[Gender]]="male",R1403&lt;40),"Obese",AND(Table13[[#This Row],[Gender]]="others",R1403&lt;20),"Athletes",AND(Table13[[#This Row],[Gender]]="others",R1403&lt;24),"Fitnesss",AND(Table13[[#This Row],[Gender]]="others",R1403&lt;31),"Acceptable",AND(Table13[[#This Row],[Gender]]="others",R1403&lt;40),"Obese")</f>
        <v>Obese</v>
      </c>
      <c r="R1403" s="8">
        <v>27.1</v>
      </c>
      <c r="S1403" s="8">
        <v>2.1</v>
      </c>
      <c r="T1403" s="8">
        <v>4</v>
      </c>
      <c r="U1403" s="8">
        <v>3</v>
      </c>
      <c r="V1403" s="8" t="str">
        <f>IF(Table13[[#This Row],[BMI]]&lt;=18.5,"Underweight",IF(Table13[[#This Row],[BMI]]&lt;=24.9,"Normal",IF(Table13[[#This Row],[BMI]]&lt;=29.9,"Overweight",IF(Table13[[#This Row],[BMI]]&lt;=39,"Obese","Severly Obese"))))</f>
        <v>Normal</v>
      </c>
      <c r="W1403" s="18">
        <v>22.34</v>
      </c>
    </row>
    <row r="1404" spans="6:23" x14ac:dyDescent="0.3">
      <c r="F1404" s="17">
        <v>18</v>
      </c>
      <c r="G1404" s="8" t="str">
        <f>IF(Table13[[#This Row],[Age]]&lt;25,"18-24",IF(Table13[[#This Row],[Age]]&lt;35,"25-34",IF(Table13[[#This Row],[Age]]&lt;45,"35-44",IF(Table13[[#This Row],[Age]]&lt;55,"45-54","55-64"))))</f>
        <v>18-24</v>
      </c>
      <c r="H1404" s="8" t="s">
        <v>19</v>
      </c>
      <c r="I1404" s="8">
        <v>48.2</v>
      </c>
      <c r="J1404" s="8">
        <v>1.75</v>
      </c>
      <c r="K1404" s="8">
        <v>180</v>
      </c>
      <c r="L1404" s="8">
        <v>134</v>
      </c>
      <c r="M1404" s="8">
        <v>63</v>
      </c>
      <c r="N1404" s="8">
        <v>1.39</v>
      </c>
      <c r="O1404" s="8">
        <v>1053</v>
      </c>
      <c r="P1404" s="8" t="s">
        <v>22</v>
      </c>
      <c r="Q1404" s="8" t="str">
        <f>_xlfn.IFS(AND(Table13[[#This Row],[Gender]]="female",R1404&lt;20),"Athletes",AND(Table13[[#This Row],[Gender]]="female",R1404&lt;24),"Fitnesss",AND(Table13[[#This Row],[Gender]]="female",R1404&lt;31),"Acceptable",AND(Table13[[#This Row],[Gender]]="female",R1404&lt;40),"Obese",AND(Table13[[#This Row],[Gender]]="male",R1404&lt;13),"Athletes",AND(Table13[[#This Row],[Gender]]="male",R1404&lt;17),"Fitnesss",AND(Table13[[#This Row],[Gender]]="male",R1404&lt;24.9),"Acceptable",AND(Table13[[#This Row],[Gender]]="male",R1404&lt;40),"Obese",AND(Table13[[#This Row],[Gender]]="others",R1404&lt;20),"Athletes",AND(Table13[[#This Row],[Gender]]="others",R1404&lt;24),"Fitnesss",AND(Table13[[#This Row],[Gender]]="others",R1404&lt;31),"Acceptable",AND(Table13[[#This Row],[Gender]]="others",R1404&lt;40),"Obese")</f>
        <v>Acceptable</v>
      </c>
      <c r="R1404" s="8">
        <v>22.1</v>
      </c>
      <c r="S1404" s="8">
        <v>2.2000000000000002</v>
      </c>
      <c r="T1404" s="8">
        <v>4</v>
      </c>
      <c r="U1404" s="8">
        <v>1</v>
      </c>
      <c r="V1404" s="8" t="str">
        <f>IF(Table13[[#This Row],[BMI]]&lt;=18.5,"Underweight",IF(Table13[[#This Row],[BMI]]&lt;=24.9,"Normal",IF(Table13[[#This Row],[BMI]]&lt;=29.9,"Overweight",IF(Table13[[#This Row],[BMI]]&lt;=39,"Obese","Severly Obese"))))</f>
        <v>Underweight</v>
      </c>
      <c r="W1404" s="18">
        <v>16.34</v>
      </c>
    </row>
    <row r="1405" spans="6:23" x14ac:dyDescent="0.3">
      <c r="F1405" s="17">
        <v>18</v>
      </c>
      <c r="G1405" s="8" t="str">
        <f>IF(Table13[[#This Row],[Age]]&lt;25,"18-24",IF(Table13[[#This Row],[Age]]&lt;35,"25-34",IF(Table13[[#This Row],[Age]]&lt;45,"35-44",IF(Table13[[#This Row],[Age]]&lt;55,"45-54","55-64"))))</f>
        <v>18-24</v>
      </c>
      <c r="H1405" s="8" t="s">
        <v>19</v>
      </c>
      <c r="I1405" s="8">
        <v>78.099999999999994</v>
      </c>
      <c r="J1405" s="8">
        <v>1.75</v>
      </c>
      <c r="K1405" s="8">
        <v>184</v>
      </c>
      <c r="L1405" s="8">
        <v>158</v>
      </c>
      <c r="M1405" s="8">
        <v>50</v>
      </c>
      <c r="N1405" s="8"/>
      <c r="O1405" s="8">
        <v>871</v>
      </c>
      <c r="P1405" s="8" t="s">
        <v>20</v>
      </c>
      <c r="Q1405" s="8" t="str">
        <f>_xlfn.IFS(AND(Table13[[#This Row],[Gender]]="female",R1405&lt;20),"Athletes",AND(Table13[[#This Row],[Gender]]="female",R1405&lt;24),"Fitnesss",AND(Table13[[#This Row],[Gender]]="female",R1405&lt;31),"Acceptable",AND(Table13[[#This Row],[Gender]]="female",R1405&lt;40),"Obese",AND(Table13[[#This Row],[Gender]]="male",R1405&lt;13),"Athletes",AND(Table13[[#This Row],[Gender]]="male",R1405&lt;17),"Fitnesss",AND(Table13[[#This Row],[Gender]]="male",R1405&lt;24.9),"Acceptable",AND(Table13[[#This Row],[Gender]]="male",R1405&lt;40),"Obese",AND(Table13[[#This Row],[Gender]]="others",R1405&lt;20),"Athletes",AND(Table13[[#This Row],[Gender]]="others",R1405&lt;24),"Fitnesss",AND(Table13[[#This Row],[Gender]]="others",R1405&lt;31),"Acceptable",AND(Table13[[#This Row],[Gender]]="others",R1405&lt;40),"Obese")</f>
        <v>Obese</v>
      </c>
      <c r="R1405" s="8">
        <v>31.6</v>
      </c>
      <c r="S1405" s="8">
        <v>2.5</v>
      </c>
      <c r="T1405" s="8">
        <v>2</v>
      </c>
      <c r="U1405" s="8">
        <v>3</v>
      </c>
      <c r="V1405" s="8" t="str">
        <f>IF(Table13[[#This Row],[BMI]]&lt;=18.5,"Underweight",IF(Table13[[#This Row],[BMI]]&lt;=24.9,"Normal",IF(Table13[[#This Row],[BMI]]&lt;=29.9,"Overweight",IF(Table13[[#This Row],[BMI]]&lt;=39,"Obese","Severly Obese"))))</f>
        <v>Underweight</v>
      </c>
      <c r="W1405" s="18">
        <v>17.61</v>
      </c>
    </row>
    <row r="1406" spans="6:23" x14ac:dyDescent="0.3">
      <c r="F1406" s="17">
        <v>31</v>
      </c>
      <c r="G1406" s="8" t="str">
        <f>IF(Table13[[#This Row],[Age]]&lt;25,"18-24",IF(Table13[[#This Row],[Age]]&lt;35,"25-34",IF(Table13[[#This Row],[Age]]&lt;45,"35-44",IF(Table13[[#This Row],[Age]]&lt;55,"45-54","55-64"))))</f>
        <v>25-34</v>
      </c>
      <c r="H1406" s="8" t="s">
        <v>19</v>
      </c>
      <c r="I1406" s="8">
        <v>67.400000000000006</v>
      </c>
      <c r="J1406" s="8">
        <v>1.83</v>
      </c>
      <c r="K1406" s="8">
        <v>167</v>
      </c>
      <c r="L1406" s="8">
        <v>122</v>
      </c>
      <c r="M1406" s="8">
        <v>66</v>
      </c>
      <c r="N1406" s="8">
        <v>1.49</v>
      </c>
      <c r="O1406" s="8">
        <v>1032</v>
      </c>
      <c r="P1406" s="8" t="s">
        <v>21</v>
      </c>
      <c r="Q1406" s="8" t="str">
        <f>_xlfn.IFS(AND(Table13[[#This Row],[Gender]]="female",R1406&lt;20),"Athletes",AND(Table13[[#This Row],[Gender]]="female",R1406&lt;24),"Fitnesss",AND(Table13[[#This Row],[Gender]]="female",R1406&lt;31),"Acceptable",AND(Table13[[#This Row],[Gender]]="female",R1406&lt;40),"Obese",AND(Table13[[#This Row],[Gender]]="male",R1406&lt;13),"Athletes",AND(Table13[[#This Row],[Gender]]="male",R1406&lt;17),"Fitnesss",AND(Table13[[#This Row],[Gender]]="male",R1406&lt;24.9),"Acceptable",AND(Table13[[#This Row],[Gender]]="male",R1406&lt;40),"Obese",AND(Table13[[#This Row],[Gender]]="others",R1406&lt;20),"Athletes",AND(Table13[[#This Row],[Gender]]="others",R1406&lt;24),"Fitnesss",AND(Table13[[#This Row],[Gender]]="others",R1406&lt;31),"Acceptable",AND(Table13[[#This Row],[Gender]]="others",R1406&lt;40),"Obese")</f>
        <v>Obese</v>
      </c>
      <c r="R1406" s="8">
        <v>30.6</v>
      </c>
      <c r="S1406" s="8">
        <v>3.1</v>
      </c>
      <c r="T1406" s="8">
        <v>5</v>
      </c>
      <c r="U1406" s="8">
        <v>2</v>
      </c>
      <c r="V1406" s="8" t="str">
        <f>IF(Table13[[#This Row],[BMI]]&lt;=18.5,"Underweight",IF(Table13[[#This Row],[BMI]]&lt;=24.9,"Normal",IF(Table13[[#This Row],[BMI]]&lt;=29.9,"Overweight",IF(Table13[[#This Row],[BMI]]&lt;=39,"Obese","Severly Obese"))))</f>
        <v>Underweight</v>
      </c>
      <c r="W1406" s="18">
        <v>18.29</v>
      </c>
    </row>
    <row r="1407" spans="6:23" x14ac:dyDescent="0.3">
      <c r="F1407" s="17">
        <v>27</v>
      </c>
      <c r="G1407" s="8" t="str">
        <f>IF(Table13[[#This Row],[Age]]&lt;25,"18-24",IF(Table13[[#This Row],[Age]]&lt;35,"25-34",IF(Table13[[#This Row],[Age]]&lt;45,"35-44",IF(Table13[[#This Row],[Age]]&lt;55,"45-54","55-64"))))</f>
        <v>25-34</v>
      </c>
      <c r="H1407" s="8" t="s">
        <v>19</v>
      </c>
      <c r="I1407" s="8">
        <v>44.1</v>
      </c>
      <c r="J1407" s="8">
        <v>1.56</v>
      </c>
      <c r="K1407" s="8">
        <v>169</v>
      </c>
      <c r="L1407" s="8"/>
      <c r="M1407" s="8">
        <v>72</v>
      </c>
      <c r="N1407" s="8">
        <v>1.34</v>
      </c>
      <c r="O1407" s="8">
        <v>1124</v>
      </c>
      <c r="P1407" s="8" t="s">
        <v>18</v>
      </c>
      <c r="Q1407" s="8" t="str">
        <f>_xlfn.IFS(AND(Table13[[#This Row],[Gender]]="female",R1407&lt;20),"Athletes",AND(Table13[[#This Row],[Gender]]="female",R1407&lt;24),"Fitnesss",AND(Table13[[#This Row],[Gender]]="female",R1407&lt;31),"Acceptable",AND(Table13[[#This Row],[Gender]]="female",R1407&lt;40),"Obese",AND(Table13[[#This Row],[Gender]]="male",R1407&lt;13),"Athletes",AND(Table13[[#This Row],[Gender]]="male",R1407&lt;17),"Fitnesss",AND(Table13[[#This Row],[Gender]]="male",R1407&lt;24.9),"Acceptable",AND(Table13[[#This Row],[Gender]]="male",R1407&lt;40),"Obese",AND(Table13[[#This Row],[Gender]]="others",R1407&lt;20),"Athletes",AND(Table13[[#This Row],[Gender]]="others",R1407&lt;24),"Fitnesss",AND(Table13[[#This Row],[Gender]]="others",R1407&lt;31),"Acceptable",AND(Table13[[#This Row],[Gender]]="others",R1407&lt;40),"Obese")</f>
        <v>Athletes</v>
      </c>
      <c r="R1407" s="8">
        <v>10</v>
      </c>
      <c r="S1407" s="8">
        <v>3.1</v>
      </c>
      <c r="T1407" s="8">
        <v>2</v>
      </c>
      <c r="U1407" s="8">
        <v>1</v>
      </c>
      <c r="V1407" s="8" t="str">
        <f>IF(Table13[[#This Row],[BMI]]&lt;=18.5,"Underweight",IF(Table13[[#This Row],[BMI]]&lt;=24.9,"Normal",IF(Table13[[#This Row],[BMI]]&lt;=29.9,"Overweight",IF(Table13[[#This Row],[BMI]]&lt;=39,"Obese","Severly Obese"))))</f>
        <v>Normal</v>
      </c>
      <c r="W1407" s="18">
        <v>20.18</v>
      </c>
    </row>
    <row r="1408" spans="6:23" x14ac:dyDescent="0.3">
      <c r="F1408" s="17">
        <v>26</v>
      </c>
      <c r="G1408" s="8" t="str">
        <f>IF(Table13[[#This Row],[Age]]&lt;25,"18-24",IF(Table13[[#This Row],[Age]]&lt;35,"25-34",IF(Table13[[#This Row],[Age]]&lt;45,"35-44",IF(Table13[[#This Row],[Age]]&lt;55,"45-54","55-64"))))</f>
        <v>25-34</v>
      </c>
      <c r="H1408" s="8" t="s">
        <v>19</v>
      </c>
      <c r="I1408" s="8">
        <v>65</v>
      </c>
      <c r="J1408" s="8">
        <v>1.69</v>
      </c>
      <c r="K1408" s="8">
        <v>171</v>
      </c>
      <c r="L1408" s="8">
        <v>162</v>
      </c>
      <c r="M1408" s="8">
        <v>62</v>
      </c>
      <c r="N1408" s="8">
        <v>1.54</v>
      </c>
      <c r="O1408" s="8">
        <v>1066</v>
      </c>
      <c r="P1408" s="8" t="s">
        <v>18</v>
      </c>
      <c r="Q1408" s="8" t="str">
        <f>_xlfn.IFS(AND(Table13[[#This Row],[Gender]]="female",R1408&lt;20),"Athletes",AND(Table13[[#This Row],[Gender]]="female",R1408&lt;24),"Fitnesss",AND(Table13[[#This Row],[Gender]]="female",R1408&lt;31),"Acceptable",AND(Table13[[#This Row],[Gender]]="female",R1408&lt;40),"Obese",AND(Table13[[#This Row],[Gender]]="male",R1408&lt;13),"Athletes",AND(Table13[[#This Row],[Gender]]="male",R1408&lt;17),"Fitnesss",AND(Table13[[#This Row],[Gender]]="male",R1408&lt;24.9),"Acceptable",AND(Table13[[#This Row],[Gender]]="male",R1408&lt;40),"Obese",AND(Table13[[#This Row],[Gender]]="others",R1408&lt;20),"Athletes",AND(Table13[[#This Row],[Gender]]="others",R1408&lt;24),"Fitnesss",AND(Table13[[#This Row],[Gender]]="others",R1408&lt;31),"Acceptable",AND(Table13[[#This Row],[Gender]]="others",R1408&lt;40),"Obese")</f>
        <v>Fitnesss</v>
      </c>
      <c r="R1408" s="8">
        <v>16.600000000000001</v>
      </c>
      <c r="S1408" s="8">
        <v>3.5</v>
      </c>
      <c r="T1408" s="8">
        <v>2</v>
      </c>
      <c r="U1408" s="8">
        <v>2</v>
      </c>
      <c r="V1408" s="8" t="str">
        <f>IF(Table13[[#This Row],[BMI]]&lt;=18.5,"Underweight",IF(Table13[[#This Row],[BMI]]&lt;=24.9,"Normal",IF(Table13[[#This Row],[BMI]]&lt;=29.9,"Overweight",IF(Table13[[#This Row],[BMI]]&lt;=39,"Obese","Severly Obese"))))</f>
        <v>Overweight</v>
      </c>
      <c r="W1408" s="18">
        <v>29.56</v>
      </c>
    </row>
    <row r="1409" spans="6:23" x14ac:dyDescent="0.3">
      <c r="F1409" s="17">
        <v>33</v>
      </c>
      <c r="G1409" s="8" t="str">
        <f>IF(Table13[[#This Row],[Age]]&lt;25,"18-24",IF(Table13[[#This Row],[Age]]&lt;35,"25-34",IF(Table13[[#This Row],[Age]]&lt;45,"35-44",IF(Table13[[#This Row],[Age]]&lt;55,"45-54","55-64"))))</f>
        <v>25-34</v>
      </c>
      <c r="H1409" s="8" t="s">
        <v>17</v>
      </c>
      <c r="I1409" s="8">
        <v>95</v>
      </c>
      <c r="J1409" s="8">
        <v>1.85</v>
      </c>
      <c r="K1409" s="8">
        <v>168</v>
      </c>
      <c r="L1409" s="8">
        <v>140</v>
      </c>
      <c r="M1409" s="8">
        <v>56</v>
      </c>
      <c r="N1409" s="8">
        <v>1.3</v>
      </c>
      <c r="O1409" s="8">
        <v>958</v>
      </c>
      <c r="P1409" s="8" t="s">
        <v>18</v>
      </c>
      <c r="Q1409" s="8" t="str">
        <f>_xlfn.IFS(AND(Table13[[#This Row],[Gender]]="female",R1409&lt;20),"Athletes",AND(Table13[[#This Row],[Gender]]="female",R1409&lt;24),"Fitnesss",AND(Table13[[#This Row],[Gender]]="female",R1409&lt;31),"Acceptable",AND(Table13[[#This Row],[Gender]]="female",R1409&lt;40),"Obese",AND(Table13[[#This Row],[Gender]]="male",R1409&lt;13),"Athletes",AND(Table13[[#This Row],[Gender]]="male",R1409&lt;17),"Fitnesss",AND(Table13[[#This Row],[Gender]]="male",R1409&lt;24.9),"Acceptable",AND(Table13[[#This Row],[Gender]]="male",R1409&lt;40),"Obese",AND(Table13[[#This Row],[Gender]]="others",R1409&lt;20),"Athletes",AND(Table13[[#This Row],[Gender]]="others",R1409&lt;24),"Fitnesss",AND(Table13[[#This Row],[Gender]]="others",R1409&lt;31),"Acceptable",AND(Table13[[#This Row],[Gender]]="others",R1409&lt;40),"Obese")</f>
        <v>Fitnesss</v>
      </c>
      <c r="R1409" s="8">
        <v>20.5</v>
      </c>
      <c r="S1409" s="8">
        <v>3.3</v>
      </c>
      <c r="T1409" s="8">
        <v>3</v>
      </c>
      <c r="U1409" s="8">
        <v>2</v>
      </c>
      <c r="V1409" s="8" t="str">
        <f>IF(Table13[[#This Row],[BMI]]&lt;=18.5,"Underweight",IF(Table13[[#This Row],[BMI]]&lt;=24.9,"Normal",IF(Table13[[#This Row],[BMI]]&lt;=29.9,"Overweight",IF(Table13[[#This Row],[BMI]]&lt;=39,"Obese","Severly Obese"))))</f>
        <v>Underweight</v>
      </c>
      <c r="W1409" s="18">
        <v>12.66</v>
      </c>
    </row>
    <row r="1410" spans="6:23" x14ac:dyDescent="0.3">
      <c r="F1410" s="17">
        <v>30</v>
      </c>
      <c r="G1410" s="8" t="str">
        <f>IF(Table13[[#This Row],[Age]]&lt;25,"18-24",IF(Table13[[#This Row],[Age]]&lt;35,"25-34",IF(Table13[[#This Row],[Age]]&lt;45,"35-44",IF(Table13[[#This Row],[Age]]&lt;55,"45-54","55-64"))))</f>
        <v>25-34</v>
      </c>
      <c r="H1410" s="8" t="s">
        <v>17</v>
      </c>
      <c r="I1410" s="8">
        <v>65.3</v>
      </c>
      <c r="J1410" s="8">
        <v>1.76</v>
      </c>
      <c r="K1410" s="8">
        <v>192</v>
      </c>
      <c r="L1410" s="8">
        <v>161</v>
      </c>
      <c r="M1410" s="8">
        <v>57</v>
      </c>
      <c r="N1410" s="8">
        <v>1.1599999999999999</v>
      </c>
      <c r="O1410" s="8">
        <v>1092</v>
      </c>
      <c r="P1410" s="8" t="s">
        <v>20</v>
      </c>
      <c r="Q1410" s="8" t="str">
        <f>_xlfn.IFS(AND(Table13[[#This Row],[Gender]]="female",R1410&lt;20),"Athletes",AND(Table13[[#This Row],[Gender]]="female",R1410&lt;24),"Fitnesss",AND(Table13[[#This Row],[Gender]]="female",R1410&lt;31),"Acceptable",AND(Table13[[#This Row],[Gender]]="female",R1410&lt;40),"Obese",AND(Table13[[#This Row],[Gender]]="male",R1410&lt;13),"Athletes",AND(Table13[[#This Row],[Gender]]="male",R1410&lt;17),"Fitnesss",AND(Table13[[#This Row],[Gender]]="male",R1410&lt;24.9),"Acceptable",AND(Table13[[#This Row],[Gender]]="male",R1410&lt;40),"Obese",AND(Table13[[#This Row],[Gender]]="others",R1410&lt;20),"Athletes",AND(Table13[[#This Row],[Gender]]="others",R1410&lt;24),"Fitnesss",AND(Table13[[#This Row],[Gender]]="others",R1410&lt;31),"Acceptable",AND(Table13[[#This Row],[Gender]]="others",R1410&lt;40),"Obese")</f>
        <v>Obese</v>
      </c>
      <c r="R1410" s="8">
        <v>32.1</v>
      </c>
      <c r="S1410" s="8">
        <v>1.9</v>
      </c>
      <c r="T1410" s="8">
        <v>4</v>
      </c>
      <c r="U1410" s="8">
        <v>3</v>
      </c>
      <c r="V1410" s="8" t="str">
        <f>IF(Table13[[#This Row],[BMI]]&lt;=18.5,"Underweight",IF(Table13[[#This Row],[BMI]]&lt;=24.9,"Normal",IF(Table13[[#This Row],[BMI]]&lt;=29.9,"Overweight",IF(Table13[[#This Row],[BMI]]&lt;=39,"Obese","Severly Obese"))))</f>
        <v>Normal</v>
      </c>
      <c r="W1410" s="18">
        <v>23.82</v>
      </c>
    </row>
    <row r="1411" spans="6:23" x14ac:dyDescent="0.3">
      <c r="F1411" s="17">
        <v>59</v>
      </c>
      <c r="G1411" s="8" t="str">
        <f>IF(Table13[[#This Row],[Age]]&lt;25,"18-24",IF(Table13[[#This Row],[Age]]&lt;35,"25-34",IF(Table13[[#This Row],[Age]]&lt;45,"35-44",IF(Table13[[#This Row],[Age]]&lt;55,"45-54","55-64"))))</f>
        <v>55-64</v>
      </c>
      <c r="H1411" s="8" t="s">
        <v>19</v>
      </c>
      <c r="I1411" s="8">
        <v>40</v>
      </c>
      <c r="J1411" s="8">
        <v>1.72</v>
      </c>
      <c r="K1411" s="8">
        <v>182</v>
      </c>
      <c r="L1411" s="8">
        <v>164</v>
      </c>
      <c r="M1411" s="8">
        <v>56</v>
      </c>
      <c r="N1411" s="8">
        <v>1.27</v>
      </c>
      <c r="O1411" s="8">
        <v>1783</v>
      </c>
      <c r="P1411" s="8" t="s">
        <v>21</v>
      </c>
      <c r="Q1411" s="8" t="str">
        <f>_xlfn.IFS(AND(Table13[[#This Row],[Gender]]="female",R1411&lt;20),"Athletes",AND(Table13[[#This Row],[Gender]]="female",R1411&lt;24),"Fitnesss",AND(Table13[[#This Row],[Gender]]="female",R1411&lt;31),"Acceptable",AND(Table13[[#This Row],[Gender]]="female",R1411&lt;40),"Obese",AND(Table13[[#This Row],[Gender]]="male",R1411&lt;13),"Athletes",AND(Table13[[#This Row],[Gender]]="male",R1411&lt;17),"Fitnesss",AND(Table13[[#This Row],[Gender]]="male",R1411&lt;24.9),"Acceptable",AND(Table13[[#This Row],[Gender]]="male",R1411&lt;40),"Obese",AND(Table13[[#This Row],[Gender]]="others",R1411&lt;20),"Athletes",AND(Table13[[#This Row],[Gender]]="others",R1411&lt;24),"Fitnesss",AND(Table13[[#This Row],[Gender]]="others",R1411&lt;31),"Acceptable",AND(Table13[[#This Row],[Gender]]="others",R1411&lt;40),"Obese")</f>
        <v>Athletes</v>
      </c>
      <c r="R1411" s="8">
        <v>12.6</v>
      </c>
      <c r="S1411" s="8">
        <v>3.1</v>
      </c>
      <c r="T1411" s="8">
        <v>4</v>
      </c>
      <c r="U1411" s="8">
        <v>3</v>
      </c>
      <c r="V1411" s="8" t="str">
        <f>IF(Table13[[#This Row],[BMI]]&lt;=18.5,"Underweight",IF(Table13[[#This Row],[BMI]]&lt;=24.9,"Normal",IF(Table13[[#This Row],[BMI]]&lt;=29.9,"Overweight",IF(Table13[[#This Row],[BMI]]&lt;=39,"Obese","Severly Obese"))))</f>
        <v>Underweight</v>
      </c>
      <c r="W1411" s="18">
        <v>12.32</v>
      </c>
    </row>
    <row r="1412" spans="6:23" x14ac:dyDescent="0.3">
      <c r="F1412" s="17">
        <v>46</v>
      </c>
      <c r="G1412" s="8" t="str">
        <f>IF(Table13[[#This Row],[Age]]&lt;25,"18-24",IF(Table13[[#This Row],[Age]]&lt;35,"25-34",IF(Table13[[#This Row],[Age]]&lt;45,"35-44",IF(Table13[[#This Row],[Age]]&lt;55,"45-54","55-64"))))</f>
        <v>45-54</v>
      </c>
      <c r="H1412" s="8" t="s">
        <v>17</v>
      </c>
      <c r="I1412" s="8">
        <v>82.9</v>
      </c>
      <c r="J1412" s="8">
        <v>1.74</v>
      </c>
      <c r="K1412" s="8">
        <v>194</v>
      </c>
      <c r="L1412" s="8">
        <v>165</v>
      </c>
      <c r="M1412" s="8">
        <v>52</v>
      </c>
      <c r="N1412" s="8">
        <v>2</v>
      </c>
      <c r="O1412" s="8">
        <v>1107</v>
      </c>
      <c r="P1412" s="8" t="s">
        <v>20</v>
      </c>
      <c r="Q1412" s="8" t="str">
        <f>_xlfn.IFS(AND(Table13[[#This Row],[Gender]]="female",R1412&lt;20),"Athletes",AND(Table13[[#This Row],[Gender]]="female",R1412&lt;24),"Fitnesss",AND(Table13[[#This Row],[Gender]]="female",R1412&lt;31),"Acceptable",AND(Table13[[#This Row],[Gender]]="female",R1412&lt;40),"Obese",AND(Table13[[#This Row],[Gender]]="male",R1412&lt;13),"Athletes",AND(Table13[[#This Row],[Gender]]="male",R1412&lt;17),"Fitnesss",AND(Table13[[#This Row],[Gender]]="male",R1412&lt;24.9),"Acceptable",AND(Table13[[#This Row],[Gender]]="male",R1412&lt;40),"Obese",AND(Table13[[#This Row],[Gender]]="others",R1412&lt;20),"Athletes",AND(Table13[[#This Row],[Gender]]="others",R1412&lt;24),"Fitnesss",AND(Table13[[#This Row],[Gender]]="others",R1412&lt;31),"Acceptable",AND(Table13[[#This Row],[Gender]]="others",R1412&lt;40),"Obese")</f>
        <v>Acceptable</v>
      </c>
      <c r="R1412" s="8">
        <v>24.3</v>
      </c>
      <c r="S1412" s="8">
        <v>3.1</v>
      </c>
      <c r="T1412" s="8">
        <v>3</v>
      </c>
      <c r="U1412" s="8">
        <v>3</v>
      </c>
      <c r="V1412" s="8" t="str">
        <f>IF(Table13[[#This Row],[BMI]]&lt;=18.5,"Underweight",IF(Table13[[#This Row],[BMI]]&lt;=24.9,"Normal",IF(Table13[[#This Row],[BMI]]&lt;=29.9,"Overweight",IF(Table13[[#This Row],[BMI]]&lt;=39,"Obese","Severly Obese"))))</f>
        <v>Underweight</v>
      </c>
      <c r="W1412" s="18">
        <v>14.4</v>
      </c>
    </row>
    <row r="1413" spans="6:23" x14ac:dyDescent="0.3">
      <c r="F1413" s="17">
        <v>18</v>
      </c>
      <c r="G1413" s="8" t="str">
        <f>IF(Table13[[#This Row],[Age]]&lt;25,"18-24",IF(Table13[[#This Row],[Age]]&lt;35,"25-34",IF(Table13[[#This Row],[Age]]&lt;45,"35-44",IF(Table13[[#This Row],[Age]]&lt;55,"45-54","55-64"))))</f>
        <v>18-24</v>
      </c>
      <c r="H1413" s="8" t="s">
        <v>19</v>
      </c>
      <c r="I1413" s="8">
        <v>59.4</v>
      </c>
      <c r="J1413" s="8">
        <v>1.87</v>
      </c>
      <c r="K1413" s="8">
        <v>195</v>
      </c>
      <c r="L1413" s="8">
        <v>139</v>
      </c>
      <c r="M1413" s="8">
        <v>74</v>
      </c>
      <c r="N1413" s="8">
        <v>2</v>
      </c>
      <c r="O1413" s="8">
        <v>958</v>
      </c>
      <c r="P1413" s="8" t="s">
        <v>22</v>
      </c>
      <c r="Q1413" s="8" t="str">
        <f>_xlfn.IFS(AND(Table13[[#This Row],[Gender]]="female",R1413&lt;20),"Athletes",AND(Table13[[#This Row],[Gender]]="female",R1413&lt;24),"Fitnesss",AND(Table13[[#This Row],[Gender]]="female",R1413&lt;31),"Acceptable",AND(Table13[[#This Row],[Gender]]="female",R1413&lt;40),"Obese",AND(Table13[[#This Row],[Gender]]="male",R1413&lt;13),"Athletes",AND(Table13[[#This Row],[Gender]]="male",R1413&lt;17),"Fitnesss",AND(Table13[[#This Row],[Gender]]="male",R1413&lt;24.9),"Acceptable",AND(Table13[[#This Row],[Gender]]="male",R1413&lt;40),"Obese",AND(Table13[[#This Row],[Gender]]="others",R1413&lt;20),"Athletes",AND(Table13[[#This Row],[Gender]]="others",R1413&lt;24),"Fitnesss",AND(Table13[[#This Row],[Gender]]="others",R1413&lt;31),"Acceptable",AND(Table13[[#This Row],[Gender]]="others",R1413&lt;40),"Obese")</f>
        <v>Fitnesss</v>
      </c>
      <c r="R1413" s="8">
        <v>14.9</v>
      </c>
      <c r="S1413" s="8">
        <v>2.7</v>
      </c>
      <c r="T1413" s="8">
        <v>3</v>
      </c>
      <c r="U1413" s="8">
        <v>2</v>
      </c>
      <c r="V1413" s="8" t="str">
        <f>IF(Table13[[#This Row],[BMI]]&lt;=18.5,"Underweight",IF(Table13[[#This Row],[BMI]]&lt;=24.9,"Normal",IF(Table13[[#This Row],[BMI]]&lt;=29.9,"Overweight",IF(Table13[[#This Row],[BMI]]&lt;=39,"Obese","Severly Obese"))))</f>
        <v>Obese</v>
      </c>
      <c r="W1413" s="18">
        <v>36.72</v>
      </c>
    </row>
    <row r="1414" spans="6:23" x14ac:dyDescent="0.3">
      <c r="F1414" s="17">
        <v>49</v>
      </c>
      <c r="G1414" s="8" t="str">
        <f>IF(Table13[[#This Row],[Age]]&lt;25,"18-24",IF(Table13[[#This Row],[Age]]&lt;35,"25-34",IF(Table13[[#This Row],[Age]]&lt;45,"35-44",IF(Table13[[#This Row],[Age]]&lt;55,"45-54","55-64"))))</f>
        <v>45-54</v>
      </c>
      <c r="H1414" s="8" t="s">
        <v>19</v>
      </c>
      <c r="I1414" s="8">
        <v>58.2</v>
      </c>
      <c r="J1414" s="8">
        <v>1.82</v>
      </c>
      <c r="K1414" s="8">
        <v>171</v>
      </c>
      <c r="L1414" s="8">
        <v>154</v>
      </c>
      <c r="M1414" s="8">
        <v>67</v>
      </c>
      <c r="N1414" s="8">
        <v>1.38</v>
      </c>
      <c r="O1414" s="8">
        <v>624</v>
      </c>
      <c r="P1414" s="8" t="s">
        <v>18</v>
      </c>
      <c r="Q1414" s="8" t="str">
        <f>_xlfn.IFS(AND(Table13[[#This Row],[Gender]]="female",R1414&lt;20),"Athletes",AND(Table13[[#This Row],[Gender]]="female",R1414&lt;24),"Fitnesss",AND(Table13[[#This Row],[Gender]]="female",R1414&lt;31),"Acceptable",AND(Table13[[#This Row],[Gender]]="female",R1414&lt;40),"Obese",AND(Table13[[#This Row],[Gender]]="male",R1414&lt;13),"Athletes",AND(Table13[[#This Row],[Gender]]="male",R1414&lt;17),"Fitnesss",AND(Table13[[#This Row],[Gender]]="male",R1414&lt;24.9),"Acceptable",AND(Table13[[#This Row],[Gender]]="male",R1414&lt;40),"Obese",AND(Table13[[#This Row],[Gender]]="others",R1414&lt;20),"Athletes",AND(Table13[[#This Row],[Gender]]="others",R1414&lt;24),"Fitnesss",AND(Table13[[#This Row],[Gender]]="others",R1414&lt;31),"Acceptable",AND(Table13[[#This Row],[Gender]]="others",R1414&lt;40),"Obese")</f>
        <v>Acceptable</v>
      </c>
      <c r="R1414" s="8">
        <v>20.8</v>
      </c>
      <c r="S1414" s="8">
        <v>3.5</v>
      </c>
      <c r="T1414" s="8">
        <v>4</v>
      </c>
      <c r="U1414" s="8">
        <v>1</v>
      </c>
      <c r="V1414" s="8" t="str">
        <f>IF(Table13[[#This Row],[BMI]]&lt;=18.5,"Underweight",IF(Table13[[#This Row],[BMI]]&lt;=24.9,"Normal",IF(Table13[[#This Row],[BMI]]&lt;=29.9,"Overweight",IF(Table13[[#This Row],[BMI]]&lt;=39,"Obese","Severly Obese"))))</f>
        <v>Normal</v>
      </c>
      <c r="W1414" s="18">
        <v>19.11</v>
      </c>
    </row>
    <row r="1415" spans="6:23" x14ac:dyDescent="0.3">
      <c r="F1415" s="17">
        <v>37</v>
      </c>
      <c r="G1415" s="8" t="str">
        <f>IF(Table13[[#This Row],[Age]]&lt;25,"18-24",IF(Table13[[#This Row],[Age]]&lt;35,"25-34",IF(Table13[[#This Row],[Age]]&lt;45,"35-44",IF(Table13[[#This Row],[Age]]&lt;55,"45-54","55-64"))))</f>
        <v>35-44</v>
      </c>
      <c r="H1415" s="8" t="s">
        <v>17</v>
      </c>
      <c r="I1415" s="8">
        <v>77.3</v>
      </c>
      <c r="J1415" s="8">
        <v>1.58</v>
      </c>
      <c r="K1415" s="8">
        <v>180</v>
      </c>
      <c r="L1415" s="8">
        <v>140</v>
      </c>
      <c r="M1415" s="8">
        <v>61</v>
      </c>
      <c r="N1415" s="8">
        <v>1.57</v>
      </c>
      <c r="O1415" s="8">
        <v>1333</v>
      </c>
      <c r="P1415" s="8" t="s">
        <v>21</v>
      </c>
      <c r="Q1415" s="8" t="str">
        <f>_xlfn.IFS(AND(Table13[[#This Row],[Gender]]="female",R1415&lt;20),"Athletes",AND(Table13[[#This Row],[Gender]]="female",R1415&lt;24),"Fitnesss",AND(Table13[[#This Row],[Gender]]="female",R1415&lt;31),"Acceptable",AND(Table13[[#This Row],[Gender]]="female",R1415&lt;40),"Obese",AND(Table13[[#This Row],[Gender]]="male",R1415&lt;13),"Athletes",AND(Table13[[#This Row],[Gender]]="male",R1415&lt;17),"Fitnesss",AND(Table13[[#This Row],[Gender]]="male",R1415&lt;24.9),"Acceptable",AND(Table13[[#This Row],[Gender]]="male",R1415&lt;40),"Obese",AND(Table13[[#This Row],[Gender]]="others",R1415&lt;20),"Athletes",AND(Table13[[#This Row],[Gender]]="others",R1415&lt;24),"Fitnesss",AND(Table13[[#This Row],[Gender]]="others",R1415&lt;31),"Acceptable",AND(Table13[[#This Row],[Gender]]="others",R1415&lt;40),"Obese")</f>
        <v>Fitnesss</v>
      </c>
      <c r="R1415" s="8">
        <v>23.5</v>
      </c>
      <c r="S1415" s="8">
        <v>1.5</v>
      </c>
      <c r="T1415" s="8">
        <v>2</v>
      </c>
      <c r="U1415" s="8">
        <v>2</v>
      </c>
      <c r="V1415" s="8" t="str">
        <f>IF(Table13[[#This Row],[BMI]]&lt;=18.5,"Underweight",IF(Table13[[#This Row],[BMI]]&lt;=24.9,"Normal",IF(Table13[[#This Row],[BMI]]&lt;=29.9,"Overweight",IF(Table13[[#This Row],[BMI]]&lt;=39,"Obese","Severly Obese"))))</f>
        <v>Underweight</v>
      </c>
      <c r="W1415" s="18">
        <v>12.32</v>
      </c>
    </row>
    <row r="1416" spans="6:23" x14ac:dyDescent="0.3">
      <c r="F1416" s="17">
        <v>22</v>
      </c>
      <c r="G1416" s="8" t="str">
        <f>IF(Table13[[#This Row],[Age]]&lt;25,"18-24",IF(Table13[[#This Row],[Age]]&lt;35,"25-34",IF(Table13[[#This Row],[Age]]&lt;45,"35-44",IF(Table13[[#This Row],[Age]]&lt;55,"45-54","55-64"))))</f>
        <v>18-24</v>
      </c>
      <c r="H1416" s="8" t="s">
        <v>19</v>
      </c>
      <c r="I1416" s="8">
        <v>66</v>
      </c>
      <c r="J1416" s="8">
        <v>1.67</v>
      </c>
      <c r="K1416" s="8">
        <v>181</v>
      </c>
      <c r="L1416" s="8">
        <v>122</v>
      </c>
      <c r="M1416" s="8">
        <v>50</v>
      </c>
      <c r="N1416" s="8">
        <v>0.96</v>
      </c>
      <c r="O1416" s="8">
        <v>912</v>
      </c>
      <c r="P1416" s="8" t="s">
        <v>20</v>
      </c>
      <c r="Q1416" s="8" t="str">
        <f>_xlfn.IFS(AND(Table13[[#This Row],[Gender]]="female",R1416&lt;20),"Athletes",AND(Table13[[#This Row],[Gender]]="female",R1416&lt;24),"Fitnesss",AND(Table13[[#This Row],[Gender]]="female",R1416&lt;31),"Acceptable",AND(Table13[[#This Row],[Gender]]="female",R1416&lt;40),"Obese",AND(Table13[[#This Row],[Gender]]="male",R1416&lt;13),"Athletes",AND(Table13[[#This Row],[Gender]]="male",R1416&lt;17),"Fitnesss",AND(Table13[[#This Row],[Gender]]="male",R1416&lt;24.9),"Acceptable",AND(Table13[[#This Row],[Gender]]="male",R1416&lt;40),"Obese",AND(Table13[[#This Row],[Gender]]="others",R1416&lt;20),"Athletes",AND(Table13[[#This Row],[Gender]]="others",R1416&lt;24),"Fitnesss",AND(Table13[[#This Row],[Gender]]="others",R1416&lt;31),"Acceptable",AND(Table13[[#This Row],[Gender]]="others",R1416&lt;40),"Obese")</f>
        <v>Obese</v>
      </c>
      <c r="R1416" s="8">
        <v>26.3</v>
      </c>
      <c r="S1416" s="8">
        <v>1.5</v>
      </c>
      <c r="T1416" s="8">
        <v>3</v>
      </c>
      <c r="U1416" s="8">
        <v>2</v>
      </c>
      <c r="V1416" s="8" t="str">
        <f>IF(Table13[[#This Row],[BMI]]&lt;=18.5,"Underweight",IF(Table13[[#This Row],[BMI]]&lt;=24.9,"Normal",IF(Table13[[#This Row],[BMI]]&lt;=29.9,"Overweight",IF(Table13[[#This Row],[BMI]]&lt;=39,"Obese","Severly Obese"))))</f>
        <v>Underweight</v>
      </c>
      <c r="W1416" s="18">
        <v>15.29</v>
      </c>
    </row>
    <row r="1417" spans="6:23" x14ac:dyDescent="0.3">
      <c r="F1417" s="17">
        <v>29</v>
      </c>
      <c r="G1417" s="8" t="str">
        <f>IF(Table13[[#This Row],[Age]]&lt;25,"18-24",IF(Table13[[#This Row],[Age]]&lt;35,"25-34",IF(Table13[[#This Row],[Age]]&lt;45,"35-44",IF(Table13[[#This Row],[Age]]&lt;55,"45-54","55-64"))))</f>
        <v>25-34</v>
      </c>
      <c r="H1417" s="8" t="s">
        <v>17</v>
      </c>
      <c r="I1417" s="8">
        <v>67.400000000000006</v>
      </c>
      <c r="J1417" s="8">
        <v>1.76</v>
      </c>
      <c r="K1417" s="8">
        <v>187</v>
      </c>
      <c r="L1417" s="8">
        <v>120</v>
      </c>
      <c r="M1417" s="8">
        <v>74</v>
      </c>
      <c r="N1417" s="8">
        <v>1.1000000000000001</v>
      </c>
      <c r="O1417" s="8">
        <v>911</v>
      </c>
      <c r="P1417" s="8" t="s">
        <v>20</v>
      </c>
      <c r="Q1417" s="8" t="str">
        <f>_xlfn.IFS(AND(Table13[[#This Row],[Gender]]="female",R1417&lt;20),"Athletes",AND(Table13[[#This Row],[Gender]]="female",R1417&lt;24),"Fitnesss",AND(Table13[[#This Row],[Gender]]="female",R1417&lt;31),"Acceptable",AND(Table13[[#This Row],[Gender]]="female",R1417&lt;40),"Obese",AND(Table13[[#This Row],[Gender]]="male",R1417&lt;13),"Athletes",AND(Table13[[#This Row],[Gender]]="male",R1417&lt;17),"Fitnesss",AND(Table13[[#This Row],[Gender]]="male",R1417&lt;24.9),"Acceptable",AND(Table13[[#This Row],[Gender]]="male",R1417&lt;40),"Obese",AND(Table13[[#This Row],[Gender]]="others",R1417&lt;20),"Athletes",AND(Table13[[#This Row],[Gender]]="others",R1417&lt;24),"Fitnesss",AND(Table13[[#This Row],[Gender]]="others",R1417&lt;31),"Acceptable",AND(Table13[[#This Row],[Gender]]="others",R1417&lt;40),"Obese")</f>
        <v>Fitnesss</v>
      </c>
      <c r="R1417" s="8">
        <v>21.4</v>
      </c>
      <c r="S1417" s="8">
        <v>2.2999999999999998</v>
      </c>
      <c r="T1417" s="8">
        <v>5</v>
      </c>
      <c r="U1417" s="8">
        <v>1</v>
      </c>
      <c r="V1417" s="8" t="str">
        <f>IF(Table13[[#This Row],[BMI]]&lt;=18.5,"Underweight",IF(Table13[[#This Row],[BMI]]&lt;=24.9,"Normal",IF(Table13[[#This Row],[BMI]]&lt;=29.9,"Overweight",IF(Table13[[#This Row],[BMI]]&lt;=39,"Obese","Severly Obese"))))</f>
        <v>Normal</v>
      </c>
      <c r="W1417" s="18">
        <v>19.600000000000001</v>
      </c>
    </row>
    <row r="1418" spans="6:23" x14ac:dyDescent="0.3">
      <c r="F1418" s="17">
        <v>31</v>
      </c>
      <c r="G1418" s="8" t="str">
        <f>IF(Table13[[#This Row],[Age]]&lt;25,"18-24",IF(Table13[[#This Row],[Age]]&lt;35,"25-34",IF(Table13[[#This Row],[Age]]&lt;45,"35-44",IF(Table13[[#This Row],[Age]]&lt;55,"45-54","55-64"))))</f>
        <v>25-34</v>
      </c>
      <c r="H1418" s="8" t="s">
        <v>19</v>
      </c>
      <c r="I1418" s="8">
        <v>62.2</v>
      </c>
      <c r="J1418" s="8">
        <v>1.7</v>
      </c>
      <c r="K1418" s="8">
        <v>168</v>
      </c>
      <c r="L1418" s="8">
        <v>155</v>
      </c>
      <c r="M1418" s="8">
        <v>55</v>
      </c>
      <c r="N1418" s="8">
        <v>0.62</v>
      </c>
      <c r="O1418" s="8">
        <v>1596</v>
      </c>
      <c r="P1418" s="8" t="s">
        <v>18</v>
      </c>
      <c r="Q1418" s="8" t="str">
        <f>_xlfn.IFS(AND(Table13[[#This Row],[Gender]]="female",R1418&lt;20),"Athletes",AND(Table13[[#This Row],[Gender]]="female",R1418&lt;24),"Fitnesss",AND(Table13[[#This Row],[Gender]]="female",R1418&lt;31),"Acceptable",AND(Table13[[#This Row],[Gender]]="female",R1418&lt;40),"Obese",AND(Table13[[#This Row],[Gender]]="male",R1418&lt;13),"Athletes",AND(Table13[[#This Row],[Gender]]="male",R1418&lt;17),"Fitnesss",AND(Table13[[#This Row],[Gender]]="male",R1418&lt;24.9),"Acceptable",AND(Table13[[#This Row],[Gender]]="male",R1418&lt;40),"Obese",AND(Table13[[#This Row],[Gender]]="others",R1418&lt;20),"Athletes",AND(Table13[[#This Row],[Gender]]="others",R1418&lt;24),"Fitnesss",AND(Table13[[#This Row],[Gender]]="others",R1418&lt;31),"Acceptable",AND(Table13[[#This Row],[Gender]]="others",R1418&lt;40),"Obese")</f>
        <v>Obese</v>
      </c>
      <c r="R1418" s="8">
        <v>35</v>
      </c>
      <c r="S1418" s="8">
        <v>3.2</v>
      </c>
      <c r="T1418" s="8">
        <v>2</v>
      </c>
      <c r="U1418" s="8">
        <v>1</v>
      </c>
      <c r="V1418" s="8" t="str">
        <f>IF(Table13[[#This Row],[BMI]]&lt;=18.5,"Underweight",IF(Table13[[#This Row],[BMI]]&lt;=24.9,"Normal",IF(Table13[[#This Row],[BMI]]&lt;=29.9,"Overweight",IF(Table13[[#This Row],[BMI]]&lt;=39,"Obese","Severly Obese"))))</f>
        <v>Underweight</v>
      </c>
      <c r="W1418" s="18">
        <v>16.7</v>
      </c>
    </row>
    <row r="1419" spans="6:23" x14ac:dyDescent="0.3">
      <c r="F1419" s="17">
        <v>45</v>
      </c>
      <c r="G1419" s="8" t="str">
        <f>IF(Table13[[#This Row],[Age]]&lt;25,"18-24",IF(Table13[[#This Row],[Age]]&lt;35,"25-34",IF(Table13[[#This Row],[Age]]&lt;45,"35-44",IF(Table13[[#This Row],[Age]]&lt;55,"45-54","55-64"))))</f>
        <v>45-54</v>
      </c>
      <c r="H1419" s="8" t="s">
        <v>23</v>
      </c>
      <c r="I1419" s="8">
        <v>67.3</v>
      </c>
      <c r="J1419" s="8">
        <v>1.67</v>
      </c>
      <c r="K1419" s="8">
        <v>198</v>
      </c>
      <c r="L1419" s="8">
        <v>155</v>
      </c>
      <c r="M1419" s="8">
        <v>54</v>
      </c>
      <c r="N1419" s="8">
        <v>0.72</v>
      </c>
      <c r="O1419" s="8">
        <v>1006</v>
      </c>
      <c r="P1419" s="8" t="s">
        <v>22</v>
      </c>
      <c r="Q1419" s="8" t="str">
        <f>_xlfn.IFS(AND(Table13[[#This Row],[Gender]]="female",R1419&lt;20),"Athletes",AND(Table13[[#This Row],[Gender]]="female",R1419&lt;24),"Fitnesss",AND(Table13[[#This Row],[Gender]]="female",R1419&lt;31),"Acceptable",AND(Table13[[#This Row],[Gender]]="female",R1419&lt;40),"Obese",AND(Table13[[#This Row],[Gender]]="male",R1419&lt;13),"Athletes",AND(Table13[[#This Row],[Gender]]="male",R1419&lt;17),"Fitnesss",AND(Table13[[#This Row],[Gender]]="male",R1419&lt;24.9),"Acceptable",AND(Table13[[#This Row],[Gender]]="male",R1419&lt;40),"Obese",AND(Table13[[#This Row],[Gender]]="others",R1419&lt;20),"Athletes",AND(Table13[[#This Row],[Gender]]="others",R1419&lt;24),"Fitnesss",AND(Table13[[#This Row],[Gender]]="others",R1419&lt;31),"Acceptable",AND(Table13[[#This Row],[Gender]]="others",R1419&lt;40),"Obese")</f>
        <v>Obese</v>
      </c>
      <c r="R1419" s="8">
        <v>33.200000000000003</v>
      </c>
      <c r="S1419" s="8">
        <v>3.5</v>
      </c>
      <c r="T1419" s="8">
        <v>4</v>
      </c>
      <c r="U1419" s="8">
        <v>2</v>
      </c>
      <c r="V1419" s="8" t="str">
        <f>IF(Table13[[#This Row],[BMI]]&lt;=18.5,"Underweight",IF(Table13[[#This Row],[BMI]]&lt;=24.9,"Normal",IF(Table13[[#This Row],[BMI]]&lt;=29.9,"Overweight",IF(Table13[[#This Row],[BMI]]&lt;=39,"Obese","Severly Obese"))))</f>
        <v>Underweight</v>
      </c>
      <c r="W1419" s="18">
        <v>17.760000000000002</v>
      </c>
    </row>
    <row r="1420" spans="6:23" x14ac:dyDescent="0.3">
      <c r="F1420" s="17">
        <v>27</v>
      </c>
      <c r="G1420" s="8" t="str">
        <f>IF(Table13[[#This Row],[Age]]&lt;25,"18-24",IF(Table13[[#This Row],[Age]]&lt;35,"25-34",IF(Table13[[#This Row],[Age]]&lt;45,"35-44",IF(Table13[[#This Row],[Age]]&lt;55,"45-54","55-64"))))</f>
        <v>25-34</v>
      </c>
      <c r="H1420" s="8" t="s">
        <v>17</v>
      </c>
      <c r="I1420" s="8">
        <v>59.6</v>
      </c>
      <c r="J1420" s="8">
        <v>1.73</v>
      </c>
      <c r="K1420" s="8">
        <v>182</v>
      </c>
      <c r="L1420" s="8">
        <v>139</v>
      </c>
      <c r="M1420" s="8">
        <v>71</v>
      </c>
      <c r="N1420" s="8">
        <v>1.42</v>
      </c>
      <c r="O1420" s="8">
        <v>1321</v>
      </c>
      <c r="P1420" s="8" t="s">
        <v>18</v>
      </c>
      <c r="Q1420" s="8" t="str">
        <f>_xlfn.IFS(AND(Table13[[#This Row],[Gender]]="female",R1420&lt;20),"Athletes",AND(Table13[[#This Row],[Gender]]="female",R1420&lt;24),"Fitnesss",AND(Table13[[#This Row],[Gender]]="female",R1420&lt;31),"Acceptable",AND(Table13[[#This Row],[Gender]]="female",R1420&lt;40),"Obese",AND(Table13[[#This Row],[Gender]]="male",R1420&lt;13),"Athletes",AND(Table13[[#This Row],[Gender]]="male",R1420&lt;17),"Fitnesss",AND(Table13[[#This Row],[Gender]]="male",R1420&lt;24.9),"Acceptable",AND(Table13[[#This Row],[Gender]]="male",R1420&lt;40),"Obese",AND(Table13[[#This Row],[Gender]]="others",R1420&lt;20),"Athletes",AND(Table13[[#This Row],[Gender]]="others",R1420&lt;24),"Fitnesss",AND(Table13[[#This Row],[Gender]]="others",R1420&lt;31),"Acceptable",AND(Table13[[#This Row],[Gender]]="others",R1420&lt;40),"Obese")</f>
        <v>Athletes</v>
      </c>
      <c r="R1420" s="8">
        <v>16.3</v>
      </c>
      <c r="S1420" s="8">
        <v>3.3</v>
      </c>
      <c r="T1420" s="8">
        <v>4</v>
      </c>
      <c r="U1420" s="8">
        <v>3</v>
      </c>
      <c r="V1420" s="8" t="str">
        <f>IF(Table13[[#This Row],[BMI]]&lt;=18.5,"Underweight",IF(Table13[[#This Row],[BMI]]&lt;=24.9,"Normal",IF(Table13[[#This Row],[BMI]]&lt;=29.9,"Overweight",IF(Table13[[#This Row],[BMI]]&lt;=39,"Obese","Severly Obese"))))</f>
        <v>Underweight</v>
      </c>
      <c r="W1420" s="18">
        <v>16.62</v>
      </c>
    </row>
    <row r="1421" spans="6:23" x14ac:dyDescent="0.3">
      <c r="F1421" s="17">
        <v>35</v>
      </c>
      <c r="G1421" s="8" t="str">
        <f>IF(Table13[[#This Row],[Age]]&lt;25,"18-24",IF(Table13[[#This Row],[Age]]&lt;35,"25-34",IF(Table13[[#This Row],[Age]]&lt;45,"35-44",IF(Table13[[#This Row],[Age]]&lt;55,"45-54","55-64"))))</f>
        <v>35-44</v>
      </c>
      <c r="H1421" s="8" t="s">
        <v>19</v>
      </c>
      <c r="I1421" s="8">
        <v>40</v>
      </c>
      <c r="J1421" s="8">
        <v>1.72</v>
      </c>
      <c r="K1421" s="8">
        <v>182</v>
      </c>
      <c r="L1421" s="8">
        <v>120</v>
      </c>
      <c r="M1421" s="8">
        <v>70</v>
      </c>
      <c r="N1421" s="8">
        <v>1.22</v>
      </c>
      <c r="O1421" s="8">
        <v>1178</v>
      </c>
      <c r="P1421" s="8" t="s">
        <v>21</v>
      </c>
      <c r="Q1421" s="8" t="str">
        <f>_xlfn.IFS(AND(Table13[[#This Row],[Gender]]="female",R1421&lt;20),"Athletes",AND(Table13[[#This Row],[Gender]]="female",R1421&lt;24),"Fitnesss",AND(Table13[[#This Row],[Gender]]="female",R1421&lt;31),"Acceptable",AND(Table13[[#This Row],[Gender]]="female",R1421&lt;40),"Obese",AND(Table13[[#This Row],[Gender]]="male",R1421&lt;13),"Athletes",AND(Table13[[#This Row],[Gender]]="male",R1421&lt;17),"Fitnesss",AND(Table13[[#This Row],[Gender]]="male",R1421&lt;24.9),"Acceptable",AND(Table13[[#This Row],[Gender]]="male",R1421&lt;40),"Obese",AND(Table13[[#This Row],[Gender]]="others",R1421&lt;20),"Athletes",AND(Table13[[#This Row],[Gender]]="others",R1421&lt;24),"Fitnesss",AND(Table13[[#This Row],[Gender]]="others",R1421&lt;31),"Acceptable",AND(Table13[[#This Row],[Gender]]="others",R1421&lt;40),"Obese")</f>
        <v>Fitnesss</v>
      </c>
      <c r="R1421" s="8">
        <v>14.6</v>
      </c>
      <c r="S1421" s="8">
        <v>1.9</v>
      </c>
      <c r="T1421" s="8">
        <v>4</v>
      </c>
      <c r="U1421" s="8">
        <v>2</v>
      </c>
      <c r="V1421" s="8" t="str">
        <f>IF(Table13[[#This Row],[BMI]]&lt;=18.5,"Underweight",IF(Table13[[#This Row],[BMI]]&lt;=24.9,"Normal",IF(Table13[[#This Row],[BMI]]&lt;=29.9,"Overweight",IF(Table13[[#This Row],[BMI]]&lt;=39,"Obese","Severly Obese"))))</f>
        <v>Underweight</v>
      </c>
      <c r="W1421" s="18">
        <v>17.87</v>
      </c>
    </row>
    <row r="1422" spans="6:23" x14ac:dyDescent="0.3">
      <c r="F1422" s="17">
        <v>24</v>
      </c>
      <c r="G1422" s="8" t="str">
        <f>IF(Table13[[#This Row],[Age]]&lt;25,"18-24",IF(Table13[[#This Row],[Age]]&lt;35,"25-34",IF(Table13[[#This Row],[Age]]&lt;45,"35-44",IF(Table13[[#This Row],[Age]]&lt;55,"45-54","55-64"))))</f>
        <v>18-24</v>
      </c>
      <c r="H1422" s="8" t="s">
        <v>19</v>
      </c>
      <c r="I1422" s="8">
        <v>41.3</v>
      </c>
      <c r="J1422" s="8">
        <v>1.73</v>
      </c>
      <c r="K1422" s="8">
        <v>180</v>
      </c>
      <c r="L1422" s="8">
        <v>156</v>
      </c>
      <c r="M1422" s="8">
        <v>74</v>
      </c>
      <c r="N1422" s="8">
        <v>1.55</v>
      </c>
      <c r="O1422" s="8">
        <v>1285</v>
      </c>
      <c r="P1422" s="8" t="s">
        <v>21</v>
      </c>
      <c r="Q1422" s="8" t="str">
        <f>_xlfn.IFS(AND(Table13[[#This Row],[Gender]]="female",R1422&lt;20),"Athletes",AND(Table13[[#This Row],[Gender]]="female",R1422&lt;24),"Fitnesss",AND(Table13[[#This Row],[Gender]]="female",R1422&lt;31),"Acceptable",AND(Table13[[#This Row],[Gender]]="female",R1422&lt;40),"Obese",AND(Table13[[#This Row],[Gender]]="male",R1422&lt;13),"Athletes",AND(Table13[[#This Row],[Gender]]="male",R1422&lt;17),"Fitnesss",AND(Table13[[#This Row],[Gender]]="male",R1422&lt;24.9),"Acceptable",AND(Table13[[#This Row],[Gender]]="male",R1422&lt;40),"Obese",AND(Table13[[#This Row],[Gender]]="others",R1422&lt;20),"Athletes",AND(Table13[[#This Row],[Gender]]="others",R1422&lt;24),"Fitnesss",AND(Table13[[#This Row],[Gender]]="others",R1422&lt;31),"Acceptable",AND(Table13[[#This Row],[Gender]]="others",R1422&lt;40),"Obese")</f>
        <v>Obese</v>
      </c>
      <c r="R1422" s="8">
        <v>26.2</v>
      </c>
      <c r="S1422" s="8">
        <v>3.2</v>
      </c>
      <c r="T1422" s="8">
        <v>4</v>
      </c>
      <c r="U1422" s="8">
        <v>3</v>
      </c>
      <c r="V1422" s="8" t="str">
        <f>IF(Table13[[#This Row],[BMI]]&lt;=18.5,"Underweight",IF(Table13[[#This Row],[BMI]]&lt;=24.9,"Normal",IF(Table13[[#This Row],[BMI]]&lt;=29.9,"Overweight",IF(Table13[[#This Row],[BMI]]&lt;=39,"Obese","Severly Obese"))))</f>
        <v>Underweight</v>
      </c>
      <c r="W1422" s="18">
        <v>14.93</v>
      </c>
    </row>
    <row r="1423" spans="6:23" x14ac:dyDescent="0.3">
      <c r="F1423" s="17">
        <v>48</v>
      </c>
      <c r="G1423" s="8" t="str">
        <f>IF(Table13[[#This Row],[Age]]&lt;25,"18-24",IF(Table13[[#This Row],[Age]]&lt;35,"25-34",IF(Table13[[#This Row],[Age]]&lt;45,"35-44",IF(Table13[[#This Row],[Age]]&lt;55,"45-54","55-64"))))</f>
        <v>45-54</v>
      </c>
      <c r="H1423" s="8" t="s">
        <v>19</v>
      </c>
      <c r="I1423" s="8">
        <v>97</v>
      </c>
      <c r="J1423" s="8">
        <v>1.73</v>
      </c>
      <c r="K1423" s="8">
        <v>172</v>
      </c>
      <c r="L1423" s="8">
        <v>122</v>
      </c>
      <c r="M1423" s="8">
        <v>74</v>
      </c>
      <c r="N1423" s="8">
        <v>1.7</v>
      </c>
      <c r="O1423" s="8">
        <v>903</v>
      </c>
      <c r="P1423" s="8" t="s">
        <v>20</v>
      </c>
      <c r="Q1423" s="8" t="str">
        <f>_xlfn.IFS(AND(Table13[[#This Row],[Gender]]="female",R1423&lt;20),"Athletes",AND(Table13[[#This Row],[Gender]]="female",R1423&lt;24),"Fitnesss",AND(Table13[[#This Row],[Gender]]="female",R1423&lt;31),"Acceptable",AND(Table13[[#This Row],[Gender]]="female",R1423&lt;40),"Obese",AND(Table13[[#This Row],[Gender]]="male",R1423&lt;13),"Athletes",AND(Table13[[#This Row],[Gender]]="male",R1423&lt;17),"Fitnesss",AND(Table13[[#This Row],[Gender]]="male",R1423&lt;24.9),"Acceptable",AND(Table13[[#This Row],[Gender]]="male",R1423&lt;40),"Obese",AND(Table13[[#This Row],[Gender]]="others",R1423&lt;20),"Athletes",AND(Table13[[#This Row],[Gender]]="others",R1423&lt;24),"Fitnesss",AND(Table13[[#This Row],[Gender]]="others",R1423&lt;31),"Acceptable",AND(Table13[[#This Row],[Gender]]="others",R1423&lt;40),"Obese")</f>
        <v>Athletes</v>
      </c>
      <c r="R1423" s="8">
        <v>12.8</v>
      </c>
      <c r="S1423" s="8">
        <v>3.5</v>
      </c>
      <c r="T1423" s="8">
        <v>4</v>
      </c>
      <c r="U1423" s="8">
        <v>2</v>
      </c>
      <c r="V1423" s="8" t="str">
        <f>IF(Table13[[#This Row],[BMI]]&lt;=18.5,"Underweight",IF(Table13[[#This Row],[BMI]]&lt;=24.9,"Normal",IF(Table13[[#This Row],[BMI]]&lt;=29.9,"Overweight",IF(Table13[[#This Row],[BMI]]&lt;=39,"Obese","Severly Obese"))))</f>
        <v>Normal</v>
      </c>
      <c r="W1423" s="18">
        <v>22.39</v>
      </c>
    </row>
    <row r="1424" spans="6:23" x14ac:dyDescent="0.3">
      <c r="F1424" s="17">
        <v>59</v>
      </c>
      <c r="G1424" s="8" t="str">
        <f>IF(Table13[[#This Row],[Age]]&lt;25,"18-24",IF(Table13[[#This Row],[Age]]&lt;35,"25-34",IF(Table13[[#This Row],[Age]]&lt;45,"35-44",IF(Table13[[#This Row],[Age]]&lt;55,"45-54","55-64"))))</f>
        <v>55-64</v>
      </c>
      <c r="H1424" s="8" t="s">
        <v>17</v>
      </c>
      <c r="I1424" s="8">
        <v>47.2</v>
      </c>
      <c r="J1424" s="8">
        <v>1.68</v>
      </c>
      <c r="K1424" s="8">
        <v>185</v>
      </c>
      <c r="L1424" s="8">
        <v>159</v>
      </c>
      <c r="M1424" s="8">
        <v>70</v>
      </c>
      <c r="N1424" s="8">
        <v>1.49</v>
      </c>
      <c r="O1424" s="8">
        <v>704</v>
      </c>
      <c r="P1424" s="8" t="s">
        <v>18</v>
      </c>
      <c r="Q1424" s="8" t="str">
        <f>_xlfn.IFS(AND(Table13[[#This Row],[Gender]]="female",R1424&lt;20),"Athletes",AND(Table13[[#This Row],[Gender]]="female",R1424&lt;24),"Fitnesss",AND(Table13[[#This Row],[Gender]]="female",R1424&lt;31),"Acceptable",AND(Table13[[#This Row],[Gender]]="female",R1424&lt;40),"Obese",AND(Table13[[#This Row],[Gender]]="male",R1424&lt;13),"Athletes",AND(Table13[[#This Row],[Gender]]="male",R1424&lt;17),"Fitnesss",AND(Table13[[#This Row],[Gender]]="male",R1424&lt;24.9),"Acceptable",AND(Table13[[#This Row],[Gender]]="male",R1424&lt;40),"Obese",AND(Table13[[#This Row],[Gender]]="others",R1424&lt;20),"Athletes",AND(Table13[[#This Row],[Gender]]="others",R1424&lt;24),"Fitnesss",AND(Table13[[#This Row],[Gender]]="others",R1424&lt;31),"Acceptable",AND(Table13[[#This Row],[Gender]]="others",R1424&lt;40),"Obese")</f>
        <v>Athletes</v>
      </c>
      <c r="R1424" s="8">
        <v>15.4</v>
      </c>
      <c r="S1424" s="8">
        <v>2.2000000000000002</v>
      </c>
      <c r="T1424" s="8">
        <v>4</v>
      </c>
      <c r="U1424" s="8">
        <v>2</v>
      </c>
      <c r="V1424" s="8" t="str">
        <f>IF(Table13[[#This Row],[BMI]]&lt;=18.5,"Underweight",IF(Table13[[#This Row],[BMI]]&lt;=24.9,"Normal",IF(Table13[[#This Row],[BMI]]&lt;=29.9,"Overweight",IF(Table13[[#This Row],[BMI]]&lt;=39,"Obese","Severly Obese"))))</f>
        <v>Normal</v>
      </c>
      <c r="W1424" s="18">
        <v>23.79</v>
      </c>
    </row>
    <row r="1425" spans="6:23" x14ac:dyDescent="0.3">
      <c r="F1425" s="17">
        <v>49</v>
      </c>
      <c r="G1425" s="8" t="str">
        <f>IF(Table13[[#This Row],[Age]]&lt;25,"18-24",IF(Table13[[#This Row],[Age]]&lt;35,"25-34",IF(Table13[[#This Row],[Age]]&lt;45,"35-44",IF(Table13[[#This Row],[Age]]&lt;55,"45-54","55-64"))))</f>
        <v>45-54</v>
      </c>
      <c r="H1425" s="8" t="s">
        <v>17</v>
      </c>
      <c r="I1425" s="8">
        <v>58.7</v>
      </c>
      <c r="J1425" s="8">
        <v>1.79</v>
      </c>
      <c r="K1425" s="8"/>
      <c r="L1425" s="8">
        <v>120</v>
      </c>
      <c r="M1425" s="8">
        <v>67</v>
      </c>
      <c r="N1425" s="8">
        <v>0.9</v>
      </c>
      <c r="O1425" s="8">
        <v>900</v>
      </c>
      <c r="P1425" s="8" t="s">
        <v>20</v>
      </c>
      <c r="Q1425" s="8" t="str">
        <f>_xlfn.IFS(AND(Table13[[#This Row],[Gender]]="female",R1425&lt;20),"Athletes",AND(Table13[[#This Row],[Gender]]="female",R1425&lt;24),"Fitnesss",AND(Table13[[#This Row],[Gender]]="female",R1425&lt;31),"Acceptable",AND(Table13[[#This Row],[Gender]]="female",R1425&lt;40),"Obese",AND(Table13[[#This Row],[Gender]]="male",R1425&lt;13),"Athletes",AND(Table13[[#This Row],[Gender]]="male",R1425&lt;17),"Fitnesss",AND(Table13[[#This Row],[Gender]]="male",R1425&lt;24.9),"Acceptable",AND(Table13[[#This Row],[Gender]]="male",R1425&lt;40),"Obese",AND(Table13[[#This Row],[Gender]]="others",R1425&lt;20),"Athletes",AND(Table13[[#This Row],[Gender]]="others",R1425&lt;24),"Fitnesss",AND(Table13[[#This Row],[Gender]]="others",R1425&lt;31),"Acceptable",AND(Table13[[#This Row],[Gender]]="others",R1425&lt;40),"Obese")</f>
        <v>Acceptable</v>
      </c>
      <c r="R1425" s="8">
        <v>24.4</v>
      </c>
      <c r="S1425" s="8">
        <v>3.7</v>
      </c>
      <c r="T1425" s="8">
        <v>4</v>
      </c>
      <c r="U1425" s="8">
        <v>2</v>
      </c>
      <c r="V1425" s="8" t="str">
        <f>IF(Table13[[#This Row],[BMI]]&lt;=18.5,"Underweight",IF(Table13[[#This Row],[BMI]]&lt;=24.9,"Normal",IF(Table13[[#This Row],[BMI]]&lt;=29.9,"Overweight",IF(Table13[[#This Row],[BMI]]&lt;=39,"Obese","Severly Obese"))))</f>
        <v>Overweight</v>
      </c>
      <c r="W1425" s="18">
        <v>28.66</v>
      </c>
    </row>
    <row r="1426" spans="6:23" x14ac:dyDescent="0.3">
      <c r="F1426" s="17">
        <v>33</v>
      </c>
      <c r="G1426" s="8" t="str">
        <f>IF(Table13[[#This Row],[Age]]&lt;25,"18-24",IF(Table13[[#This Row],[Age]]&lt;35,"25-34",IF(Table13[[#This Row],[Age]]&lt;45,"35-44",IF(Table13[[#This Row],[Age]]&lt;55,"45-54","55-64"))))</f>
        <v>25-34</v>
      </c>
      <c r="H1426" s="8" t="s">
        <v>19</v>
      </c>
      <c r="I1426" s="8">
        <v>65.7</v>
      </c>
      <c r="J1426" s="8">
        <v>1.97</v>
      </c>
      <c r="K1426" s="8">
        <v>167</v>
      </c>
      <c r="L1426" s="8">
        <v>144</v>
      </c>
      <c r="M1426" s="8">
        <v>53</v>
      </c>
      <c r="N1426" s="8">
        <v>1.1000000000000001</v>
      </c>
      <c r="O1426" s="8">
        <v>872</v>
      </c>
      <c r="P1426" s="8" t="s">
        <v>20</v>
      </c>
      <c r="Q1426" s="8" t="str">
        <f>_xlfn.IFS(AND(Table13[[#This Row],[Gender]]="female",R1426&lt;20),"Athletes",AND(Table13[[#This Row],[Gender]]="female",R1426&lt;24),"Fitnesss",AND(Table13[[#This Row],[Gender]]="female",R1426&lt;31),"Acceptable",AND(Table13[[#This Row],[Gender]]="female",R1426&lt;40),"Obese",AND(Table13[[#This Row],[Gender]]="male",R1426&lt;13),"Athletes",AND(Table13[[#This Row],[Gender]]="male",R1426&lt;17),"Fitnesss",AND(Table13[[#This Row],[Gender]]="male",R1426&lt;24.9),"Acceptable",AND(Table13[[#This Row],[Gender]]="male",R1426&lt;40),"Obese",AND(Table13[[#This Row],[Gender]]="others",R1426&lt;20),"Athletes",AND(Table13[[#This Row],[Gender]]="others",R1426&lt;24),"Fitnesss",AND(Table13[[#This Row],[Gender]]="others",R1426&lt;31),"Acceptable",AND(Table13[[#This Row],[Gender]]="others",R1426&lt;40),"Obese")</f>
        <v>Acceptable</v>
      </c>
      <c r="R1426" s="8">
        <v>19.100000000000001</v>
      </c>
      <c r="S1426" s="8">
        <v>2</v>
      </c>
      <c r="T1426" s="8">
        <v>4</v>
      </c>
      <c r="U1426" s="8">
        <v>1</v>
      </c>
      <c r="V1426" s="8" t="str">
        <f>IF(Table13[[#This Row],[BMI]]&lt;=18.5,"Underweight",IF(Table13[[#This Row],[BMI]]&lt;=24.9,"Normal",IF(Table13[[#This Row],[BMI]]&lt;=29.9,"Overweight",IF(Table13[[#This Row],[BMI]]&lt;=39,"Obese","Severly Obese"))))</f>
        <v>Normal</v>
      </c>
      <c r="W1426" s="18">
        <v>19.14</v>
      </c>
    </row>
    <row r="1427" spans="6:23" x14ac:dyDescent="0.3">
      <c r="F1427" s="17">
        <v>31</v>
      </c>
      <c r="G1427" s="8" t="str">
        <f>IF(Table13[[#This Row],[Age]]&lt;25,"18-24",IF(Table13[[#This Row],[Age]]&lt;35,"25-34",IF(Table13[[#This Row],[Age]]&lt;45,"35-44",IF(Table13[[#This Row],[Age]]&lt;55,"45-54","55-64"))))</f>
        <v>25-34</v>
      </c>
      <c r="H1427" s="8" t="s">
        <v>19</v>
      </c>
      <c r="I1427" s="8">
        <v>80.2</v>
      </c>
      <c r="J1427" s="8">
        <v>1.74</v>
      </c>
      <c r="K1427" s="8">
        <v>187</v>
      </c>
      <c r="L1427" s="8">
        <v>141</v>
      </c>
      <c r="M1427" s="8">
        <v>72</v>
      </c>
      <c r="N1427" s="8">
        <v>1.23</v>
      </c>
      <c r="O1427" s="8">
        <v>1326</v>
      </c>
      <c r="P1427" s="8" t="s">
        <v>18</v>
      </c>
      <c r="Q1427" s="8" t="str">
        <f>_xlfn.IFS(AND(Table13[[#This Row],[Gender]]="female",R1427&lt;20),"Athletes",AND(Table13[[#This Row],[Gender]]="female",R1427&lt;24),"Fitnesss",AND(Table13[[#This Row],[Gender]]="female",R1427&lt;31),"Acceptable",AND(Table13[[#This Row],[Gender]]="female",R1427&lt;40),"Obese",AND(Table13[[#This Row],[Gender]]="male",R1427&lt;13),"Athletes",AND(Table13[[#This Row],[Gender]]="male",R1427&lt;17),"Fitnesss",AND(Table13[[#This Row],[Gender]]="male",R1427&lt;24.9),"Acceptable",AND(Table13[[#This Row],[Gender]]="male",R1427&lt;40),"Obese",AND(Table13[[#This Row],[Gender]]="others",R1427&lt;20),"Athletes",AND(Table13[[#This Row],[Gender]]="others",R1427&lt;24),"Fitnesss",AND(Table13[[#This Row],[Gender]]="others",R1427&lt;31),"Acceptable",AND(Table13[[#This Row],[Gender]]="others",R1427&lt;40),"Obese")</f>
        <v>Acceptable</v>
      </c>
      <c r="R1427" s="8">
        <v>21.2</v>
      </c>
      <c r="S1427" s="8">
        <v>2.8</v>
      </c>
      <c r="T1427" s="8">
        <v>2</v>
      </c>
      <c r="U1427" s="8">
        <v>2</v>
      </c>
      <c r="V1427" s="8" t="str">
        <f>IF(Table13[[#This Row],[BMI]]&lt;=18.5,"Underweight",IF(Table13[[#This Row],[BMI]]&lt;=24.9,"Normal",IF(Table13[[#This Row],[BMI]]&lt;=29.9,"Overweight",IF(Table13[[#This Row],[BMI]]&lt;=39,"Obese","Severly Obese"))))</f>
        <v>Underweight</v>
      </c>
      <c r="W1427" s="18">
        <v>16.100000000000001</v>
      </c>
    </row>
    <row r="1428" spans="6:23" x14ac:dyDescent="0.3">
      <c r="F1428" s="17">
        <v>40</v>
      </c>
      <c r="G1428" s="8" t="str">
        <f>IF(Table13[[#This Row],[Age]]&lt;25,"18-24",IF(Table13[[#This Row],[Age]]&lt;35,"25-34",IF(Table13[[#This Row],[Age]]&lt;45,"35-44",IF(Table13[[#This Row],[Age]]&lt;55,"45-54","55-64"))))</f>
        <v>35-44</v>
      </c>
      <c r="H1428" s="8" t="s">
        <v>19</v>
      </c>
      <c r="I1428" s="8">
        <v>59.3</v>
      </c>
      <c r="J1428" s="8">
        <v>2</v>
      </c>
      <c r="K1428" s="8">
        <v>166</v>
      </c>
      <c r="L1428" s="8">
        <v>141</v>
      </c>
      <c r="M1428" s="8">
        <v>74</v>
      </c>
      <c r="N1428" s="8">
        <v>1.44</v>
      </c>
      <c r="O1428" s="8">
        <v>801</v>
      </c>
      <c r="P1428" s="8" t="s">
        <v>20</v>
      </c>
      <c r="Q1428" s="8" t="str">
        <f>_xlfn.IFS(AND(Table13[[#This Row],[Gender]]="female",R1428&lt;20),"Athletes",AND(Table13[[#This Row],[Gender]]="female",R1428&lt;24),"Fitnesss",AND(Table13[[#This Row],[Gender]]="female",R1428&lt;31),"Acceptable",AND(Table13[[#This Row],[Gender]]="female",R1428&lt;40),"Obese",AND(Table13[[#This Row],[Gender]]="male",R1428&lt;13),"Athletes",AND(Table13[[#This Row],[Gender]]="male",R1428&lt;17),"Fitnesss",AND(Table13[[#This Row],[Gender]]="male",R1428&lt;24.9),"Acceptable",AND(Table13[[#This Row],[Gender]]="male",R1428&lt;40),"Obese",AND(Table13[[#This Row],[Gender]]="others",R1428&lt;20),"Athletes",AND(Table13[[#This Row],[Gender]]="others",R1428&lt;24),"Fitnesss",AND(Table13[[#This Row],[Gender]]="others",R1428&lt;31),"Acceptable",AND(Table13[[#This Row],[Gender]]="others",R1428&lt;40),"Obese")</f>
        <v>Acceptable</v>
      </c>
      <c r="R1428" s="8">
        <v>24.6</v>
      </c>
      <c r="S1428" s="8">
        <v>3.4</v>
      </c>
      <c r="T1428" s="8">
        <v>5</v>
      </c>
      <c r="U1428" s="8">
        <v>2</v>
      </c>
      <c r="V1428" s="8" t="str">
        <f>IF(Table13[[#This Row],[BMI]]&lt;=18.5,"Underweight",IF(Table13[[#This Row],[BMI]]&lt;=24.9,"Normal",IF(Table13[[#This Row],[BMI]]&lt;=29.9,"Overweight",IF(Table13[[#This Row],[BMI]]&lt;=39,"Obese","Severly Obese"))))</f>
        <v>Underweight</v>
      </c>
      <c r="W1428" s="18">
        <v>17.04</v>
      </c>
    </row>
    <row r="1429" spans="6:23" x14ac:dyDescent="0.3">
      <c r="F1429" s="17">
        <v>28</v>
      </c>
      <c r="G1429" s="8" t="str">
        <f>IF(Table13[[#This Row],[Age]]&lt;25,"18-24",IF(Table13[[#This Row],[Age]]&lt;35,"25-34",IF(Table13[[#This Row],[Age]]&lt;45,"35-44",IF(Table13[[#This Row],[Age]]&lt;55,"45-54","55-64"))))</f>
        <v>25-34</v>
      </c>
      <c r="H1429" s="8" t="s">
        <v>19</v>
      </c>
      <c r="I1429" s="8">
        <v>61.1</v>
      </c>
      <c r="J1429" s="8">
        <v>1.74</v>
      </c>
      <c r="K1429" s="8">
        <v>163</v>
      </c>
      <c r="L1429" s="8">
        <v>156</v>
      </c>
      <c r="M1429" s="8">
        <v>59</v>
      </c>
      <c r="N1429" s="8">
        <v>1.89</v>
      </c>
      <c r="O1429" s="8">
        <v>1277</v>
      </c>
      <c r="P1429" s="8" t="s">
        <v>20</v>
      </c>
      <c r="Q1429" s="8" t="str">
        <f>_xlfn.IFS(AND(Table13[[#This Row],[Gender]]="female",R1429&lt;20),"Athletes",AND(Table13[[#This Row],[Gender]]="female",R1429&lt;24),"Fitnesss",AND(Table13[[#This Row],[Gender]]="female",R1429&lt;31),"Acceptable",AND(Table13[[#This Row],[Gender]]="female",R1429&lt;40),"Obese",AND(Table13[[#This Row],[Gender]]="male",R1429&lt;13),"Athletes",AND(Table13[[#This Row],[Gender]]="male",R1429&lt;17),"Fitnesss",AND(Table13[[#This Row],[Gender]]="male",R1429&lt;24.9),"Acceptable",AND(Table13[[#This Row],[Gender]]="male",R1429&lt;40),"Obese",AND(Table13[[#This Row],[Gender]]="others",R1429&lt;20),"Athletes",AND(Table13[[#This Row],[Gender]]="others",R1429&lt;24),"Fitnesss",AND(Table13[[#This Row],[Gender]]="others",R1429&lt;31),"Acceptable",AND(Table13[[#This Row],[Gender]]="others",R1429&lt;40),"Obese")</f>
        <v>Acceptable</v>
      </c>
      <c r="R1429" s="8">
        <v>21.5</v>
      </c>
      <c r="S1429" s="8">
        <v>3.4</v>
      </c>
      <c r="T1429" s="8">
        <v>2</v>
      </c>
      <c r="U1429" s="8">
        <v>2</v>
      </c>
      <c r="V1429" s="8" t="str">
        <f>IF(Table13[[#This Row],[BMI]]&lt;=18.5,"Underweight",IF(Table13[[#This Row],[BMI]]&lt;=24.9,"Normal",IF(Table13[[#This Row],[BMI]]&lt;=29.9,"Overweight",IF(Table13[[#This Row],[BMI]]&lt;=39,"Obese","Severly Obese"))))</f>
        <v>Underweight</v>
      </c>
      <c r="W1429" s="18"/>
    </row>
    <row r="1430" spans="6:23" x14ac:dyDescent="0.3">
      <c r="F1430" s="17">
        <v>57</v>
      </c>
      <c r="G1430" s="8" t="str">
        <f>IF(Table13[[#This Row],[Age]]&lt;25,"18-24",IF(Table13[[#This Row],[Age]]&lt;35,"25-34",IF(Table13[[#This Row],[Age]]&lt;45,"35-44",IF(Table13[[#This Row],[Age]]&lt;55,"45-54","55-64"))))</f>
        <v>55-64</v>
      </c>
      <c r="H1430" s="8" t="s">
        <v>17</v>
      </c>
      <c r="I1430" s="8">
        <v>79.400000000000006</v>
      </c>
      <c r="J1430" s="8">
        <v>1.55</v>
      </c>
      <c r="K1430" s="8">
        <v>160</v>
      </c>
      <c r="L1430" s="8">
        <v>164</v>
      </c>
      <c r="M1430" s="8">
        <v>50</v>
      </c>
      <c r="N1430" s="8">
        <v>1.55</v>
      </c>
      <c r="O1430" s="8">
        <v>1116</v>
      </c>
      <c r="P1430" s="8" t="s">
        <v>18</v>
      </c>
      <c r="Q1430" s="8" t="str">
        <f>_xlfn.IFS(AND(Table13[[#This Row],[Gender]]="female",R1430&lt;20),"Athletes",AND(Table13[[#This Row],[Gender]]="female",R1430&lt;24),"Fitnesss",AND(Table13[[#This Row],[Gender]]="female",R1430&lt;31),"Acceptable",AND(Table13[[#This Row],[Gender]]="female",R1430&lt;40),"Obese",AND(Table13[[#This Row],[Gender]]="male",R1430&lt;13),"Athletes",AND(Table13[[#This Row],[Gender]]="male",R1430&lt;17),"Fitnesss",AND(Table13[[#This Row],[Gender]]="male",R1430&lt;24.9),"Acceptable",AND(Table13[[#This Row],[Gender]]="male",R1430&lt;40),"Obese",AND(Table13[[#This Row],[Gender]]="others",R1430&lt;20),"Athletes",AND(Table13[[#This Row],[Gender]]="others",R1430&lt;24),"Fitnesss",AND(Table13[[#This Row],[Gender]]="others",R1430&lt;31),"Acceptable",AND(Table13[[#This Row],[Gender]]="others",R1430&lt;40),"Obese")</f>
        <v>Obese</v>
      </c>
      <c r="R1430" s="8">
        <v>32.200000000000003</v>
      </c>
      <c r="S1430" s="8">
        <v>3.6</v>
      </c>
      <c r="T1430" s="8">
        <v>2</v>
      </c>
      <c r="U1430" s="8">
        <v>2</v>
      </c>
      <c r="V1430" s="8" t="str">
        <f>IF(Table13[[#This Row],[BMI]]&lt;=18.5,"Underweight",IF(Table13[[#This Row],[BMI]]&lt;=24.9,"Normal",IF(Table13[[#This Row],[BMI]]&lt;=29.9,"Overweight",IF(Table13[[#This Row],[BMI]]&lt;=39,"Obese","Severly Obese"))))</f>
        <v>Underweight</v>
      </c>
      <c r="W1430" s="18">
        <v>14.69</v>
      </c>
    </row>
    <row r="1431" spans="6:23" x14ac:dyDescent="0.3">
      <c r="F1431" s="17">
        <v>55</v>
      </c>
      <c r="G1431" s="8" t="str">
        <f>IF(Table13[[#This Row],[Age]]&lt;25,"18-24",IF(Table13[[#This Row],[Age]]&lt;35,"25-34",IF(Table13[[#This Row],[Age]]&lt;45,"35-44",IF(Table13[[#This Row],[Age]]&lt;55,"45-54","55-64"))))</f>
        <v>55-64</v>
      </c>
      <c r="H1431" s="8" t="s">
        <v>19</v>
      </c>
      <c r="I1431" s="8">
        <v>86.2</v>
      </c>
      <c r="J1431" s="8">
        <v>2</v>
      </c>
      <c r="K1431" s="8">
        <v>189</v>
      </c>
      <c r="L1431" s="8">
        <v>159</v>
      </c>
      <c r="M1431" s="8">
        <v>66</v>
      </c>
      <c r="N1431" s="8">
        <v>1.78</v>
      </c>
      <c r="O1431" s="8">
        <v>462</v>
      </c>
      <c r="P1431" s="8" t="s">
        <v>18</v>
      </c>
      <c r="Q1431" s="8" t="str">
        <f>_xlfn.IFS(AND(Table13[[#This Row],[Gender]]="female",R1431&lt;20),"Athletes",AND(Table13[[#This Row],[Gender]]="female",R1431&lt;24),"Fitnesss",AND(Table13[[#This Row],[Gender]]="female",R1431&lt;31),"Acceptable",AND(Table13[[#This Row],[Gender]]="female",R1431&lt;40),"Obese",AND(Table13[[#This Row],[Gender]]="male",R1431&lt;13),"Athletes",AND(Table13[[#This Row],[Gender]]="male",R1431&lt;17),"Fitnesss",AND(Table13[[#This Row],[Gender]]="male",R1431&lt;24.9),"Acceptable",AND(Table13[[#This Row],[Gender]]="male",R1431&lt;40),"Obese",AND(Table13[[#This Row],[Gender]]="others",R1431&lt;20),"Athletes",AND(Table13[[#This Row],[Gender]]="others",R1431&lt;24),"Fitnesss",AND(Table13[[#This Row],[Gender]]="others",R1431&lt;31),"Acceptable",AND(Table13[[#This Row],[Gender]]="others",R1431&lt;40),"Obese")</f>
        <v>Obese</v>
      </c>
      <c r="R1431" s="8">
        <v>27.2</v>
      </c>
      <c r="S1431" s="8"/>
      <c r="T1431" s="8">
        <v>3</v>
      </c>
      <c r="U1431" s="8">
        <v>1</v>
      </c>
      <c r="V1431" s="8" t="str">
        <f>IF(Table13[[#This Row],[BMI]]&lt;=18.5,"Underweight",IF(Table13[[#This Row],[BMI]]&lt;=24.9,"Normal",IF(Table13[[#This Row],[BMI]]&lt;=29.9,"Overweight",IF(Table13[[#This Row],[BMI]]&lt;=39,"Obese","Severly Obese"))))</f>
        <v>Normal</v>
      </c>
      <c r="W1431" s="18">
        <v>20.09</v>
      </c>
    </row>
    <row r="1432" spans="6:23" x14ac:dyDescent="0.3">
      <c r="F1432" s="17">
        <v>28</v>
      </c>
      <c r="G1432" s="8" t="str">
        <f>IF(Table13[[#This Row],[Age]]&lt;25,"18-24",IF(Table13[[#This Row],[Age]]&lt;35,"25-34",IF(Table13[[#This Row],[Age]]&lt;45,"35-44",IF(Table13[[#This Row],[Age]]&lt;55,"45-54","55-64"))))</f>
        <v>25-34</v>
      </c>
      <c r="H1432" s="8" t="s">
        <v>19</v>
      </c>
      <c r="I1432" s="8">
        <v>59.3</v>
      </c>
      <c r="J1432" s="8">
        <v>1.79</v>
      </c>
      <c r="K1432" s="8">
        <v>189</v>
      </c>
      <c r="L1432" s="8">
        <v>128</v>
      </c>
      <c r="M1432" s="8">
        <v>69</v>
      </c>
      <c r="N1432" s="8">
        <v>0.91</v>
      </c>
      <c r="O1432" s="8">
        <v>877</v>
      </c>
      <c r="P1432" s="8" t="s">
        <v>18</v>
      </c>
      <c r="Q1432" s="8" t="str">
        <f>_xlfn.IFS(AND(Table13[[#This Row],[Gender]]="female",R1432&lt;20),"Athletes",AND(Table13[[#This Row],[Gender]]="female",R1432&lt;24),"Fitnesss",AND(Table13[[#This Row],[Gender]]="female",R1432&lt;31),"Acceptable",AND(Table13[[#This Row],[Gender]]="female",R1432&lt;40),"Obese",AND(Table13[[#This Row],[Gender]]="male",R1432&lt;13),"Athletes",AND(Table13[[#This Row],[Gender]]="male",R1432&lt;17),"Fitnesss",AND(Table13[[#This Row],[Gender]]="male",R1432&lt;24.9),"Acceptable",AND(Table13[[#This Row],[Gender]]="male",R1432&lt;40),"Obese",AND(Table13[[#This Row],[Gender]]="others",R1432&lt;20),"Athletes",AND(Table13[[#This Row],[Gender]]="others",R1432&lt;24),"Fitnesss",AND(Table13[[#This Row],[Gender]]="others",R1432&lt;31),"Acceptable",AND(Table13[[#This Row],[Gender]]="others",R1432&lt;40),"Obese")</f>
        <v>Acceptable</v>
      </c>
      <c r="R1432" s="8">
        <v>24.8</v>
      </c>
      <c r="S1432" s="8">
        <v>2.1</v>
      </c>
      <c r="T1432" s="8">
        <v>4</v>
      </c>
      <c r="U1432" s="8">
        <v>1</v>
      </c>
      <c r="V1432" s="8" t="str">
        <f>IF(Table13[[#This Row],[BMI]]&lt;=18.5,"Underweight",IF(Table13[[#This Row],[BMI]]&lt;=24.9,"Normal",IF(Table13[[#This Row],[BMI]]&lt;=29.9,"Overweight",IF(Table13[[#This Row],[BMI]]&lt;=39,"Obese","Severly Obese"))))</f>
        <v>Overweight</v>
      </c>
      <c r="W1432" s="18">
        <v>28.16</v>
      </c>
    </row>
    <row r="1433" spans="6:23" x14ac:dyDescent="0.3">
      <c r="F1433" s="17">
        <v>23</v>
      </c>
      <c r="G1433" s="8" t="str">
        <f>IF(Table13[[#This Row],[Age]]&lt;25,"18-24",IF(Table13[[#This Row],[Age]]&lt;35,"25-34",IF(Table13[[#This Row],[Age]]&lt;45,"35-44",IF(Table13[[#This Row],[Age]]&lt;55,"45-54","55-64"))))</f>
        <v>18-24</v>
      </c>
      <c r="H1433" s="8" t="s">
        <v>19</v>
      </c>
      <c r="I1433" s="8">
        <v>40</v>
      </c>
      <c r="J1433" s="8">
        <v>1.87</v>
      </c>
      <c r="K1433" s="8">
        <v>161</v>
      </c>
      <c r="L1433" s="8"/>
      <c r="M1433" s="8">
        <v>74</v>
      </c>
      <c r="N1433" s="8">
        <v>1.5</v>
      </c>
      <c r="O1433" s="8">
        <v>1200</v>
      </c>
      <c r="P1433" s="8" t="s">
        <v>18</v>
      </c>
      <c r="Q1433" s="8" t="str">
        <f>_xlfn.IFS(AND(Table13[[#This Row],[Gender]]="female",R1433&lt;20),"Athletes",AND(Table13[[#This Row],[Gender]]="female",R1433&lt;24),"Fitnesss",AND(Table13[[#This Row],[Gender]]="female",R1433&lt;31),"Acceptable",AND(Table13[[#This Row],[Gender]]="female",R1433&lt;40),"Obese",AND(Table13[[#This Row],[Gender]]="male",R1433&lt;13),"Athletes",AND(Table13[[#This Row],[Gender]]="male",R1433&lt;17),"Fitnesss",AND(Table13[[#This Row],[Gender]]="male",R1433&lt;24.9),"Acceptable",AND(Table13[[#This Row],[Gender]]="male",R1433&lt;40),"Obese",AND(Table13[[#This Row],[Gender]]="others",R1433&lt;20),"Athletes",AND(Table13[[#This Row],[Gender]]="others",R1433&lt;24),"Fitnesss",AND(Table13[[#This Row],[Gender]]="others",R1433&lt;31),"Acceptable",AND(Table13[[#This Row],[Gender]]="others",R1433&lt;40),"Obese")</f>
        <v>Acceptable</v>
      </c>
      <c r="R1433" s="8">
        <v>23.7</v>
      </c>
      <c r="S1433" s="8">
        <v>3.3</v>
      </c>
      <c r="T1433" s="8">
        <v>4</v>
      </c>
      <c r="U1433" s="8">
        <v>3</v>
      </c>
      <c r="V1433" s="8" t="str">
        <f>IF(Table13[[#This Row],[BMI]]&lt;=18.5,"Underweight",IF(Table13[[#This Row],[BMI]]&lt;=24.9,"Normal",IF(Table13[[#This Row],[BMI]]&lt;=29.9,"Overweight",IF(Table13[[#This Row],[BMI]]&lt;=39,"Obese","Severly Obese"))))</f>
        <v>Underweight</v>
      </c>
      <c r="W1433" s="18">
        <v>13.11</v>
      </c>
    </row>
    <row r="1434" spans="6:23" x14ac:dyDescent="0.3">
      <c r="F1434" s="17">
        <v>30</v>
      </c>
      <c r="G1434" s="8" t="str">
        <f>IF(Table13[[#This Row],[Age]]&lt;25,"18-24",IF(Table13[[#This Row],[Age]]&lt;35,"25-34",IF(Table13[[#This Row],[Age]]&lt;45,"35-44",IF(Table13[[#This Row],[Age]]&lt;55,"45-54","55-64"))))</f>
        <v>25-34</v>
      </c>
      <c r="H1434" s="8" t="s">
        <v>23</v>
      </c>
      <c r="I1434" s="8">
        <v>61.8</v>
      </c>
      <c r="J1434" s="8">
        <v>1.88</v>
      </c>
      <c r="K1434" s="8">
        <v>189</v>
      </c>
      <c r="L1434" s="8">
        <v>142</v>
      </c>
      <c r="M1434" s="8">
        <v>73</v>
      </c>
      <c r="N1434" s="8">
        <v>1.02</v>
      </c>
      <c r="O1434" s="8">
        <v>1033</v>
      </c>
      <c r="P1434" s="8" t="s">
        <v>20</v>
      </c>
      <c r="Q1434" s="8" t="str">
        <f>_xlfn.IFS(AND(Table13[[#This Row],[Gender]]="female",R1434&lt;20),"Athletes",AND(Table13[[#This Row],[Gender]]="female",R1434&lt;24),"Fitnesss",AND(Table13[[#This Row],[Gender]]="female",R1434&lt;31),"Acceptable",AND(Table13[[#This Row],[Gender]]="female",R1434&lt;40),"Obese",AND(Table13[[#This Row],[Gender]]="male",R1434&lt;13),"Athletes",AND(Table13[[#This Row],[Gender]]="male",R1434&lt;17),"Fitnesss",AND(Table13[[#This Row],[Gender]]="male",R1434&lt;24.9),"Acceptable",AND(Table13[[#This Row],[Gender]]="male",R1434&lt;40),"Obese",AND(Table13[[#This Row],[Gender]]="others",R1434&lt;20),"Athletes",AND(Table13[[#This Row],[Gender]]="others",R1434&lt;24),"Fitnesss",AND(Table13[[#This Row],[Gender]]="others",R1434&lt;31),"Acceptable",AND(Table13[[#This Row],[Gender]]="others",R1434&lt;40),"Obese")</f>
        <v>Fitnesss</v>
      </c>
      <c r="R1434" s="8">
        <v>23.7</v>
      </c>
      <c r="S1434" s="8">
        <v>2.2999999999999998</v>
      </c>
      <c r="T1434" s="8">
        <v>4</v>
      </c>
      <c r="U1434" s="8">
        <v>1</v>
      </c>
      <c r="V1434" s="8" t="str">
        <f>IF(Table13[[#This Row],[BMI]]&lt;=18.5,"Underweight",IF(Table13[[#This Row],[BMI]]&lt;=24.9,"Normal",IF(Table13[[#This Row],[BMI]]&lt;=29.9,"Overweight",IF(Table13[[#This Row],[BMI]]&lt;=39,"Obese","Severly Obese"))))</f>
        <v>Normal</v>
      </c>
      <c r="W1434" s="18">
        <v>21.86</v>
      </c>
    </row>
    <row r="1435" spans="6:23" x14ac:dyDescent="0.3">
      <c r="F1435" s="17">
        <v>30</v>
      </c>
      <c r="G1435" s="8" t="str">
        <f>IF(Table13[[#This Row],[Age]]&lt;25,"18-24",IF(Table13[[#This Row],[Age]]&lt;35,"25-34",IF(Table13[[#This Row],[Age]]&lt;45,"35-44",IF(Table13[[#This Row],[Age]]&lt;55,"45-54","55-64"))))</f>
        <v>25-34</v>
      </c>
      <c r="H1435" s="8" t="s">
        <v>19</v>
      </c>
      <c r="I1435" s="8">
        <v>40</v>
      </c>
      <c r="J1435" s="8">
        <v>1.63</v>
      </c>
      <c r="K1435" s="8">
        <v>192</v>
      </c>
      <c r="L1435" s="8">
        <v>157</v>
      </c>
      <c r="M1435" s="8">
        <v>64</v>
      </c>
      <c r="N1435" s="8">
        <v>1.31</v>
      </c>
      <c r="O1435" s="8">
        <v>1078</v>
      </c>
      <c r="P1435" s="8" t="s">
        <v>21</v>
      </c>
      <c r="Q1435" s="8" t="str">
        <f>_xlfn.IFS(AND(Table13[[#This Row],[Gender]]="female",R1435&lt;20),"Athletes",AND(Table13[[#This Row],[Gender]]="female",R1435&lt;24),"Fitnesss",AND(Table13[[#This Row],[Gender]]="female",R1435&lt;31),"Acceptable",AND(Table13[[#This Row],[Gender]]="female",R1435&lt;40),"Obese",AND(Table13[[#This Row],[Gender]]="male",R1435&lt;13),"Athletes",AND(Table13[[#This Row],[Gender]]="male",R1435&lt;17),"Fitnesss",AND(Table13[[#This Row],[Gender]]="male",R1435&lt;24.9),"Acceptable",AND(Table13[[#This Row],[Gender]]="male",R1435&lt;40),"Obese",AND(Table13[[#This Row],[Gender]]="others",R1435&lt;20),"Athletes",AND(Table13[[#This Row],[Gender]]="others",R1435&lt;24),"Fitnesss",AND(Table13[[#This Row],[Gender]]="others",R1435&lt;31),"Acceptable",AND(Table13[[#This Row],[Gender]]="others",R1435&lt;40),"Obese")</f>
        <v>Athletes</v>
      </c>
      <c r="R1435" s="8">
        <v>10</v>
      </c>
      <c r="S1435" s="8">
        <v>2.8</v>
      </c>
      <c r="T1435" s="8">
        <v>3</v>
      </c>
      <c r="U1435" s="8">
        <v>1</v>
      </c>
      <c r="V1435" s="8" t="str">
        <f>IF(Table13[[#This Row],[BMI]]&lt;=18.5,"Underweight",IF(Table13[[#This Row],[BMI]]&lt;=24.9,"Normal",IF(Table13[[#This Row],[BMI]]&lt;=29.9,"Overweight",IF(Table13[[#This Row],[BMI]]&lt;=39,"Obese","Severly Obese"))))</f>
        <v>Underweight</v>
      </c>
      <c r="W1435" s="18">
        <v>14.92</v>
      </c>
    </row>
    <row r="1436" spans="6:23" x14ac:dyDescent="0.3">
      <c r="F1436" s="17">
        <v>25</v>
      </c>
      <c r="G1436" s="8" t="str">
        <f>IF(Table13[[#This Row],[Age]]&lt;25,"18-24",IF(Table13[[#This Row],[Age]]&lt;35,"25-34",IF(Table13[[#This Row],[Age]]&lt;45,"35-44",IF(Table13[[#This Row],[Age]]&lt;55,"45-54","55-64"))))</f>
        <v>25-34</v>
      </c>
      <c r="H1436" s="8" t="s">
        <v>17</v>
      </c>
      <c r="I1436" s="8">
        <v>61.4</v>
      </c>
      <c r="J1436" s="8">
        <v>1.7</v>
      </c>
      <c r="K1436" s="8">
        <v>172</v>
      </c>
      <c r="L1436" s="8">
        <v>166</v>
      </c>
      <c r="M1436" s="8">
        <v>72</v>
      </c>
      <c r="N1436" s="8">
        <v>1.28</v>
      </c>
      <c r="O1436" s="8">
        <v>1064</v>
      </c>
      <c r="P1436" s="8" t="s">
        <v>22</v>
      </c>
      <c r="Q1436" s="8" t="str">
        <f>_xlfn.IFS(AND(Table13[[#This Row],[Gender]]="female",R1436&lt;20),"Athletes",AND(Table13[[#This Row],[Gender]]="female",R1436&lt;24),"Fitnesss",AND(Table13[[#This Row],[Gender]]="female",R1436&lt;31),"Acceptable",AND(Table13[[#This Row],[Gender]]="female",R1436&lt;40),"Obese",AND(Table13[[#This Row],[Gender]]="male",R1436&lt;13),"Athletes",AND(Table13[[#This Row],[Gender]]="male",R1436&lt;17),"Fitnesss",AND(Table13[[#This Row],[Gender]]="male",R1436&lt;24.9),"Acceptable",AND(Table13[[#This Row],[Gender]]="male",R1436&lt;40),"Obese",AND(Table13[[#This Row],[Gender]]="others",R1436&lt;20),"Athletes",AND(Table13[[#This Row],[Gender]]="others",R1436&lt;24),"Fitnesss",AND(Table13[[#This Row],[Gender]]="others",R1436&lt;31),"Acceptable",AND(Table13[[#This Row],[Gender]]="others",R1436&lt;40),"Obese")</f>
        <v>Obese</v>
      </c>
      <c r="R1436" s="8">
        <v>32.5</v>
      </c>
      <c r="S1436" s="8">
        <v>3</v>
      </c>
      <c r="T1436" s="8">
        <v>3</v>
      </c>
      <c r="U1436" s="8">
        <v>2</v>
      </c>
      <c r="V1436" s="8" t="str">
        <f>IF(Table13[[#This Row],[BMI]]&lt;=18.5,"Underweight",IF(Table13[[#This Row],[BMI]]&lt;=24.9,"Normal",IF(Table13[[#This Row],[BMI]]&lt;=29.9,"Overweight",IF(Table13[[#This Row],[BMI]]&lt;=39,"Obese","Severly Obese"))))</f>
        <v>Normal</v>
      </c>
      <c r="W1436" s="18">
        <v>19.45</v>
      </c>
    </row>
    <row r="1437" spans="6:23" x14ac:dyDescent="0.3">
      <c r="F1437" s="17">
        <v>46</v>
      </c>
      <c r="G1437" s="8" t="str">
        <f>IF(Table13[[#This Row],[Age]]&lt;25,"18-24",IF(Table13[[#This Row],[Age]]&lt;35,"25-34",IF(Table13[[#This Row],[Age]]&lt;45,"35-44",IF(Table13[[#This Row],[Age]]&lt;55,"45-54","55-64"))))</f>
        <v>45-54</v>
      </c>
      <c r="H1437" s="8" t="s">
        <v>17</v>
      </c>
      <c r="I1437" s="8">
        <v>80.2</v>
      </c>
      <c r="J1437" s="8">
        <v>1.98</v>
      </c>
      <c r="K1437" s="8">
        <v>172</v>
      </c>
      <c r="L1437" s="8">
        <v>155</v>
      </c>
      <c r="M1437" s="8">
        <v>73</v>
      </c>
      <c r="N1437" s="8">
        <v>1.29</v>
      </c>
      <c r="O1437" s="8">
        <v>1355</v>
      </c>
      <c r="P1437" s="8" t="s">
        <v>22</v>
      </c>
      <c r="Q1437" s="8" t="str">
        <f>_xlfn.IFS(AND(Table13[[#This Row],[Gender]]="female",R1437&lt;20),"Athletes",AND(Table13[[#This Row],[Gender]]="female",R1437&lt;24),"Fitnesss",AND(Table13[[#This Row],[Gender]]="female",R1437&lt;31),"Acceptable",AND(Table13[[#This Row],[Gender]]="female",R1437&lt;40),"Obese",AND(Table13[[#This Row],[Gender]]="male",R1437&lt;13),"Athletes",AND(Table13[[#This Row],[Gender]]="male",R1437&lt;17),"Fitnesss",AND(Table13[[#This Row],[Gender]]="male",R1437&lt;24.9),"Acceptable",AND(Table13[[#This Row],[Gender]]="male",R1437&lt;40),"Obese",AND(Table13[[#This Row],[Gender]]="others",R1437&lt;20),"Athletes",AND(Table13[[#This Row],[Gender]]="others",R1437&lt;24),"Fitnesss",AND(Table13[[#This Row],[Gender]]="others",R1437&lt;31),"Acceptable",AND(Table13[[#This Row],[Gender]]="others",R1437&lt;40),"Obese")</f>
        <v>Acceptable</v>
      </c>
      <c r="R1437" s="8">
        <v>26.8</v>
      </c>
      <c r="S1437" s="8">
        <v>3.3</v>
      </c>
      <c r="T1437" s="8">
        <v>4</v>
      </c>
      <c r="U1437" s="8">
        <v>3</v>
      </c>
      <c r="V1437" s="8" t="str">
        <f>IF(Table13[[#This Row],[BMI]]&lt;=18.5,"Underweight",IF(Table13[[#This Row],[BMI]]&lt;=24.9,"Normal",IF(Table13[[#This Row],[BMI]]&lt;=29.9,"Overweight",IF(Table13[[#This Row],[BMI]]&lt;=39,"Obese","Severly Obese"))))</f>
        <v>Underweight</v>
      </c>
      <c r="W1437" s="18">
        <v>15.63</v>
      </c>
    </row>
    <row r="1438" spans="6:23" x14ac:dyDescent="0.3">
      <c r="F1438" s="17">
        <v>24</v>
      </c>
      <c r="G1438" s="8" t="str">
        <f>IF(Table13[[#This Row],[Age]]&lt;25,"18-24",IF(Table13[[#This Row],[Age]]&lt;35,"25-34",IF(Table13[[#This Row],[Age]]&lt;45,"35-44",IF(Table13[[#This Row],[Age]]&lt;55,"45-54","55-64"))))</f>
        <v>18-24</v>
      </c>
      <c r="H1438" s="8" t="s">
        <v>17</v>
      </c>
      <c r="I1438" s="8">
        <v>89</v>
      </c>
      <c r="J1438" s="8">
        <v>1.61</v>
      </c>
      <c r="K1438" s="8"/>
      <c r="L1438" s="8">
        <v>160</v>
      </c>
      <c r="M1438" s="8">
        <v>74</v>
      </c>
      <c r="N1438" s="8">
        <v>1.3</v>
      </c>
      <c r="O1438" s="8">
        <v>827</v>
      </c>
      <c r="P1438" s="8" t="s">
        <v>22</v>
      </c>
      <c r="Q1438" s="8" t="str">
        <f>_xlfn.IFS(AND(Table13[[#This Row],[Gender]]="female",R1438&lt;20),"Athletes",AND(Table13[[#This Row],[Gender]]="female",R1438&lt;24),"Fitnesss",AND(Table13[[#This Row],[Gender]]="female",R1438&lt;31),"Acceptable",AND(Table13[[#This Row],[Gender]]="female",R1438&lt;40),"Obese",AND(Table13[[#This Row],[Gender]]="male",R1438&lt;13),"Athletes",AND(Table13[[#This Row],[Gender]]="male",R1438&lt;17),"Fitnesss",AND(Table13[[#This Row],[Gender]]="male",R1438&lt;24.9),"Acceptable",AND(Table13[[#This Row],[Gender]]="male",R1438&lt;40),"Obese",AND(Table13[[#This Row],[Gender]]="others",R1438&lt;20),"Athletes",AND(Table13[[#This Row],[Gender]]="others",R1438&lt;24),"Fitnesss",AND(Table13[[#This Row],[Gender]]="others",R1438&lt;31),"Acceptable",AND(Table13[[#This Row],[Gender]]="others",R1438&lt;40),"Obese")</f>
        <v>Fitnesss</v>
      </c>
      <c r="R1438" s="8">
        <v>23.8</v>
      </c>
      <c r="S1438" s="8">
        <v>3.1</v>
      </c>
      <c r="T1438" s="8">
        <v>3</v>
      </c>
      <c r="U1438" s="8">
        <v>3</v>
      </c>
      <c r="V1438" s="8" t="str">
        <f>IF(Table13[[#This Row],[BMI]]&lt;=18.5,"Underweight",IF(Table13[[#This Row],[BMI]]&lt;=24.9,"Normal",IF(Table13[[#This Row],[BMI]]&lt;=29.9,"Overweight",IF(Table13[[#This Row],[BMI]]&lt;=39,"Obese","Severly Obese"))))</f>
        <v>Obese</v>
      </c>
      <c r="W1438" s="18">
        <v>30.63</v>
      </c>
    </row>
    <row r="1439" spans="6:23" x14ac:dyDescent="0.3">
      <c r="F1439" s="17">
        <v>28</v>
      </c>
      <c r="G1439" s="8" t="str">
        <f>IF(Table13[[#This Row],[Age]]&lt;25,"18-24",IF(Table13[[#This Row],[Age]]&lt;35,"25-34",IF(Table13[[#This Row],[Age]]&lt;45,"35-44",IF(Table13[[#This Row],[Age]]&lt;55,"45-54","55-64"))))</f>
        <v>25-34</v>
      </c>
      <c r="H1439" s="8" t="s">
        <v>19</v>
      </c>
      <c r="I1439" s="8">
        <v>58</v>
      </c>
      <c r="J1439" s="8">
        <v>1.77</v>
      </c>
      <c r="K1439" s="8">
        <v>179</v>
      </c>
      <c r="L1439" s="8">
        <v>157</v>
      </c>
      <c r="M1439" s="8">
        <v>74</v>
      </c>
      <c r="N1439" s="8">
        <v>1.59</v>
      </c>
      <c r="O1439" s="8">
        <v>1145</v>
      </c>
      <c r="P1439" s="8" t="s">
        <v>22</v>
      </c>
      <c r="Q1439" s="8" t="str">
        <f>_xlfn.IFS(AND(Table13[[#This Row],[Gender]]="female",R1439&lt;20),"Athletes",AND(Table13[[#This Row],[Gender]]="female",R1439&lt;24),"Fitnesss",AND(Table13[[#This Row],[Gender]]="female",R1439&lt;31),"Acceptable",AND(Table13[[#This Row],[Gender]]="female",R1439&lt;40),"Obese",AND(Table13[[#This Row],[Gender]]="male",R1439&lt;13),"Athletes",AND(Table13[[#This Row],[Gender]]="male",R1439&lt;17),"Fitnesss",AND(Table13[[#This Row],[Gender]]="male",R1439&lt;24.9),"Acceptable",AND(Table13[[#This Row],[Gender]]="male",R1439&lt;40),"Obese",AND(Table13[[#This Row],[Gender]]="others",R1439&lt;20),"Athletes",AND(Table13[[#This Row],[Gender]]="others",R1439&lt;24),"Fitnesss",AND(Table13[[#This Row],[Gender]]="others",R1439&lt;31),"Acceptable",AND(Table13[[#This Row],[Gender]]="others",R1439&lt;40),"Obese")</f>
        <v>Acceptable</v>
      </c>
      <c r="R1439" s="8">
        <v>21.3</v>
      </c>
      <c r="S1439" s="8">
        <v>1.5</v>
      </c>
      <c r="T1439" s="8">
        <v>2</v>
      </c>
      <c r="U1439" s="8">
        <v>3</v>
      </c>
      <c r="V1439" s="8" t="str">
        <f>IF(Table13[[#This Row],[BMI]]&lt;=18.5,"Underweight",IF(Table13[[#This Row],[BMI]]&lt;=24.9,"Normal",IF(Table13[[#This Row],[BMI]]&lt;=29.9,"Overweight",IF(Table13[[#This Row],[BMI]]&lt;=39,"Obese","Severly Obese"))))</f>
        <v>Underweight</v>
      </c>
      <c r="W1439" s="18">
        <v>14.72</v>
      </c>
    </row>
    <row r="1440" spans="6:23" x14ac:dyDescent="0.3">
      <c r="F1440" s="17">
        <v>27</v>
      </c>
      <c r="G1440" s="8" t="str">
        <f>IF(Table13[[#This Row],[Age]]&lt;25,"18-24",IF(Table13[[#This Row],[Age]]&lt;35,"25-34",IF(Table13[[#This Row],[Age]]&lt;45,"35-44",IF(Table13[[#This Row],[Age]]&lt;55,"45-54","55-64"))))</f>
        <v>25-34</v>
      </c>
      <c r="H1440" s="8" t="s">
        <v>19</v>
      </c>
      <c r="I1440" s="8">
        <v>53</v>
      </c>
      <c r="J1440" s="8">
        <v>1.91</v>
      </c>
      <c r="K1440" s="8">
        <v>172</v>
      </c>
      <c r="L1440" s="8">
        <v>123</v>
      </c>
      <c r="M1440" s="8">
        <v>54</v>
      </c>
      <c r="N1440" s="8">
        <v>1.0900000000000001</v>
      </c>
      <c r="O1440" s="8">
        <v>655</v>
      </c>
      <c r="P1440" s="8" t="s">
        <v>18</v>
      </c>
      <c r="Q1440" s="8" t="str">
        <f>_xlfn.IFS(AND(Table13[[#This Row],[Gender]]="female",R1440&lt;20),"Athletes",AND(Table13[[#This Row],[Gender]]="female",R1440&lt;24),"Fitnesss",AND(Table13[[#This Row],[Gender]]="female",R1440&lt;31),"Acceptable",AND(Table13[[#This Row],[Gender]]="female",R1440&lt;40),"Obese",AND(Table13[[#This Row],[Gender]]="male",R1440&lt;13),"Athletes",AND(Table13[[#This Row],[Gender]]="male",R1440&lt;17),"Fitnesss",AND(Table13[[#This Row],[Gender]]="male",R1440&lt;24.9),"Acceptable",AND(Table13[[#This Row],[Gender]]="male",R1440&lt;40),"Obese",AND(Table13[[#This Row],[Gender]]="others",R1440&lt;20),"Athletes",AND(Table13[[#This Row],[Gender]]="others",R1440&lt;24),"Fitnesss",AND(Table13[[#This Row],[Gender]]="others",R1440&lt;31),"Acceptable",AND(Table13[[#This Row],[Gender]]="others",R1440&lt;40),"Obese")</f>
        <v>Obese</v>
      </c>
      <c r="R1440" s="8">
        <v>34.4</v>
      </c>
      <c r="S1440" s="8">
        <v>3.1</v>
      </c>
      <c r="T1440" s="8">
        <v>3</v>
      </c>
      <c r="U1440" s="8">
        <v>2</v>
      </c>
      <c r="V1440" s="8" t="str">
        <f>IF(Table13[[#This Row],[BMI]]&lt;=18.5,"Underweight",IF(Table13[[#This Row],[BMI]]&lt;=24.9,"Normal",IF(Table13[[#This Row],[BMI]]&lt;=29.9,"Overweight",IF(Table13[[#This Row],[BMI]]&lt;=39,"Obese","Severly Obese"))))</f>
        <v>Normal</v>
      </c>
      <c r="W1440" s="18">
        <v>21.18</v>
      </c>
    </row>
    <row r="1441" spans="6:23" x14ac:dyDescent="0.3">
      <c r="F1441" s="17">
        <v>23</v>
      </c>
      <c r="G1441" s="8" t="str">
        <f>IF(Table13[[#This Row],[Age]]&lt;25,"18-24",IF(Table13[[#This Row],[Age]]&lt;35,"25-34",IF(Table13[[#This Row],[Age]]&lt;45,"35-44",IF(Table13[[#This Row],[Age]]&lt;55,"45-54","55-64"))))</f>
        <v>18-24</v>
      </c>
      <c r="H1441" s="8" t="s">
        <v>17</v>
      </c>
      <c r="I1441" s="8">
        <v>51.2</v>
      </c>
      <c r="J1441" s="8">
        <v>1.92</v>
      </c>
      <c r="K1441" s="8">
        <v>187</v>
      </c>
      <c r="L1441" s="8">
        <v>169</v>
      </c>
      <c r="M1441" s="8">
        <v>55</v>
      </c>
      <c r="N1441" s="8">
        <v>1.1000000000000001</v>
      </c>
      <c r="O1441" s="8">
        <v>969</v>
      </c>
      <c r="P1441" s="8" t="s">
        <v>22</v>
      </c>
      <c r="Q1441" s="8" t="str">
        <f>_xlfn.IFS(AND(Table13[[#This Row],[Gender]]="female",R1441&lt;20),"Athletes",AND(Table13[[#This Row],[Gender]]="female",R1441&lt;24),"Fitnesss",AND(Table13[[#This Row],[Gender]]="female",R1441&lt;31),"Acceptable",AND(Table13[[#This Row],[Gender]]="female",R1441&lt;40),"Obese",AND(Table13[[#This Row],[Gender]]="male",R1441&lt;13),"Athletes",AND(Table13[[#This Row],[Gender]]="male",R1441&lt;17),"Fitnesss",AND(Table13[[#This Row],[Gender]]="male",R1441&lt;24.9),"Acceptable",AND(Table13[[#This Row],[Gender]]="male",R1441&lt;40),"Obese",AND(Table13[[#This Row],[Gender]]="others",R1441&lt;20),"Athletes",AND(Table13[[#This Row],[Gender]]="others",R1441&lt;24),"Fitnesss",AND(Table13[[#This Row],[Gender]]="others",R1441&lt;31),"Acceptable",AND(Table13[[#This Row],[Gender]]="others",R1441&lt;40),"Obese")</f>
        <v>Acceptable</v>
      </c>
      <c r="R1441" s="8">
        <v>25.3</v>
      </c>
      <c r="S1441" s="8">
        <v>2.7</v>
      </c>
      <c r="T1441" s="8">
        <v>2</v>
      </c>
      <c r="U1441" s="8">
        <v>1</v>
      </c>
      <c r="V1441" s="8" t="str">
        <f>IF(Table13[[#This Row],[BMI]]&lt;=18.5,"Underweight",IF(Table13[[#This Row],[BMI]]&lt;=24.9,"Normal",IF(Table13[[#This Row],[BMI]]&lt;=29.9,"Overweight",IF(Table13[[#This Row],[BMI]]&lt;=39,"Obese","Severly Obese"))))</f>
        <v>Underweight</v>
      </c>
      <c r="W1441" s="18">
        <v>16.98</v>
      </c>
    </row>
    <row r="1442" spans="6:23" x14ac:dyDescent="0.3">
      <c r="F1442" s="17">
        <v>26</v>
      </c>
      <c r="G1442" s="8" t="str">
        <f>IF(Table13[[#This Row],[Age]]&lt;25,"18-24",IF(Table13[[#This Row],[Age]]&lt;35,"25-34",IF(Table13[[#This Row],[Age]]&lt;45,"35-44",IF(Table13[[#This Row],[Age]]&lt;55,"45-54","55-64"))))</f>
        <v>25-34</v>
      </c>
      <c r="H1442" s="8" t="s">
        <v>17</v>
      </c>
      <c r="I1442" s="8">
        <v>51.9</v>
      </c>
      <c r="J1442" s="8">
        <v>1.9</v>
      </c>
      <c r="K1442" s="8">
        <v>182</v>
      </c>
      <c r="L1442" s="8">
        <v>129</v>
      </c>
      <c r="M1442" s="8">
        <v>55</v>
      </c>
      <c r="N1442" s="8">
        <v>2</v>
      </c>
      <c r="O1442" s="8">
        <v>1418</v>
      </c>
      <c r="P1442" s="8" t="s">
        <v>20</v>
      </c>
      <c r="Q1442" s="8" t="str">
        <f>_xlfn.IFS(AND(Table13[[#This Row],[Gender]]="female",R1442&lt;20),"Athletes",AND(Table13[[#This Row],[Gender]]="female",R1442&lt;24),"Fitnesss",AND(Table13[[#This Row],[Gender]]="female",R1442&lt;31),"Acceptable",AND(Table13[[#This Row],[Gender]]="female",R1442&lt;40),"Obese",AND(Table13[[#This Row],[Gender]]="male",R1442&lt;13),"Athletes",AND(Table13[[#This Row],[Gender]]="male",R1442&lt;17),"Fitnesss",AND(Table13[[#This Row],[Gender]]="male",R1442&lt;24.9),"Acceptable",AND(Table13[[#This Row],[Gender]]="male",R1442&lt;40),"Obese",AND(Table13[[#This Row],[Gender]]="others",R1442&lt;20),"Athletes",AND(Table13[[#This Row],[Gender]]="others",R1442&lt;24),"Fitnesss",AND(Table13[[#This Row],[Gender]]="others",R1442&lt;31),"Acceptable",AND(Table13[[#This Row],[Gender]]="others",R1442&lt;40),"Obese")</f>
        <v>Obese</v>
      </c>
      <c r="R1442" s="8">
        <v>32.200000000000003</v>
      </c>
      <c r="S1442" s="8">
        <v>2.4</v>
      </c>
      <c r="T1442" s="8">
        <v>2</v>
      </c>
      <c r="U1442" s="8">
        <v>1</v>
      </c>
      <c r="V1442" s="8" t="str">
        <f>IF(Table13[[#This Row],[BMI]]&lt;=18.5,"Underweight",IF(Table13[[#This Row],[BMI]]&lt;=24.9,"Normal",IF(Table13[[#This Row],[BMI]]&lt;=29.9,"Overweight",IF(Table13[[#This Row],[BMI]]&lt;=39,"Obese","Severly Obese"))))</f>
        <v>Normal</v>
      </c>
      <c r="W1442" s="18">
        <v>20.41</v>
      </c>
    </row>
    <row r="1443" spans="6:23" x14ac:dyDescent="0.3">
      <c r="F1443" s="17">
        <v>27</v>
      </c>
      <c r="G1443" s="8" t="str">
        <f>IF(Table13[[#This Row],[Age]]&lt;25,"18-24",IF(Table13[[#This Row],[Age]]&lt;35,"25-34",IF(Table13[[#This Row],[Age]]&lt;45,"35-44",IF(Table13[[#This Row],[Age]]&lt;55,"45-54","55-64"))))</f>
        <v>25-34</v>
      </c>
      <c r="H1443" s="8" t="s">
        <v>17</v>
      </c>
      <c r="I1443" s="8">
        <v>56.3</v>
      </c>
      <c r="J1443" s="8">
        <v>1.7</v>
      </c>
      <c r="K1443" s="8">
        <v>191</v>
      </c>
      <c r="L1443" s="8">
        <v>134</v>
      </c>
      <c r="M1443" s="8">
        <v>72</v>
      </c>
      <c r="N1443" s="8">
        <v>1.61</v>
      </c>
      <c r="O1443" s="8">
        <v>1631</v>
      </c>
      <c r="P1443" s="8" t="s">
        <v>22</v>
      </c>
      <c r="Q1443" s="8" t="str">
        <f>_xlfn.IFS(AND(Table13[[#This Row],[Gender]]="female",R1443&lt;20),"Athletes",AND(Table13[[#This Row],[Gender]]="female",R1443&lt;24),"Fitnesss",AND(Table13[[#This Row],[Gender]]="female",R1443&lt;31),"Acceptable",AND(Table13[[#This Row],[Gender]]="female",R1443&lt;40),"Obese",AND(Table13[[#This Row],[Gender]]="male",R1443&lt;13),"Athletes",AND(Table13[[#This Row],[Gender]]="male",R1443&lt;17),"Fitnesss",AND(Table13[[#This Row],[Gender]]="male",R1443&lt;24.9),"Acceptable",AND(Table13[[#This Row],[Gender]]="male",R1443&lt;40),"Obese",AND(Table13[[#This Row],[Gender]]="others",R1443&lt;20),"Athletes",AND(Table13[[#This Row],[Gender]]="others",R1443&lt;24),"Fitnesss",AND(Table13[[#This Row],[Gender]]="others",R1443&lt;31),"Acceptable",AND(Table13[[#This Row],[Gender]]="others",R1443&lt;40),"Obese")</f>
        <v>Fitnesss</v>
      </c>
      <c r="R1443" s="8">
        <v>23.4</v>
      </c>
      <c r="S1443" s="8">
        <v>3.3</v>
      </c>
      <c r="T1443" s="8">
        <v>3</v>
      </c>
      <c r="U1443" s="8">
        <v>1</v>
      </c>
      <c r="V1443" s="8" t="str">
        <f>IF(Table13[[#This Row],[BMI]]&lt;=18.5,"Underweight",IF(Table13[[#This Row],[BMI]]&lt;=24.9,"Normal",IF(Table13[[#This Row],[BMI]]&lt;=29.9,"Overweight",IF(Table13[[#This Row],[BMI]]&lt;=39,"Obese","Severly Obese"))))</f>
        <v>Obese</v>
      </c>
      <c r="W1443" s="18">
        <v>30.84</v>
      </c>
    </row>
    <row r="1444" spans="6:23" x14ac:dyDescent="0.3">
      <c r="F1444" s="17">
        <v>18</v>
      </c>
      <c r="G1444" s="8" t="str">
        <f>IF(Table13[[#This Row],[Age]]&lt;25,"18-24",IF(Table13[[#This Row],[Age]]&lt;35,"25-34",IF(Table13[[#This Row],[Age]]&lt;45,"35-44",IF(Table13[[#This Row],[Age]]&lt;55,"45-54","55-64"))))</f>
        <v>18-24</v>
      </c>
      <c r="H1444" s="8" t="s">
        <v>19</v>
      </c>
      <c r="I1444" s="8">
        <v>92.4</v>
      </c>
      <c r="J1444" s="8">
        <v>1.52</v>
      </c>
      <c r="K1444" s="8">
        <v>197</v>
      </c>
      <c r="L1444" s="8">
        <v>135</v>
      </c>
      <c r="M1444" s="8">
        <v>59</v>
      </c>
      <c r="N1444" s="8">
        <v>1.1200000000000001</v>
      </c>
      <c r="O1444" s="8">
        <v>1515</v>
      </c>
      <c r="P1444" s="8" t="s">
        <v>20</v>
      </c>
      <c r="Q1444" s="8" t="str">
        <f>_xlfn.IFS(AND(Table13[[#This Row],[Gender]]="female",R1444&lt;20),"Athletes",AND(Table13[[#This Row],[Gender]]="female",R1444&lt;24),"Fitnesss",AND(Table13[[#This Row],[Gender]]="female",R1444&lt;31),"Acceptable",AND(Table13[[#This Row],[Gender]]="female",R1444&lt;40),"Obese",AND(Table13[[#This Row],[Gender]]="male",R1444&lt;13),"Athletes",AND(Table13[[#This Row],[Gender]]="male",R1444&lt;17),"Fitnesss",AND(Table13[[#This Row],[Gender]]="male",R1444&lt;24.9),"Acceptable",AND(Table13[[#This Row],[Gender]]="male",R1444&lt;40),"Obese",AND(Table13[[#This Row],[Gender]]="others",R1444&lt;20),"Athletes",AND(Table13[[#This Row],[Gender]]="others",R1444&lt;24),"Fitnesss",AND(Table13[[#This Row],[Gender]]="others",R1444&lt;31),"Acceptable",AND(Table13[[#This Row],[Gender]]="others",R1444&lt;40),"Obese")</f>
        <v>Obese</v>
      </c>
      <c r="R1444" s="8">
        <v>25.9</v>
      </c>
      <c r="S1444" s="8">
        <v>3.2</v>
      </c>
      <c r="T1444" s="8">
        <v>3</v>
      </c>
      <c r="U1444" s="8">
        <v>2</v>
      </c>
      <c r="V1444" s="8" t="str">
        <f>IF(Table13[[#This Row],[BMI]]&lt;=18.5,"Underweight",IF(Table13[[#This Row],[BMI]]&lt;=24.9,"Normal",IF(Table13[[#This Row],[BMI]]&lt;=29.9,"Overweight",IF(Table13[[#This Row],[BMI]]&lt;=39,"Obese","Severly Obese"))))</f>
        <v>Underweight</v>
      </c>
      <c r="W1444" s="18">
        <v>16.46</v>
      </c>
    </row>
    <row r="1445" spans="6:23" x14ac:dyDescent="0.3">
      <c r="F1445" s="17">
        <v>59</v>
      </c>
      <c r="G1445" s="8" t="str">
        <f>IF(Table13[[#This Row],[Age]]&lt;25,"18-24",IF(Table13[[#This Row],[Age]]&lt;35,"25-34",IF(Table13[[#This Row],[Age]]&lt;45,"35-44",IF(Table13[[#This Row],[Age]]&lt;55,"45-54","55-64"))))</f>
        <v>55-64</v>
      </c>
      <c r="H1445" s="8" t="s">
        <v>19</v>
      </c>
      <c r="I1445" s="8">
        <v>108.3</v>
      </c>
      <c r="J1445" s="8">
        <v>1.53</v>
      </c>
      <c r="K1445" s="8">
        <v>183</v>
      </c>
      <c r="L1445" s="8">
        <v>122</v>
      </c>
      <c r="M1445" s="8">
        <v>50</v>
      </c>
      <c r="N1445" s="8">
        <v>0.86</v>
      </c>
      <c r="O1445" s="8">
        <v>1071</v>
      </c>
      <c r="P1445" s="8" t="s">
        <v>21</v>
      </c>
      <c r="Q1445" s="8" t="str">
        <f>_xlfn.IFS(AND(Table13[[#This Row],[Gender]]="female",R1445&lt;20),"Athletes",AND(Table13[[#This Row],[Gender]]="female",R1445&lt;24),"Fitnesss",AND(Table13[[#This Row],[Gender]]="female",R1445&lt;31),"Acceptable",AND(Table13[[#This Row],[Gender]]="female",R1445&lt;40),"Obese",AND(Table13[[#This Row],[Gender]]="male",R1445&lt;13),"Athletes",AND(Table13[[#This Row],[Gender]]="male",R1445&lt;17),"Fitnesss",AND(Table13[[#This Row],[Gender]]="male",R1445&lt;24.9),"Acceptable",AND(Table13[[#This Row],[Gender]]="male",R1445&lt;40),"Obese",AND(Table13[[#This Row],[Gender]]="others",R1445&lt;20),"Athletes",AND(Table13[[#This Row],[Gender]]="others",R1445&lt;24),"Fitnesss",AND(Table13[[#This Row],[Gender]]="others",R1445&lt;31),"Acceptable",AND(Table13[[#This Row],[Gender]]="others",R1445&lt;40),"Obese")</f>
        <v>Acceptable</v>
      </c>
      <c r="R1445" s="8">
        <v>21.9</v>
      </c>
      <c r="S1445" s="8">
        <v>3.3</v>
      </c>
      <c r="T1445" s="8">
        <v>3</v>
      </c>
      <c r="U1445" s="8">
        <v>1</v>
      </c>
      <c r="V1445" s="8" t="str">
        <f>IF(Table13[[#This Row],[BMI]]&lt;=18.5,"Underweight",IF(Table13[[#This Row],[BMI]]&lt;=24.9,"Normal",IF(Table13[[#This Row],[BMI]]&lt;=29.9,"Overweight",IF(Table13[[#This Row],[BMI]]&lt;=39,"Obese","Severly Obese"))))</f>
        <v>Underweight</v>
      </c>
      <c r="W1445" s="18">
        <v>17.75</v>
      </c>
    </row>
    <row r="1446" spans="6:23" x14ac:dyDescent="0.3">
      <c r="F1446" s="17">
        <v>22</v>
      </c>
      <c r="G1446" s="8" t="str">
        <f>IF(Table13[[#This Row],[Age]]&lt;25,"18-24",IF(Table13[[#This Row],[Age]]&lt;35,"25-34",IF(Table13[[#This Row],[Age]]&lt;45,"35-44",IF(Table13[[#This Row],[Age]]&lt;55,"45-54","55-64"))))</f>
        <v>18-24</v>
      </c>
      <c r="H1446" s="8" t="s">
        <v>17</v>
      </c>
      <c r="I1446" s="8">
        <v>71.5</v>
      </c>
      <c r="J1446" s="8">
        <v>1.81</v>
      </c>
      <c r="K1446" s="8">
        <v>195</v>
      </c>
      <c r="L1446" s="8">
        <v>164</v>
      </c>
      <c r="M1446" s="8">
        <v>51</v>
      </c>
      <c r="N1446" s="8">
        <v>1.52</v>
      </c>
      <c r="O1446" s="8">
        <v>935</v>
      </c>
      <c r="P1446" s="8" t="s">
        <v>22</v>
      </c>
      <c r="Q1446" s="8" t="str">
        <f>_xlfn.IFS(AND(Table13[[#This Row],[Gender]]="female",R1446&lt;20),"Athletes",AND(Table13[[#This Row],[Gender]]="female",R1446&lt;24),"Fitnesss",AND(Table13[[#This Row],[Gender]]="female",R1446&lt;31),"Acceptable",AND(Table13[[#This Row],[Gender]]="female",R1446&lt;40),"Obese",AND(Table13[[#This Row],[Gender]]="male",R1446&lt;13),"Athletes",AND(Table13[[#This Row],[Gender]]="male",R1446&lt;17),"Fitnesss",AND(Table13[[#This Row],[Gender]]="male",R1446&lt;24.9),"Acceptable",AND(Table13[[#This Row],[Gender]]="male",R1446&lt;40),"Obese",AND(Table13[[#This Row],[Gender]]="others",R1446&lt;20),"Athletes",AND(Table13[[#This Row],[Gender]]="others",R1446&lt;24),"Fitnesss",AND(Table13[[#This Row],[Gender]]="others",R1446&lt;31),"Acceptable",AND(Table13[[#This Row],[Gender]]="others",R1446&lt;40),"Obese")</f>
        <v>Fitnesss</v>
      </c>
      <c r="R1446" s="8">
        <v>22</v>
      </c>
      <c r="S1446" s="8">
        <v>2.6</v>
      </c>
      <c r="T1446" s="8">
        <v>3</v>
      </c>
      <c r="U1446" s="8">
        <v>2</v>
      </c>
      <c r="V1446" s="8" t="str">
        <f>IF(Table13[[#This Row],[BMI]]&lt;=18.5,"Underweight",IF(Table13[[#This Row],[BMI]]&lt;=24.9,"Normal",IF(Table13[[#This Row],[BMI]]&lt;=29.9,"Overweight",IF(Table13[[#This Row],[BMI]]&lt;=39,"Obese","Severly Obese"))))</f>
        <v>Underweight</v>
      </c>
      <c r="W1446" s="18">
        <v>14.55</v>
      </c>
    </row>
    <row r="1447" spans="6:23" x14ac:dyDescent="0.3">
      <c r="F1447" s="17">
        <v>18</v>
      </c>
      <c r="G1447" s="8" t="str">
        <f>IF(Table13[[#This Row],[Age]]&lt;25,"18-24",IF(Table13[[#This Row],[Age]]&lt;35,"25-34",IF(Table13[[#This Row],[Age]]&lt;45,"35-44",IF(Table13[[#This Row],[Age]]&lt;55,"45-54","55-64"))))</f>
        <v>18-24</v>
      </c>
      <c r="H1447" s="8" t="s">
        <v>19</v>
      </c>
      <c r="I1447" s="8">
        <v>89.4</v>
      </c>
      <c r="J1447" s="8">
        <v>1.84</v>
      </c>
      <c r="K1447" s="8">
        <v>168</v>
      </c>
      <c r="L1447" s="8">
        <v>168</v>
      </c>
      <c r="M1447" s="8">
        <v>69</v>
      </c>
      <c r="N1447" s="8">
        <v>2</v>
      </c>
      <c r="O1447" s="8">
        <v>968</v>
      </c>
      <c r="P1447" s="8" t="s">
        <v>18</v>
      </c>
      <c r="Q1447" s="8" t="str">
        <f>_xlfn.IFS(AND(Table13[[#This Row],[Gender]]="female",R1447&lt;20),"Athletes",AND(Table13[[#This Row],[Gender]]="female",R1447&lt;24),"Fitnesss",AND(Table13[[#This Row],[Gender]]="female",R1447&lt;31),"Acceptable",AND(Table13[[#This Row],[Gender]]="female",R1447&lt;40),"Obese",AND(Table13[[#This Row],[Gender]]="male",R1447&lt;13),"Athletes",AND(Table13[[#This Row],[Gender]]="male",R1447&lt;17),"Fitnesss",AND(Table13[[#This Row],[Gender]]="male",R1447&lt;24.9),"Acceptable",AND(Table13[[#This Row],[Gender]]="male",R1447&lt;40),"Obese",AND(Table13[[#This Row],[Gender]]="others",R1447&lt;20),"Athletes",AND(Table13[[#This Row],[Gender]]="others",R1447&lt;24),"Fitnesss",AND(Table13[[#This Row],[Gender]]="others",R1447&lt;31),"Acceptable",AND(Table13[[#This Row],[Gender]]="others",R1447&lt;40),"Obese")</f>
        <v>Acceptable</v>
      </c>
      <c r="R1447" s="8">
        <v>17.3</v>
      </c>
      <c r="S1447" s="8">
        <v>2.6</v>
      </c>
      <c r="T1447" s="8">
        <v>5</v>
      </c>
      <c r="U1447" s="8">
        <v>2</v>
      </c>
      <c r="V1447" s="8" t="str">
        <f>IF(Table13[[#This Row],[BMI]]&lt;=18.5,"Underweight",IF(Table13[[#This Row],[BMI]]&lt;=24.9,"Normal",IF(Table13[[#This Row],[BMI]]&lt;=29.9,"Overweight",IF(Table13[[#This Row],[BMI]]&lt;=39,"Obese","Severly Obese"))))</f>
        <v>Underweight</v>
      </c>
      <c r="W1447" s="18">
        <v>14.77</v>
      </c>
    </row>
    <row r="1448" spans="6:23" x14ac:dyDescent="0.3">
      <c r="F1448" s="17">
        <v>32</v>
      </c>
      <c r="G1448" s="8" t="str">
        <f>IF(Table13[[#This Row],[Age]]&lt;25,"18-24",IF(Table13[[#This Row],[Age]]&lt;35,"25-34",IF(Table13[[#This Row],[Age]]&lt;45,"35-44",IF(Table13[[#This Row],[Age]]&lt;55,"45-54","55-64"))))</f>
        <v>25-34</v>
      </c>
      <c r="H1448" s="8" t="s">
        <v>19</v>
      </c>
      <c r="I1448" s="8">
        <v>82.3</v>
      </c>
      <c r="J1448" s="8">
        <v>1.55</v>
      </c>
      <c r="K1448" s="8">
        <v>172</v>
      </c>
      <c r="L1448" s="8">
        <v>128</v>
      </c>
      <c r="M1448" s="8">
        <v>74</v>
      </c>
      <c r="N1448" s="8">
        <v>1.52</v>
      </c>
      <c r="O1448" s="8">
        <v>990</v>
      </c>
      <c r="P1448" s="8" t="s">
        <v>21</v>
      </c>
      <c r="Q1448" s="8" t="str">
        <f>_xlfn.IFS(AND(Table13[[#This Row],[Gender]]="female",R1448&lt;20),"Athletes",AND(Table13[[#This Row],[Gender]]="female",R1448&lt;24),"Fitnesss",AND(Table13[[#This Row],[Gender]]="female",R1448&lt;31),"Acceptable",AND(Table13[[#This Row],[Gender]]="female",R1448&lt;40),"Obese",AND(Table13[[#This Row],[Gender]]="male",R1448&lt;13),"Athletes",AND(Table13[[#This Row],[Gender]]="male",R1448&lt;17),"Fitnesss",AND(Table13[[#This Row],[Gender]]="male",R1448&lt;24.9),"Acceptable",AND(Table13[[#This Row],[Gender]]="male",R1448&lt;40),"Obese",AND(Table13[[#This Row],[Gender]]="others",R1448&lt;20),"Athletes",AND(Table13[[#This Row],[Gender]]="others",R1448&lt;24),"Fitnesss",AND(Table13[[#This Row],[Gender]]="others",R1448&lt;31),"Acceptable",AND(Table13[[#This Row],[Gender]]="others",R1448&lt;40),"Obese")</f>
        <v>Obese</v>
      </c>
      <c r="R1448" s="8">
        <v>26.7</v>
      </c>
      <c r="S1448" s="8">
        <v>2</v>
      </c>
      <c r="T1448" s="8">
        <v>3</v>
      </c>
      <c r="U1448" s="8">
        <v>1</v>
      </c>
      <c r="V1448" s="8" t="str">
        <f>IF(Table13[[#This Row],[BMI]]&lt;=18.5,"Underweight",IF(Table13[[#This Row],[BMI]]&lt;=24.9,"Normal",IF(Table13[[#This Row],[BMI]]&lt;=29.9,"Overweight",IF(Table13[[#This Row],[BMI]]&lt;=39,"Obese","Severly Obese"))))</f>
        <v>Normal</v>
      </c>
      <c r="W1448" s="18">
        <v>20.149999999999999</v>
      </c>
    </row>
    <row r="1449" spans="6:23" x14ac:dyDescent="0.3">
      <c r="F1449" s="17">
        <v>35</v>
      </c>
      <c r="G1449" s="8" t="str">
        <f>IF(Table13[[#This Row],[Age]]&lt;25,"18-24",IF(Table13[[#This Row],[Age]]&lt;35,"25-34",IF(Table13[[#This Row],[Age]]&lt;45,"35-44",IF(Table13[[#This Row],[Age]]&lt;55,"45-54","55-64"))))</f>
        <v>35-44</v>
      </c>
      <c r="H1449" s="8" t="s">
        <v>19</v>
      </c>
      <c r="I1449" s="8">
        <v>96.5</v>
      </c>
      <c r="J1449" s="8">
        <v>1.54</v>
      </c>
      <c r="K1449" s="8">
        <v>168</v>
      </c>
      <c r="L1449" s="8">
        <v>160</v>
      </c>
      <c r="M1449" s="8">
        <v>70</v>
      </c>
      <c r="N1449" s="8">
        <v>1.43</v>
      </c>
      <c r="O1449" s="8">
        <v>1573</v>
      </c>
      <c r="P1449" s="8" t="s">
        <v>22</v>
      </c>
      <c r="Q1449" s="8" t="str">
        <f>_xlfn.IFS(AND(Table13[[#This Row],[Gender]]="female",R1449&lt;20),"Athletes",AND(Table13[[#This Row],[Gender]]="female",R1449&lt;24),"Fitnesss",AND(Table13[[#This Row],[Gender]]="female",R1449&lt;31),"Acceptable",AND(Table13[[#This Row],[Gender]]="female",R1449&lt;40),"Obese",AND(Table13[[#This Row],[Gender]]="male",R1449&lt;13),"Athletes",AND(Table13[[#This Row],[Gender]]="male",R1449&lt;17),"Fitnesss",AND(Table13[[#This Row],[Gender]]="male",R1449&lt;24.9),"Acceptable",AND(Table13[[#This Row],[Gender]]="male",R1449&lt;40),"Obese",AND(Table13[[#This Row],[Gender]]="others",R1449&lt;20),"Athletes",AND(Table13[[#This Row],[Gender]]="others",R1449&lt;24),"Fitnesss",AND(Table13[[#This Row],[Gender]]="others",R1449&lt;31),"Acceptable",AND(Table13[[#This Row],[Gender]]="others",R1449&lt;40),"Obese")</f>
        <v>Obese</v>
      </c>
      <c r="R1449" s="8">
        <v>35</v>
      </c>
      <c r="S1449" s="8">
        <v>3.4</v>
      </c>
      <c r="T1449" s="8">
        <v>4</v>
      </c>
      <c r="U1449" s="8">
        <v>1</v>
      </c>
      <c r="V1449" s="8" t="str">
        <f>IF(Table13[[#This Row],[BMI]]&lt;=18.5,"Underweight",IF(Table13[[#This Row],[BMI]]&lt;=24.9,"Normal",IF(Table13[[#This Row],[BMI]]&lt;=29.9,"Overweight",IF(Table13[[#This Row],[BMI]]&lt;=39,"Obese","Severly Obese"))))</f>
        <v>Normal</v>
      </c>
      <c r="W1449" s="18">
        <v>20.43</v>
      </c>
    </row>
    <row r="1450" spans="6:23" x14ac:dyDescent="0.3">
      <c r="F1450" s="17">
        <v>44</v>
      </c>
      <c r="G1450" s="8" t="str">
        <f>IF(Table13[[#This Row],[Age]]&lt;25,"18-24",IF(Table13[[#This Row],[Age]]&lt;35,"25-34",IF(Table13[[#This Row],[Age]]&lt;45,"35-44",IF(Table13[[#This Row],[Age]]&lt;55,"45-54","55-64"))))</f>
        <v>35-44</v>
      </c>
      <c r="H1450" s="8" t="s">
        <v>19</v>
      </c>
      <c r="I1450" s="8">
        <v>40</v>
      </c>
      <c r="J1450" s="8">
        <v>1.91</v>
      </c>
      <c r="K1450" s="8">
        <v>181</v>
      </c>
      <c r="L1450" s="8">
        <v>124</v>
      </c>
      <c r="M1450" s="8">
        <v>71</v>
      </c>
      <c r="N1450" s="8">
        <v>1.55</v>
      </c>
      <c r="O1450" s="8">
        <v>1545</v>
      </c>
      <c r="P1450" s="8" t="s">
        <v>20</v>
      </c>
      <c r="Q1450" s="8" t="str">
        <f>_xlfn.IFS(AND(Table13[[#This Row],[Gender]]="female",R1450&lt;20),"Athletes",AND(Table13[[#This Row],[Gender]]="female",R1450&lt;24),"Fitnesss",AND(Table13[[#This Row],[Gender]]="female",R1450&lt;31),"Acceptable",AND(Table13[[#This Row],[Gender]]="female",R1450&lt;40),"Obese",AND(Table13[[#This Row],[Gender]]="male",R1450&lt;13),"Athletes",AND(Table13[[#This Row],[Gender]]="male",R1450&lt;17),"Fitnesss",AND(Table13[[#This Row],[Gender]]="male",R1450&lt;24.9),"Acceptable",AND(Table13[[#This Row],[Gender]]="male",R1450&lt;40),"Obese",AND(Table13[[#This Row],[Gender]]="others",R1450&lt;20),"Athletes",AND(Table13[[#This Row],[Gender]]="others",R1450&lt;24),"Fitnesss",AND(Table13[[#This Row],[Gender]]="others",R1450&lt;31),"Acceptable",AND(Table13[[#This Row],[Gender]]="others",R1450&lt;40),"Obese")</f>
        <v>Obese</v>
      </c>
      <c r="R1450" s="8">
        <v>26.5</v>
      </c>
      <c r="S1450" s="8">
        <v>3.4</v>
      </c>
      <c r="T1450" s="8">
        <v>3</v>
      </c>
      <c r="U1450" s="8">
        <v>1</v>
      </c>
      <c r="V1450" s="8" t="str">
        <f>IF(Table13[[#This Row],[BMI]]&lt;=18.5,"Underweight",IF(Table13[[#This Row],[BMI]]&lt;=24.9,"Normal",IF(Table13[[#This Row],[BMI]]&lt;=29.9,"Overweight",IF(Table13[[#This Row],[BMI]]&lt;=39,"Obese","Severly Obese"))))</f>
        <v>Obese</v>
      </c>
      <c r="W1450" s="18">
        <v>35.01</v>
      </c>
    </row>
    <row r="1451" spans="6:23" x14ac:dyDescent="0.3">
      <c r="F1451" s="17">
        <v>43</v>
      </c>
      <c r="G1451" s="8" t="str">
        <f>IF(Table13[[#This Row],[Age]]&lt;25,"18-24",IF(Table13[[#This Row],[Age]]&lt;35,"25-34",IF(Table13[[#This Row],[Age]]&lt;45,"35-44",IF(Table13[[#This Row],[Age]]&lt;55,"45-54","55-64"))))</f>
        <v>35-44</v>
      </c>
      <c r="H1451" s="8" t="s">
        <v>19</v>
      </c>
      <c r="I1451" s="8">
        <v>65.2</v>
      </c>
      <c r="J1451" s="8">
        <v>1.5</v>
      </c>
      <c r="K1451" s="8">
        <v>182</v>
      </c>
      <c r="L1451" s="8">
        <v>157</v>
      </c>
      <c r="M1451" s="8">
        <v>68</v>
      </c>
      <c r="N1451" s="8">
        <v>2</v>
      </c>
      <c r="O1451" s="8">
        <v>1417</v>
      </c>
      <c r="P1451" s="8" t="s">
        <v>22</v>
      </c>
      <c r="Q1451" s="8" t="str">
        <f>_xlfn.IFS(AND(Table13[[#This Row],[Gender]]="female",R1451&lt;20),"Athletes",AND(Table13[[#This Row],[Gender]]="female",R1451&lt;24),"Fitnesss",AND(Table13[[#This Row],[Gender]]="female",R1451&lt;31),"Acceptable",AND(Table13[[#This Row],[Gender]]="female",R1451&lt;40),"Obese",AND(Table13[[#This Row],[Gender]]="male",R1451&lt;13),"Athletes",AND(Table13[[#This Row],[Gender]]="male",R1451&lt;17),"Fitnesss",AND(Table13[[#This Row],[Gender]]="male",R1451&lt;24.9),"Acceptable",AND(Table13[[#This Row],[Gender]]="male",R1451&lt;40),"Obese",AND(Table13[[#This Row],[Gender]]="others",R1451&lt;20),"Athletes",AND(Table13[[#This Row],[Gender]]="others",R1451&lt;24),"Fitnesss",AND(Table13[[#This Row],[Gender]]="others",R1451&lt;31),"Acceptable",AND(Table13[[#This Row],[Gender]]="others",R1451&lt;40),"Obese")</f>
        <v>Obese</v>
      </c>
      <c r="R1451" s="8">
        <v>26.7</v>
      </c>
      <c r="S1451" s="8">
        <v>3.1</v>
      </c>
      <c r="T1451" s="8">
        <v>4</v>
      </c>
      <c r="U1451" s="8">
        <v>2</v>
      </c>
      <c r="V1451" s="8" t="str">
        <f>IF(Table13[[#This Row],[BMI]]&lt;=18.5,"Underweight",IF(Table13[[#This Row],[BMI]]&lt;=24.9,"Normal",IF(Table13[[#This Row],[BMI]]&lt;=29.9,"Overweight",IF(Table13[[#This Row],[BMI]]&lt;=39,"Obese","Severly Obese"))))</f>
        <v>Underweight</v>
      </c>
      <c r="W1451" s="18">
        <v>14.95</v>
      </c>
    </row>
    <row r="1452" spans="6:23" x14ac:dyDescent="0.3">
      <c r="F1452" s="17">
        <v>38</v>
      </c>
      <c r="G1452" s="8" t="str">
        <f>IF(Table13[[#This Row],[Age]]&lt;25,"18-24",IF(Table13[[#This Row],[Age]]&lt;35,"25-34",IF(Table13[[#This Row],[Age]]&lt;45,"35-44",IF(Table13[[#This Row],[Age]]&lt;55,"45-54","55-64"))))</f>
        <v>35-44</v>
      </c>
      <c r="H1452" s="8" t="s">
        <v>17</v>
      </c>
      <c r="I1452" s="8">
        <v>77.099999999999994</v>
      </c>
      <c r="J1452" s="8"/>
      <c r="K1452" s="8">
        <v>177</v>
      </c>
      <c r="L1452" s="8">
        <v>169</v>
      </c>
      <c r="M1452" s="8">
        <v>72</v>
      </c>
      <c r="N1452" s="8">
        <v>1.73</v>
      </c>
      <c r="O1452" s="8">
        <v>1538</v>
      </c>
      <c r="P1452" s="8" t="s">
        <v>20</v>
      </c>
      <c r="Q1452" s="8" t="str">
        <f>_xlfn.IFS(AND(Table13[[#This Row],[Gender]]="female",R1452&lt;20),"Athletes",AND(Table13[[#This Row],[Gender]]="female",R1452&lt;24),"Fitnesss",AND(Table13[[#This Row],[Gender]]="female",R1452&lt;31),"Acceptable",AND(Table13[[#This Row],[Gender]]="female",R1452&lt;40),"Obese",AND(Table13[[#This Row],[Gender]]="male",R1452&lt;13),"Athletes",AND(Table13[[#This Row],[Gender]]="male",R1452&lt;17),"Fitnesss",AND(Table13[[#This Row],[Gender]]="male",R1452&lt;24.9),"Acceptable",AND(Table13[[#This Row],[Gender]]="male",R1452&lt;40),"Obese",AND(Table13[[#This Row],[Gender]]="others",R1452&lt;20),"Athletes",AND(Table13[[#This Row],[Gender]]="others",R1452&lt;24),"Fitnesss",AND(Table13[[#This Row],[Gender]]="others",R1452&lt;31),"Acceptable",AND(Table13[[#This Row],[Gender]]="others",R1452&lt;40),"Obese")</f>
        <v>Acceptable</v>
      </c>
      <c r="R1452" s="8">
        <v>26.4</v>
      </c>
      <c r="S1452" s="8">
        <v>3.6</v>
      </c>
      <c r="T1452" s="8">
        <v>3</v>
      </c>
      <c r="U1452" s="8">
        <v>1</v>
      </c>
      <c r="V1452" s="8" t="str">
        <f>IF(Table13[[#This Row],[BMI]]&lt;=18.5,"Underweight",IF(Table13[[#This Row],[BMI]]&lt;=24.9,"Normal",IF(Table13[[#This Row],[BMI]]&lt;=29.9,"Overweight",IF(Table13[[#This Row],[BMI]]&lt;=39,"Obese","Severly Obese"))))</f>
        <v>Underweight</v>
      </c>
      <c r="W1452" s="18">
        <v>13.97</v>
      </c>
    </row>
    <row r="1453" spans="6:23" x14ac:dyDescent="0.3">
      <c r="F1453" s="17">
        <v>18</v>
      </c>
      <c r="G1453" s="8" t="str">
        <f>IF(Table13[[#This Row],[Age]]&lt;25,"18-24",IF(Table13[[#This Row],[Age]]&lt;35,"25-34",IF(Table13[[#This Row],[Age]]&lt;45,"35-44",IF(Table13[[#This Row],[Age]]&lt;55,"45-54","55-64"))))</f>
        <v>18-24</v>
      </c>
      <c r="H1453" s="8" t="s">
        <v>19</v>
      </c>
      <c r="I1453" s="8">
        <v>53.9</v>
      </c>
      <c r="J1453" s="8">
        <v>1.62</v>
      </c>
      <c r="K1453" s="8">
        <v>170</v>
      </c>
      <c r="L1453" s="8">
        <v>169</v>
      </c>
      <c r="M1453" s="8">
        <v>72</v>
      </c>
      <c r="N1453" s="8">
        <v>1.38</v>
      </c>
      <c r="O1453" s="8">
        <v>810</v>
      </c>
      <c r="P1453" s="8" t="s">
        <v>20</v>
      </c>
      <c r="Q1453" s="8" t="str">
        <f>_xlfn.IFS(AND(Table13[[#This Row],[Gender]]="female",R1453&lt;20),"Athletes",AND(Table13[[#This Row],[Gender]]="female",R1453&lt;24),"Fitnesss",AND(Table13[[#This Row],[Gender]]="female",R1453&lt;31),"Acceptable",AND(Table13[[#This Row],[Gender]]="female",R1453&lt;40),"Obese",AND(Table13[[#This Row],[Gender]]="male",R1453&lt;13),"Athletes",AND(Table13[[#This Row],[Gender]]="male",R1453&lt;17),"Fitnesss",AND(Table13[[#This Row],[Gender]]="male",R1453&lt;24.9),"Acceptable",AND(Table13[[#This Row],[Gender]]="male",R1453&lt;40),"Obese",AND(Table13[[#This Row],[Gender]]="others",R1453&lt;20),"Athletes",AND(Table13[[#This Row],[Gender]]="others",R1453&lt;24),"Fitnesss",AND(Table13[[#This Row],[Gender]]="others",R1453&lt;31),"Acceptable",AND(Table13[[#This Row],[Gender]]="others",R1453&lt;40),"Obese")</f>
        <v>Acceptable</v>
      </c>
      <c r="R1453" s="8">
        <v>24.7</v>
      </c>
      <c r="S1453" s="8">
        <v>3.4</v>
      </c>
      <c r="T1453" s="8">
        <v>3</v>
      </c>
      <c r="U1453" s="8">
        <v>1</v>
      </c>
      <c r="V1453" s="8" t="str">
        <f>IF(Table13[[#This Row],[BMI]]&lt;=18.5,"Underweight",IF(Table13[[#This Row],[BMI]]&lt;=24.9,"Normal",IF(Table13[[#This Row],[BMI]]&lt;=29.9,"Overweight",IF(Table13[[#This Row],[BMI]]&lt;=39,"Obese","Severly Obese"))))</f>
        <v>Overweight</v>
      </c>
      <c r="W1453" s="18">
        <v>29.34</v>
      </c>
    </row>
    <row r="1454" spans="6:23" x14ac:dyDescent="0.3">
      <c r="F1454" s="17">
        <v>42</v>
      </c>
      <c r="G1454" s="8" t="str">
        <f>IF(Table13[[#This Row],[Age]]&lt;25,"18-24",IF(Table13[[#This Row],[Age]]&lt;35,"25-34",IF(Table13[[#This Row],[Age]]&lt;45,"35-44",IF(Table13[[#This Row],[Age]]&lt;55,"45-54","55-64"))))</f>
        <v>35-44</v>
      </c>
      <c r="H1454" s="8" t="s">
        <v>19</v>
      </c>
      <c r="I1454" s="8"/>
      <c r="J1454" s="8">
        <v>1.87</v>
      </c>
      <c r="K1454" s="8">
        <v>176</v>
      </c>
      <c r="L1454" s="8">
        <v>127</v>
      </c>
      <c r="M1454" s="8">
        <v>74</v>
      </c>
      <c r="N1454" s="8">
        <v>1.82</v>
      </c>
      <c r="O1454" s="8">
        <v>693</v>
      </c>
      <c r="P1454" s="8" t="s">
        <v>22</v>
      </c>
      <c r="Q1454" s="8" t="str">
        <f>_xlfn.IFS(AND(Table13[[#This Row],[Gender]]="female",R1454&lt;20),"Athletes",AND(Table13[[#This Row],[Gender]]="female",R1454&lt;24),"Fitnesss",AND(Table13[[#This Row],[Gender]]="female",R1454&lt;31),"Acceptable",AND(Table13[[#This Row],[Gender]]="female",R1454&lt;40),"Obese",AND(Table13[[#This Row],[Gender]]="male",R1454&lt;13),"Athletes",AND(Table13[[#This Row],[Gender]]="male",R1454&lt;17),"Fitnesss",AND(Table13[[#This Row],[Gender]]="male",R1454&lt;24.9),"Acceptable",AND(Table13[[#This Row],[Gender]]="male",R1454&lt;40),"Obese",AND(Table13[[#This Row],[Gender]]="others",R1454&lt;20),"Athletes",AND(Table13[[#This Row],[Gender]]="others",R1454&lt;24),"Fitnesss",AND(Table13[[#This Row],[Gender]]="others",R1454&lt;31),"Acceptable",AND(Table13[[#This Row],[Gender]]="others",R1454&lt;40),"Obese")</f>
        <v>Athletes</v>
      </c>
      <c r="R1454" s="8">
        <v>10</v>
      </c>
      <c r="S1454" s="8">
        <v>2.1</v>
      </c>
      <c r="T1454" s="8">
        <v>4</v>
      </c>
      <c r="U1454" s="8">
        <v>1</v>
      </c>
      <c r="V1454" s="8" t="str">
        <f>IF(Table13[[#This Row],[BMI]]&lt;=18.5,"Underweight",IF(Table13[[#This Row],[BMI]]&lt;=24.9,"Normal",IF(Table13[[#This Row],[BMI]]&lt;=29.9,"Overweight",IF(Table13[[#This Row],[BMI]]&lt;=39,"Obese","Severly Obese"))))</f>
        <v>Normal</v>
      </c>
      <c r="W1454" s="18">
        <v>20.3</v>
      </c>
    </row>
    <row r="1455" spans="6:23" x14ac:dyDescent="0.3">
      <c r="F1455" s="17">
        <v>22</v>
      </c>
      <c r="G1455" s="8" t="str">
        <f>IF(Table13[[#This Row],[Age]]&lt;25,"18-24",IF(Table13[[#This Row],[Age]]&lt;35,"25-34",IF(Table13[[#This Row],[Age]]&lt;45,"35-44",IF(Table13[[#This Row],[Age]]&lt;55,"45-54","55-64"))))</f>
        <v>18-24</v>
      </c>
      <c r="H1455" s="8" t="s">
        <v>23</v>
      </c>
      <c r="I1455" s="8">
        <v>69.599999999999994</v>
      </c>
      <c r="J1455" s="8">
        <v>1.8</v>
      </c>
      <c r="K1455" s="8">
        <v>186</v>
      </c>
      <c r="L1455" s="8">
        <v>136</v>
      </c>
      <c r="M1455" s="8">
        <v>73</v>
      </c>
      <c r="N1455" s="8">
        <v>1.37</v>
      </c>
      <c r="O1455" s="8">
        <v>1081</v>
      </c>
      <c r="P1455" s="8" t="s">
        <v>20</v>
      </c>
      <c r="Q1455" s="8" t="str">
        <f>_xlfn.IFS(AND(Table13[[#This Row],[Gender]]="female",R1455&lt;20),"Athletes",AND(Table13[[#This Row],[Gender]]="female",R1455&lt;24),"Fitnesss",AND(Table13[[#This Row],[Gender]]="female",R1455&lt;31),"Acceptable",AND(Table13[[#This Row],[Gender]]="female",R1455&lt;40),"Obese",AND(Table13[[#This Row],[Gender]]="male",R1455&lt;13),"Athletes",AND(Table13[[#This Row],[Gender]]="male",R1455&lt;17),"Fitnesss",AND(Table13[[#This Row],[Gender]]="male",R1455&lt;24.9),"Acceptable",AND(Table13[[#This Row],[Gender]]="male",R1455&lt;40),"Obese",AND(Table13[[#This Row],[Gender]]="others",R1455&lt;20),"Athletes",AND(Table13[[#This Row],[Gender]]="others",R1455&lt;24),"Fitnesss",AND(Table13[[#This Row],[Gender]]="others",R1455&lt;31),"Acceptable",AND(Table13[[#This Row],[Gender]]="others",R1455&lt;40),"Obese")</f>
        <v>Acceptable</v>
      </c>
      <c r="R1455" s="8">
        <v>28.6</v>
      </c>
      <c r="S1455" s="8">
        <v>2</v>
      </c>
      <c r="T1455" s="8">
        <v>5</v>
      </c>
      <c r="U1455" s="8">
        <v>3</v>
      </c>
      <c r="V1455" s="8" t="str">
        <f>IF(Table13[[#This Row],[BMI]]&lt;=18.5,"Underweight",IF(Table13[[#This Row],[BMI]]&lt;=24.9,"Normal",IF(Table13[[#This Row],[BMI]]&lt;=29.9,"Overweight",IF(Table13[[#This Row],[BMI]]&lt;=39,"Obese","Severly Obese"))))</f>
        <v>Normal</v>
      </c>
      <c r="W1455" s="18">
        <v>21.14</v>
      </c>
    </row>
    <row r="1456" spans="6:23" x14ac:dyDescent="0.3">
      <c r="F1456" s="17">
        <v>18</v>
      </c>
      <c r="G1456" s="8" t="str">
        <f>IF(Table13[[#This Row],[Age]]&lt;25,"18-24",IF(Table13[[#This Row],[Age]]&lt;35,"25-34",IF(Table13[[#This Row],[Age]]&lt;45,"35-44",IF(Table13[[#This Row],[Age]]&lt;55,"45-54","55-64"))))</f>
        <v>18-24</v>
      </c>
      <c r="H1456" s="8" t="s">
        <v>23</v>
      </c>
      <c r="I1456" s="8">
        <v>62.9</v>
      </c>
      <c r="J1456" s="8">
        <v>1.72</v>
      </c>
      <c r="K1456" s="8">
        <v>191</v>
      </c>
      <c r="L1456" s="8">
        <v>157</v>
      </c>
      <c r="M1456" s="8">
        <v>63</v>
      </c>
      <c r="N1456" s="8">
        <v>1.31</v>
      </c>
      <c r="O1456" s="8">
        <v>514</v>
      </c>
      <c r="P1456" s="8" t="s">
        <v>18</v>
      </c>
      <c r="Q1456" s="8" t="str">
        <f>_xlfn.IFS(AND(Table13[[#This Row],[Gender]]="female",R1456&lt;20),"Athletes",AND(Table13[[#This Row],[Gender]]="female",R1456&lt;24),"Fitnesss",AND(Table13[[#This Row],[Gender]]="female",R1456&lt;31),"Acceptable",AND(Table13[[#This Row],[Gender]]="female",R1456&lt;40),"Obese",AND(Table13[[#This Row],[Gender]]="male",R1456&lt;13),"Athletes",AND(Table13[[#This Row],[Gender]]="male",R1456&lt;17),"Fitnesss",AND(Table13[[#This Row],[Gender]]="male",R1456&lt;24.9),"Acceptable",AND(Table13[[#This Row],[Gender]]="male",R1456&lt;40),"Obese",AND(Table13[[#This Row],[Gender]]="others",R1456&lt;20),"Athletes",AND(Table13[[#This Row],[Gender]]="others",R1456&lt;24),"Fitnesss",AND(Table13[[#This Row],[Gender]]="others",R1456&lt;31),"Acceptable",AND(Table13[[#This Row],[Gender]]="others",R1456&lt;40),"Obese")</f>
        <v>Acceptable</v>
      </c>
      <c r="R1456" s="8">
        <v>26.3</v>
      </c>
      <c r="S1456" s="8">
        <v>2.2000000000000002</v>
      </c>
      <c r="T1456" s="8">
        <v>3</v>
      </c>
      <c r="U1456" s="8">
        <v>2</v>
      </c>
      <c r="V1456" s="8" t="str">
        <f>IF(Table13[[#This Row],[BMI]]&lt;=18.5,"Underweight",IF(Table13[[#This Row],[BMI]]&lt;=24.9,"Normal",IF(Table13[[#This Row],[BMI]]&lt;=29.9,"Overweight",IF(Table13[[#This Row],[BMI]]&lt;=39,"Obese","Severly Obese"))))</f>
        <v>Underweight</v>
      </c>
      <c r="W1456" s="18">
        <v>12.32</v>
      </c>
    </row>
    <row r="1457" spans="6:23" x14ac:dyDescent="0.3">
      <c r="F1457" s="17">
        <v>18</v>
      </c>
      <c r="G1457" s="8" t="str">
        <f>IF(Table13[[#This Row],[Age]]&lt;25,"18-24",IF(Table13[[#This Row],[Age]]&lt;35,"25-34",IF(Table13[[#This Row],[Age]]&lt;45,"35-44",IF(Table13[[#This Row],[Age]]&lt;55,"45-54","55-64"))))</f>
        <v>18-24</v>
      </c>
      <c r="H1457" s="8" t="s">
        <v>23</v>
      </c>
      <c r="I1457" s="8">
        <v>69.099999999999994</v>
      </c>
      <c r="J1457" s="8">
        <v>1.64</v>
      </c>
      <c r="K1457" s="8">
        <v>183</v>
      </c>
      <c r="L1457" s="8">
        <v>139</v>
      </c>
      <c r="M1457" s="8">
        <v>73</v>
      </c>
      <c r="N1457" s="8">
        <v>1.32</v>
      </c>
      <c r="O1457" s="8">
        <v>1002</v>
      </c>
      <c r="P1457" s="8" t="s">
        <v>23</v>
      </c>
      <c r="Q1457" s="8" t="str">
        <f>_xlfn.IFS(AND(Table13[[#This Row],[Gender]]="female",R1457&lt;20),"Athletes",AND(Table13[[#This Row],[Gender]]="female",R1457&lt;24),"Fitnesss",AND(Table13[[#This Row],[Gender]]="female",R1457&lt;31),"Acceptable",AND(Table13[[#This Row],[Gender]]="female",R1457&lt;40),"Obese",AND(Table13[[#This Row],[Gender]]="male",R1457&lt;13),"Athletes",AND(Table13[[#This Row],[Gender]]="male",R1457&lt;17),"Fitnesss",AND(Table13[[#This Row],[Gender]]="male",R1457&lt;24.9),"Acceptable",AND(Table13[[#This Row],[Gender]]="male",R1457&lt;40),"Obese",AND(Table13[[#This Row],[Gender]]="others",R1457&lt;20),"Athletes",AND(Table13[[#This Row],[Gender]]="others",R1457&lt;24),"Fitnesss",AND(Table13[[#This Row],[Gender]]="others",R1457&lt;31),"Acceptable",AND(Table13[[#This Row],[Gender]]="others",R1457&lt;40),"Obese")</f>
        <v>Acceptable</v>
      </c>
      <c r="R1457" s="8">
        <v>26</v>
      </c>
      <c r="S1457" s="8">
        <v>1.5</v>
      </c>
      <c r="T1457" s="8">
        <v>5</v>
      </c>
      <c r="U1457" s="8">
        <v>1</v>
      </c>
      <c r="V1457" s="8" t="str">
        <f>IF(Table13[[#This Row],[BMI]]&lt;=18.5,"Underweight",IF(Table13[[#This Row],[BMI]]&lt;=24.9,"Normal",IF(Table13[[#This Row],[BMI]]&lt;=29.9,"Overweight",IF(Table13[[#This Row],[BMI]]&lt;=39,"Obese","Severly Obese"))))</f>
        <v>Underweight</v>
      </c>
      <c r="W1457" s="18">
        <v>16.27</v>
      </c>
    </row>
    <row r="1458" spans="6:23" x14ac:dyDescent="0.3">
      <c r="F1458" s="17">
        <v>37</v>
      </c>
      <c r="G1458" s="8" t="str">
        <f>IF(Table13[[#This Row],[Age]]&lt;25,"18-24",IF(Table13[[#This Row],[Age]]&lt;35,"25-34",IF(Table13[[#This Row],[Age]]&lt;45,"35-44",IF(Table13[[#This Row],[Age]]&lt;55,"45-54","55-64"))))</f>
        <v>35-44</v>
      </c>
      <c r="H1458" s="8" t="s">
        <v>17</v>
      </c>
      <c r="I1458" s="8">
        <v>61.3</v>
      </c>
      <c r="J1458" s="8">
        <v>1.96</v>
      </c>
      <c r="K1458" s="8">
        <v>193</v>
      </c>
      <c r="L1458" s="8">
        <v>169</v>
      </c>
      <c r="M1458" s="8">
        <v>65</v>
      </c>
      <c r="N1458" s="8">
        <v>2</v>
      </c>
      <c r="O1458" s="8">
        <v>947</v>
      </c>
      <c r="P1458" s="8" t="s">
        <v>22</v>
      </c>
      <c r="Q1458" s="8" t="str">
        <f>_xlfn.IFS(AND(Table13[[#This Row],[Gender]]="female",R1458&lt;20),"Athletes",AND(Table13[[#This Row],[Gender]]="female",R1458&lt;24),"Fitnesss",AND(Table13[[#This Row],[Gender]]="female",R1458&lt;31),"Acceptable",AND(Table13[[#This Row],[Gender]]="female",R1458&lt;40),"Obese",AND(Table13[[#This Row],[Gender]]="male",R1458&lt;13),"Athletes",AND(Table13[[#This Row],[Gender]]="male",R1458&lt;17),"Fitnesss",AND(Table13[[#This Row],[Gender]]="male",R1458&lt;24.9),"Acceptable",AND(Table13[[#This Row],[Gender]]="male",R1458&lt;40),"Obese",AND(Table13[[#This Row],[Gender]]="others",R1458&lt;20),"Athletes",AND(Table13[[#This Row],[Gender]]="others",R1458&lt;24),"Fitnesss",AND(Table13[[#This Row],[Gender]]="others",R1458&lt;31),"Acceptable",AND(Table13[[#This Row],[Gender]]="others",R1458&lt;40),"Obese")</f>
        <v>Obese</v>
      </c>
      <c r="R1458" s="8">
        <v>31.1</v>
      </c>
      <c r="S1458" s="8">
        <v>3.5</v>
      </c>
      <c r="T1458" s="8">
        <v>5</v>
      </c>
      <c r="U1458" s="8">
        <v>1</v>
      </c>
      <c r="V1458" s="8" t="str">
        <f>IF(Table13[[#This Row],[BMI]]&lt;=18.5,"Underweight",IF(Table13[[#This Row],[BMI]]&lt;=24.9,"Normal",IF(Table13[[#This Row],[BMI]]&lt;=29.9,"Overweight",IF(Table13[[#This Row],[BMI]]&lt;=39,"Obese","Severly Obese"))))</f>
        <v>Normal</v>
      </c>
      <c r="W1458" s="18">
        <v>24.18</v>
      </c>
    </row>
    <row r="1459" spans="6:23" x14ac:dyDescent="0.3">
      <c r="F1459" s="17">
        <v>37</v>
      </c>
      <c r="G1459" s="8" t="str">
        <f>IF(Table13[[#This Row],[Age]]&lt;25,"18-24",IF(Table13[[#This Row],[Age]]&lt;35,"25-34",IF(Table13[[#This Row],[Age]]&lt;45,"35-44",IF(Table13[[#This Row],[Age]]&lt;55,"45-54","55-64"))))</f>
        <v>35-44</v>
      </c>
      <c r="H1459" s="8" t="s">
        <v>17</v>
      </c>
      <c r="I1459" s="8">
        <v>78.5</v>
      </c>
      <c r="J1459" s="8">
        <v>1.5</v>
      </c>
      <c r="K1459" s="8">
        <v>189</v>
      </c>
      <c r="L1459" s="8">
        <v>169</v>
      </c>
      <c r="M1459" s="8">
        <v>60</v>
      </c>
      <c r="N1459" s="8">
        <v>1.67</v>
      </c>
      <c r="O1459" s="8">
        <v>954</v>
      </c>
      <c r="P1459" s="8" t="s">
        <v>21</v>
      </c>
      <c r="Q1459" s="8" t="str">
        <f>_xlfn.IFS(AND(Table13[[#This Row],[Gender]]="female",R1459&lt;20),"Athletes",AND(Table13[[#This Row],[Gender]]="female",R1459&lt;24),"Fitnesss",AND(Table13[[#This Row],[Gender]]="female",R1459&lt;31),"Acceptable",AND(Table13[[#This Row],[Gender]]="female",R1459&lt;40),"Obese",AND(Table13[[#This Row],[Gender]]="male",R1459&lt;13),"Athletes",AND(Table13[[#This Row],[Gender]]="male",R1459&lt;17),"Fitnesss",AND(Table13[[#This Row],[Gender]]="male",R1459&lt;24.9),"Acceptable",AND(Table13[[#This Row],[Gender]]="male",R1459&lt;40),"Obese",AND(Table13[[#This Row],[Gender]]="others",R1459&lt;20),"Athletes",AND(Table13[[#This Row],[Gender]]="others",R1459&lt;24),"Fitnesss",AND(Table13[[#This Row],[Gender]]="others",R1459&lt;31),"Acceptable",AND(Table13[[#This Row],[Gender]]="others",R1459&lt;40),"Obese")</f>
        <v>Athletes</v>
      </c>
      <c r="R1459" s="8">
        <v>17.899999999999999</v>
      </c>
      <c r="S1459" s="8">
        <v>2.4</v>
      </c>
      <c r="T1459" s="8">
        <v>3</v>
      </c>
      <c r="U1459" s="8">
        <v>3</v>
      </c>
      <c r="V1459" s="8" t="str">
        <f>IF(Table13[[#This Row],[BMI]]&lt;=18.5,"Underweight",IF(Table13[[#This Row],[BMI]]&lt;=24.9,"Normal",IF(Table13[[#This Row],[BMI]]&lt;=29.9,"Overweight",IF(Table13[[#This Row],[BMI]]&lt;=39,"Obese","Severly Obese"))))</f>
        <v>Normal</v>
      </c>
      <c r="W1459" s="18">
        <v>21.98</v>
      </c>
    </row>
    <row r="1460" spans="6:23" x14ac:dyDescent="0.3">
      <c r="F1460" s="17">
        <v>41</v>
      </c>
      <c r="G1460" s="8" t="str">
        <f>IF(Table13[[#This Row],[Age]]&lt;25,"18-24",IF(Table13[[#This Row],[Age]]&lt;35,"25-34",IF(Table13[[#This Row],[Age]]&lt;45,"35-44",IF(Table13[[#This Row],[Age]]&lt;55,"45-54","55-64"))))</f>
        <v>35-44</v>
      </c>
      <c r="H1460" s="8" t="s">
        <v>17</v>
      </c>
      <c r="I1460" s="8">
        <v>40</v>
      </c>
      <c r="J1460" s="8">
        <v>1.78</v>
      </c>
      <c r="K1460" s="8">
        <v>182</v>
      </c>
      <c r="L1460" s="8">
        <v>155</v>
      </c>
      <c r="M1460" s="8">
        <v>68</v>
      </c>
      <c r="N1460" s="8">
        <v>1.51</v>
      </c>
      <c r="O1460" s="8">
        <v>1376</v>
      </c>
      <c r="P1460" s="8" t="s">
        <v>21</v>
      </c>
      <c r="Q1460" s="8" t="str">
        <f>_xlfn.IFS(AND(Table13[[#This Row],[Gender]]="female",R1460&lt;20),"Athletes",AND(Table13[[#This Row],[Gender]]="female",R1460&lt;24),"Fitnesss",AND(Table13[[#This Row],[Gender]]="female",R1460&lt;31),"Acceptable",AND(Table13[[#This Row],[Gender]]="female",R1460&lt;40),"Obese",AND(Table13[[#This Row],[Gender]]="male",R1460&lt;13),"Athletes",AND(Table13[[#This Row],[Gender]]="male",R1460&lt;17),"Fitnesss",AND(Table13[[#This Row],[Gender]]="male",R1460&lt;24.9),"Acceptable",AND(Table13[[#This Row],[Gender]]="male",R1460&lt;40),"Obese",AND(Table13[[#This Row],[Gender]]="others",R1460&lt;20),"Athletes",AND(Table13[[#This Row],[Gender]]="others",R1460&lt;24),"Fitnesss",AND(Table13[[#This Row],[Gender]]="others",R1460&lt;31),"Acceptable",AND(Table13[[#This Row],[Gender]]="others",R1460&lt;40),"Obese")</f>
        <v>Acceptable</v>
      </c>
      <c r="R1460" s="8">
        <v>29.8</v>
      </c>
      <c r="S1460" s="8">
        <v>2.1</v>
      </c>
      <c r="T1460" s="8">
        <v>2</v>
      </c>
      <c r="U1460" s="8">
        <v>3</v>
      </c>
      <c r="V1460" s="8" t="str">
        <f>IF(Table13[[#This Row],[BMI]]&lt;=18.5,"Underweight",IF(Table13[[#This Row],[BMI]]&lt;=24.9,"Normal",IF(Table13[[#This Row],[BMI]]&lt;=29.9,"Overweight",IF(Table13[[#This Row],[BMI]]&lt;=39,"Obese","Severly Obese"))))</f>
        <v>Underweight</v>
      </c>
      <c r="W1460" s="18">
        <v>12.32</v>
      </c>
    </row>
    <row r="1461" spans="6:23" x14ac:dyDescent="0.3">
      <c r="F1461" s="17">
        <v>18</v>
      </c>
      <c r="G1461" s="8" t="str">
        <f>IF(Table13[[#This Row],[Age]]&lt;25,"18-24",IF(Table13[[#This Row],[Age]]&lt;35,"25-34",IF(Table13[[#This Row],[Age]]&lt;45,"35-44",IF(Table13[[#This Row],[Age]]&lt;55,"45-54","55-64"))))</f>
        <v>18-24</v>
      </c>
      <c r="H1461" s="8" t="s">
        <v>19</v>
      </c>
      <c r="I1461" s="8">
        <v>49.9</v>
      </c>
      <c r="J1461" s="8">
        <v>1.75</v>
      </c>
      <c r="K1461" s="8">
        <v>182</v>
      </c>
      <c r="L1461" s="8">
        <v>158</v>
      </c>
      <c r="M1461" s="8">
        <v>74</v>
      </c>
      <c r="N1461" s="8">
        <v>2</v>
      </c>
      <c r="O1461" s="8">
        <v>1032</v>
      </c>
      <c r="P1461" s="8" t="s">
        <v>18</v>
      </c>
      <c r="Q1461" s="8" t="str">
        <f>_xlfn.IFS(AND(Table13[[#This Row],[Gender]]="female",R1461&lt;20),"Athletes",AND(Table13[[#This Row],[Gender]]="female",R1461&lt;24),"Fitnesss",AND(Table13[[#This Row],[Gender]]="female",R1461&lt;31),"Acceptable",AND(Table13[[#This Row],[Gender]]="female",R1461&lt;40),"Obese",AND(Table13[[#This Row],[Gender]]="male",R1461&lt;13),"Athletes",AND(Table13[[#This Row],[Gender]]="male",R1461&lt;17),"Fitnesss",AND(Table13[[#This Row],[Gender]]="male",R1461&lt;24.9),"Acceptable",AND(Table13[[#This Row],[Gender]]="male",R1461&lt;40),"Obese",AND(Table13[[#This Row],[Gender]]="others",R1461&lt;20),"Athletes",AND(Table13[[#This Row],[Gender]]="others",R1461&lt;24),"Fitnesss",AND(Table13[[#This Row],[Gender]]="others",R1461&lt;31),"Acceptable",AND(Table13[[#This Row],[Gender]]="others",R1461&lt;40),"Obese")</f>
        <v>Acceptable</v>
      </c>
      <c r="R1461" s="8">
        <v>23.1</v>
      </c>
      <c r="S1461" s="8">
        <v>3.1</v>
      </c>
      <c r="T1461" s="8">
        <v>5</v>
      </c>
      <c r="U1461" s="8">
        <v>1</v>
      </c>
      <c r="V1461" s="8" t="str">
        <f>IF(Table13[[#This Row],[BMI]]&lt;=18.5,"Underweight",IF(Table13[[#This Row],[BMI]]&lt;=24.9,"Normal",IF(Table13[[#This Row],[BMI]]&lt;=29.9,"Overweight",IF(Table13[[#This Row],[BMI]]&lt;=39,"Obese","Severly Obese"))))</f>
        <v>Underweight</v>
      </c>
      <c r="W1461" s="18">
        <v>17.64</v>
      </c>
    </row>
    <row r="1462" spans="6:23" x14ac:dyDescent="0.3">
      <c r="F1462" s="17">
        <v>46</v>
      </c>
      <c r="G1462" s="8" t="str">
        <f>IF(Table13[[#This Row],[Age]]&lt;25,"18-24",IF(Table13[[#This Row],[Age]]&lt;35,"25-34",IF(Table13[[#This Row],[Age]]&lt;45,"35-44",IF(Table13[[#This Row],[Age]]&lt;55,"45-54","55-64"))))</f>
        <v>45-54</v>
      </c>
      <c r="H1462" s="8" t="s">
        <v>17</v>
      </c>
      <c r="I1462" s="8">
        <v>69.900000000000006</v>
      </c>
      <c r="J1462" s="8">
        <v>1.68</v>
      </c>
      <c r="K1462" s="8">
        <v>173</v>
      </c>
      <c r="L1462" s="8">
        <v>168</v>
      </c>
      <c r="M1462" s="8">
        <v>64</v>
      </c>
      <c r="N1462" s="8">
        <v>1.43</v>
      </c>
      <c r="O1462" s="8">
        <v>911</v>
      </c>
      <c r="P1462" s="8" t="s">
        <v>18</v>
      </c>
      <c r="Q1462" s="8" t="str">
        <f>_xlfn.IFS(AND(Table13[[#This Row],[Gender]]="female",R1462&lt;20),"Athletes",AND(Table13[[#This Row],[Gender]]="female",R1462&lt;24),"Fitnesss",AND(Table13[[#This Row],[Gender]]="female",R1462&lt;31),"Acceptable",AND(Table13[[#This Row],[Gender]]="female",R1462&lt;40),"Obese",AND(Table13[[#This Row],[Gender]]="male",R1462&lt;13),"Athletes",AND(Table13[[#This Row],[Gender]]="male",R1462&lt;17),"Fitnesss",AND(Table13[[#This Row],[Gender]]="male",R1462&lt;24.9),"Acceptable",AND(Table13[[#This Row],[Gender]]="male",R1462&lt;40),"Obese",AND(Table13[[#This Row],[Gender]]="others",R1462&lt;20),"Athletes",AND(Table13[[#This Row],[Gender]]="others",R1462&lt;24),"Fitnesss",AND(Table13[[#This Row],[Gender]]="others",R1462&lt;31),"Acceptable",AND(Table13[[#This Row],[Gender]]="others",R1462&lt;40),"Obese")</f>
        <v>Obese</v>
      </c>
      <c r="R1462" s="8">
        <v>35</v>
      </c>
      <c r="S1462" s="8">
        <v>3.4</v>
      </c>
      <c r="T1462" s="8">
        <v>3</v>
      </c>
      <c r="U1462" s="8">
        <v>2</v>
      </c>
      <c r="V1462" s="8" t="str">
        <f>IF(Table13[[#This Row],[BMI]]&lt;=18.5,"Underweight",IF(Table13[[#This Row],[BMI]]&lt;=24.9,"Normal",IF(Table13[[#This Row],[BMI]]&lt;=29.9,"Overweight",IF(Table13[[#This Row],[BMI]]&lt;=39,"Obese","Severly Obese"))))</f>
        <v>Normal</v>
      </c>
      <c r="W1462" s="18">
        <v>18.95</v>
      </c>
    </row>
    <row r="1463" spans="6:23" x14ac:dyDescent="0.3">
      <c r="F1463" s="17">
        <v>24</v>
      </c>
      <c r="G1463" s="8" t="str">
        <f>IF(Table13[[#This Row],[Age]]&lt;25,"18-24",IF(Table13[[#This Row],[Age]]&lt;35,"25-34",IF(Table13[[#This Row],[Age]]&lt;45,"35-44",IF(Table13[[#This Row],[Age]]&lt;55,"45-54","55-64"))))</f>
        <v>18-24</v>
      </c>
      <c r="H1463" s="8" t="s">
        <v>19</v>
      </c>
      <c r="I1463" s="8">
        <v>62.5</v>
      </c>
      <c r="J1463" s="8">
        <v>1.58</v>
      </c>
      <c r="K1463" s="8">
        <v>175</v>
      </c>
      <c r="L1463" s="8">
        <v>137</v>
      </c>
      <c r="M1463" s="8">
        <v>51</v>
      </c>
      <c r="N1463" s="8">
        <v>2</v>
      </c>
      <c r="O1463" s="8">
        <v>1231</v>
      </c>
      <c r="P1463" s="8" t="s">
        <v>18</v>
      </c>
      <c r="Q1463" s="8" t="str">
        <f>_xlfn.IFS(AND(Table13[[#This Row],[Gender]]="female",R1463&lt;20),"Athletes",AND(Table13[[#This Row],[Gender]]="female",R1463&lt;24),"Fitnesss",AND(Table13[[#This Row],[Gender]]="female",R1463&lt;31),"Acceptable",AND(Table13[[#This Row],[Gender]]="female",R1463&lt;40),"Obese",AND(Table13[[#This Row],[Gender]]="male",R1463&lt;13),"Athletes",AND(Table13[[#This Row],[Gender]]="male",R1463&lt;17),"Fitnesss",AND(Table13[[#This Row],[Gender]]="male",R1463&lt;24.9),"Acceptable",AND(Table13[[#This Row],[Gender]]="male",R1463&lt;40),"Obese",AND(Table13[[#This Row],[Gender]]="others",R1463&lt;20),"Athletes",AND(Table13[[#This Row],[Gender]]="others",R1463&lt;24),"Fitnesss",AND(Table13[[#This Row],[Gender]]="others",R1463&lt;31),"Acceptable",AND(Table13[[#This Row],[Gender]]="others",R1463&lt;40),"Obese")</f>
        <v>Obese</v>
      </c>
      <c r="R1463" s="8">
        <v>32.200000000000003</v>
      </c>
      <c r="S1463" s="8">
        <v>3.6</v>
      </c>
      <c r="T1463" s="8">
        <v>4</v>
      </c>
      <c r="U1463" s="8">
        <v>1</v>
      </c>
      <c r="V1463" s="8" t="str">
        <f>IF(Table13[[#This Row],[BMI]]&lt;=18.5,"Underweight",IF(Table13[[#This Row],[BMI]]&lt;=24.9,"Normal",IF(Table13[[#This Row],[BMI]]&lt;=29.9,"Overweight",IF(Table13[[#This Row],[BMI]]&lt;=39,"Obese","Severly Obese"))))</f>
        <v>Obese</v>
      </c>
      <c r="W1463" s="18">
        <v>36.26</v>
      </c>
    </row>
    <row r="1464" spans="6:23" x14ac:dyDescent="0.3">
      <c r="F1464" s="17">
        <v>22</v>
      </c>
      <c r="G1464" s="8" t="str">
        <f>IF(Table13[[#This Row],[Age]]&lt;25,"18-24",IF(Table13[[#This Row],[Age]]&lt;35,"25-34",IF(Table13[[#This Row],[Age]]&lt;45,"35-44",IF(Table13[[#This Row],[Age]]&lt;55,"45-54","55-64"))))</f>
        <v>18-24</v>
      </c>
      <c r="H1464" s="8" t="s">
        <v>19</v>
      </c>
      <c r="I1464" s="8">
        <v>40</v>
      </c>
      <c r="J1464" s="8">
        <v>1.67</v>
      </c>
      <c r="K1464" s="8">
        <v>162</v>
      </c>
      <c r="L1464" s="8">
        <v>146</v>
      </c>
      <c r="M1464" s="8">
        <v>59</v>
      </c>
      <c r="N1464" s="8">
        <v>1.04</v>
      </c>
      <c r="O1464" s="8">
        <v>807</v>
      </c>
      <c r="P1464" s="8" t="s">
        <v>18</v>
      </c>
      <c r="Q1464" s="8" t="str">
        <f>_xlfn.IFS(AND(Table13[[#This Row],[Gender]]="female",R1464&lt;20),"Athletes",AND(Table13[[#This Row],[Gender]]="female",R1464&lt;24),"Fitnesss",AND(Table13[[#This Row],[Gender]]="female",R1464&lt;31),"Acceptable",AND(Table13[[#This Row],[Gender]]="female",R1464&lt;40),"Obese",AND(Table13[[#This Row],[Gender]]="male",R1464&lt;13),"Athletes",AND(Table13[[#This Row],[Gender]]="male",R1464&lt;17),"Fitnesss",AND(Table13[[#This Row],[Gender]]="male",R1464&lt;24.9),"Acceptable",AND(Table13[[#This Row],[Gender]]="male",R1464&lt;40),"Obese",AND(Table13[[#This Row],[Gender]]="others",R1464&lt;20),"Athletes",AND(Table13[[#This Row],[Gender]]="others",R1464&lt;24),"Fitnesss",AND(Table13[[#This Row],[Gender]]="others",R1464&lt;31),"Acceptable",AND(Table13[[#This Row],[Gender]]="others",R1464&lt;40),"Obese")</f>
        <v>Acceptable</v>
      </c>
      <c r="R1464" s="8">
        <v>24.1</v>
      </c>
      <c r="S1464" s="8">
        <v>1.5</v>
      </c>
      <c r="T1464" s="8">
        <v>3</v>
      </c>
      <c r="U1464" s="8">
        <v>1</v>
      </c>
      <c r="V1464" s="8" t="str">
        <f>IF(Table13[[#This Row],[BMI]]&lt;=18.5,"Underweight",IF(Table13[[#This Row],[BMI]]&lt;=24.9,"Normal",IF(Table13[[#This Row],[BMI]]&lt;=29.9,"Overweight",IF(Table13[[#This Row],[BMI]]&lt;=39,"Obese","Severly Obese"))))</f>
        <v>Underweight</v>
      </c>
      <c r="W1464" s="18">
        <v>13.05</v>
      </c>
    </row>
    <row r="1465" spans="6:23" x14ac:dyDescent="0.3">
      <c r="F1465" s="17">
        <v>53</v>
      </c>
      <c r="G1465" s="8" t="str">
        <f>IF(Table13[[#This Row],[Age]]&lt;25,"18-24",IF(Table13[[#This Row],[Age]]&lt;35,"25-34",IF(Table13[[#This Row],[Age]]&lt;45,"35-44",IF(Table13[[#This Row],[Age]]&lt;55,"45-54","55-64"))))</f>
        <v>45-54</v>
      </c>
      <c r="H1465" s="8" t="s">
        <v>17</v>
      </c>
      <c r="I1465" s="8">
        <v>46.8</v>
      </c>
      <c r="J1465" s="8">
        <v>1.69</v>
      </c>
      <c r="K1465" s="8">
        <v>163</v>
      </c>
      <c r="L1465" s="8">
        <v>169</v>
      </c>
      <c r="M1465" s="8">
        <v>56</v>
      </c>
      <c r="N1465" s="8">
        <v>1.32</v>
      </c>
      <c r="O1465" s="8">
        <v>1017</v>
      </c>
      <c r="P1465" s="8" t="s">
        <v>21</v>
      </c>
      <c r="Q1465" s="8" t="str">
        <f>_xlfn.IFS(AND(Table13[[#This Row],[Gender]]="female",R1465&lt;20),"Athletes",AND(Table13[[#This Row],[Gender]]="female",R1465&lt;24),"Fitnesss",AND(Table13[[#This Row],[Gender]]="female",R1465&lt;31),"Acceptable",AND(Table13[[#This Row],[Gender]]="female",R1465&lt;40),"Obese",AND(Table13[[#This Row],[Gender]]="male",R1465&lt;13),"Athletes",AND(Table13[[#This Row],[Gender]]="male",R1465&lt;17),"Fitnesss",AND(Table13[[#This Row],[Gender]]="male",R1465&lt;24.9),"Acceptable",AND(Table13[[#This Row],[Gender]]="male",R1465&lt;40),"Obese",AND(Table13[[#This Row],[Gender]]="others",R1465&lt;20),"Athletes",AND(Table13[[#This Row],[Gender]]="others",R1465&lt;24),"Fitnesss",AND(Table13[[#This Row],[Gender]]="others",R1465&lt;31),"Acceptable",AND(Table13[[#This Row],[Gender]]="others",R1465&lt;40),"Obese")</f>
        <v>Acceptable</v>
      </c>
      <c r="R1465" s="8">
        <v>27.6</v>
      </c>
      <c r="S1465" s="8">
        <v>2.4</v>
      </c>
      <c r="T1465" s="8">
        <v>4</v>
      </c>
      <c r="U1465" s="8">
        <v>2</v>
      </c>
      <c r="V1465" s="8" t="str">
        <f>IF(Table13[[#This Row],[BMI]]&lt;=18.5,"Underweight",IF(Table13[[#This Row],[BMI]]&lt;=24.9,"Normal",IF(Table13[[#This Row],[BMI]]&lt;=29.9,"Overweight",IF(Table13[[#This Row],[BMI]]&lt;=39,"Obese","Severly Obese"))))</f>
        <v>Overweight</v>
      </c>
      <c r="W1465" s="18">
        <v>29.04</v>
      </c>
    </row>
    <row r="1466" spans="6:23" x14ac:dyDescent="0.3">
      <c r="F1466" s="17">
        <v>44</v>
      </c>
      <c r="G1466" s="8" t="str">
        <f>IF(Table13[[#This Row],[Age]]&lt;25,"18-24",IF(Table13[[#This Row],[Age]]&lt;35,"25-34",IF(Table13[[#This Row],[Age]]&lt;45,"35-44",IF(Table13[[#This Row],[Age]]&lt;55,"45-54","55-64"))))</f>
        <v>35-44</v>
      </c>
      <c r="H1466" s="8" t="s">
        <v>17</v>
      </c>
      <c r="I1466" s="8">
        <v>75.2</v>
      </c>
      <c r="J1466" s="8">
        <v>1.9</v>
      </c>
      <c r="K1466" s="8">
        <v>185</v>
      </c>
      <c r="L1466" s="8">
        <v>131</v>
      </c>
      <c r="M1466" s="8">
        <v>65</v>
      </c>
      <c r="N1466" s="8">
        <v>0.94</v>
      </c>
      <c r="O1466" s="8">
        <v>1303</v>
      </c>
      <c r="P1466" s="8" t="s">
        <v>20</v>
      </c>
      <c r="Q1466" s="8" t="str">
        <f>_xlfn.IFS(AND(Table13[[#This Row],[Gender]]="female",R1466&lt;20),"Athletes",AND(Table13[[#This Row],[Gender]]="female",R1466&lt;24),"Fitnesss",AND(Table13[[#This Row],[Gender]]="female",R1466&lt;31),"Acceptable",AND(Table13[[#This Row],[Gender]]="female",R1466&lt;40),"Obese",AND(Table13[[#This Row],[Gender]]="male",R1466&lt;13),"Athletes",AND(Table13[[#This Row],[Gender]]="male",R1466&lt;17),"Fitnesss",AND(Table13[[#This Row],[Gender]]="male",R1466&lt;24.9),"Acceptable",AND(Table13[[#This Row],[Gender]]="male",R1466&lt;40),"Obese",AND(Table13[[#This Row],[Gender]]="others",R1466&lt;20),"Athletes",AND(Table13[[#This Row],[Gender]]="others",R1466&lt;24),"Fitnesss",AND(Table13[[#This Row],[Gender]]="others",R1466&lt;31),"Acceptable",AND(Table13[[#This Row],[Gender]]="others",R1466&lt;40),"Obese")</f>
        <v>Athletes</v>
      </c>
      <c r="R1466" s="8">
        <v>18</v>
      </c>
      <c r="S1466" s="8">
        <v>3.4</v>
      </c>
      <c r="T1466" s="8">
        <v>3</v>
      </c>
      <c r="U1466" s="8">
        <v>2</v>
      </c>
      <c r="V1466" s="8" t="str">
        <f>IF(Table13[[#This Row],[BMI]]&lt;=18.5,"Underweight",IF(Table13[[#This Row],[BMI]]&lt;=24.9,"Normal",IF(Table13[[#This Row],[BMI]]&lt;=29.9,"Overweight",IF(Table13[[#This Row],[BMI]]&lt;=39,"Obese","Severly Obese"))))</f>
        <v>Underweight</v>
      </c>
      <c r="W1466" s="18"/>
    </row>
    <row r="1467" spans="6:23" x14ac:dyDescent="0.3">
      <c r="F1467" s="17">
        <v>43</v>
      </c>
      <c r="G1467" s="8" t="str">
        <f>IF(Table13[[#This Row],[Age]]&lt;25,"18-24",IF(Table13[[#This Row],[Age]]&lt;35,"25-34",IF(Table13[[#This Row],[Age]]&lt;45,"35-44",IF(Table13[[#This Row],[Age]]&lt;55,"45-54","55-64"))))</f>
        <v>35-44</v>
      </c>
      <c r="H1467" s="8" t="s">
        <v>19</v>
      </c>
      <c r="I1467" s="8">
        <v>70.099999999999994</v>
      </c>
      <c r="J1467" s="8">
        <v>1.72</v>
      </c>
      <c r="K1467" s="8">
        <v>187</v>
      </c>
      <c r="L1467" s="8">
        <v>129</v>
      </c>
      <c r="M1467" s="8">
        <v>54</v>
      </c>
      <c r="N1467" s="8">
        <v>1.43</v>
      </c>
      <c r="O1467" s="8">
        <v>984</v>
      </c>
      <c r="P1467" s="8" t="s">
        <v>21</v>
      </c>
      <c r="Q1467" s="8" t="str">
        <f>_xlfn.IFS(AND(Table13[[#This Row],[Gender]]="female",R1467&lt;20),"Athletes",AND(Table13[[#This Row],[Gender]]="female",R1467&lt;24),"Fitnesss",AND(Table13[[#This Row],[Gender]]="female",R1467&lt;31),"Acceptable",AND(Table13[[#This Row],[Gender]]="female",R1467&lt;40),"Obese",AND(Table13[[#This Row],[Gender]]="male",R1467&lt;13),"Athletes",AND(Table13[[#This Row],[Gender]]="male",R1467&lt;17),"Fitnesss",AND(Table13[[#This Row],[Gender]]="male",R1467&lt;24.9),"Acceptable",AND(Table13[[#This Row],[Gender]]="male",R1467&lt;40),"Obese",AND(Table13[[#This Row],[Gender]]="others",R1467&lt;20),"Athletes",AND(Table13[[#This Row],[Gender]]="others",R1467&lt;24),"Fitnesss",AND(Table13[[#This Row],[Gender]]="others",R1467&lt;31),"Acceptable",AND(Table13[[#This Row],[Gender]]="others",R1467&lt;40),"Obese")</f>
        <v>Obese</v>
      </c>
      <c r="R1467" s="8">
        <v>25</v>
      </c>
      <c r="S1467" s="8">
        <v>1.6</v>
      </c>
      <c r="T1467" s="8">
        <v>3</v>
      </c>
      <c r="U1467" s="8">
        <v>1</v>
      </c>
      <c r="V1467" s="8" t="str">
        <f>IF(Table13[[#This Row],[BMI]]&lt;=18.5,"Underweight",IF(Table13[[#This Row],[BMI]]&lt;=24.9,"Normal",IF(Table13[[#This Row],[BMI]]&lt;=29.9,"Overweight",IF(Table13[[#This Row],[BMI]]&lt;=39,"Obese","Severly Obese"))))</f>
        <v>Overweight</v>
      </c>
      <c r="W1467" s="18">
        <v>25.52</v>
      </c>
    </row>
    <row r="1468" spans="6:23" x14ac:dyDescent="0.3">
      <c r="F1468" s="17">
        <v>18</v>
      </c>
      <c r="G1468" s="8" t="str">
        <f>IF(Table13[[#This Row],[Age]]&lt;25,"18-24",IF(Table13[[#This Row],[Age]]&lt;35,"25-34",IF(Table13[[#This Row],[Age]]&lt;45,"35-44",IF(Table13[[#This Row],[Age]]&lt;55,"45-54","55-64"))))</f>
        <v>18-24</v>
      </c>
      <c r="H1468" s="8" t="s">
        <v>19</v>
      </c>
      <c r="I1468" s="8">
        <v>40</v>
      </c>
      <c r="J1468" s="8">
        <v>1.7</v>
      </c>
      <c r="K1468" s="8">
        <v>190</v>
      </c>
      <c r="L1468" s="8">
        <v>120</v>
      </c>
      <c r="M1468" s="8">
        <v>64</v>
      </c>
      <c r="N1468" s="8">
        <v>1.33</v>
      </c>
      <c r="O1468" s="8">
        <v>1589</v>
      </c>
      <c r="P1468" s="8" t="s">
        <v>22</v>
      </c>
      <c r="Q1468" s="8" t="str">
        <f>_xlfn.IFS(AND(Table13[[#This Row],[Gender]]="female",R1468&lt;20),"Athletes",AND(Table13[[#This Row],[Gender]]="female",R1468&lt;24),"Fitnesss",AND(Table13[[#This Row],[Gender]]="female",R1468&lt;31),"Acceptable",AND(Table13[[#This Row],[Gender]]="female",R1468&lt;40),"Obese",AND(Table13[[#This Row],[Gender]]="male",R1468&lt;13),"Athletes",AND(Table13[[#This Row],[Gender]]="male",R1468&lt;17),"Fitnesss",AND(Table13[[#This Row],[Gender]]="male",R1468&lt;24.9),"Acceptable",AND(Table13[[#This Row],[Gender]]="male",R1468&lt;40),"Obese",AND(Table13[[#This Row],[Gender]]="others",R1468&lt;20),"Athletes",AND(Table13[[#This Row],[Gender]]="others",R1468&lt;24),"Fitnesss",AND(Table13[[#This Row],[Gender]]="others",R1468&lt;31),"Acceptable",AND(Table13[[#This Row],[Gender]]="others",R1468&lt;40),"Obese")</f>
        <v>Obese</v>
      </c>
      <c r="R1468" s="8">
        <v>26.8</v>
      </c>
      <c r="S1468" s="8">
        <v>3.1</v>
      </c>
      <c r="T1468" s="8">
        <v>2</v>
      </c>
      <c r="U1468" s="8">
        <v>1</v>
      </c>
      <c r="V1468" s="8" t="str">
        <f>IF(Table13[[#This Row],[BMI]]&lt;=18.5,"Underweight",IF(Table13[[#This Row],[BMI]]&lt;=24.9,"Normal",IF(Table13[[#This Row],[BMI]]&lt;=29.9,"Overweight",IF(Table13[[#This Row],[BMI]]&lt;=39,"Obese","Severly Obese"))))</f>
        <v>Normal</v>
      </c>
      <c r="W1468" s="18">
        <v>18.760000000000002</v>
      </c>
    </row>
    <row r="1469" spans="6:23" x14ac:dyDescent="0.3">
      <c r="F1469" s="17">
        <v>59</v>
      </c>
      <c r="G1469" s="8" t="str">
        <f>IF(Table13[[#This Row],[Age]]&lt;25,"18-24",IF(Table13[[#This Row],[Age]]&lt;35,"25-34",IF(Table13[[#This Row],[Age]]&lt;45,"35-44",IF(Table13[[#This Row],[Age]]&lt;55,"45-54","55-64"))))</f>
        <v>55-64</v>
      </c>
      <c r="H1469" s="8" t="s">
        <v>17</v>
      </c>
      <c r="I1469" s="8">
        <v>73.599999999999994</v>
      </c>
      <c r="J1469" s="8">
        <v>1.6</v>
      </c>
      <c r="K1469" s="8">
        <v>164</v>
      </c>
      <c r="L1469" s="8">
        <v>158</v>
      </c>
      <c r="M1469" s="8">
        <v>58</v>
      </c>
      <c r="N1469" s="8">
        <v>1.35</v>
      </c>
      <c r="O1469" s="8">
        <v>1216</v>
      </c>
      <c r="P1469" s="8" t="s">
        <v>18</v>
      </c>
      <c r="Q1469" s="8" t="str">
        <f>_xlfn.IFS(AND(Table13[[#This Row],[Gender]]="female",R1469&lt;20),"Athletes",AND(Table13[[#This Row],[Gender]]="female",R1469&lt;24),"Fitnesss",AND(Table13[[#This Row],[Gender]]="female",R1469&lt;31),"Acceptable",AND(Table13[[#This Row],[Gender]]="female",R1469&lt;40),"Obese",AND(Table13[[#This Row],[Gender]]="male",R1469&lt;13),"Athletes",AND(Table13[[#This Row],[Gender]]="male",R1469&lt;17),"Fitnesss",AND(Table13[[#This Row],[Gender]]="male",R1469&lt;24.9),"Acceptable",AND(Table13[[#This Row],[Gender]]="male",R1469&lt;40),"Obese",AND(Table13[[#This Row],[Gender]]="others",R1469&lt;20),"Athletes",AND(Table13[[#This Row],[Gender]]="others",R1469&lt;24),"Fitnesss",AND(Table13[[#This Row],[Gender]]="others",R1469&lt;31),"Acceptable",AND(Table13[[#This Row],[Gender]]="others",R1469&lt;40),"Obese")</f>
        <v>Acceptable</v>
      </c>
      <c r="R1469" s="8">
        <v>30</v>
      </c>
      <c r="S1469" s="8">
        <v>2.2999999999999998</v>
      </c>
      <c r="T1469" s="8">
        <v>5</v>
      </c>
      <c r="U1469" s="8">
        <v>2</v>
      </c>
      <c r="V1469" s="8" t="str">
        <f>IF(Table13[[#This Row],[BMI]]&lt;=18.5,"Underweight",IF(Table13[[#This Row],[BMI]]&lt;=24.9,"Normal",IF(Table13[[#This Row],[BMI]]&lt;=29.9,"Overweight",IF(Table13[[#This Row],[BMI]]&lt;=39,"Obese","Severly Obese"))))</f>
        <v>Underweight</v>
      </c>
      <c r="W1469" s="18">
        <v>15.78</v>
      </c>
    </row>
    <row r="1470" spans="6:23" x14ac:dyDescent="0.3">
      <c r="F1470" s="17">
        <v>18</v>
      </c>
      <c r="G1470" s="8" t="str">
        <f>IF(Table13[[#This Row],[Age]]&lt;25,"18-24",IF(Table13[[#This Row],[Age]]&lt;35,"25-34",IF(Table13[[#This Row],[Age]]&lt;45,"35-44",IF(Table13[[#This Row],[Age]]&lt;55,"45-54","55-64"))))</f>
        <v>18-24</v>
      </c>
      <c r="H1470" s="8" t="s">
        <v>19</v>
      </c>
      <c r="I1470" s="8">
        <v>40</v>
      </c>
      <c r="J1470" s="8">
        <v>1.65</v>
      </c>
      <c r="K1470" s="8">
        <v>160</v>
      </c>
      <c r="L1470" s="8">
        <v>144</v>
      </c>
      <c r="M1470" s="8">
        <v>73</v>
      </c>
      <c r="N1470" s="8">
        <v>2</v>
      </c>
      <c r="O1470" s="8">
        <v>1078</v>
      </c>
      <c r="P1470" s="8" t="s">
        <v>22</v>
      </c>
      <c r="Q1470" s="8" t="str">
        <f>_xlfn.IFS(AND(Table13[[#This Row],[Gender]]="female",R1470&lt;20),"Athletes",AND(Table13[[#This Row],[Gender]]="female",R1470&lt;24),"Fitnesss",AND(Table13[[#This Row],[Gender]]="female",R1470&lt;31),"Acceptable",AND(Table13[[#This Row],[Gender]]="female",R1470&lt;40),"Obese",AND(Table13[[#This Row],[Gender]]="male",R1470&lt;13),"Athletes",AND(Table13[[#This Row],[Gender]]="male",R1470&lt;17),"Fitnesss",AND(Table13[[#This Row],[Gender]]="male",R1470&lt;24.9),"Acceptable",AND(Table13[[#This Row],[Gender]]="male",R1470&lt;40),"Obese",AND(Table13[[#This Row],[Gender]]="others",R1470&lt;20),"Athletes",AND(Table13[[#This Row],[Gender]]="others",R1470&lt;24),"Fitnesss",AND(Table13[[#This Row],[Gender]]="others",R1470&lt;31),"Acceptable",AND(Table13[[#This Row],[Gender]]="others",R1470&lt;40),"Obese")</f>
        <v>Acceptable</v>
      </c>
      <c r="R1470" s="8">
        <v>17.399999999999999</v>
      </c>
      <c r="S1470" s="8">
        <v>3.5</v>
      </c>
      <c r="T1470" s="8">
        <v>2</v>
      </c>
      <c r="U1470" s="8">
        <v>1</v>
      </c>
      <c r="V1470" s="8" t="str">
        <f>IF(Table13[[#This Row],[BMI]]&lt;=18.5,"Underweight",IF(Table13[[#This Row],[BMI]]&lt;=24.9,"Normal",IF(Table13[[#This Row],[BMI]]&lt;=29.9,"Overweight",IF(Table13[[#This Row],[BMI]]&lt;=39,"Obese","Severly Obese"))))</f>
        <v>Normal</v>
      </c>
      <c r="W1470" s="18">
        <v>21.36</v>
      </c>
    </row>
    <row r="1471" spans="6:23" x14ac:dyDescent="0.3">
      <c r="F1471" s="17">
        <v>43</v>
      </c>
      <c r="G1471" s="8" t="str">
        <f>IF(Table13[[#This Row],[Age]]&lt;25,"18-24",IF(Table13[[#This Row],[Age]]&lt;35,"25-34",IF(Table13[[#This Row],[Age]]&lt;45,"35-44",IF(Table13[[#This Row],[Age]]&lt;55,"45-54","55-64"))))</f>
        <v>35-44</v>
      </c>
      <c r="H1471" s="8" t="s">
        <v>19</v>
      </c>
      <c r="I1471" s="8">
        <v>72.599999999999994</v>
      </c>
      <c r="J1471" s="8">
        <v>1.64</v>
      </c>
      <c r="K1471" s="8">
        <v>166</v>
      </c>
      <c r="L1471" s="8">
        <v>152</v>
      </c>
      <c r="M1471" s="8">
        <v>54</v>
      </c>
      <c r="N1471" s="8">
        <v>1.22</v>
      </c>
      <c r="O1471" s="8">
        <v>1188</v>
      </c>
      <c r="P1471" s="8" t="s">
        <v>20</v>
      </c>
      <c r="Q1471" s="8" t="str">
        <f>_xlfn.IFS(AND(Table13[[#This Row],[Gender]]="female",R1471&lt;20),"Athletes",AND(Table13[[#This Row],[Gender]]="female",R1471&lt;24),"Fitnesss",AND(Table13[[#This Row],[Gender]]="female",R1471&lt;31),"Acceptable",AND(Table13[[#This Row],[Gender]]="female",R1471&lt;40),"Obese",AND(Table13[[#This Row],[Gender]]="male",R1471&lt;13),"Athletes",AND(Table13[[#This Row],[Gender]]="male",R1471&lt;17),"Fitnesss",AND(Table13[[#This Row],[Gender]]="male",R1471&lt;24.9),"Acceptable",AND(Table13[[#This Row],[Gender]]="male",R1471&lt;40),"Obese",AND(Table13[[#This Row],[Gender]]="others",R1471&lt;20),"Athletes",AND(Table13[[#This Row],[Gender]]="others",R1471&lt;24),"Fitnesss",AND(Table13[[#This Row],[Gender]]="others",R1471&lt;31),"Acceptable",AND(Table13[[#This Row],[Gender]]="others",R1471&lt;40),"Obese")</f>
        <v>Acceptable</v>
      </c>
      <c r="R1471" s="8">
        <v>21.3</v>
      </c>
      <c r="S1471" s="8">
        <v>2.5</v>
      </c>
      <c r="T1471" s="8">
        <v>2</v>
      </c>
      <c r="U1471" s="8">
        <v>2</v>
      </c>
      <c r="V1471" s="8" t="str">
        <f>IF(Table13[[#This Row],[BMI]]&lt;=18.5,"Underweight",IF(Table13[[#This Row],[BMI]]&lt;=24.9,"Normal",IF(Table13[[#This Row],[BMI]]&lt;=29.9,"Overweight",IF(Table13[[#This Row],[BMI]]&lt;=39,"Obese","Severly Obese"))))</f>
        <v>Underweight</v>
      </c>
      <c r="W1471" s="18">
        <v>12.97</v>
      </c>
    </row>
    <row r="1472" spans="6:23" x14ac:dyDescent="0.3">
      <c r="F1472" s="17">
        <v>36</v>
      </c>
      <c r="G1472" s="8" t="str">
        <f>IF(Table13[[#This Row],[Age]]&lt;25,"18-24",IF(Table13[[#This Row],[Age]]&lt;35,"25-34",IF(Table13[[#This Row],[Age]]&lt;45,"35-44",IF(Table13[[#This Row],[Age]]&lt;55,"45-54","55-64"))))</f>
        <v>35-44</v>
      </c>
      <c r="H1472" s="8" t="s">
        <v>19</v>
      </c>
      <c r="I1472" s="8">
        <v>87.6</v>
      </c>
      <c r="J1472" s="8">
        <v>1.81</v>
      </c>
      <c r="K1472" s="8">
        <v>179</v>
      </c>
      <c r="L1472" s="8">
        <v>140</v>
      </c>
      <c r="M1472" s="8">
        <v>56</v>
      </c>
      <c r="N1472" s="8">
        <v>0.9</v>
      </c>
      <c r="O1472" s="8">
        <v>645</v>
      </c>
      <c r="P1472" s="8" t="s">
        <v>21</v>
      </c>
      <c r="Q1472" s="8" t="str">
        <f>_xlfn.IFS(AND(Table13[[#This Row],[Gender]]="female",R1472&lt;20),"Athletes",AND(Table13[[#This Row],[Gender]]="female",R1472&lt;24),"Fitnesss",AND(Table13[[#This Row],[Gender]]="female",R1472&lt;31),"Acceptable",AND(Table13[[#This Row],[Gender]]="female",R1472&lt;40),"Obese",AND(Table13[[#This Row],[Gender]]="male",R1472&lt;13),"Athletes",AND(Table13[[#This Row],[Gender]]="male",R1472&lt;17),"Fitnesss",AND(Table13[[#This Row],[Gender]]="male",R1472&lt;24.9),"Acceptable",AND(Table13[[#This Row],[Gender]]="male",R1472&lt;40),"Obese",AND(Table13[[#This Row],[Gender]]="others",R1472&lt;20),"Athletes",AND(Table13[[#This Row],[Gender]]="others",R1472&lt;24),"Fitnesss",AND(Table13[[#This Row],[Gender]]="others",R1472&lt;31),"Acceptable",AND(Table13[[#This Row],[Gender]]="others",R1472&lt;40),"Obese")</f>
        <v>Acceptable</v>
      </c>
      <c r="R1472" s="8">
        <v>22.1</v>
      </c>
      <c r="S1472" s="8">
        <v>3.6</v>
      </c>
      <c r="T1472" s="8">
        <v>2</v>
      </c>
      <c r="U1472" s="8">
        <v>1</v>
      </c>
      <c r="V1472" s="8" t="str">
        <f>IF(Table13[[#This Row],[BMI]]&lt;=18.5,"Underweight",IF(Table13[[#This Row],[BMI]]&lt;=24.9,"Normal",IF(Table13[[#This Row],[BMI]]&lt;=29.9,"Overweight",IF(Table13[[#This Row],[BMI]]&lt;=39,"Obese","Severly Obese"))))</f>
        <v>Underweight</v>
      </c>
      <c r="W1472" s="18">
        <v>18.22</v>
      </c>
    </row>
    <row r="1473" spans="6:23" x14ac:dyDescent="0.3">
      <c r="F1473" s="17">
        <v>26</v>
      </c>
      <c r="G1473" s="8" t="str">
        <f>IF(Table13[[#This Row],[Age]]&lt;25,"18-24",IF(Table13[[#This Row],[Age]]&lt;35,"25-34",IF(Table13[[#This Row],[Age]]&lt;45,"35-44",IF(Table13[[#This Row],[Age]]&lt;55,"45-54","55-64"))))</f>
        <v>25-34</v>
      </c>
      <c r="H1473" s="8" t="s">
        <v>17</v>
      </c>
      <c r="I1473" s="8">
        <v>110.3</v>
      </c>
      <c r="J1473" s="8">
        <v>1.94</v>
      </c>
      <c r="K1473" s="8">
        <v>171</v>
      </c>
      <c r="L1473" s="8"/>
      <c r="M1473" s="8">
        <v>51</v>
      </c>
      <c r="N1473" s="8">
        <v>1.25</v>
      </c>
      <c r="O1473" s="8">
        <v>1376</v>
      </c>
      <c r="P1473" s="8" t="s">
        <v>21</v>
      </c>
      <c r="Q1473" s="8" t="str">
        <f>_xlfn.IFS(AND(Table13[[#This Row],[Gender]]="female",R1473&lt;20),"Athletes",AND(Table13[[#This Row],[Gender]]="female",R1473&lt;24),"Fitnesss",AND(Table13[[#This Row],[Gender]]="female",R1473&lt;31),"Acceptable",AND(Table13[[#This Row],[Gender]]="female",R1473&lt;40),"Obese",AND(Table13[[#This Row],[Gender]]="male",R1473&lt;13),"Athletes",AND(Table13[[#This Row],[Gender]]="male",R1473&lt;17),"Fitnesss",AND(Table13[[#This Row],[Gender]]="male",R1473&lt;24.9),"Acceptable",AND(Table13[[#This Row],[Gender]]="male",R1473&lt;40),"Obese",AND(Table13[[#This Row],[Gender]]="others",R1473&lt;20),"Athletes",AND(Table13[[#This Row],[Gender]]="others",R1473&lt;24),"Fitnesss",AND(Table13[[#This Row],[Gender]]="others",R1473&lt;31),"Acceptable",AND(Table13[[#This Row],[Gender]]="others",R1473&lt;40),"Obese")</f>
        <v>Acceptable</v>
      </c>
      <c r="R1473" s="8">
        <v>30</v>
      </c>
      <c r="S1473" s="8">
        <v>3.7</v>
      </c>
      <c r="T1473" s="8">
        <v>3</v>
      </c>
      <c r="U1473" s="8">
        <v>1</v>
      </c>
      <c r="V1473" s="8" t="str">
        <f>IF(Table13[[#This Row],[BMI]]&lt;=18.5,"Underweight",IF(Table13[[#This Row],[BMI]]&lt;=24.9,"Normal",IF(Table13[[#This Row],[BMI]]&lt;=29.9,"Overweight",IF(Table13[[#This Row],[BMI]]&lt;=39,"Obese","Severly Obese"))))</f>
        <v>Underweight</v>
      </c>
      <c r="W1473" s="18">
        <v>12.32</v>
      </c>
    </row>
    <row r="1474" spans="6:23" x14ac:dyDescent="0.3">
      <c r="F1474" s="17">
        <v>18</v>
      </c>
      <c r="G1474" s="8" t="str">
        <f>IF(Table13[[#This Row],[Age]]&lt;25,"18-24",IF(Table13[[#This Row],[Age]]&lt;35,"25-34",IF(Table13[[#This Row],[Age]]&lt;45,"35-44",IF(Table13[[#This Row],[Age]]&lt;55,"45-54","55-64"))))</f>
        <v>18-24</v>
      </c>
      <c r="H1474" s="8" t="s">
        <v>17</v>
      </c>
      <c r="I1474" s="8">
        <v>79</v>
      </c>
      <c r="J1474" s="8">
        <v>1.68</v>
      </c>
      <c r="K1474" s="8">
        <v>195</v>
      </c>
      <c r="L1474" s="8">
        <v>158</v>
      </c>
      <c r="M1474" s="8">
        <v>61</v>
      </c>
      <c r="N1474" s="8">
        <v>2</v>
      </c>
      <c r="O1474" s="8">
        <v>1410</v>
      </c>
      <c r="P1474" s="8" t="s">
        <v>18</v>
      </c>
      <c r="Q1474" s="8" t="str">
        <f>_xlfn.IFS(AND(Table13[[#This Row],[Gender]]="female",R1474&lt;20),"Athletes",AND(Table13[[#This Row],[Gender]]="female",R1474&lt;24),"Fitnesss",AND(Table13[[#This Row],[Gender]]="female",R1474&lt;31),"Acceptable",AND(Table13[[#This Row],[Gender]]="female",R1474&lt;40),"Obese",AND(Table13[[#This Row],[Gender]]="male",R1474&lt;13),"Athletes",AND(Table13[[#This Row],[Gender]]="male",R1474&lt;17),"Fitnesss",AND(Table13[[#This Row],[Gender]]="male",R1474&lt;24.9),"Acceptable",AND(Table13[[#This Row],[Gender]]="male",R1474&lt;40),"Obese",AND(Table13[[#This Row],[Gender]]="others",R1474&lt;20),"Athletes",AND(Table13[[#This Row],[Gender]]="others",R1474&lt;24),"Fitnesss",AND(Table13[[#This Row],[Gender]]="others",R1474&lt;31),"Acceptable",AND(Table13[[#This Row],[Gender]]="others",R1474&lt;40),"Obese")</f>
        <v>Obese</v>
      </c>
      <c r="R1474" s="8">
        <v>31.1</v>
      </c>
      <c r="S1474" s="8">
        <v>2.5</v>
      </c>
      <c r="T1474" s="8">
        <v>5</v>
      </c>
      <c r="U1474" s="8">
        <v>2</v>
      </c>
      <c r="V1474" s="8" t="str">
        <f>IF(Table13[[#This Row],[BMI]]&lt;=18.5,"Underweight",IF(Table13[[#This Row],[BMI]]&lt;=24.9,"Normal",IF(Table13[[#This Row],[BMI]]&lt;=29.9,"Overweight",IF(Table13[[#This Row],[BMI]]&lt;=39,"Obese","Severly Obese"))))</f>
        <v>Underweight</v>
      </c>
      <c r="W1474" s="18">
        <v>14.2</v>
      </c>
    </row>
    <row r="1475" spans="6:23" x14ac:dyDescent="0.3">
      <c r="F1475" s="17">
        <v>40</v>
      </c>
      <c r="G1475" s="8" t="str">
        <f>IF(Table13[[#This Row],[Age]]&lt;25,"18-24",IF(Table13[[#This Row],[Age]]&lt;35,"25-34",IF(Table13[[#This Row],[Age]]&lt;45,"35-44",IF(Table13[[#This Row],[Age]]&lt;55,"45-54","55-64"))))</f>
        <v>35-44</v>
      </c>
      <c r="H1475" s="8" t="s">
        <v>19</v>
      </c>
      <c r="I1475" s="8">
        <v>40</v>
      </c>
      <c r="J1475" s="8">
        <v>1.73</v>
      </c>
      <c r="K1475" s="8">
        <v>194</v>
      </c>
      <c r="L1475" s="8">
        <v>149</v>
      </c>
      <c r="M1475" s="8">
        <v>72</v>
      </c>
      <c r="N1475" s="8">
        <v>1.06</v>
      </c>
      <c r="O1475" s="8">
        <v>811</v>
      </c>
      <c r="P1475" s="8" t="s">
        <v>21</v>
      </c>
      <c r="Q1475" s="8" t="str">
        <f>_xlfn.IFS(AND(Table13[[#This Row],[Gender]]="female",R1475&lt;20),"Athletes",AND(Table13[[#This Row],[Gender]]="female",R1475&lt;24),"Fitnesss",AND(Table13[[#This Row],[Gender]]="female",R1475&lt;31),"Acceptable",AND(Table13[[#This Row],[Gender]]="female",R1475&lt;40),"Obese",AND(Table13[[#This Row],[Gender]]="male",R1475&lt;13),"Athletes",AND(Table13[[#This Row],[Gender]]="male",R1475&lt;17),"Fitnesss",AND(Table13[[#This Row],[Gender]]="male",R1475&lt;24.9),"Acceptable",AND(Table13[[#This Row],[Gender]]="male",R1475&lt;40),"Obese",AND(Table13[[#This Row],[Gender]]="others",R1475&lt;20),"Athletes",AND(Table13[[#This Row],[Gender]]="others",R1475&lt;24),"Fitnesss",AND(Table13[[#This Row],[Gender]]="others",R1475&lt;31),"Acceptable",AND(Table13[[#This Row],[Gender]]="others",R1475&lt;40),"Obese")</f>
        <v>Acceptable</v>
      </c>
      <c r="R1475" s="8">
        <v>19.399999999999999</v>
      </c>
      <c r="S1475" s="8">
        <v>2.7</v>
      </c>
      <c r="T1475" s="8">
        <v>2</v>
      </c>
      <c r="U1475" s="8">
        <v>3</v>
      </c>
      <c r="V1475" s="8" t="str">
        <f>IF(Table13[[#This Row],[BMI]]&lt;=18.5,"Underweight",IF(Table13[[#This Row],[BMI]]&lt;=24.9,"Normal",IF(Table13[[#This Row],[BMI]]&lt;=29.9,"Overweight",IF(Table13[[#This Row],[BMI]]&lt;=39,"Obese","Severly Obese"))))</f>
        <v>Obese</v>
      </c>
      <c r="W1475" s="18">
        <v>36.56</v>
      </c>
    </row>
    <row r="1476" spans="6:23" x14ac:dyDescent="0.3">
      <c r="F1476" s="17">
        <v>18</v>
      </c>
      <c r="G1476" s="8" t="str">
        <f>IF(Table13[[#This Row],[Age]]&lt;25,"18-24",IF(Table13[[#This Row],[Age]]&lt;35,"25-34",IF(Table13[[#This Row],[Age]]&lt;45,"35-44",IF(Table13[[#This Row],[Age]]&lt;55,"45-54","55-64"))))</f>
        <v>18-24</v>
      </c>
      <c r="H1476" s="8" t="s">
        <v>19</v>
      </c>
      <c r="I1476" s="8">
        <v>123.8</v>
      </c>
      <c r="J1476" s="8">
        <v>1.62</v>
      </c>
      <c r="K1476" s="8">
        <v>164</v>
      </c>
      <c r="L1476" s="8">
        <v>167</v>
      </c>
      <c r="M1476" s="8">
        <v>59</v>
      </c>
      <c r="N1476" s="8">
        <v>1.43</v>
      </c>
      <c r="O1476" s="8">
        <v>303</v>
      </c>
      <c r="P1476" s="8" t="s">
        <v>18</v>
      </c>
      <c r="Q1476" s="8" t="str">
        <f>_xlfn.IFS(AND(Table13[[#This Row],[Gender]]="female",R1476&lt;20),"Athletes",AND(Table13[[#This Row],[Gender]]="female",R1476&lt;24),"Fitnesss",AND(Table13[[#This Row],[Gender]]="female",R1476&lt;31),"Acceptable",AND(Table13[[#This Row],[Gender]]="female",R1476&lt;40),"Obese",AND(Table13[[#This Row],[Gender]]="male",R1476&lt;13),"Athletes",AND(Table13[[#This Row],[Gender]]="male",R1476&lt;17),"Fitnesss",AND(Table13[[#This Row],[Gender]]="male",R1476&lt;24.9),"Acceptable",AND(Table13[[#This Row],[Gender]]="male",R1476&lt;40),"Obese",AND(Table13[[#This Row],[Gender]]="others",R1476&lt;20),"Athletes",AND(Table13[[#This Row],[Gender]]="others",R1476&lt;24),"Fitnesss",AND(Table13[[#This Row],[Gender]]="others",R1476&lt;31),"Acceptable",AND(Table13[[#This Row],[Gender]]="others",R1476&lt;40),"Obese")</f>
        <v>Acceptable</v>
      </c>
      <c r="R1476" s="8">
        <v>22.3</v>
      </c>
      <c r="S1476" s="8">
        <v>3.6</v>
      </c>
      <c r="T1476" s="8">
        <v>2</v>
      </c>
      <c r="U1476" s="8">
        <v>3</v>
      </c>
      <c r="V1476" s="8" t="str">
        <f>IF(Table13[[#This Row],[BMI]]&lt;=18.5,"Underweight",IF(Table13[[#This Row],[BMI]]&lt;=24.9,"Normal",IF(Table13[[#This Row],[BMI]]&lt;=29.9,"Overweight",IF(Table13[[#This Row],[BMI]]&lt;=39,"Obese","Severly Obese"))))</f>
        <v>Normal</v>
      </c>
      <c r="W1476" s="18">
        <v>24.63</v>
      </c>
    </row>
    <row r="1477" spans="6:23" x14ac:dyDescent="0.3">
      <c r="F1477" s="17">
        <v>59</v>
      </c>
      <c r="G1477" s="8" t="str">
        <f>IF(Table13[[#This Row],[Age]]&lt;25,"18-24",IF(Table13[[#This Row],[Age]]&lt;35,"25-34",IF(Table13[[#This Row],[Age]]&lt;45,"35-44",IF(Table13[[#This Row],[Age]]&lt;55,"45-54","55-64"))))</f>
        <v>55-64</v>
      </c>
      <c r="H1477" s="8" t="s">
        <v>17</v>
      </c>
      <c r="I1477" s="8">
        <v>40</v>
      </c>
      <c r="J1477" s="8">
        <v>1.84</v>
      </c>
      <c r="K1477" s="8">
        <v>167</v>
      </c>
      <c r="L1477" s="8">
        <v>137</v>
      </c>
      <c r="M1477" s="8">
        <v>53</v>
      </c>
      <c r="N1477" s="8">
        <v>1.87</v>
      </c>
      <c r="O1477" s="8">
        <v>681</v>
      </c>
      <c r="P1477" s="8" t="s">
        <v>22</v>
      </c>
      <c r="Q1477" s="8" t="str">
        <f>_xlfn.IFS(AND(Table13[[#This Row],[Gender]]="female",R1477&lt;20),"Athletes",AND(Table13[[#This Row],[Gender]]="female",R1477&lt;24),"Fitnesss",AND(Table13[[#This Row],[Gender]]="female",R1477&lt;31),"Acceptable",AND(Table13[[#This Row],[Gender]]="female",R1477&lt;40),"Obese",AND(Table13[[#This Row],[Gender]]="male",R1477&lt;13),"Athletes",AND(Table13[[#This Row],[Gender]]="male",R1477&lt;17),"Fitnesss",AND(Table13[[#This Row],[Gender]]="male",R1477&lt;24.9),"Acceptable",AND(Table13[[#This Row],[Gender]]="male",R1477&lt;40),"Obese",AND(Table13[[#This Row],[Gender]]="others",R1477&lt;20),"Athletes",AND(Table13[[#This Row],[Gender]]="others",R1477&lt;24),"Fitnesss",AND(Table13[[#This Row],[Gender]]="others",R1477&lt;31),"Acceptable",AND(Table13[[#This Row],[Gender]]="others",R1477&lt;40),"Obese")</f>
        <v>Fitnesss</v>
      </c>
      <c r="R1477" s="8">
        <v>23.7</v>
      </c>
      <c r="S1477" s="8">
        <v>2.2000000000000002</v>
      </c>
      <c r="T1477" s="8">
        <v>2</v>
      </c>
      <c r="U1477" s="8">
        <v>2</v>
      </c>
      <c r="V1477" s="8" t="str">
        <f>IF(Table13[[#This Row],[BMI]]&lt;=18.5,"Underweight",IF(Table13[[#This Row],[BMI]]&lt;=24.9,"Normal",IF(Table13[[#This Row],[BMI]]&lt;=29.9,"Overweight",IF(Table13[[#This Row],[BMI]]&lt;=39,"Obese","Severly Obese"))))</f>
        <v>Underweight</v>
      </c>
      <c r="W1477" s="18">
        <v>14.55</v>
      </c>
    </row>
    <row r="1478" spans="6:23" x14ac:dyDescent="0.3">
      <c r="F1478" s="17">
        <v>38</v>
      </c>
      <c r="G1478" s="8" t="str">
        <f>IF(Table13[[#This Row],[Age]]&lt;25,"18-24",IF(Table13[[#This Row],[Age]]&lt;35,"25-34",IF(Table13[[#This Row],[Age]]&lt;45,"35-44",IF(Table13[[#This Row],[Age]]&lt;55,"45-54","55-64"))))</f>
        <v>35-44</v>
      </c>
      <c r="H1478" s="8" t="s">
        <v>19</v>
      </c>
      <c r="I1478" s="8">
        <v>41.4</v>
      </c>
      <c r="J1478" s="8">
        <v>1.71</v>
      </c>
      <c r="K1478" s="8">
        <v>183</v>
      </c>
      <c r="L1478" s="8">
        <v>168</v>
      </c>
      <c r="M1478" s="8">
        <v>73</v>
      </c>
      <c r="N1478" s="8">
        <v>0.94</v>
      </c>
      <c r="O1478" s="8">
        <v>1253</v>
      </c>
      <c r="P1478" s="8" t="s">
        <v>22</v>
      </c>
      <c r="Q1478" s="8" t="str">
        <f>_xlfn.IFS(AND(Table13[[#This Row],[Gender]]="female",R1478&lt;20),"Athletes",AND(Table13[[#This Row],[Gender]]="female",R1478&lt;24),"Fitnesss",AND(Table13[[#This Row],[Gender]]="female",R1478&lt;31),"Acceptable",AND(Table13[[#This Row],[Gender]]="female",R1478&lt;40),"Obese",AND(Table13[[#This Row],[Gender]]="male",R1478&lt;13),"Athletes",AND(Table13[[#This Row],[Gender]]="male",R1478&lt;17),"Fitnesss",AND(Table13[[#This Row],[Gender]]="male",R1478&lt;24.9),"Acceptable",AND(Table13[[#This Row],[Gender]]="male",R1478&lt;40),"Obese",AND(Table13[[#This Row],[Gender]]="others",R1478&lt;20),"Athletes",AND(Table13[[#This Row],[Gender]]="others",R1478&lt;24),"Fitnesss",AND(Table13[[#This Row],[Gender]]="others",R1478&lt;31),"Acceptable",AND(Table13[[#This Row],[Gender]]="others",R1478&lt;40),"Obese")</f>
        <v>Obese</v>
      </c>
      <c r="R1478" s="8">
        <v>30.8</v>
      </c>
      <c r="S1478" s="8">
        <v>3.2</v>
      </c>
      <c r="T1478" s="8">
        <v>3</v>
      </c>
      <c r="U1478" s="8">
        <v>1</v>
      </c>
      <c r="V1478" s="8" t="str">
        <f>IF(Table13[[#This Row],[BMI]]&lt;=18.5,"Underweight",IF(Table13[[#This Row],[BMI]]&lt;=24.9,"Normal",IF(Table13[[#This Row],[BMI]]&lt;=29.9,"Overweight",IF(Table13[[#This Row],[BMI]]&lt;=39,"Obese","Severly Obese"))))</f>
        <v>Underweight</v>
      </c>
      <c r="W1478" s="18">
        <v>14.6</v>
      </c>
    </row>
    <row r="1479" spans="6:23" x14ac:dyDescent="0.3">
      <c r="F1479" s="17">
        <v>33</v>
      </c>
      <c r="G1479" s="8" t="str">
        <f>IF(Table13[[#This Row],[Age]]&lt;25,"18-24",IF(Table13[[#This Row],[Age]]&lt;35,"25-34",IF(Table13[[#This Row],[Age]]&lt;45,"35-44",IF(Table13[[#This Row],[Age]]&lt;55,"45-54","55-64"))))</f>
        <v>25-34</v>
      </c>
      <c r="H1479" s="8" t="s">
        <v>17</v>
      </c>
      <c r="I1479" s="8">
        <v>60.5</v>
      </c>
      <c r="J1479" s="8">
        <v>1.76</v>
      </c>
      <c r="K1479" s="8">
        <v>160</v>
      </c>
      <c r="L1479" s="8">
        <v>146</v>
      </c>
      <c r="M1479" s="8">
        <v>67</v>
      </c>
      <c r="N1479" s="8">
        <v>0.57999999999999996</v>
      </c>
      <c r="O1479" s="8">
        <v>1172</v>
      </c>
      <c r="P1479" s="8" t="s">
        <v>21</v>
      </c>
      <c r="Q1479" s="8" t="str">
        <f>_xlfn.IFS(AND(Table13[[#This Row],[Gender]]="female",R1479&lt;20),"Athletes",AND(Table13[[#This Row],[Gender]]="female",R1479&lt;24),"Fitnesss",AND(Table13[[#This Row],[Gender]]="female",R1479&lt;31),"Acceptable",AND(Table13[[#This Row],[Gender]]="female",R1479&lt;40),"Obese",AND(Table13[[#This Row],[Gender]]="male",R1479&lt;13),"Athletes",AND(Table13[[#This Row],[Gender]]="male",R1479&lt;17),"Fitnesss",AND(Table13[[#This Row],[Gender]]="male",R1479&lt;24.9),"Acceptable",AND(Table13[[#This Row],[Gender]]="male",R1479&lt;40),"Obese",AND(Table13[[#This Row],[Gender]]="others",R1479&lt;20),"Athletes",AND(Table13[[#This Row],[Gender]]="others",R1479&lt;24),"Fitnesss",AND(Table13[[#This Row],[Gender]]="others",R1479&lt;31),"Acceptable",AND(Table13[[#This Row],[Gender]]="others",R1479&lt;40),"Obese")</f>
        <v>Acceptable</v>
      </c>
      <c r="R1479" s="8">
        <v>26.4</v>
      </c>
      <c r="S1479" s="8"/>
      <c r="T1479" s="8">
        <v>4</v>
      </c>
      <c r="U1479" s="8">
        <v>2</v>
      </c>
      <c r="V1479" s="8" t="str">
        <f>IF(Table13[[#This Row],[BMI]]&lt;=18.5,"Underweight",IF(Table13[[#This Row],[BMI]]&lt;=24.9,"Normal",IF(Table13[[#This Row],[BMI]]&lt;=29.9,"Overweight",IF(Table13[[#This Row],[BMI]]&lt;=39,"Obese","Severly Obese"))))</f>
        <v>Overweight</v>
      </c>
      <c r="W1479" s="18">
        <v>28.93</v>
      </c>
    </row>
    <row r="1480" spans="6:23" x14ac:dyDescent="0.3">
      <c r="F1480" s="17">
        <v>45</v>
      </c>
      <c r="G1480" s="8" t="str">
        <f>IF(Table13[[#This Row],[Age]]&lt;25,"18-24",IF(Table13[[#This Row],[Age]]&lt;35,"25-34",IF(Table13[[#This Row],[Age]]&lt;45,"35-44",IF(Table13[[#This Row],[Age]]&lt;55,"45-54","55-64"))))</f>
        <v>45-54</v>
      </c>
      <c r="H1480" s="8" t="s">
        <v>17</v>
      </c>
      <c r="I1480" s="8">
        <v>40</v>
      </c>
      <c r="J1480" s="8">
        <v>1.69</v>
      </c>
      <c r="K1480" s="8">
        <v>162</v>
      </c>
      <c r="L1480" s="8">
        <v>147</v>
      </c>
      <c r="M1480" s="8">
        <v>68</v>
      </c>
      <c r="N1480" s="8">
        <v>1.19</v>
      </c>
      <c r="O1480" s="8">
        <v>979</v>
      </c>
      <c r="P1480" s="8" t="s">
        <v>21</v>
      </c>
      <c r="Q1480" s="8" t="str">
        <f>_xlfn.IFS(AND(Table13[[#This Row],[Gender]]="female",R1480&lt;20),"Athletes",AND(Table13[[#This Row],[Gender]]="female",R1480&lt;24),"Fitnesss",AND(Table13[[#This Row],[Gender]]="female",R1480&lt;31),"Acceptable",AND(Table13[[#This Row],[Gender]]="female",R1480&lt;40),"Obese",AND(Table13[[#This Row],[Gender]]="male",R1480&lt;13),"Athletes",AND(Table13[[#This Row],[Gender]]="male",R1480&lt;17),"Fitnesss",AND(Table13[[#This Row],[Gender]]="male",R1480&lt;24.9),"Acceptable",AND(Table13[[#This Row],[Gender]]="male",R1480&lt;40),"Obese",AND(Table13[[#This Row],[Gender]]="others",R1480&lt;20),"Athletes",AND(Table13[[#This Row],[Gender]]="others",R1480&lt;24),"Fitnesss",AND(Table13[[#This Row],[Gender]]="others",R1480&lt;31),"Acceptable",AND(Table13[[#This Row],[Gender]]="others",R1480&lt;40),"Obese")</f>
        <v>Acceptable</v>
      </c>
      <c r="R1480" s="8">
        <v>25.2</v>
      </c>
      <c r="S1480" s="8">
        <v>2.4</v>
      </c>
      <c r="T1480" s="8">
        <v>4</v>
      </c>
      <c r="U1480" s="8">
        <v>2</v>
      </c>
      <c r="V1480" s="8" t="str">
        <f>IF(Table13[[#This Row],[BMI]]&lt;=18.5,"Underweight",IF(Table13[[#This Row],[BMI]]&lt;=24.9,"Normal",IF(Table13[[#This Row],[BMI]]&lt;=29.9,"Overweight",IF(Table13[[#This Row],[BMI]]&lt;=39,"Obese","Severly Obese"))))</f>
        <v>Underweight</v>
      </c>
      <c r="W1480" s="18">
        <v>12.75</v>
      </c>
    </row>
    <row r="1481" spans="6:23" x14ac:dyDescent="0.3">
      <c r="F1481" s="17">
        <v>44</v>
      </c>
      <c r="G1481" s="8" t="str">
        <f>IF(Table13[[#This Row],[Age]]&lt;25,"18-24",IF(Table13[[#This Row],[Age]]&lt;35,"25-34",IF(Table13[[#This Row],[Age]]&lt;45,"35-44",IF(Table13[[#This Row],[Age]]&lt;55,"45-54","55-64"))))</f>
        <v>35-44</v>
      </c>
      <c r="H1481" s="8" t="s">
        <v>17</v>
      </c>
      <c r="I1481" s="8">
        <v>52.8</v>
      </c>
      <c r="J1481" s="8">
        <v>1.71</v>
      </c>
      <c r="K1481" s="8">
        <v>198</v>
      </c>
      <c r="L1481" s="8">
        <v>132</v>
      </c>
      <c r="M1481" s="8">
        <v>63</v>
      </c>
      <c r="N1481" s="8">
        <v>2</v>
      </c>
      <c r="O1481" s="8">
        <v>1783</v>
      </c>
      <c r="P1481" s="8" t="s">
        <v>21</v>
      </c>
      <c r="Q1481" s="8" t="str">
        <f>_xlfn.IFS(AND(Table13[[#This Row],[Gender]]="female",R1481&lt;20),"Athletes",AND(Table13[[#This Row],[Gender]]="female",R1481&lt;24),"Fitnesss",AND(Table13[[#This Row],[Gender]]="female",R1481&lt;31),"Acceptable",AND(Table13[[#This Row],[Gender]]="female",R1481&lt;40),"Obese",AND(Table13[[#This Row],[Gender]]="male",R1481&lt;13),"Athletes",AND(Table13[[#This Row],[Gender]]="male",R1481&lt;17),"Fitnesss",AND(Table13[[#This Row],[Gender]]="male",R1481&lt;24.9),"Acceptable",AND(Table13[[#This Row],[Gender]]="male",R1481&lt;40),"Obese",AND(Table13[[#This Row],[Gender]]="others",R1481&lt;20),"Athletes",AND(Table13[[#This Row],[Gender]]="others",R1481&lt;24),"Fitnesss",AND(Table13[[#This Row],[Gender]]="others",R1481&lt;31),"Acceptable",AND(Table13[[#This Row],[Gender]]="others",R1481&lt;40),"Obese")</f>
        <v>Fitnesss</v>
      </c>
      <c r="R1481" s="8">
        <v>21.7</v>
      </c>
      <c r="S1481" s="8">
        <v>3.4</v>
      </c>
      <c r="T1481" s="8">
        <v>4</v>
      </c>
      <c r="U1481" s="8">
        <v>2</v>
      </c>
      <c r="V1481" s="8" t="str">
        <f>IF(Table13[[#This Row],[BMI]]&lt;=18.5,"Underweight",IF(Table13[[#This Row],[BMI]]&lt;=24.9,"Normal",IF(Table13[[#This Row],[BMI]]&lt;=29.9,"Overweight",IF(Table13[[#This Row],[BMI]]&lt;=39,"Obese","Severly Obese"))))</f>
        <v>Underweight</v>
      </c>
      <c r="W1481" s="18">
        <v>12.32</v>
      </c>
    </row>
    <row r="1482" spans="6:23" x14ac:dyDescent="0.3">
      <c r="F1482" s="17">
        <v>39</v>
      </c>
      <c r="G1482" s="8" t="str">
        <f>IF(Table13[[#This Row],[Age]]&lt;25,"18-24",IF(Table13[[#This Row],[Age]]&lt;35,"25-34",IF(Table13[[#This Row],[Age]]&lt;45,"35-44",IF(Table13[[#This Row],[Age]]&lt;55,"45-54","55-64"))))</f>
        <v>35-44</v>
      </c>
      <c r="H1482" s="8" t="s">
        <v>17</v>
      </c>
      <c r="I1482" s="8">
        <v>69.900000000000006</v>
      </c>
      <c r="J1482" s="8">
        <v>1.85</v>
      </c>
      <c r="K1482" s="8">
        <v>164</v>
      </c>
      <c r="L1482" s="8">
        <v>147</v>
      </c>
      <c r="M1482" s="8">
        <v>50</v>
      </c>
      <c r="N1482" s="8">
        <v>1.3</v>
      </c>
      <c r="O1482" s="8">
        <v>1562</v>
      </c>
      <c r="P1482" s="8" t="s">
        <v>22</v>
      </c>
      <c r="Q1482" s="8" t="str">
        <f>_xlfn.IFS(AND(Table13[[#This Row],[Gender]]="female",R1482&lt;20),"Athletes",AND(Table13[[#This Row],[Gender]]="female",R1482&lt;24),"Fitnesss",AND(Table13[[#This Row],[Gender]]="female",R1482&lt;31),"Acceptable",AND(Table13[[#This Row],[Gender]]="female",R1482&lt;40),"Obese",AND(Table13[[#This Row],[Gender]]="male",R1482&lt;13),"Athletes",AND(Table13[[#This Row],[Gender]]="male",R1482&lt;17),"Fitnesss",AND(Table13[[#This Row],[Gender]]="male",R1482&lt;24.9),"Acceptable",AND(Table13[[#This Row],[Gender]]="male",R1482&lt;40),"Obese",AND(Table13[[#This Row],[Gender]]="others",R1482&lt;20),"Athletes",AND(Table13[[#This Row],[Gender]]="others",R1482&lt;24),"Fitnesss",AND(Table13[[#This Row],[Gender]]="others",R1482&lt;31),"Acceptable",AND(Table13[[#This Row],[Gender]]="others",R1482&lt;40),"Obese")</f>
        <v>Acceptable</v>
      </c>
      <c r="R1482" s="8">
        <v>27.7</v>
      </c>
      <c r="S1482" s="8">
        <v>3.7</v>
      </c>
      <c r="T1482" s="8">
        <v>3</v>
      </c>
      <c r="U1482" s="8">
        <v>3</v>
      </c>
      <c r="V1482" s="8" t="str">
        <f>IF(Table13[[#This Row],[BMI]]&lt;=18.5,"Underweight",IF(Table13[[#This Row],[BMI]]&lt;=24.9,"Normal",IF(Table13[[#This Row],[BMI]]&lt;=29.9,"Overweight",IF(Table13[[#This Row],[BMI]]&lt;=39,"Obese","Severly Obese"))))</f>
        <v>Underweight</v>
      </c>
      <c r="W1482" s="18">
        <v>12.87</v>
      </c>
    </row>
    <row r="1483" spans="6:23" x14ac:dyDescent="0.3">
      <c r="F1483" s="17">
        <v>25</v>
      </c>
      <c r="G1483" s="8" t="str">
        <f>IF(Table13[[#This Row],[Age]]&lt;25,"18-24",IF(Table13[[#This Row],[Age]]&lt;35,"25-34",IF(Table13[[#This Row],[Age]]&lt;45,"35-44",IF(Table13[[#This Row],[Age]]&lt;55,"45-54","55-64"))))</f>
        <v>25-34</v>
      </c>
      <c r="H1483" s="8" t="s">
        <v>17</v>
      </c>
      <c r="I1483" s="8">
        <v>51</v>
      </c>
      <c r="J1483" s="8">
        <v>1.76</v>
      </c>
      <c r="K1483" s="8">
        <v>167</v>
      </c>
      <c r="L1483" s="8">
        <v>127</v>
      </c>
      <c r="M1483" s="8">
        <v>70</v>
      </c>
      <c r="N1483" s="8">
        <v>0.72</v>
      </c>
      <c r="O1483" s="8">
        <v>1119</v>
      </c>
      <c r="P1483" s="8" t="s">
        <v>23</v>
      </c>
      <c r="Q1483" s="8" t="str">
        <f>_xlfn.IFS(AND(Table13[[#This Row],[Gender]]="female",R1483&lt;20),"Athletes",AND(Table13[[#This Row],[Gender]]="female",R1483&lt;24),"Fitnesss",AND(Table13[[#This Row],[Gender]]="female",R1483&lt;31),"Acceptable",AND(Table13[[#This Row],[Gender]]="female",R1483&lt;40),"Obese",AND(Table13[[#This Row],[Gender]]="male",R1483&lt;13),"Athletes",AND(Table13[[#This Row],[Gender]]="male",R1483&lt;17),"Fitnesss",AND(Table13[[#This Row],[Gender]]="male",R1483&lt;24.9),"Acceptable",AND(Table13[[#This Row],[Gender]]="male",R1483&lt;40),"Obese",AND(Table13[[#This Row],[Gender]]="others",R1483&lt;20),"Athletes",AND(Table13[[#This Row],[Gender]]="others",R1483&lt;24),"Fitnesss",AND(Table13[[#This Row],[Gender]]="others",R1483&lt;31),"Acceptable",AND(Table13[[#This Row],[Gender]]="others",R1483&lt;40),"Obese")</f>
        <v>Acceptable</v>
      </c>
      <c r="R1483" s="8">
        <v>25.1</v>
      </c>
      <c r="S1483" s="8">
        <v>2.6</v>
      </c>
      <c r="T1483" s="8">
        <v>4</v>
      </c>
      <c r="U1483" s="8">
        <v>3</v>
      </c>
      <c r="V1483" s="8" t="str">
        <f>IF(Table13[[#This Row],[BMI]]&lt;=18.5,"Underweight",IF(Table13[[#This Row],[BMI]]&lt;=24.9,"Normal",IF(Table13[[#This Row],[BMI]]&lt;=29.9,"Overweight",IF(Table13[[#This Row],[BMI]]&lt;=39,"Obese","Severly Obese"))))</f>
        <v>Underweight</v>
      </c>
      <c r="W1483" s="18">
        <v>12.64</v>
      </c>
    </row>
    <row r="1484" spans="6:23" x14ac:dyDescent="0.3">
      <c r="F1484" s="17">
        <v>50</v>
      </c>
      <c r="G1484" s="8" t="str">
        <f>IF(Table13[[#This Row],[Age]]&lt;25,"18-24",IF(Table13[[#This Row],[Age]]&lt;35,"25-34",IF(Table13[[#This Row],[Age]]&lt;45,"35-44",IF(Table13[[#This Row],[Age]]&lt;55,"45-54","55-64"))))</f>
        <v>45-54</v>
      </c>
      <c r="H1484" s="8" t="s">
        <v>17</v>
      </c>
      <c r="I1484" s="8">
        <v>92.6</v>
      </c>
      <c r="J1484" s="8">
        <v>1.91</v>
      </c>
      <c r="K1484" s="8">
        <v>171</v>
      </c>
      <c r="L1484" s="8">
        <v>137</v>
      </c>
      <c r="M1484" s="8">
        <v>54</v>
      </c>
      <c r="N1484" s="8">
        <v>1.6</v>
      </c>
      <c r="O1484" s="8">
        <v>303</v>
      </c>
      <c r="P1484" s="8" t="s">
        <v>18</v>
      </c>
      <c r="Q1484" s="8" t="str">
        <f>_xlfn.IFS(AND(Table13[[#This Row],[Gender]]="female",R1484&lt;20),"Athletes",AND(Table13[[#This Row],[Gender]]="female",R1484&lt;24),"Fitnesss",AND(Table13[[#This Row],[Gender]]="female",R1484&lt;31),"Acceptable",AND(Table13[[#This Row],[Gender]]="female",R1484&lt;40),"Obese",AND(Table13[[#This Row],[Gender]]="male",R1484&lt;13),"Athletes",AND(Table13[[#This Row],[Gender]]="male",R1484&lt;17),"Fitnesss",AND(Table13[[#This Row],[Gender]]="male",R1484&lt;24.9),"Acceptable",AND(Table13[[#This Row],[Gender]]="male",R1484&lt;40),"Obese",AND(Table13[[#This Row],[Gender]]="others",R1484&lt;20),"Athletes",AND(Table13[[#This Row],[Gender]]="others",R1484&lt;24),"Fitnesss",AND(Table13[[#This Row],[Gender]]="others",R1484&lt;31),"Acceptable",AND(Table13[[#This Row],[Gender]]="others",R1484&lt;40),"Obese")</f>
        <v>Acceptable</v>
      </c>
      <c r="R1484" s="8">
        <v>25.2</v>
      </c>
      <c r="S1484" s="8">
        <v>2.2999999999999998</v>
      </c>
      <c r="T1484" s="8">
        <v>3</v>
      </c>
      <c r="U1484" s="8">
        <v>1</v>
      </c>
      <c r="V1484" s="8" t="str">
        <f>IF(Table13[[#This Row],[BMI]]&lt;=18.5,"Underweight",IF(Table13[[#This Row],[BMI]]&lt;=24.9,"Normal",IF(Table13[[#This Row],[BMI]]&lt;=29.9,"Overweight",IF(Table13[[#This Row],[BMI]]&lt;=39,"Obese","Severly Obese"))))</f>
        <v>Normal</v>
      </c>
      <c r="W1484" s="18">
        <v>21.42</v>
      </c>
    </row>
    <row r="1485" spans="6:23" x14ac:dyDescent="0.3">
      <c r="F1485" s="17">
        <v>21</v>
      </c>
      <c r="G1485" s="8" t="str">
        <f>IF(Table13[[#This Row],[Age]]&lt;25,"18-24",IF(Table13[[#This Row],[Age]]&lt;35,"25-34",IF(Table13[[#This Row],[Age]]&lt;45,"35-44",IF(Table13[[#This Row],[Age]]&lt;55,"45-54","55-64"))))</f>
        <v>18-24</v>
      </c>
      <c r="H1485" s="8" t="s">
        <v>17</v>
      </c>
      <c r="I1485" s="8">
        <v>52.7</v>
      </c>
      <c r="J1485" s="8">
        <v>1.53</v>
      </c>
      <c r="K1485" s="8">
        <v>182</v>
      </c>
      <c r="L1485" s="8">
        <v>134</v>
      </c>
      <c r="M1485" s="8">
        <v>50</v>
      </c>
      <c r="N1485" s="8">
        <v>1.19</v>
      </c>
      <c r="O1485" s="8">
        <v>1090</v>
      </c>
      <c r="P1485" s="8" t="s">
        <v>18</v>
      </c>
      <c r="Q1485" s="8" t="str">
        <f>_xlfn.IFS(AND(Table13[[#This Row],[Gender]]="female",R1485&lt;20),"Athletes",AND(Table13[[#This Row],[Gender]]="female",R1485&lt;24),"Fitnesss",AND(Table13[[#This Row],[Gender]]="female",R1485&lt;31),"Acceptable",AND(Table13[[#This Row],[Gender]]="female",R1485&lt;40),"Obese",AND(Table13[[#This Row],[Gender]]="male",R1485&lt;13),"Athletes",AND(Table13[[#This Row],[Gender]]="male",R1485&lt;17),"Fitnesss",AND(Table13[[#This Row],[Gender]]="male",R1485&lt;24.9),"Acceptable",AND(Table13[[#This Row],[Gender]]="male",R1485&lt;40),"Obese",AND(Table13[[#This Row],[Gender]]="others",R1485&lt;20),"Athletes",AND(Table13[[#This Row],[Gender]]="others",R1485&lt;24),"Fitnesss",AND(Table13[[#This Row],[Gender]]="others",R1485&lt;31),"Acceptable",AND(Table13[[#This Row],[Gender]]="others",R1485&lt;40),"Obese")</f>
        <v>Obese</v>
      </c>
      <c r="R1485" s="8">
        <v>31.5</v>
      </c>
      <c r="S1485" s="8">
        <v>3.4</v>
      </c>
      <c r="T1485" s="8">
        <v>3</v>
      </c>
      <c r="U1485" s="8">
        <v>3</v>
      </c>
      <c r="V1485" s="8" t="str">
        <f>IF(Table13[[#This Row],[BMI]]&lt;=18.5,"Underweight",IF(Table13[[#This Row],[BMI]]&lt;=24.9,"Normal",IF(Table13[[#This Row],[BMI]]&lt;=29.9,"Overweight",IF(Table13[[#This Row],[BMI]]&lt;=39,"Obese","Severly Obese"))))</f>
        <v>Overweight</v>
      </c>
      <c r="W1485" s="18">
        <v>25.06</v>
      </c>
    </row>
    <row r="1486" spans="6:23" x14ac:dyDescent="0.3">
      <c r="F1486" s="17">
        <v>49</v>
      </c>
      <c r="G1486" s="8" t="str">
        <f>IF(Table13[[#This Row],[Age]]&lt;25,"18-24",IF(Table13[[#This Row],[Age]]&lt;35,"25-34",IF(Table13[[#This Row],[Age]]&lt;45,"35-44",IF(Table13[[#This Row],[Age]]&lt;55,"45-54","55-64"))))</f>
        <v>45-54</v>
      </c>
      <c r="H1486" s="8" t="s">
        <v>19</v>
      </c>
      <c r="I1486" s="8">
        <v>40</v>
      </c>
      <c r="J1486" s="8">
        <v>1.75</v>
      </c>
      <c r="K1486" s="8">
        <v>166</v>
      </c>
      <c r="L1486" s="8">
        <v>169</v>
      </c>
      <c r="M1486" s="8">
        <v>59</v>
      </c>
      <c r="N1486" s="8">
        <v>1.3</v>
      </c>
      <c r="O1486" s="8"/>
      <c r="P1486" s="8" t="s">
        <v>22</v>
      </c>
      <c r="Q1486" s="8" t="str">
        <f>_xlfn.IFS(AND(Table13[[#This Row],[Gender]]="female",R1486&lt;20),"Athletes",AND(Table13[[#This Row],[Gender]]="female",R1486&lt;24),"Fitnesss",AND(Table13[[#This Row],[Gender]]="female",R1486&lt;31),"Acceptable",AND(Table13[[#This Row],[Gender]]="female",R1486&lt;40),"Obese",AND(Table13[[#This Row],[Gender]]="male",R1486&lt;13),"Athletes",AND(Table13[[#This Row],[Gender]]="male",R1486&lt;17),"Fitnesss",AND(Table13[[#This Row],[Gender]]="male",R1486&lt;24.9),"Acceptable",AND(Table13[[#This Row],[Gender]]="male",R1486&lt;40),"Obese",AND(Table13[[#This Row],[Gender]]="others",R1486&lt;20),"Athletes",AND(Table13[[#This Row],[Gender]]="others",R1486&lt;24),"Fitnesss",AND(Table13[[#This Row],[Gender]]="others",R1486&lt;31),"Acceptable",AND(Table13[[#This Row],[Gender]]="others",R1486&lt;40),"Obese")</f>
        <v>Acceptable</v>
      </c>
      <c r="R1486" s="8">
        <v>19.7</v>
      </c>
      <c r="S1486" s="8">
        <v>1.6</v>
      </c>
      <c r="T1486" s="8">
        <v>4</v>
      </c>
      <c r="U1486" s="8">
        <v>2</v>
      </c>
      <c r="V1486" s="8" t="str">
        <f>IF(Table13[[#This Row],[BMI]]&lt;=18.5,"Underweight",IF(Table13[[#This Row],[BMI]]&lt;=24.9,"Normal",IF(Table13[[#This Row],[BMI]]&lt;=29.9,"Overweight",IF(Table13[[#This Row],[BMI]]&lt;=39,"Obese","Severly Obese"))))</f>
        <v>Normal</v>
      </c>
      <c r="W1486" s="18">
        <v>19.149999999999999</v>
      </c>
    </row>
    <row r="1487" spans="6:23" x14ac:dyDescent="0.3">
      <c r="F1487" s="17">
        <v>20</v>
      </c>
      <c r="G1487" s="8" t="str">
        <f>IF(Table13[[#This Row],[Age]]&lt;25,"18-24",IF(Table13[[#This Row],[Age]]&lt;35,"25-34",IF(Table13[[#This Row],[Age]]&lt;45,"35-44",IF(Table13[[#This Row],[Age]]&lt;55,"45-54","55-64"))))</f>
        <v>18-24</v>
      </c>
      <c r="H1487" s="8" t="s">
        <v>19</v>
      </c>
      <c r="I1487" s="8">
        <v>40</v>
      </c>
      <c r="J1487" s="8">
        <v>1.78</v>
      </c>
      <c r="K1487" s="8">
        <v>192</v>
      </c>
      <c r="L1487" s="8">
        <v>149</v>
      </c>
      <c r="M1487" s="8">
        <v>57</v>
      </c>
      <c r="N1487" s="8">
        <v>0.93</v>
      </c>
      <c r="O1487" s="8">
        <v>1075</v>
      </c>
      <c r="P1487" s="8" t="s">
        <v>18</v>
      </c>
      <c r="Q1487" s="8" t="str">
        <f>_xlfn.IFS(AND(Table13[[#This Row],[Gender]]="female",R1487&lt;20),"Athletes",AND(Table13[[#This Row],[Gender]]="female",R1487&lt;24),"Fitnesss",AND(Table13[[#This Row],[Gender]]="female",R1487&lt;31),"Acceptable",AND(Table13[[#This Row],[Gender]]="female",R1487&lt;40),"Obese",AND(Table13[[#This Row],[Gender]]="male",R1487&lt;13),"Athletes",AND(Table13[[#This Row],[Gender]]="male",R1487&lt;17),"Fitnesss",AND(Table13[[#This Row],[Gender]]="male",R1487&lt;24.9),"Acceptable",AND(Table13[[#This Row],[Gender]]="male",R1487&lt;40),"Obese",AND(Table13[[#This Row],[Gender]]="others",R1487&lt;20),"Athletes",AND(Table13[[#This Row],[Gender]]="others",R1487&lt;24),"Fitnesss",AND(Table13[[#This Row],[Gender]]="others",R1487&lt;31),"Acceptable",AND(Table13[[#This Row],[Gender]]="others",R1487&lt;40),"Obese")</f>
        <v>Obese</v>
      </c>
      <c r="R1487" s="8">
        <v>25.5</v>
      </c>
      <c r="S1487" s="8">
        <v>1.9</v>
      </c>
      <c r="T1487" s="8">
        <v>4</v>
      </c>
      <c r="U1487" s="8">
        <v>1</v>
      </c>
      <c r="V1487" s="8" t="str">
        <f>IF(Table13[[#This Row],[BMI]]&lt;=18.5,"Underweight",IF(Table13[[#This Row],[BMI]]&lt;=24.9,"Normal",IF(Table13[[#This Row],[BMI]]&lt;=29.9,"Overweight",IF(Table13[[#This Row],[BMI]]&lt;=39,"Obese","Severly Obese"))))</f>
        <v>Normal</v>
      </c>
      <c r="W1487" s="18">
        <v>22.57</v>
      </c>
    </row>
    <row r="1488" spans="6:23" x14ac:dyDescent="0.3">
      <c r="F1488" s="17">
        <v>50</v>
      </c>
      <c r="G1488" s="8" t="str">
        <f>IF(Table13[[#This Row],[Age]]&lt;25,"18-24",IF(Table13[[#This Row],[Age]]&lt;35,"25-34",IF(Table13[[#This Row],[Age]]&lt;45,"35-44",IF(Table13[[#This Row],[Age]]&lt;55,"45-54","55-64"))))</f>
        <v>45-54</v>
      </c>
      <c r="H1488" s="8" t="s">
        <v>19</v>
      </c>
      <c r="I1488" s="8">
        <v>40</v>
      </c>
      <c r="J1488" s="8">
        <v>1.92</v>
      </c>
      <c r="K1488" s="8">
        <v>168</v>
      </c>
      <c r="L1488" s="8">
        <v>144</v>
      </c>
      <c r="M1488" s="8">
        <v>55</v>
      </c>
      <c r="N1488" s="8">
        <v>1.48</v>
      </c>
      <c r="O1488" s="8">
        <v>692</v>
      </c>
      <c r="P1488" s="8" t="s">
        <v>20</v>
      </c>
      <c r="Q1488" s="8" t="str">
        <f>_xlfn.IFS(AND(Table13[[#This Row],[Gender]]="female",R1488&lt;20),"Athletes",AND(Table13[[#This Row],[Gender]]="female",R1488&lt;24),"Fitnesss",AND(Table13[[#This Row],[Gender]]="female",R1488&lt;31),"Acceptable",AND(Table13[[#This Row],[Gender]]="female",R1488&lt;40),"Obese",AND(Table13[[#This Row],[Gender]]="male",R1488&lt;13),"Athletes",AND(Table13[[#This Row],[Gender]]="male",R1488&lt;17),"Fitnesss",AND(Table13[[#This Row],[Gender]]="male",R1488&lt;24.9),"Acceptable",AND(Table13[[#This Row],[Gender]]="male",R1488&lt;40),"Obese",AND(Table13[[#This Row],[Gender]]="others",R1488&lt;20),"Athletes",AND(Table13[[#This Row],[Gender]]="others",R1488&lt;24),"Fitnesss",AND(Table13[[#This Row],[Gender]]="others",R1488&lt;31),"Acceptable",AND(Table13[[#This Row],[Gender]]="others",R1488&lt;40),"Obese")</f>
        <v>Fitnesss</v>
      </c>
      <c r="R1488" s="8">
        <v>16</v>
      </c>
      <c r="S1488" s="8">
        <v>2.5</v>
      </c>
      <c r="T1488" s="8">
        <v>5</v>
      </c>
      <c r="U1488" s="8">
        <v>1</v>
      </c>
      <c r="V1488" s="8" t="str">
        <f>IF(Table13[[#This Row],[BMI]]&lt;=18.5,"Underweight",IF(Table13[[#This Row],[BMI]]&lt;=24.9,"Normal",IF(Table13[[#This Row],[BMI]]&lt;=29.9,"Overweight",IF(Table13[[#This Row],[BMI]]&lt;=39,"Obese","Severly Obese"))))</f>
        <v>Underweight</v>
      </c>
      <c r="W1488" s="18">
        <v>18.29</v>
      </c>
    </row>
    <row r="1489" spans="6:23" x14ac:dyDescent="0.3">
      <c r="F1489" s="17">
        <v>52</v>
      </c>
      <c r="G1489" s="8" t="str">
        <f>IF(Table13[[#This Row],[Age]]&lt;25,"18-24",IF(Table13[[#This Row],[Age]]&lt;35,"25-34",IF(Table13[[#This Row],[Age]]&lt;45,"35-44",IF(Table13[[#This Row],[Age]]&lt;55,"45-54","55-64"))))</f>
        <v>45-54</v>
      </c>
      <c r="H1489" s="8" t="s">
        <v>17</v>
      </c>
      <c r="I1489" s="8">
        <v>81.7</v>
      </c>
      <c r="J1489" s="8">
        <v>1.59</v>
      </c>
      <c r="K1489" s="8">
        <v>164</v>
      </c>
      <c r="L1489" s="8">
        <v>136</v>
      </c>
      <c r="M1489" s="8">
        <v>67</v>
      </c>
      <c r="N1489" s="8">
        <v>1.91</v>
      </c>
      <c r="O1489" s="8">
        <v>1025</v>
      </c>
      <c r="P1489" s="8" t="s">
        <v>21</v>
      </c>
      <c r="Q1489" s="8" t="str">
        <f>_xlfn.IFS(AND(Table13[[#This Row],[Gender]]="female",R1489&lt;20),"Athletes",AND(Table13[[#This Row],[Gender]]="female",R1489&lt;24),"Fitnesss",AND(Table13[[#This Row],[Gender]]="female",R1489&lt;31),"Acceptable",AND(Table13[[#This Row],[Gender]]="female",R1489&lt;40),"Obese",AND(Table13[[#This Row],[Gender]]="male",R1489&lt;13),"Athletes",AND(Table13[[#This Row],[Gender]]="male",R1489&lt;17),"Fitnesss",AND(Table13[[#This Row],[Gender]]="male",R1489&lt;24.9),"Acceptable",AND(Table13[[#This Row],[Gender]]="male",R1489&lt;40),"Obese",AND(Table13[[#This Row],[Gender]]="others",R1489&lt;20),"Athletes",AND(Table13[[#This Row],[Gender]]="others",R1489&lt;24),"Fitnesss",AND(Table13[[#This Row],[Gender]]="others",R1489&lt;31),"Acceptable",AND(Table13[[#This Row],[Gender]]="others",R1489&lt;40),"Obese")</f>
        <v>Acceptable</v>
      </c>
      <c r="R1489" s="8">
        <v>28.2</v>
      </c>
      <c r="S1489" s="8">
        <v>3.4</v>
      </c>
      <c r="T1489" s="8">
        <v>2</v>
      </c>
      <c r="U1489" s="8">
        <v>2</v>
      </c>
      <c r="V1489" s="8" t="str">
        <f>IF(Table13[[#This Row],[BMI]]&lt;=18.5,"Underweight",IF(Table13[[#This Row],[BMI]]&lt;=24.9,"Normal",IF(Table13[[#This Row],[BMI]]&lt;=29.9,"Overweight",IF(Table13[[#This Row],[BMI]]&lt;=39,"Obese","Severly Obese"))))</f>
        <v>Normal</v>
      </c>
      <c r="W1489" s="18">
        <v>19.89</v>
      </c>
    </row>
    <row r="1490" spans="6:23" x14ac:dyDescent="0.3">
      <c r="F1490" s="17">
        <v>41</v>
      </c>
      <c r="G1490" s="8" t="str">
        <f>IF(Table13[[#This Row],[Age]]&lt;25,"18-24",IF(Table13[[#This Row],[Age]]&lt;35,"25-34",IF(Table13[[#This Row],[Age]]&lt;45,"35-44",IF(Table13[[#This Row],[Age]]&lt;55,"45-54","55-64"))))</f>
        <v>35-44</v>
      </c>
      <c r="H1490" s="8" t="s">
        <v>19</v>
      </c>
      <c r="I1490" s="8">
        <v>65.900000000000006</v>
      </c>
      <c r="J1490" s="8">
        <v>1.93</v>
      </c>
      <c r="K1490" s="8">
        <v>188</v>
      </c>
      <c r="L1490" s="8">
        <v>124</v>
      </c>
      <c r="M1490" s="8">
        <v>74</v>
      </c>
      <c r="N1490" s="8">
        <v>1.36</v>
      </c>
      <c r="O1490" s="8">
        <v>1419</v>
      </c>
      <c r="P1490" s="8" t="s">
        <v>22</v>
      </c>
      <c r="Q1490" s="8" t="str">
        <f>_xlfn.IFS(AND(Table13[[#This Row],[Gender]]="female",R1490&lt;20),"Athletes",AND(Table13[[#This Row],[Gender]]="female",R1490&lt;24),"Fitnesss",AND(Table13[[#This Row],[Gender]]="female",R1490&lt;31),"Acceptable",AND(Table13[[#This Row],[Gender]]="female",R1490&lt;40),"Obese",AND(Table13[[#This Row],[Gender]]="male",R1490&lt;13),"Athletes",AND(Table13[[#This Row],[Gender]]="male",R1490&lt;17),"Fitnesss",AND(Table13[[#This Row],[Gender]]="male",R1490&lt;24.9),"Acceptable",AND(Table13[[#This Row],[Gender]]="male",R1490&lt;40),"Obese",AND(Table13[[#This Row],[Gender]]="others",R1490&lt;20),"Athletes",AND(Table13[[#This Row],[Gender]]="others",R1490&lt;24),"Fitnesss",AND(Table13[[#This Row],[Gender]]="others",R1490&lt;31),"Acceptable",AND(Table13[[#This Row],[Gender]]="others",R1490&lt;40),"Obese")</f>
        <v>Acceptable</v>
      </c>
      <c r="R1490" s="8">
        <v>22.6</v>
      </c>
      <c r="S1490" s="8">
        <v>1.5</v>
      </c>
      <c r="T1490" s="8">
        <v>2</v>
      </c>
      <c r="U1490" s="8">
        <v>2</v>
      </c>
      <c r="V1490" s="8" t="str">
        <f>IF(Table13[[#This Row],[BMI]]&lt;=18.5,"Underweight",IF(Table13[[#This Row],[BMI]]&lt;=24.9,"Normal",IF(Table13[[#This Row],[BMI]]&lt;=29.9,"Overweight",IF(Table13[[#This Row],[BMI]]&lt;=39,"Obese","Severly Obese"))))</f>
        <v>Underweight</v>
      </c>
      <c r="W1490" s="18">
        <v>17.600000000000001</v>
      </c>
    </row>
    <row r="1491" spans="6:23" x14ac:dyDescent="0.3">
      <c r="F1491" s="17">
        <v>22</v>
      </c>
      <c r="G1491" s="8" t="str">
        <f>IF(Table13[[#This Row],[Age]]&lt;25,"18-24",IF(Table13[[#This Row],[Age]]&lt;35,"25-34",IF(Table13[[#This Row],[Age]]&lt;45,"35-44",IF(Table13[[#This Row],[Age]]&lt;55,"45-54","55-64"))))</f>
        <v>18-24</v>
      </c>
      <c r="H1491" s="8" t="s">
        <v>19</v>
      </c>
      <c r="I1491" s="8">
        <v>55</v>
      </c>
      <c r="J1491" s="8">
        <v>1.88</v>
      </c>
      <c r="K1491" s="8">
        <v>176</v>
      </c>
      <c r="L1491" s="8">
        <v>131</v>
      </c>
      <c r="M1491" s="8">
        <v>74</v>
      </c>
      <c r="N1491" s="8">
        <v>2</v>
      </c>
      <c r="O1491" s="8">
        <v>1445</v>
      </c>
      <c r="P1491" s="8" t="s">
        <v>22</v>
      </c>
      <c r="Q1491" s="8" t="str">
        <f>_xlfn.IFS(AND(Table13[[#This Row],[Gender]]="female",R1491&lt;20),"Athletes",AND(Table13[[#This Row],[Gender]]="female",R1491&lt;24),"Fitnesss",AND(Table13[[#This Row],[Gender]]="female",R1491&lt;31),"Acceptable",AND(Table13[[#This Row],[Gender]]="female",R1491&lt;40),"Obese",AND(Table13[[#This Row],[Gender]]="male",R1491&lt;13),"Athletes",AND(Table13[[#This Row],[Gender]]="male",R1491&lt;17),"Fitnesss",AND(Table13[[#This Row],[Gender]]="male",R1491&lt;24.9),"Acceptable",AND(Table13[[#This Row],[Gender]]="male",R1491&lt;40),"Obese",AND(Table13[[#This Row],[Gender]]="others",R1491&lt;20),"Athletes",AND(Table13[[#This Row],[Gender]]="others",R1491&lt;24),"Fitnesss",AND(Table13[[#This Row],[Gender]]="others",R1491&lt;31),"Acceptable",AND(Table13[[#This Row],[Gender]]="others",R1491&lt;40),"Obese")</f>
        <v>Fitnesss</v>
      </c>
      <c r="R1491" s="8">
        <v>16.3</v>
      </c>
      <c r="S1491" s="8">
        <v>1.9</v>
      </c>
      <c r="T1491" s="8"/>
      <c r="U1491" s="8">
        <v>1</v>
      </c>
      <c r="V1491" s="8" t="str">
        <f>IF(Table13[[#This Row],[BMI]]&lt;=18.5,"Underweight",IF(Table13[[#This Row],[BMI]]&lt;=24.9,"Normal",IF(Table13[[#This Row],[BMI]]&lt;=29.9,"Overweight",IF(Table13[[#This Row],[BMI]]&lt;=39,"Obese","Severly Obese"))))</f>
        <v>Overweight</v>
      </c>
      <c r="W1491" s="18">
        <v>26.04</v>
      </c>
    </row>
    <row r="1492" spans="6:23" x14ac:dyDescent="0.3">
      <c r="F1492" s="17">
        <v>19</v>
      </c>
      <c r="G1492" s="8" t="str">
        <f>IF(Table13[[#This Row],[Age]]&lt;25,"18-24",IF(Table13[[#This Row],[Age]]&lt;35,"25-34",IF(Table13[[#This Row],[Age]]&lt;45,"35-44",IF(Table13[[#This Row],[Age]]&lt;55,"45-54","55-64"))))</f>
        <v>18-24</v>
      </c>
      <c r="H1492" s="8" t="s">
        <v>23</v>
      </c>
      <c r="I1492" s="8">
        <v>92.2</v>
      </c>
      <c r="J1492" s="8">
        <v>1.73</v>
      </c>
      <c r="K1492" s="8">
        <v>170</v>
      </c>
      <c r="L1492" s="8">
        <v>150</v>
      </c>
      <c r="M1492" s="8">
        <v>74</v>
      </c>
      <c r="N1492" s="8">
        <v>2</v>
      </c>
      <c r="O1492" s="8">
        <v>538</v>
      </c>
      <c r="P1492" s="8" t="s">
        <v>20</v>
      </c>
      <c r="Q1492" s="8" t="str">
        <f>_xlfn.IFS(AND(Table13[[#This Row],[Gender]]="female",R1492&lt;20),"Athletes",AND(Table13[[#This Row],[Gender]]="female",R1492&lt;24),"Fitnesss",AND(Table13[[#This Row],[Gender]]="female",R1492&lt;31),"Acceptable",AND(Table13[[#This Row],[Gender]]="female",R1492&lt;40),"Obese",AND(Table13[[#This Row],[Gender]]="male",R1492&lt;13),"Athletes",AND(Table13[[#This Row],[Gender]]="male",R1492&lt;17),"Fitnesss",AND(Table13[[#This Row],[Gender]]="male",R1492&lt;24.9),"Acceptable",AND(Table13[[#This Row],[Gender]]="male",R1492&lt;40),"Obese",AND(Table13[[#This Row],[Gender]]="others",R1492&lt;20),"Athletes",AND(Table13[[#This Row],[Gender]]="others",R1492&lt;24),"Fitnesss",AND(Table13[[#This Row],[Gender]]="others",R1492&lt;31),"Acceptable",AND(Table13[[#This Row],[Gender]]="others",R1492&lt;40),"Obese")</f>
        <v>Athletes</v>
      </c>
      <c r="R1492" s="8">
        <v>10</v>
      </c>
      <c r="S1492" s="8">
        <v>2.2000000000000002</v>
      </c>
      <c r="T1492" s="8">
        <v>2</v>
      </c>
      <c r="U1492" s="8">
        <v>1</v>
      </c>
      <c r="V1492" s="8" t="str">
        <f>IF(Table13[[#This Row],[BMI]]&lt;=18.5,"Underweight",IF(Table13[[#This Row],[BMI]]&lt;=24.9,"Normal",IF(Table13[[#This Row],[BMI]]&lt;=29.9,"Overweight",IF(Table13[[#This Row],[BMI]]&lt;=39,"Obese","Severly Obese"))))</f>
        <v>Underweight</v>
      </c>
      <c r="W1492" s="18">
        <v>15.3</v>
      </c>
    </row>
    <row r="1493" spans="6:23" x14ac:dyDescent="0.3">
      <c r="F1493" s="17">
        <v>31</v>
      </c>
      <c r="G1493" s="8" t="str">
        <f>IF(Table13[[#This Row],[Age]]&lt;25,"18-24",IF(Table13[[#This Row],[Age]]&lt;35,"25-34",IF(Table13[[#This Row],[Age]]&lt;45,"35-44",IF(Table13[[#This Row],[Age]]&lt;55,"45-54","55-64"))))</f>
        <v>25-34</v>
      </c>
      <c r="H1493" s="8" t="s">
        <v>17</v>
      </c>
      <c r="I1493" s="8">
        <v>67.900000000000006</v>
      </c>
      <c r="J1493" s="8">
        <v>1.7</v>
      </c>
      <c r="K1493" s="8">
        <v>163</v>
      </c>
      <c r="L1493" s="8">
        <v>124</v>
      </c>
      <c r="M1493" s="8">
        <v>68</v>
      </c>
      <c r="N1493" s="8">
        <v>1.43</v>
      </c>
      <c r="O1493" s="8">
        <v>1338</v>
      </c>
      <c r="P1493" s="8" t="s">
        <v>20</v>
      </c>
      <c r="Q1493" s="8" t="str">
        <f>_xlfn.IFS(AND(Table13[[#This Row],[Gender]]="female",R1493&lt;20),"Athletes",AND(Table13[[#This Row],[Gender]]="female",R1493&lt;24),"Fitnesss",AND(Table13[[#This Row],[Gender]]="female",R1493&lt;31),"Acceptable",AND(Table13[[#This Row],[Gender]]="female",R1493&lt;40),"Obese",AND(Table13[[#This Row],[Gender]]="male",R1493&lt;13),"Athletes",AND(Table13[[#This Row],[Gender]]="male",R1493&lt;17),"Fitnesss",AND(Table13[[#This Row],[Gender]]="male",R1493&lt;24.9),"Acceptable",AND(Table13[[#This Row],[Gender]]="male",R1493&lt;40),"Obese",AND(Table13[[#This Row],[Gender]]="others",R1493&lt;20),"Athletes",AND(Table13[[#This Row],[Gender]]="others",R1493&lt;24),"Fitnesss",AND(Table13[[#This Row],[Gender]]="others",R1493&lt;31),"Acceptable",AND(Table13[[#This Row],[Gender]]="others",R1493&lt;40),"Obese")</f>
        <v>Athletes</v>
      </c>
      <c r="R1493" s="8">
        <v>13</v>
      </c>
      <c r="S1493" s="8">
        <v>3.1</v>
      </c>
      <c r="T1493" s="8">
        <v>5</v>
      </c>
      <c r="U1493" s="8">
        <v>1</v>
      </c>
      <c r="V1493" s="8" t="str">
        <f>IF(Table13[[#This Row],[BMI]]&lt;=18.5,"Underweight",IF(Table13[[#This Row],[BMI]]&lt;=24.9,"Normal",IF(Table13[[#This Row],[BMI]]&lt;=29.9,"Overweight",IF(Table13[[#This Row],[BMI]]&lt;=39,"Obese","Severly Obese"))))</f>
        <v>Underweight</v>
      </c>
      <c r="W1493" s="18">
        <v>13.87</v>
      </c>
    </row>
    <row r="1494" spans="6:23" x14ac:dyDescent="0.3">
      <c r="F1494" s="17">
        <v>32</v>
      </c>
      <c r="G1494" s="8" t="str">
        <f>IF(Table13[[#This Row],[Age]]&lt;25,"18-24",IF(Table13[[#This Row],[Age]]&lt;35,"25-34",IF(Table13[[#This Row],[Age]]&lt;45,"35-44",IF(Table13[[#This Row],[Age]]&lt;55,"45-54","55-64"))))</f>
        <v>25-34</v>
      </c>
      <c r="H1494" s="8" t="s">
        <v>17</v>
      </c>
      <c r="I1494" s="8">
        <v>86</v>
      </c>
      <c r="J1494" s="8">
        <v>1.6</v>
      </c>
      <c r="K1494" s="8">
        <v>164</v>
      </c>
      <c r="L1494" s="8">
        <v>144</v>
      </c>
      <c r="M1494" s="8">
        <v>65</v>
      </c>
      <c r="N1494" s="8">
        <v>1.0900000000000001</v>
      </c>
      <c r="O1494" s="8">
        <v>1196</v>
      </c>
      <c r="P1494" s="8" t="s">
        <v>21</v>
      </c>
      <c r="Q1494" s="8" t="str">
        <f>_xlfn.IFS(AND(Table13[[#This Row],[Gender]]="female",R1494&lt;20),"Athletes",AND(Table13[[#This Row],[Gender]]="female",R1494&lt;24),"Fitnesss",AND(Table13[[#This Row],[Gender]]="female",R1494&lt;31),"Acceptable",AND(Table13[[#This Row],[Gender]]="female",R1494&lt;40),"Obese",AND(Table13[[#This Row],[Gender]]="male",R1494&lt;13),"Athletes",AND(Table13[[#This Row],[Gender]]="male",R1494&lt;17),"Fitnesss",AND(Table13[[#This Row],[Gender]]="male",R1494&lt;24.9),"Acceptable",AND(Table13[[#This Row],[Gender]]="male",R1494&lt;40),"Obese",AND(Table13[[#This Row],[Gender]]="others",R1494&lt;20),"Athletes",AND(Table13[[#This Row],[Gender]]="others",R1494&lt;24),"Fitnesss",AND(Table13[[#This Row],[Gender]]="others",R1494&lt;31),"Acceptable",AND(Table13[[#This Row],[Gender]]="others",R1494&lt;40),"Obese")</f>
        <v>Athletes</v>
      </c>
      <c r="R1494" s="8">
        <v>17.399999999999999</v>
      </c>
      <c r="S1494" s="8">
        <v>1.5</v>
      </c>
      <c r="T1494" s="8">
        <v>2</v>
      </c>
      <c r="U1494" s="8">
        <v>1</v>
      </c>
      <c r="V1494" s="8" t="str">
        <f>IF(Table13[[#This Row],[BMI]]&lt;=18.5,"Underweight",IF(Table13[[#This Row],[BMI]]&lt;=24.9,"Normal",IF(Table13[[#This Row],[BMI]]&lt;=29.9,"Overweight",IF(Table13[[#This Row],[BMI]]&lt;=39,"Obese","Severly Obese"))))</f>
        <v>Normal</v>
      </c>
      <c r="W1494" s="18">
        <v>20.18</v>
      </c>
    </row>
    <row r="1495" spans="6:23" x14ac:dyDescent="0.3">
      <c r="F1495" s="17">
        <v>29</v>
      </c>
      <c r="G1495" s="8" t="str">
        <f>IF(Table13[[#This Row],[Age]]&lt;25,"18-24",IF(Table13[[#This Row],[Age]]&lt;35,"25-34",IF(Table13[[#This Row],[Age]]&lt;45,"35-44",IF(Table13[[#This Row],[Age]]&lt;55,"45-54","55-64"))))</f>
        <v>25-34</v>
      </c>
      <c r="H1495" s="8" t="s">
        <v>17</v>
      </c>
      <c r="I1495" s="8">
        <v>60.6</v>
      </c>
      <c r="J1495" s="8">
        <v>1.83</v>
      </c>
      <c r="K1495" s="8">
        <v>172</v>
      </c>
      <c r="L1495" s="8">
        <v>161</v>
      </c>
      <c r="M1495" s="8">
        <v>60</v>
      </c>
      <c r="N1495" s="8">
        <v>1.32</v>
      </c>
      <c r="O1495" s="8">
        <v>760</v>
      </c>
      <c r="P1495" s="8" t="s">
        <v>18</v>
      </c>
      <c r="Q1495" s="8" t="str">
        <f>_xlfn.IFS(AND(Table13[[#This Row],[Gender]]="female",R1495&lt;20),"Athletes",AND(Table13[[#This Row],[Gender]]="female",R1495&lt;24),"Fitnesss",AND(Table13[[#This Row],[Gender]]="female",R1495&lt;31),"Acceptable",AND(Table13[[#This Row],[Gender]]="female",R1495&lt;40),"Obese",AND(Table13[[#This Row],[Gender]]="male",R1495&lt;13),"Athletes",AND(Table13[[#This Row],[Gender]]="male",R1495&lt;17),"Fitnesss",AND(Table13[[#This Row],[Gender]]="male",R1495&lt;24.9),"Acceptable",AND(Table13[[#This Row],[Gender]]="male",R1495&lt;40),"Obese",AND(Table13[[#This Row],[Gender]]="others",R1495&lt;20),"Athletes",AND(Table13[[#This Row],[Gender]]="others",R1495&lt;24),"Fitnesss",AND(Table13[[#This Row],[Gender]]="others",R1495&lt;31),"Acceptable",AND(Table13[[#This Row],[Gender]]="others",R1495&lt;40),"Obese")</f>
        <v>Acceptable</v>
      </c>
      <c r="R1495" s="8">
        <v>25</v>
      </c>
      <c r="S1495" s="8">
        <v>3.3</v>
      </c>
      <c r="T1495" s="8">
        <v>5</v>
      </c>
      <c r="U1495" s="8">
        <v>2</v>
      </c>
      <c r="V1495" s="8" t="str">
        <f>IF(Table13[[#This Row],[BMI]]&lt;=18.5,"Underweight",IF(Table13[[#This Row],[BMI]]&lt;=24.9,"Normal",IF(Table13[[#This Row],[BMI]]&lt;=29.9,"Overweight",IF(Table13[[#This Row],[BMI]]&lt;=39,"Obese","Severly Obese"))))</f>
        <v>Underweight</v>
      </c>
      <c r="W1495" s="18">
        <v>18.03</v>
      </c>
    </row>
    <row r="1496" spans="6:23" x14ac:dyDescent="0.3">
      <c r="F1496" s="17">
        <v>34</v>
      </c>
      <c r="G1496" s="8" t="str">
        <f>IF(Table13[[#This Row],[Age]]&lt;25,"18-24",IF(Table13[[#This Row],[Age]]&lt;35,"25-34",IF(Table13[[#This Row],[Age]]&lt;45,"35-44",IF(Table13[[#This Row],[Age]]&lt;55,"45-54","55-64"))))</f>
        <v>25-34</v>
      </c>
      <c r="H1496" s="8" t="s">
        <v>19</v>
      </c>
      <c r="I1496" s="8">
        <v>47.8</v>
      </c>
      <c r="J1496" s="8">
        <v>1.69</v>
      </c>
      <c r="K1496" s="8">
        <v>182</v>
      </c>
      <c r="L1496" s="8">
        <v>153</v>
      </c>
      <c r="M1496" s="8">
        <v>68</v>
      </c>
      <c r="N1496" s="8">
        <v>1.63</v>
      </c>
      <c r="O1496" s="8">
        <v>1249</v>
      </c>
      <c r="P1496" s="8" t="s">
        <v>22</v>
      </c>
      <c r="Q1496" s="8" t="str">
        <f>_xlfn.IFS(AND(Table13[[#This Row],[Gender]]="female",R1496&lt;20),"Athletes",AND(Table13[[#This Row],[Gender]]="female",R1496&lt;24),"Fitnesss",AND(Table13[[#This Row],[Gender]]="female",R1496&lt;31),"Acceptable",AND(Table13[[#This Row],[Gender]]="female",R1496&lt;40),"Obese",AND(Table13[[#This Row],[Gender]]="male",R1496&lt;13),"Athletes",AND(Table13[[#This Row],[Gender]]="male",R1496&lt;17),"Fitnesss",AND(Table13[[#This Row],[Gender]]="male",R1496&lt;24.9),"Acceptable",AND(Table13[[#This Row],[Gender]]="male",R1496&lt;40),"Obese",AND(Table13[[#This Row],[Gender]]="others",R1496&lt;20),"Athletes",AND(Table13[[#This Row],[Gender]]="others",R1496&lt;24),"Fitnesss",AND(Table13[[#This Row],[Gender]]="others",R1496&lt;31),"Acceptable",AND(Table13[[#This Row],[Gender]]="others",R1496&lt;40),"Obese")</f>
        <v>Acceptable</v>
      </c>
      <c r="R1496" s="8">
        <v>20.2</v>
      </c>
      <c r="S1496" s="8">
        <v>1.5</v>
      </c>
      <c r="T1496" s="8">
        <v>4</v>
      </c>
      <c r="U1496" s="8">
        <v>3</v>
      </c>
      <c r="V1496" s="8" t="str">
        <f>IF(Table13[[#This Row],[BMI]]&lt;=18.5,"Underweight",IF(Table13[[#This Row],[BMI]]&lt;=24.9,"Normal",IF(Table13[[#This Row],[BMI]]&lt;=29.9,"Overweight",IF(Table13[[#This Row],[BMI]]&lt;=39,"Obese","Severly Obese"))))</f>
        <v>Underweight</v>
      </c>
      <c r="W1496" s="18">
        <v>12.32</v>
      </c>
    </row>
    <row r="1497" spans="6:23" x14ac:dyDescent="0.3">
      <c r="F1497" s="17">
        <v>19</v>
      </c>
      <c r="G1497" s="8" t="str">
        <f>IF(Table13[[#This Row],[Age]]&lt;25,"18-24",IF(Table13[[#This Row],[Age]]&lt;35,"25-34",IF(Table13[[#This Row],[Age]]&lt;45,"35-44",IF(Table13[[#This Row],[Age]]&lt;55,"45-54","55-64"))))</f>
        <v>18-24</v>
      </c>
      <c r="H1497" s="8" t="s">
        <v>19</v>
      </c>
      <c r="I1497" s="8">
        <v>79.400000000000006</v>
      </c>
      <c r="J1497" s="8">
        <v>1.77</v>
      </c>
      <c r="K1497" s="8">
        <v>165</v>
      </c>
      <c r="L1497" s="8">
        <v>150</v>
      </c>
      <c r="M1497" s="8">
        <v>73</v>
      </c>
      <c r="N1497" s="8">
        <v>1.23</v>
      </c>
      <c r="O1497" s="8">
        <v>1148</v>
      </c>
      <c r="P1497" s="8" t="s">
        <v>20</v>
      </c>
      <c r="Q1497" s="8" t="str">
        <f>_xlfn.IFS(AND(Table13[[#This Row],[Gender]]="female",R1497&lt;20),"Athletes",AND(Table13[[#This Row],[Gender]]="female",R1497&lt;24),"Fitnesss",AND(Table13[[#This Row],[Gender]]="female",R1497&lt;31),"Acceptable",AND(Table13[[#This Row],[Gender]]="female",R1497&lt;40),"Obese",AND(Table13[[#This Row],[Gender]]="male",R1497&lt;13),"Athletes",AND(Table13[[#This Row],[Gender]]="male",R1497&lt;17),"Fitnesss",AND(Table13[[#This Row],[Gender]]="male",R1497&lt;24.9),"Acceptable",AND(Table13[[#This Row],[Gender]]="male",R1497&lt;40),"Obese",AND(Table13[[#This Row],[Gender]]="others",R1497&lt;20),"Athletes",AND(Table13[[#This Row],[Gender]]="others",R1497&lt;24),"Fitnesss",AND(Table13[[#This Row],[Gender]]="others",R1497&lt;31),"Acceptable",AND(Table13[[#This Row],[Gender]]="others",R1497&lt;40),"Obese")</f>
        <v>Acceptable</v>
      </c>
      <c r="R1497" s="8">
        <v>24.1</v>
      </c>
      <c r="S1497" s="8">
        <v>3.3</v>
      </c>
      <c r="T1497" s="8">
        <v>3</v>
      </c>
      <c r="U1497" s="8">
        <v>2</v>
      </c>
      <c r="V1497" s="8" t="str">
        <f>IF(Table13[[#This Row],[BMI]]&lt;=18.5,"Underweight",IF(Table13[[#This Row],[BMI]]&lt;=24.9,"Normal",IF(Table13[[#This Row],[BMI]]&lt;=29.9,"Overweight",IF(Table13[[#This Row],[BMI]]&lt;=39,"Obese","Severly Obese"))))</f>
        <v>Normal</v>
      </c>
      <c r="W1497" s="18">
        <v>22.64</v>
      </c>
    </row>
    <row r="1498" spans="6:23" x14ac:dyDescent="0.3">
      <c r="F1498" s="17">
        <v>33</v>
      </c>
      <c r="G1498" s="8" t="str">
        <f>IF(Table13[[#This Row],[Age]]&lt;25,"18-24",IF(Table13[[#This Row],[Age]]&lt;35,"25-34",IF(Table13[[#This Row],[Age]]&lt;45,"35-44",IF(Table13[[#This Row],[Age]]&lt;55,"45-54","55-64"))))</f>
        <v>25-34</v>
      </c>
      <c r="H1498" s="8" t="s">
        <v>17</v>
      </c>
      <c r="I1498" s="8">
        <v>62.4</v>
      </c>
      <c r="J1498" s="8">
        <v>1.72</v>
      </c>
      <c r="K1498" s="8">
        <v>168</v>
      </c>
      <c r="L1498" s="8">
        <v>164</v>
      </c>
      <c r="M1498" s="8">
        <v>74</v>
      </c>
      <c r="N1498" s="8">
        <v>0.91</v>
      </c>
      <c r="O1498" s="8">
        <v>1042</v>
      </c>
      <c r="P1498" s="8" t="s">
        <v>22</v>
      </c>
      <c r="Q1498" s="8" t="str">
        <f>_xlfn.IFS(AND(Table13[[#This Row],[Gender]]="female",R1498&lt;20),"Athletes",AND(Table13[[#This Row],[Gender]]="female",R1498&lt;24),"Fitnesss",AND(Table13[[#This Row],[Gender]]="female",R1498&lt;31),"Acceptable",AND(Table13[[#This Row],[Gender]]="female",R1498&lt;40),"Obese",AND(Table13[[#This Row],[Gender]]="male",R1498&lt;13),"Athletes",AND(Table13[[#This Row],[Gender]]="male",R1498&lt;17),"Fitnesss",AND(Table13[[#This Row],[Gender]]="male",R1498&lt;24.9),"Acceptable",AND(Table13[[#This Row],[Gender]]="male",R1498&lt;40),"Obese",AND(Table13[[#This Row],[Gender]]="others",R1498&lt;20),"Athletes",AND(Table13[[#This Row],[Gender]]="others",R1498&lt;24),"Fitnesss",AND(Table13[[#This Row],[Gender]]="others",R1498&lt;31),"Acceptable",AND(Table13[[#This Row],[Gender]]="others",R1498&lt;40),"Obese")</f>
        <v>Acceptable</v>
      </c>
      <c r="R1498" s="8">
        <v>27.1</v>
      </c>
      <c r="S1498" s="8">
        <v>3.4</v>
      </c>
      <c r="T1498" s="8">
        <v>5</v>
      </c>
      <c r="U1498" s="8">
        <v>2</v>
      </c>
      <c r="V1498" s="8" t="str">
        <f>IF(Table13[[#This Row],[BMI]]&lt;=18.5,"Underweight",IF(Table13[[#This Row],[BMI]]&lt;=24.9,"Normal",IF(Table13[[#This Row],[BMI]]&lt;=29.9,"Overweight",IF(Table13[[#This Row],[BMI]]&lt;=39,"Obese","Severly Obese"))))</f>
        <v>Overweight</v>
      </c>
      <c r="W1498" s="18">
        <v>29.29</v>
      </c>
    </row>
    <row r="1499" spans="6:23" x14ac:dyDescent="0.3">
      <c r="F1499" s="17">
        <v>47</v>
      </c>
      <c r="G1499" s="8" t="str">
        <f>IF(Table13[[#This Row],[Age]]&lt;25,"18-24",IF(Table13[[#This Row],[Age]]&lt;35,"25-34",IF(Table13[[#This Row],[Age]]&lt;45,"35-44",IF(Table13[[#This Row],[Age]]&lt;55,"45-54","55-64"))))</f>
        <v>45-54</v>
      </c>
      <c r="H1499" s="8" t="s">
        <v>19</v>
      </c>
      <c r="I1499" s="8">
        <v>71.3</v>
      </c>
      <c r="J1499" s="8">
        <v>1.83</v>
      </c>
      <c r="K1499" s="8">
        <v>186</v>
      </c>
      <c r="L1499" s="8">
        <v>163</v>
      </c>
      <c r="M1499" s="8">
        <v>68</v>
      </c>
      <c r="N1499" s="8">
        <v>0.95</v>
      </c>
      <c r="O1499" s="8">
        <v>837</v>
      </c>
      <c r="P1499" s="8" t="s">
        <v>18</v>
      </c>
      <c r="Q1499" s="8" t="str">
        <f>_xlfn.IFS(AND(Table13[[#This Row],[Gender]]="female",R1499&lt;20),"Athletes",AND(Table13[[#This Row],[Gender]]="female",R1499&lt;24),"Fitnesss",AND(Table13[[#This Row],[Gender]]="female",R1499&lt;31),"Acceptable",AND(Table13[[#This Row],[Gender]]="female",R1499&lt;40),"Obese",AND(Table13[[#This Row],[Gender]]="male",R1499&lt;13),"Athletes",AND(Table13[[#This Row],[Gender]]="male",R1499&lt;17),"Fitnesss",AND(Table13[[#This Row],[Gender]]="male",R1499&lt;24.9),"Acceptable",AND(Table13[[#This Row],[Gender]]="male",R1499&lt;40),"Obese",AND(Table13[[#This Row],[Gender]]="others",R1499&lt;20),"Athletes",AND(Table13[[#This Row],[Gender]]="others",R1499&lt;24),"Fitnesss",AND(Table13[[#This Row],[Gender]]="others",R1499&lt;31),"Acceptable",AND(Table13[[#This Row],[Gender]]="others",R1499&lt;40),"Obese")</f>
        <v>Acceptable</v>
      </c>
      <c r="R1499" s="8">
        <v>22.6</v>
      </c>
      <c r="S1499" s="8">
        <v>1.5</v>
      </c>
      <c r="T1499" s="8">
        <v>5</v>
      </c>
      <c r="U1499" s="8">
        <v>2</v>
      </c>
      <c r="V1499" s="8" t="str">
        <f>IF(Table13[[#This Row],[BMI]]&lt;=18.5,"Underweight",IF(Table13[[#This Row],[BMI]]&lt;=24.9,"Normal",IF(Table13[[#This Row],[BMI]]&lt;=29.9,"Overweight",IF(Table13[[#This Row],[BMI]]&lt;=39,"Obese","Severly Obese"))))</f>
        <v>Normal</v>
      </c>
      <c r="W1499" s="18">
        <v>18.61</v>
      </c>
    </row>
    <row r="1500" spans="6:23" x14ac:dyDescent="0.3">
      <c r="F1500" s="17">
        <v>37</v>
      </c>
      <c r="G1500" s="8" t="str">
        <f>IF(Table13[[#This Row],[Age]]&lt;25,"18-24",IF(Table13[[#This Row],[Age]]&lt;35,"25-34",IF(Table13[[#This Row],[Age]]&lt;45,"35-44",IF(Table13[[#This Row],[Age]]&lt;55,"45-54","55-64"))))</f>
        <v>35-44</v>
      </c>
      <c r="H1500" s="8" t="s">
        <v>19</v>
      </c>
      <c r="I1500" s="8">
        <v>116.2</v>
      </c>
      <c r="J1500" s="8">
        <v>1.65</v>
      </c>
      <c r="K1500" s="8">
        <v>194</v>
      </c>
      <c r="L1500" s="8">
        <v>160</v>
      </c>
      <c r="M1500" s="8">
        <v>74</v>
      </c>
      <c r="N1500" s="8">
        <v>1.98</v>
      </c>
      <c r="O1500" s="8">
        <v>1036</v>
      </c>
      <c r="P1500" s="8" t="s">
        <v>22</v>
      </c>
      <c r="Q1500" s="8" t="str">
        <f>_xlfn.IFS(AND(Table13[[#This Row],[Gender]]="female",R1500&lt;20),"Athletes",AND(Table13[[#This Row],[Gender]]="female",R1500&lt;24),"Fitnesss",AND(Table13[[#This Row],[Gender]]="female",R1500&lt;31),"Acceptable",AND(Table13[[#This Row],[Gender]]="female",R1500&lt;40),"Obese",AND(Table13[[#This Row],[Gender]]="male",R1500&lt;13),"Athletes",AND(Table13[[#This Row],[Gender]]="male",R1500&lt;17),"Fitnesss",AND(Table13[[#This Row],[Gender]]="male",R1500&lt;24.9),"Acceptable",AND(Table13[[#This Row],[Gender]]="male",R1500&lt;40),"Obese",AND(Table13[[#This Row],[Gender]]="others",R1500&lt;20),"Athletes",AND(Table13[[#This Row],[Gender]]="others",R1500&lt;24),"Fitnesss",AND(Table13[[#This Row],[Gender]]="others",R1500&lt;31),"Acceptable",AND(Table13[[#This Row],[Gender]]="others",R1500&lt;40),"Obese")</f>
        <v>Acceptable</v>
      </c>
      <c r="R1500" s="8">
        <v>22.1</v>
      </c>
      <c r="S1500" s="8">
        <v>2.4</v>
      </c>
      <c r="T1500" s="8">
        <v>4</v>
      </c>
      <c r="U1500" s="8">
        <v>1</v>
      </c>
      <c r="V1500" s="8" t="str">
        <f>IF(Table13[[#This Row],[BMI]]&lt;=18.5,"Underweight",IF(Table13[[#This Row],[BMI]]&lt;=24.9,"Normal",IF(Table13[[#This Row],[BMI]]&lt;=29.9,"Overweight",IF(Table13[[#This Row],[BMI]]&lt;=39,"Obese","Severly Obese"))))</f>
        <v>Normal</v>
      </c>
      <c r="W1500" s="18">
        <v>23.58</v>
      </c>
    </row>
    <row r="1501" spans="6:23" x14ac:dyDescent="0.3">
      <c r="F1501" s="17">
        <v>50</v>
      </c>
      <c r="G1501" s="8" t="str">
        <f>IF(Table13[[#This Row],[Age]]&lt;25,"18-24",IF(Table13[[#This Row],[Age]]&lt;35,"25-34",IF(Table13[[#This Row],[Age]]&lt;45,"35-44",IF(Table13[[#This Row],[Age]]&lt;55,"45-54","55-64"))))</f>
        <v>45-54</v>
      </c>
      <c r="H1501" s="8" t="s">
        <v>19</v>
      </c>
      <c r="I1501" s="8">
        <v>55.8</v>
      </c>
      <c r="J1501" s="8">
        <v>1.81</v>
      </c>
      <c r="K1501" s="8">
        <v>161</v>
      </c>
      <c r="L1501" s="8">
        <v>126</v>
      </c>
      <c r="M1501" s="8">
        <v>55</v>
      </c>
      <c r="N1501" s="8">
        <v>1.32</v>
      </c>
      <c r="O1501" s="8">
        <v>909</v>
      </c>
      <c r="P1501" s="8" t="s">
        <v>22</v>
      </c>
      <c r="Q1501" s="8" t="str">
        <f>_xlfn.IFS(AND(Table13[[#This Row],[Gender]]="female",R1501&lt;20),"Athletes",AND(Table13[[#This Row],[Gender]]="female",R1501&lt;24),"Fitnesss",AND(Table13[[#This Row],[Gender]]="female",R1501&lt;31),"Acceptable",AND(Table13[[#This Row],[Gender]]="female",R1501&lt;40),"Obese",AND(Table13[[#This Row],[Gender]]="male",R1501&lt;13),"Athletes",AND(Table13[[#This Row],[Gender]]="male",R1501&lt;17),"Fitnesss",AND(Table13[[#This Row],[Gender]]="male",R1501&lt;24.9),"Acceptable",AND(Table13[[#This Row],[Gender]]="male",R1501&lt;40),"Obese",AND(Table13[[#This Row],[Gender]]="others",R1501&lt;20),"Athletes",AND(Table13[[#This Row],[Gender]]="others",R1501&lt;24),"Fitnesss",AND(Table13[[#This Row],[Gender]]="others",R1501&lt;31),"Acceptable",AND(Table13[[#This Row],[Gender]]="others",R1501&lt;40),"Obese")</f>
        <v>Acceptable</v>
      </c>
      <c r="R1501" s="8">
        <v>23.6</v>
      </c>
      <c r="S1501" s="8">
        <v>2.9</v>
      </c>
      <c r="T1501" s="8">
        <v>4</v>
      </c>
      <c r="U1501" s="8">
        <v>2</v>
      </c>
      <c r="V1501" s="8" t="str">
        <f>IF(Table13[[#This Row],[BMI]]&lt;=18.5,"Underweight",IF(Table13[[#This Row],[BMI]]&lt;=24.9,"Normal",IF(Table13[[#This Row],[BMI]]&lt;=29.9,"Overweight",IF(Table13[[#This Row],[BMI]]&lt;=39,"Obese","Severly Obese"))))</f>
        <v>Underweight</v>
      </c>
      <c r="W1501" s="18">
        <v>12.32</v>
      </c>
    </row>
    <row r="1502" spans="6:23" x14ac:dyDescent="0.3">
      <c r="F1502" s="17">
        <v>49</v>
      </c>
      <c r="G1502" s="8" t="str">
        <f>IF(Table13[[#This Row],[Age]]&lt;25,"18-24",IF(Table13[[#This Row],[Age]]&lt;35,"25-34",IF(Table13[[#This Row],[Age]]&lt;45,"35-44",IF(Table13[[#This Row],[Age]]&lt;55,"45-54","55-64"))))</f>
        <v>45-54</v>
      </c>
      <c r="H1502" s="8" t="s">
        <v>19</v>
      </c>
      <c r="I1502" s="8">
        <v>53.5</v>
      </c>
      <c r="J1502" s="8">
        <v>1.79</v>
      </c>
      <c r="K1502" s="8">
        <v>167</v>
      </c>
      <c r="L1502" s="8">
        <v>158</v>
      </c>
      <c r="M1502" s="8">
        <v>64</v>
      </c>
      <c r="N1502" s="8">
        <v>1.31</v>
      </c>
      <c r="O1502" s="8">
        <v>1268</v>
      </c>
      <c r="P1502" s="8" t="s">
        <v>22</v>
      </c>
      <c r="Q1502" s="8" t="str">
        <f>_xlfn.IFS(AND(Table13[[#This Row],[Gender]]="female",R1502&lt;20),"Athletes",AND(Table13[[#This Row],[Gender]]="female",R1502&lt;24),"Fitnesss",AND(Table13[[#This Row],[Gender]]="female",R1502&lt;31),"Acceptable",AND(Table13[[#This Row],[Gender]]="female",R1502&lt;40),"Obese",AND(Table13[[#This Row],[Gender]]="male",R1502&lt;13),"Athletes",AND(Table13[[#This Row],[Gender]]="male",R1502&lt;17),"Fitnesss",AND(Table13[[#This Row],[Gender]]="male",R1502&lt;24.9),"Acceptable",AND(Table13[[#This Row],[Gender]]="male",R1502&lt;40),"Obese",AND(Table13[[#This Row],[Gender]]="others",R1502&lt;20),"Athletes",AND(Table13[[#This Row],[Gender]]="others",R1502&lt;24),"Fitnesss",AND(Table13[[#This Row],[Gender]]="others",R1502&lt;31),"Acceptable",AND(Table13[[#This Row],[Gender]]="others",R1502&lt;40),"Obese")</f>
        <v>Athletes</v>
      </c>
      <c r="R1502" s="8"/>
      <c r="S1502" s="8">
        <v>1.9</v>
      </c>
      <c r="T1502" s="8">
        <v>2</v>
      </c>
      <c r="U1502" s="8">
        <v>1</v>
      </c>
      <c r="V1502" s="8" t="str">
        <f>IF(Table13[[#This Row],[BMI]]&lt;=18.5,"Underweight",IF(Table13[[#This Row],[BMI]]&lt;=24.9,"Normal",IF(Table13[[#This Row],[BMI]]&lt;=29.9,"Overweight",IF(Table13[[#This Row],[BMI]]&lt;=39,"Obese","Severly Obese"))))</f>
        <v>Overweight</v>
      </c>
      <c r="W1502" s="18">
        <v>27.68</v>
      </c>
    </row>
    <row r="1503" spans="6:23" x14ac:dyDescent="0.3">
      <c r="F1503" s="17">
        <v>53</v>
      </c>
      <c r="G1503" s="8" t="str">
        <f>IF(Table13[[#This Row],[Age]]&lt;25,"18-24",IF(Table13[[#This Row],[Age]]&lt;35,"25-34",IF(Table13[[#This Row],[Age]]&lt;45,"35-44",IF(Table13[[#This Row],[Age]]&lt;55,"45-54","55-64"))))</f>
        <v>45-54</v>
      </c>
      <c r="H1503" s="8" t="s">
        <v>17</v>
      </c>
      <c r="I1503" s="8">
        <v>55.9</v>
      </c>
      <c r="J1503" s="8">
        <v>1.78</v>
      </c>
      <c r="K1503" s="8">
        <v>182</v>
      </c>
      <c r="L1503" s="8">
        <v>125</v>
      </c>
      <c r="M1503" s="8">
        <v>58</v>
      </c>
      <c r="N1503" s="8">
        <v>1.45</v>
      </c>
      <c r="O1503" s="8">
        <v>1308</v>
      </c>
      <c r="P1503" s="8" t="s">
        <v>22</v>
      </c>
      <c r="Q1503" s="8" t="str">
        <f>_xlfn.IFS(AND(Table13[[#This Row],[Gender]]="female",R1503&lt;20),"Athletes",AND(Table13[[#This Row],[Gender]]="female",R1503&lt;24),"Fitnesss",AND(Table13[[#This Row],[Gender]]="female",R1503&lt;31),"Acceptable",AND(Table13[[#This Row],[Gender]]="female",R1503&lt;40),"Obese",AND(Table13[[#This Row],[Gender]]="male",R1503&lt;13),"Athletes",AND(Table13[[#This Row],[Gender]]="male",R1503&lt;17),"Fitnesss",AND(Table13[[#This Row],[Gender]]="male",R1503&lt;24.9),"Acceptable",AND(Table13[[#This Row],[Gender]]="male",R1503&lt;40),"Obese",AND(Table13[[#This Row],[Gender]]="others",R1503&lt;20),"Athletes",AND(Table13[[#This Row],[Gender]]="others",R1503&lt;24),"Fitnesss",AND(Table13[[#This Row],[Gender]]="others",R1503&lt;31),"Acceptable",AND(Table13[[#This Row],[Gender]]="others",R1503&lt;40),"Obese")</f>
        <v>Fitnesss</v>
      </c>
      <c r="R1503" s="8">
        <v>21.1</v>
      </c>
      <c r="S1503" s="8">
        <v>1.5</v>
      </c>
      <c r="T1503" s="8">
        <v>3</v>
      </c>
      <c r="U1503" s="8">
        <v>2</v>
      </c>
      <c r="V1503" s="8" t="str">
        <f>IF(Table13[[#This Row],[BMI]]&lt;=18.5,"Underweight",IF(Table13[[#This Row],[BMI]]&lt;=24.9,"Normal",IF(Table13[[#This Row],[BMI]]&lt;=29.9,"Overweight",IF(Table13[[#This Row],[BMI]]&lt;=39,"Obese","Severly Obese"))))</f>
        <v>Underweight</v>
      </c>
      <c r="W1503" s="18">
        <v>12.32</v>
      </c>
    </row>
    <row r="1504" spans="6:23" x14ac:dyDescent="0.3">
      <c r="F1504" s="17">
        <v>29</v>
      </c>
      <c r="G1504" s="8" t="str">
        <f>IF(Table13[[#This Row],[Age]]&lt;25,"18-24",IF(Table13[[#This Row],[Age]]&lt;35,"25-34",IF(Table13[[#This Row],[Age]]&lt;45,"35-44",IF(Table13[[#This Row],[Age]]&lt;55,"45-54","55-64"))))</f>
        <v>25-34</v>
      </c>
      <c r="H1504" s="8" t="s">
        <v>17</v>
      </c>
      <c r="I1504" s="8">
        <v>80.7</v>
      </c>
      <c r="J1504" s="8">
        <v>1.74</v>
      </c>
      <c r="K1504" s="8">
        <v>192</v>
      </c>
      <c r="L1504" s="8">
        <v>121</v>
      </c>
      <c r="M1504" s="8">
        <v>72</v>
      </c>
      <c r="N1504" s="8">
        <v>1.43</v>
      </c>
      <c r="O1504" s="8">
        <v>839</v>
      </c>
      <c r="P1504" s="8" t="s">
        <v>18</v>
      </c>
      <c r="Q1504" s="8" t="str">
        <f>_xlfn.IFS(AND(Table13[[#This Row],[Gender]]="female",R1504&lt;20),"Athletes",AND(Table13[[#This Row],[Gender]]="female",R1504&lt;24),"Fitnesss",AND(Table13[[#This Row],[Gender]]="female",R1504&lt;31),"Acceptable",AND(Table13[[#This Row],[Gender]]="female",R1504&lt;40),"Obese",AND(Table13[[#This Row],[Gender]]="male",R1504&lt;13),"Athletes",AND(Table13[[#This Row],[Gender]]="male",R1504&lt;17),"Fitnesss",AND(Table13[[#This Row],[Gender]]="male",R1504&lt;24.9),"Acceptable",AND(Table13[[#This Row],[Gender]]="male",R1504&lt;40),"Obese",AND(Table13[[#This Row],[Gender]]="others",R1504&lt;20),"Athletes",AND(Table13[[#This Row],[Gender]]="others",R1504&lt;24),"Fitnesss",AND(Table13[[#This Row],[Gender]]="others",R1504&lt;31),"Acceptable",AND(Table13[[#This Row],[Gender]]="others",R1504&lt;40),"Obese")</f>
        <v>Acceptable</v>
      </c>
      <c r="R1504" s="8">
        <v>26.5</v>
      </c>
      <c r="S1504" s="8">
        <v>1.5</v>
      </c>
      <c r="T1504" s="8">
        <v>4</v>
      </c>
      <c r="U1504" s="8">
        <v>1</v>
      </c>
      <c r="V1504" s="8" t="str">
        <f>IF(Table13[[#This Row],[BMI]]&lt;=18.5,"Underweight",IF(Table13[[#This Row],[BMI]]&lt;=24.9,"Normal",IF(Table13[[#This Row],[BMI]]&lt;=29.9,"Overweight",IF(Table13[[#This Row],[BMI]]&lt;=39,"Obese","Severly Obese"))))</f>
        <v>Underweight</v>
      </c>
      <c r="W1504" s="18">
        <v>12.32</v>
      </c>
    </row>
    <row r="1505" spans="6:23" x14ac:dyDescent="0.3">
      <c r="F1505" s="17">
        <v>46</v>
      </c>
      <c r="G1505" s="8" t="str">
        <f>IF(Table13[[#This Row],[Age]]&lt;25,"18-24",IF(Table13[[#This Row],[Age]]&lt;35,"25-34",IF(Table13[[#This Row],[Age]]&lt;45,"35-44",IF(Table13[[#This Row],[Age]]&lt;55,"45-54","55-64"))))</f>
        <v>45-54</v>
      </c>
      <c r="H1505" s="8" t="s">
        <v>19</v>
      </c>
      <c r="I1505" s="8">
        <v>69</v>
      </c>
      <c r="J1505" s="8">
        <v>1.88</v>
      </c>
      <c r="K1505" s="8">
        <v>177</v>
      </c>
      <c r="L1505" s="8">
        <v>120</v>
      </c>
      <c r="M1505" s="8">
        <v>74</v>
      </c>
      <c r="N1505" s="8">
        <v>1.63</v>
      </c>
      <c r="O1505" s="8">
        <v>1183</v>
      </c>
      <c r="P1505" s="8" t="s">
        <v>18</v>
      </c>
      <c r="Q1505" s="8" t="str">
        <f>_xlfn.IFS(AND(Table13[[#This Row],[Gender]]="female",R1505&lt;20),"Athletes",AND(Table13[[#This Row],[Gender]]="female",R1505&lt;24),"Fitnesss",AND(Table13[[#This Row],[Gender]]="female",R1505&lt;31),"Acceptable",AND(Table13[[#This Row],[Gender]]="female",R1505&lt;40),"Obese",AND(Table13[[#This Row],[Gender]]="male",R1505&lt;13),"Athletes",AND(Table13[[#This Row],[Gender]]="male",R1505&lt;17),"Fitnesss",AND(Table13[[#This Row],[Gender]]="male",R1505&lt;24.9),"Acceptable",AND(Table13[[#This Row],[Gender]]="male",R1505&lt;40),"Obese",AND(Table13[[#This Row],[Gender]]="others",R1505&lt;20),"Athletes",AND(Table13[[#This Row],[Gender]]="others",R1505&lt;24),"Fitnesss",AND(Table13[[#This Row],[Gender]]="others",R1505&lt;31),"Acceptable",AND(Table13[[#This Row],[Gender]]="others",R1505&lt;40),"Obese")</f>
        <v>Acceptable</v>
      </c>
      <c r="R1505" s="8">
        <v>23.4</v>
      </c>
      <c r="S1505" s="8">
        <v>3.6</v>
      </c>
      <c r="T1505" s="8">
        <v>4</v>
      </c>
      <c r="U1505" s="8">
        <v>2</v>
      </c>
      <c r="V1505" s="8" t="str">
        <f>IF(Table13[[#This Row],[BMI]]&lt;=18.5,"Underweight",IF(Table13[[#This Row],[BMI]]&lt;=24.9,"Normal",IF(Table13[[#This Row],[BMI]]&lt;=29.9,"Overweight",IF(Table13[[#This Row],[BMI]]&lt;=39,"Obese","Severly Obese"))))</f>
        <v>Underweight</v>
      </c>
      <c r="W1505" s="18">
        <v>14.54</v>
      </c>
    </row>
    <row r="1506" spans="6:23" x14ac:dyDescent="0.3">
      <c r="F1506" s="17">
        <v>34</v>
      </c>
      <c r="G1506" s="8" t="str">
        <f>IF(Table13[[#This Row],[Age]]&lt;25,"18-24",IF(Table13[[#This Row],[Age]]&lt;35,"25-34",IF(Table13[[#This Row],[Age]]&lt;45,"35-44",IF(Table13[[#This Row],[Age]]&lt;55,"45-54","55-64"))))</f>
        <v>25-34</v>
      </c>
      <c r="H1506" s="8" t="s">
        <v>19</v>
      </c>
      <c r="I1506" s="8">
        <v>60.5</v>
      </c>
      <c r="J1506" s="8">
        <v>1.8</v>
      </c>
      <c r="K1506" s="8">
        <v>171</v>
      </c>
      <c r="L1506" s="8">
        <v>120</v>
      </c>
      <c r="M1506" s="8">
        <v>68</v>
      </c>
      <c r="N1506" s="8">
        <v>1.57</v>
      </c>
      <c r="O1506" s="8">
        <v>1452</v>
      </c>
      <c r="P1506" s="8" t="s">
        <v>20</v>
      </c>
      <c r="Q1506" s="8" t="str">
        <f>_xlfn.IFS(AND(Table13[[#This Row],[Gender]]="female",R1506&lt;20),"Athletes",AND(Table13[[#This Row],[Gender]]="female",R1506&lt;24),"Fitnesss",AND(Table13[[#This Row],[Gender]]="female",R1506&lt;31),"Acceptable",AND(Table13[[#This Row],[Gender]]="female",R1506&lt;40),"Obese",AND(Table13[[#This Row],[Gender]]="male",R1506&lt;13),"Athletes",AND(Table13[[#This Row],[Gender]]="male",R1506&lt;17),"Fitnesss",AND(Table13[[#This Row],[Gender]]="male",R1506&lt;24.9),"Acceptable",AND(Table13[[#This Row],[Gender]]="male",R1506&lt;40),"Obese",AND(Table13[[#This Row],[Gender]]="others",R1506&lt;20),"Athletes",AND(Table13[[#This Row],[Gender]]="others",R1506&lt;24),"Fitnesss",AND(Table13[[#This Row],[Gender]]="others",R1506&lt;31),"Acceptable",AND(Table13[[#This Row],[Gender]]="others",R1506&lt;40),"Obese")</f>
        <v>Obese</v>
      </c>
      <c r="R1506" s="8">
        <v>27.1</v>
      </c>
      <c r="S1506" s="8">
        <v>3.2</v>
      </c>
      <c r="T1506" s="8">
        <v>3</v>
      </c>
      <c r="U1506" s="8">
        <v>1</v>
      </c>
      <c r="V1506" s="8" t="str">
        <f>IF(Table13[[#This Row],[BMI]]&lt;=18.5,"Underweight",IF(Table13[[#This Row],[BMI]]&lt;=24.9,"Normal",IF(Table13[[#This Row],[BMI]]&lt;=29.9,"Overweight",IF(Table13[[#This Row],[BMI]]&lt;=39,"Obese","Severly Obese"))))</f>
        <v>Underweight</v>
      </c>
      <c r="W1506" s="18">
        <v>12.32</v>
      </c>
    </row>
    <row r="1507" spans="6:23" x14ac:dyDescent="0.3">
      <c r="F1507" s="17">
        <v>44</v>
      </c>
      <c r="G1507" s="8" t="str">
        <f>IF(Table13[[#This Row],[Age]]&lt;25,"18-24",IF(Table13[[#This Row],[Age]]&lt;35,"25-34",IF(Table13[[#This Row],[Age]]&lt;45,"35-44",IF(Table13[[#This Row],[Age]]&lt;55,"45-54","55-64"))))</f>
        <v>35-44</v>
      </c>
      <c r="H1507" s="8" t="s">
        <v>23</v>
      </c>
      <c r="I1507" s="8">
        <v>71.599999999999994</v>
      </c>
      <c r="J1507" s="8">
        <v>1.73</v>
      </c>
      <c r="K1507" s="8">
        <v>167</v>
      </c>
      <c r="L1507" s="8">
        <v>138</v>
      </c>
      <c r="M1507" s="8">
        <v>71</v>
      </c>
      <c r="N1507" s="8">
        <v>1.45</v>
      </c>
      <c r="O1507" s="8">
        <v>1000</v>
      </c>
      <c r="P1507" s="8" t="s">
        <v>18</v>
      </c>
      <c r="Q1507" s="8" t="str">
        <f>_xlfn.IFS(AND(Table13[[#This Row],[Gender]]="female",R1507&lt;20),"Athletes",AND(Table13[[#This Row],[Gender]]="female",R1507&lt;24),"Fitnesss",AND(Table13[[#This Row],[Gender]]="female",R1507&lt;31),"Acceptable",AND(Table13[[#This Row],[Gender]]="female",R1507&lt;40),"Obese",AND(Table13[[#This Row],[Gender]]="male",R1507&lt;13),"Athletes",AND(Table13[[#This Row],[Gender]]="male",R1507&lt;17),"Fitnesss",AND(Table13[[#This Row],[Gender]]="male",R1507&lt;24.9),"Acceptable",AND(Table13[[#This Row],[Gender]]="male",R1507&lt;40),"Obese",AND(Table13[[#This Row],[Gender]]="others",R1507&lt;20),"Athletes",AND(Table13[[#This Row],[Gender]]="others",R1507&lt;24),"Fitnesss",AND(Table13[[#This Row],[Gender]]="others",R1507&lt;31),"Acceptable",AND(Table13[[#This Row],[Gender]]="others",R1507&lt;40),"Obese")</f>
        <v>Fitnesss</v>
      </c>
      <c r="R1507" s="8">
        <v>23.6</v>
      </c>
      <c r="S1507" s="8">
        <v>2.6</v>
      </c>
      <c r="T1507" s="8">
        <v>2</v>
      </c>
      <c r="U1507" s="8">
        <v>3</v>
      </c>
      <c r="V1507" s="8" t="str">
        <f>IF(Table13[[#This Row],[BMI]]&lt;=18.5,"Underweight",IF(Table13[[#This Row],[BMI]]&lt;=24.9,"Normal",IF(Table13[[#This Row],[BMI]]&lt;=29.9,"Overweight",IF(Table13[[#This Row],[BMI]]&lt;=39,"Obese","Severly Obese"))))</f>
        <v>Normal</v>
      </c>
      <c r="W1507" s="18">
        <v>21.12</v>
      </c>
    </row>
    <row r="1508" spans="6:23" x14ac:dyDescent="0.3">
      <c r="F1508" s="17">
        <v>51</v>
      </c>
      <c r="G1508" s="8" t="str">
        <f>IF(Table13[[#This Row],[Age]]&lt;25,"18-24",IF(Table13[[#This Row],[Age]]&lt;35,"25-34",IF(Table13[[#This Row],[Age]]&lt;45,"35-44",IF(Table13[[#This Row],[Age]]&lt;55,"45-54","55-64"))))</f>
        <v>45-54</v>
      </c>
      <c r="H1508" s="8" t="s">
        <v>17</v>
      </c>
      <c r="I1508" s="8">
        <v>96.3</v>
      </c>
      <c r="J1508" s="8">
        <v>1.88</v>
      </c>
      <c r="K1508" s="8">
        <v>166</v>
      </c>
      <c r="L1508" s="8">
        <v>127</v>
      </c>
      <c r="M1508" s="8">
        <v>59</v>
      </c>
      <c r="N1508" s="8">
        <v>1.32</v>
      </c>
      <c r="O1508" s="8">
        <v>1362</v>
      </c>
      <c r="P1508" s="8" t="s">
        <v>18</v>
      </c>
      <c r="Q1508" s="8" t="str">
        <f>_xlfn.IFS(AND(Table13[[#This Row],[Gender]]="female",R1508&lt;20),"Athletes",AND(Table13[[#This Row],[Gender]]="female",R1508&lt;24),"Fitnesss",AND(Table13[[#This Row],[Gender]]="female",R1508&lt;31),"Acceptable",AND(Table13[[#This Row],[Gender]]="female",R1508&lt;40),"Obese",AND(Table13[[#This Row],[Gender]]="male",R1508&lt;13),"Athletes",AND(Table13[[#This Row],[Gender]]="male",R1508&lt;17),"Fitnesss",AND(Table13[[#This Row],[Gender]]="male",R1508&lt;24.9),"Acceptable",AND(Table13[[#This Row],[Gender]]="male",R1508&lt;40),"Obese",AND(Table13[[#This Row],[Gender]]="others",R1508&lt;20),"Athletes",AND(Table13[[#This Row],[Gender]]="others",R1508&lt;24),"Fitnesss",AND(Table13[[#This Row],[Gender]]="others",R1508&lt;31),"Acceptable",AND(Table13[[#This Row],[Gender]]="others",R1508&lt;40),"Obese")</f>
        <v>Acceptable</v>
      </c>
      <c r="R1508" s="8">
        <v>28.1</v>
      </c>
      <c r="S1508" s="8">
        <v>1.9</v>
      </c>
      <c r="T1508" s="8">
        <v>2</v>
      </c>
      <c r="U1508" s="8">
        <v>2</v>
      </c>
      <c r="V1508" s="8" t="str">
        <f>IF(Table13[[#This Row],[BMI]]&lt;=18.5,"Underweight",IF(Table13[[#This Row],[BMI]]&lt;=24.9,"Normal",IF(Table13[[#This Row],[BMI]]&lt;=29.9,"Overweight",IF(Table13[[#This Row],[BMI]]&lt;=39,"Obese","Severly Obese"))))</f>
        <v>Underweight</v>
      </c>
      <c r="W1508" s="18">
        <v>16.309999999999999</v>
      </c>
    </row>
    <row r="1509" spans="6:23" x14ac:dyDescent="0.3">
      <c r="F1509" s="17">
        <v>47</v>
      </c>
      <c r="G1509" s="8" t="str">
        <f>IF(Table13[[#This Row],[Age]]&lt;25,"18-24",IF(Table13[[#This Row],[Age]]&lt;35,"25-34",IF(Table13[[#This Row],[Age]]&lt;45,"35-44",IF(Table13[[#This Row],[Age]]&lt;55,"45-54","55-64"))))</f>
        <v>45-54</v>
      </c>
      <c r="H1509" s="8" t="s">
        <v>19</v>
      </c>
      <c r="I1509" s="8">
        <v>48.4</v>
      </c>
      <c r="J1509" s="8">
        <v>1.65</v>
      </c>
      <c r="K1509" s="8">
        <v>196</v>
      </c>
      <c r="L1509" s="8">
        <v>148</v>
      </c>
      <c r="M1509" s="8">
        <v>60</v>
      </c>
      <c r="N1509" s="8">
        <v>1.29</v>
      </c>
      <c r="O1509" s="8">
        <v>1357</v>
      </c>
      <c r="P1509" s="8" t="s">
        <v>20</v>
      </c>
      <c r="Q1509" s="8" t="str">
        <f>_xlfn.IFS(AND(Table13[[#This Row],[Gender]]="female",R1509&lt;20),"Athletes",AND(Table13[[#This Row],[Gender]]="female",R1509&lt;24),"Fitnesss",AND(Table13[[#This Row],[Gender]]="female",R1509&lt;31),"Acceptable",AND(Table13[[#This Row],[Gender]]="female",R1509&lt;40),"Obese",AND(Table13[[#This Row],[Gender]]="male",R1509&lt;13),"Athletes",AND(Table13[[#This Row],[Gender]]="male",R1509&lt;17),"Fitnesss",AND(Table13[[#This Row],[Gender]]="male",R1509&lt;24.9),"Acceptable",AND(Table13[[#This Row],[Gender]]="male",R1509&lt;40),"Obese",AND(Table13[[#This Row],[Gender]]="others",R1509&lt;20),"Athletes",AND(Table13[[#This Row],[Gender]]="others",R1509&lt;24),"Fitnesss",AND(Table13[[#This Row],[Gender]]="others",R1509&lt;31),"Acceptable",AND(Table13[[#This Row],[Gender]]="others",R1509&lt;40),"Obese")</f>
        <v>Athletes</v>
      </c>
      <c r="R1509" s="8">
        <v>11.3</v>
      </c>
      <c r="S1509" s="8">
        <v>1.5</v>
      </c>
      <c r="T1509" s="8">
        <v>3</v>
      </c>
      <c r="U1509" s="8">
        <v>2</v>
      </c>
      <c r="V1509" s="8" t="str">
        <f>IF(Table13[[#This Row],[BMI]]&lt;=18.5,"Underweight",IF(Table13[[#This Row],[BMI]]&lt;=24.9,"Normal",IF(Table13[[#This Row],[BMI]]&lt;=29.9,"Overweight",IF(Table13[[#This Row],[BMI]]&lt;=39,"Obese","Severly Obese"))))</f>
        <v>Underweight</v>
      </c>
      <c r="W1509" s="18">
        <v>12.51</v>
      </c>
    </row>
    <row r="1510" spans="6:23" x14ac:dyDescent="0.3">
      <c r="F1510" s="17">
        <v>52</v>
      </c>
      <c r="G1510" s="8" t="str">
        <f>IF(Table13[[#This Row],[Age]]&lt;25,"18-24",IF(Table13[[#This Row],[Age]]&lt;35,"25-34",IF(Table13[[#This Row],[Age]]&lt;45,"35-44",IF(Table13[[#This Row],[Age]]&lt;55,"45-54","55-64"))))</f>
        <v>45-54</v>
      </c>
      <c r="H1510" s="8" t="s">
        <v>19</v>
      </c>
      <c r="I1510" s="8">
        <v>77.8</v>
      </c>
      <c r="J1510" s="8">
        <v>1.59</v>
      </c>
      <c r="K1510" s="8">
        <v>183</v>
      </c>
      <c r="L1510" s="8">
        <v>135</v>
      </c>
      <c r="M1510" s="8">
        <v>50</v>
      </c>
      <c r="N1510" s="8">
        <v>1.37</v>
      </c>
      <c r="O1510" s="8">
        <v>949</v>
      </c>
      <c r="P1510" s="8" t="s">
        <v>20</v>
      </c>
      <c r="Q1510" s="8" t="str">
        <f>_xlfn.IFS(AND(Table13[[#This Row],[Gender]]="female",R1510&lt;20),"Athletes",AND(Table13[[#This Row],[Gender]]="female",R1510&lt;24),"Fitnesss",AND(Table13[[#This Row],[Gender]]="female",R1510&lt;31),"Acceptable",AND(Table13[[#This Row],[Gender]]="female",R1510&lt;40),"Obese",AND(Table13[[#This Row],[Gender]]="male",R1510&lt;13),"Athletes",AND(Table13[[#This Row],[Gender]]="male",R1510&lt;17),"Fitnesss",AND(Table13[[#This Row],[Gender]]="male",R1510&lt;24.9),"Acceptable",AND(Table13[[#This Row],[Gender]]="male",R1510&lt;40),"Obese",AND(Table13[[#This Row],[Gender]]="others",R1510&lt;20),"Athletes",AND(Table13[[#This Row],[Gender]]="others",R1510&lt;24),"Fitnesss",AND(Table13[[#This Row],[Gender]]="others",R1510&lt;31),"Acceptable",AND(Table13[[#This Row],[Gender]]="others",R1510&lt;40),"Obese")</f>
        <v>Obese</v>
      </c>
      <c r="R1510" s="8">
        <v>27.3</v>
      </c>
      <c r="S1510" s="8">
        <v>2.9</v>
      </c>
      <c r="T1510" s="8">
        <v>4</v>
      </c>
      <c r="U1510" s="8">
        <v>2</v>
      </c>
      <c r="V1510" s="8" t="str">
        <f>IF(Table13[[#This Row],[BMI]]&lt;=18.5,"Underweight",IF(Table13[[#This Row],[BMI]]&lt;=24.9,"Normal",IF(Table13[[#This Row],[BMI]]&lt;=29.9,"Overweight",IF(Table13[[#This Row],[BMI]]&lt;=39,"Obese","Severly Obese"))))</f>
        <v>Normal</v>
      </c>
      <c r="W1510" s="18">
        <v>23.73</v>
      </c>
    </row>
    <row r="1511" spans="6:23" x14ac:dyDescent="0.3">
      <c r="F1511" s="17">
        <v>25</v>
      </c>
      <c r="G1511" s="8" t="str">
        <f>IF(Table13[[#This Row],[Age]]&lt;25,"18-24",IF(Table13[[#This Row],[Age]]&lt;35,"25-34",IF(Table13[[#This Row],[Age]]&lt;45,"35-44",IF(Table13[[#This Row],[Age]]&lt;55,"45-54","55-64"))))</f>
        <v>25-34</v>
      </c>
      <c r="H1511" s="8" t="s">
        <v>19</v>
      </c>
      <c r="I1511" s="8">
        <v>85.5</v>
      </c>
      <c r="J1511" s="8">
        <v>1.8</v>
      </c>
      <c r="K1511" s="8">
        <v>168</v>
      </c>
      <c r="L1511" s="8">
        <v>156</v>
      </c>
      <c r="M1511" s="8">
        <v>69</v>
      </c>
      <c r="N1511" s="8">
        <v>1.39</v>
      </c>
      <c r="O1511" s="8">
        <v>644</v>
      </c>
      <c r="P1511" s="8" t="s">
        <v>18</v>
      </c>
      <c r="Q1511" s="8" t="str">
        <f>_xlfn.IFS(AND(Table13[[#This Row],[Gender]]="female",R1511&lt;20),"Athletes",AND(Table13[[#This Row],[Gender]]="female",R1511&lt;24),"Fitnesss",AND(Table13[[#This Row],[Gender]]="female",R1511&lt;31),"Acceptable",AND(Table13[[#This Row],[Gender]]="female",R1511&lt;40),"Obese",AND(Table13[[#This Row],[Gender]]="male",R1511&lt;13),"Athletes",AND(Table13[[#This Row],[Gender]]="male",R1511&lt;17),"Fitnesss",AND(Table13[[#This Row],[Gender]]="male",R1511&lt;24.9),"Acceptable",AND(Table13[[#This Row],[Gender]]="male",R1511&lt;40),"Obese",AND(Table13[[#This Row],[Gender]]="others",R1511&lt;20),"Athletes",AND(Table13[[#This Row],[Gender]]="others",R1511&lt;24),"Fitnesss",AND(Table13[[#This Row],[Gender]]="others",R1511&lt;31),"Acceptable",AND(Table13[[#This Row],[Gender]]="others",R1511&lt;40),"Obese")</f>
        <v>Fitnesss</v>
      </c>
      <c r="R1511" s="8">
        <v>15.7</v>
      </c>
      <c r="S1511" s="8">
        <v>3.3</v>
      </c>
      <c r="T1511" s="8">
        <v>2</v>
      </c>
      <c r="U1511" s="8">
        <v>1</v>
      </c>
      <c r="V1511" s="8" t="str">
        <f>IF(Table13[[#This Row],[BMI]]&lt;=18.5,"Underweight",IF(Table13[[#This Row],[BMI]]&lt;=24.9,"Normal",IF(Table13[[#This Row],[BMI]]&lt;=29.9,"Overweight",IF(Table13[[#This Row],[BMI]]&lt;=39,"Obese","Severly Obese"))))</f>
        <v>Underweight</v>
      </c>
      <c r="W1511" s="18">
        <v>12.32</v>
      </c>
    </row>
    <row r="1512" spans="6:23" x14ac:dyDescent="0.3">
      <c r="F1512" s="17">
        <v>28</v>
      </c>
      <c r="G1512" s="8" t="str">
        <f>IF(Table13[[#This Row],[Age]]&lt;25,"18-24",IF(Table13[[#This Row],[Age]]&lt;35,"25-34",IF(Table13[[#This Row],[Age]]&lt;45,"35-44",IF(Table13[[#This Row],[Age]]&lt;55,"45-54","55-64"))))</f>
        <v>25-34</v>
      </c>
      <c r="H1512" s="8" t="s">
        <v>23</v>
      </c>
      <c r="I1512" s="8">
        <v>74.900000000000006</v>
      </c>
      <c r="J1512" s="8">
        <v>1.74</v>
      </c>
      <c r="K1512" s="8">
        <v>196</v>
      </c>
      <c r="L1512" s="8">
        <v>163</v>
      </c>
      <c r="M1512" s="8">
        <v>54</v>
      </c>
      <c r="N1512" s="8">
        <v>1.24</v>
      </c>
      <c r="O1512" s="8">
        <v>1144</v>
      </c>
      <c r="P1512" s="8" t="s">
        <v>20</v>
      </c>
      <c r="Q1512" s="8" t="str">
        <f>_xlfn.IFS(AND(Table13[[#This Row],[Gender]]="female",R1512&lt;20),"Athletes",AND(Table13[[#This Row],[Gender]]="female",R1512&lt;24),"Fitnesss",AND(Table13[[#This Row],[Gender]]="female",R1512&lt;31),"Acceptable",AND(Table13[[#This Row],[Gender]]="female",R1512&lt;40),"Obese",AND(Table13[[#This Row],[Gender]]="male",R1512&lt;13),"Athletes",AND(Table13[[#This Row],[Gender]]="male",R1512&lt;17),"Fitnesss",AND(Table13[[#This Row],[Gender]]="male",R1512&lt;24.9),"Acceptable",AND(Table13[[#This Row],[Gender]]="male",R1512&lt;40),"Obese",AND(Table13[[#This Row],[Gender]]="others",R1512&lt;20),"Athletes",AND(Table13[[#This Row],[Gender]]="others",R1512&lt;24),"Fitnesss",AND(Table13[[#This Row],[Gender]]="others",R1512&lt;31),"Acceptable",AND(Table13[[#This Row],[Gender]]="others",R1512&lt;40),"Obese")</f>
        <v>Acceptable</v>
      </c>
      <c r="R1512" s="8">
        <v>30.7</v>
      </c>
      <c r="S1512" s="8">
        <v>1.6</v>
      </c>
      <c r="T1512" s="8">
        <v>2</v>
      </c>
      <c r="U1512" s="8">
        <v>1</v>
      </c>
      <c r="V1512" s="8" t="str">
        <f>IF(Table13[[#This Row],[BMI]]&lt;=18.5,"Underweight",IF(Table13[[#This Row],[BMI]]&lt;=24.9,"Normal",IF(Table13[[#This Row],[BMI]]&lt;=29.9,"Overweight",IF(Table13[[#This Row],[BMI]]&lt;=39,"Obese","Severly Obese"))))</f>
        <v>Overweight</v>
      </c>
      <c r="W1512" s="18">
        <v>25.53</v>
      </c>
    </row>
    <row r="1513" spans="6:23" x14ac:dyDescent="0.3">
      <c r="F1513" s="17">
        <v>30</v>
      </c>
      <c r="G1513" s="8" t="str">
        <f>IF(Table13[[#This Row],[Age]]&lt;25,"18-24",IF(Table13[[#This Row],[Age]]&lt;35,"25-34",IF(Table13[[#This Row],[Age]]&lt;45,"35-44",IF(Table13[[#This Row],[Age]]&lt;55,"45-54","55-64"))))</f>
        <v>25-34</v>
      </c>
      <c r="H1513" s="8" t="s">
        <v>19</v>
      </c>
      <c r="I1513" s="8">
        <v>67.400000000000006</v>
      </c>
      <c r="J1513" s="8">
        <v>1.79</v>
      </c>
      <c r="K1513" s="8">
        <v>185</v>
      </c>
      <c r="L1513" s="8">
        <v>169</v>
      </c>
      <c r="M1513" s="8">
        <v>59</v>
      </c>
      <c r="N1513" s="8">
        <v>1.27</v>
      </c>
      <c r="O1513" s="8">
        <v>1398</v>
      </c>
      <c r="P1513" s="8" t="s">
        <v>20</v>
      </c>
      <c r="Q1513" s="8" t="str">
        <f>_xlfn.IFS(AND(Table13[[#This Row],[Gender]]="female",R1513&lt;20),"Athletes",AND(Table13[[#This Row],[Gender]]="female",R1513&lt;24),"Fitnesss",AND(Table13[[#This Row],[Gender]]="female",R1513&lt;31),"Acceptable",AND(Table13[[#This Row],[Gender]]="female",R1513&lt;40),"Obese",AND(Table13[[#This Row],[Gender]]="male",R1513&lt;13),"Athletes",AND(Table13[[#This Row],[Gender]]="male",R1513&lt;17),"Fitnesss",AND(Table13[[#This Row],[Gender]]="male",R1513&lt;24.9),"Acceptable",AND(Table13[[#This Row],[Gender]]="male",R1513&lt;40),"Obese",AND(Table13[[#This Row],[Gender]]="others",R1513&lt;20),"Athletes",AND(Table13[[#This Row],[Gender]]="others",R1513&lt;24),"Fitnesss",AND(Table13[[#This Row],[Gender]]="others",R1513&lt;31),"Acceptable",AND(Table13[[#This Row],[Gender]]="others",R1513&lt;40),"Obese")</f>
        <v>Acceptable</v>
      </c>
      <c r="R1513" s="8">
        <v>18.899999999999999</v>
      </c>
      <c r="S1513" s="8">
        <v>3.4</v>
      </c>
      <c r="T1513" s="8">
        <v>5</v>
      </c>
      <c r="U1513" s="8">
        <v>3</v>
      </c>
      <c r="V1513" s="8" t="str">
        <f>IF(Table13[[#This Row],[BMI]]&lt;=18.5,"Underweight",IF(Table13[[#This Row],[BMI]]&lt;=24.9,"Normal",IF(Table13[[#This Row],[BMI]]&lt;=29.9,"Overweight",IF(Table13[[#This Row],[BMI]]&lt;=39,"Obese","Severly Obese"))))</f>
        <v>Overweight</v>
      </c>
      <c r="W1513" s="18">
        <v>25.14</v>
      </c>
    </row>
    <row r="1514" spans="6:23" x14ac:dyDescent="0.3">
      <c r="F1514" s="17">
        <v>36</v>
      </c>
      <c r="G1514" s="8" t="str">
        <f>IF(Table13[[#This Row],[Age]]&lt;25,"18-24",IF(Table13[[#This Row],[Age]]&lt;35,"25-34",IF(Table13[[#This Row],[Age]]&lt;45,"35-44",IF(Table13[[#This Row],[Age]]&lt;55,"45-54","55-64"))))</f>
        <v>35-44</v>
      </c>
      <c r="H1514" s="8" t="s">
        <v>19</v>
      </c>
      <c r="I1514" s="8">
        <v>71</v>
      </c>
      <c r="J1514" s="8">
        <v>1.66</v>
      </c>
      <c r="K1514" s="8">
        <v>168</v>
      </c>
      <c r="L1514" s="8">
        <v>131</v>
      </c>
      <c r="M1514" s="8">
        <v>74</v>
      </c>
      <c r="N1514" s="8">
        <v>1.1000000000000001</v>
      </c>
      <c r="O1514" s="8">
        <v>567</v>
      </c>
      <c r="P1514" s="8" t="s">
        <v>21</v>
      </c>
      <c r="Q1514" s="8" t="str">
        <f>_xlfn.IFS(AND(Table13[[#This Row],[Gender]]="female",R1514&lt;20),"Athletes",AND(Table13[[#This Row],[Gender]]="female",R1514&lt;24),"Fitnesss",AND(Table13[[#This Row],[Gender]]="female",R1514&lt;31),"Acceptable",AND(Table13[[#This Row],[Gender]]="female",R1514&lt;40),"Obese",AND(Table13[[#This Row],[Gender]]="male",R1514&lt;13),"Athletes",AND(Table13[[#This Row],[Gender]]="male",R1514&lt;17),"Fitnesss",AND(Table13[[#This Row],[Gender]]="male",R1514&lt;24.9),"Acceptable",AND(Table13[[#This Row],[Gender]]="male",R1514&lt;40),"Obese",AND(Table13[[#This Row],[Gender]]="others",R1514&lt;20),"Athletes",AND(Table13[[#This Row],[Gender]]="others",R1514&lt;24),"Fitnesss",AND(Table13[[#This Row],[Gender]]="others",R1514&lt;31),"Acceptable",AND(Table13[[#This Row],[Gender]]="others",R1514&lt;40),"Obese")</f>
        <v>Acceptable</v>
      </c>
      <c r="R1514" s="8">
        <v>20.3</v>
      </c>
      <c r="S1514" s="8">
        <v>3.7</v>
      </c>
      <c r="T1514" s="8">
        <v>4</v>
      </c>
      <c r="U1514" s="8">
        <v>1</v>
      </c>
      <c r="V1514" s="8" t="str">
        <f>IF(Table13[[#This Row],[BMI]]&lt;=18.5,"Underweight",IF(Table13[[#This Row],[BMI]]&lt;=24.9,"Normal",IF(Table13[[#This Row],[BMI]]&lt;=29.9,"Overweight",IF(Table13[[#This Row],[BMI]]&lt;=39,"Obese","Severly Obese"))))</f>
        <v>Overweight</v>
      </c>
      <c r="W1514" s="18">
        <v>28.31</v>
      </c>
    </row>
    <row r="1515" spans="6:23" x14ac:dyDescent="0.3">
      <c r="F1515" s="17">
        <v>24</v>
      </c>
      <c r="G1515" s="8" t="str">
        <f>IF(Table13[[#This Row],[Age]]&lt;25,"18-24",IF(Table13[[#This Row],[Age]]&lt;35,"25-34",IF(Table13[[#This Row],[Age]]&lt;45,"35-44",IF(Table13[[#This Row],[Age]]&lt;55,"45-54","55-64"))))</f>
        <v>18-24</v>
      </c>
      <c r="H1515" s="8" t="s">
        <v>17</v>
      </c>
      <c r="I1515" s="8">
        <v>50.5</v>
      </c>
      <c r="J1515" s="8">
        <v>2</v>
      </c>
      <c r="K1515" s="8">
        <v>177</v>
      </c>
      <c r="L1515" s="8">
        <v>129</v>
      </c>
      <c r="M1515" s="8">
        <v>70</v>
      </c>
      <c r="N1515" s="8">
        <v>1.33</v>
      </c>
      <c r="O1515" s="8">
        <v>1213</v>
      </c>
      <c r="P1515" s="8" t="s">
        <v>18</v>
      </c>
      <c r="Q1515" s="8" t="str">
        <f>_xlfn.IFS(AND(Table13[[#This Row],[Gender]]="female",R1515&lt;20),"Athletes",AND(Table13[[#This Row],[Gender]]="female",R1515&lt;24),"Fitnesss",AND(Table13[[#This Row],[Gender]]="female",R1515&lt;31),"Acceptable",AND(Table13[[#This Row],[Gender]]="female",R1515&lt;40),"Obese",AND(Table13[[#This Row],[Gender]]="male",R1515&lt;13),"Athletes",AND(Table13[[#This Row],[Gender]]="male",R1515&lt;17),"Fitnesss",AND(Table13[[#This Row],[Gender]]="male",R1515&lt;24.9),"Acceptable",AND(Table13[[#This Row],[Gender]]="male",R1515&lt;40),"Obese",AND(Table13[[#This Row],[Gender]]="others",R1515&lt;20),"Athletes",AND(Table13[[#This Row],[Gender]]="others",R1515&lt;24),"Fitnesss",AND(Table13[[#This Row],[Gender]]="others",R1515&lt;31),"Acceptable",AND(Table13[[#This Row],[Gender]]="others",R1515&lt;40),"Obese")</f>
        <v>Acceptable</v>
      </c>
      <c r="R1515" s="8">
        <v>26.6</v>
      </c>
      <c r="S1515" s="8"/>
      <c r="T1515" s="8">
        <v>2</v>
      </c>
      <c r="U1515" s="8">
        <v>2</v>
      </c>
      <c r="V1515" s="8" t="str">
        <f>IF(Table13[[#This Row],[BMI]]&lt;=18.5,"Underweight",IF(Table13[[#This Row],[BMI]]&lt;=24.9,"Normal",IF(Table13[[#This Row],[BMI]]&lt;=29.9,"Overweight",IF(Table13[[#This Row],[BMI]]&lt;=39,"Obese","Severly Obese"))))</f>
        <v>Underweight</v>
      </c>
      <c r="W1515" s="18">
        <v>16.2</v>
      </c>
    </row>
    <row r="1516" spans="6:23" x14ac:dyDescent="0.3">
      <c r="F1516" s="17">
        <v>55</v>
      </c>
      <c r="G1516" s="8" t="str">
        <f>IF(Table13[[#This Row],[Age]]&lt;25,"18-24",IF(Table13[[#This Row],[Age]]&lt;35,"25-34",IF(Table13[[#This Row],[Age]]&lt;45,"35-44",IF(Table13[[#This Row],[Age]]&lt;55,"45-54","55-64"))))</f>
        <v>55-64</v>
      </c>
      <c r="H1516" s="8" t="s">
        <v>19</v>
      </c>
      <c r="I1516" s="8">
        <v>94.8</v>
      </c>
      <c r="J1516" s="8">
        <v>2</v>
      </c>
      <c r="K1516" s="8">
        <v>192</v>
      </c>
      <c r="L1516" s="8">
        <v>169</v>
      </c>
      <c r="M1516" s="8">
        <v>50</v>
      </c>
      <c r="N1516" s="8">
        <v>1.38</v>
      </c>
      <c r="O1516" s="8">
        <v>1458</v>
      </c>
      <c r="P1516" s="8" t="s">
        <v>18</v>
      </c>
      <c r="Q1516" s="8" t="str">
        <f>_xlfn.IFS(AND(Table13[[#This Row],[Gender]]="female",R1516&lt;20),"Athletes",AND(Table13[[#This Row],[Gender]]="female",R1516&lt;24),"Fitnesss",AND(Table13[[#This Row],[Gender]]="female",R1516&lt;31),"Acceptable",AND(Table13[[#This Row],[Gender]]="female",R1516&lt;40),"Obese",AND(Table13[[#This Row],[Gender]]="male",R1516&lt;13),"Athletes",AND(Table13[[#This Row],[Gender]]="male",R1516&lt;17),"Fitnesss",AND(Table13[[#This Row],[Gender]]="male",R1516&lt;24.9),"Acceptable",AND(Table13[[#This Row],[Gender]]="male",R1516&lt;40),"Obese",AND(Table13[[#This Row],[Gender]]="others",R1516&lt;20),"Athletes",AND(Table13[[#This Row],[Gender]]="others",R1516&lt;24),"Fitnesss",AND(Table13[[#This Row],[Gender]]="others",R1516&lt;31),"Acceptable",AND(Table13[[#This Row],[Gender]]="others",R1516&lt;40),"Obese")</f>
        <v>Acceptable</v>
      </c>
      <c r="R1516" s="8">
        <v>23.2</v>
      </c>
      <c r="S1516" s="8">
        <v>2.2999999999999998</v>
      </c>
      <c r="T1516" s="8">
        <v>3</v>
      </c>
      <c r="U1516" s="8">
        <v>3</v>
      </c>
      <c r="V1516" s="8" t="str">
        <f>IF(Table13[[#This Row],[BMI]]&lt;=18.5,"Underweight",IF(Table13[[#This Row],[BMI]]&lt;=24.9,"Normal",IF(Table13[[#This Row],[BMI]]&lt;=29.9,"Overweight",IF(Table13[[#This Row],[BMI]]&lt;=39,"Obese","Severly Obese"))))</f>
        <v>Underweight</v>
      </c>
      <c r="W1516" s="18"/>
    </row>
    <row r="1517" spans="6:23" x14ac:dyDescent="0.3">
      <c r="F1517" s="17">
        <v>18</v>
      </c>
      <c r="G1517" s="8" t="str">
        <f>IF(Table13[[#This Row],[Age]]&lt;25,"18-24",IF(Table13[[#This Row],[Age]]&lt;35,"25-34",IF(Table13[[#This Row],[Age]]&lt;45,"35-44",IF(Table13[[#This Row],[Age]]&lt;55,"45-54","55-64"))))</f>
        <v>18-24</v>
      </c>
      <c r="H1517" s="8" t="s">
        <v>17</v>
      </c>
      <c r="I1517" s="8">
        <v>73.599999999999994</v>
      </c>
      <c r="J1517" s="8">
        <v>1.79</v>
      </c>
      <c r="K1517" s="8">
        <v>195</v>
      </c>
      <c r="L1517" s="8">
        <v>146</v>
      </c>
      <c r="M1517" s="8">
        <v>73</v>
      </c>
      <c r="N1517" s="8">
        <v>1.1299999999999999</v>
      </c>
      <c r="O1517" s="8">
        <v>636</v>
      </c>
      <c r="P1517" s="8" t="s">
        <v>21</v>
      </c>
      <c r="Q1517" s="8" t="str">
        <f>_xlfn.IFS(AND(Table13[[#This Row],[Gender]]="female",R1517&lt;20),"Athletes",AND(Table13[[#This Row],[Gender]]="female",R1517&lt;24),"Fitnesss",AND(Table13[[#This Row],[Gender]]="female",R1517&lt;31),"Acceptable",AND(Table13[[#This Row],[Gender]]="female",R1517&lt;40),"Obese",AND(Table13[[#This Row],[Gender]]="male",R1517&lt;13),"Athletes",AND(Table13[[#This Row],[Gender]]="male",R1517&lt;17),"Fitnesss",AND(Table13[[#This Row],[Gender]]="male",R1517&lt;24.9),"Acceptable",AND(Table13[[#This Row],[Gender]]="male",R1517&lt;40),"Obese",AND(Table13[[#This Row],[Gender]]="others",R1517&lt;20),"Athletes",AND(Table13[[#This Row],[Gender]]="others",R1517&lt;24),"Fitnesss",AND(Table13[[#This Row],[Gender]]="others",R1517&lt;31),"Acceptable",AND(Table13[[#This Row],[Gender]]="others",R1517&lt;40),"Obese")</f>
        <v>Athletes</v>
      </c>
      <c r="R1517" s="8">
        <v>14.1</v>
      </c>
      <c r="S1517" s="8">
        <v>2.7</v>
      </c>
      <c r="T1517" s="8">
        <v>2</v>
      </c>
      <c r="U1517" s="8">
        <v>1</v>
      </c>
      <c r="V1517" s="8" t="str">
        <f>IF(Table13[[#This Row],[BMI]]&lt;=18.5,"Underweight",IF(Table13[[#This Row],[BMI]]&lt;=24.9,"Normal",IF(Table13[[#This Row],[BMI]]&lt;=29.9,"Overweight",IF(Table13[[#This Row],[BMI]]&lt;=39,"Obese","Severly Obese"))))</f>
        <v>Underweight</v>
      </c>
      <c r="W1517" s="18">
        <v>12.32</v>
      </c>
    </row>
    <row r="1518" spans="6:23" x14ac:dyDescent="0.3">
      <c r="F1518" s="17">
        <v>21</v>
      </c>
      <c r="G1518" s="8" t="str">
        <f>IF(Table13[[#This Row],[Age]]&lt;25,"18-24",IF(Table13[[#This Row],[Age]]&lt;35,"25-34",IF(Table13[[#This Row],[Age]]&lt;45,"35-44",IF(Table13[[#This Row],[Age]]&lt;55,"45-54","55-64"))))</f>
        <v>18-24</v>
      </c>
      <c r="H1518" s="8" t="s">
        <v>19</v>
      </c>
      <c r="I1518" s="8">
        <v>47.8</v>
      </c>
      <c r="J1518" s="8">
        <v>1.62</v>
      </c>
      <c r="K1518" s="8">
        <v>173</v>
      </c>
      <c r="L1518" s="8">
        <v>129</v>
      </c>
      <c r="M1518" s="8">
        <v>74</v>
      </c>
      <c r="N1518" s="8">
        <v>1.59</v>
      </c>
      <c r="O1518" s="8">
        <v>1638</v>
      </c>
      <c r="P1518" s="8" t="s">
        <v>21</v>
      </c>
      <c r="Q1518" s="8" t="str">
        <f>_xlfn.IFS(AND(Table13[[#This Row],[Gender]]="female",R1518&lt;20),"Athletes",AND(Table13[[#This Row],[Gender]]="female",R1518&lt;24),"Fitnesss",AND(Table13[[#This Row],[Gender]]="female",R1518&lt;31),"Acceptable",AND(Table13[[#This Row],[Gender]]="female",R1518&lt;40),"Obese",AND(Table13[[#This Row],[Gender]]="male",R1518&lt;13),"Athletes",AND(Table13[[#This Row],[Gender]]="male",R1518&lt;17),"Fitnesss",AND(Table13[[#This Row],[Gender]]="male",R1518&lt;24.9),"Acceptable",AND(Table13[[#This Row],[Gender]]="male",R1518&lt;40),"Obese",AND(Table13[[#This Row],[Gender]]="others",R1518&lt;20),"Athletes",AND(Table13[[#This Row],[Gender]]="others",R1518&lt;24),"Fitnesss",AND(Table13[[#This Row],[Gender]]="others",R1518&lt;31),"Acceptable",AND(Table13[[#This Row],[Gender]]="others",R1518&lt;40),"Obese")</f>
        <v>Obese</v>
      </c>
      <c r="R1518" s="8">
        <v>25.8</v>
      </c>
      <c r="S1518" s="8">
        <v>2.4</v>
      </c>
      <c r="T1518" s="8">
        <v>3</v>
      </c>
      <c r="U1518" s="8">
        <v>2</v>
      </c>
      <c r="V1518" s="8" t="str">
        <f>IF(Table13[[#This Row],[BMI]]&lt;=18.5,"Underweight",IF(Table13[[#This Row],[BMI]]&lt;=24.9,"Normal",IF(Table13[[#This Row],[BMI]]&lt;=29.9,"Overweight",IF(Table13[[#This Row],[BMI]]&lt;=39,"Obese","Severly Obese"))))</f>
        <v>Underweight</v>
      </c>
      <c r="W1518" s="18">
        <v>12.32</v>
      </c>
    </row>
    <row r="1519" spans="6:23" x14ac:dyDescent="0.3">
      <c r="F1519" s="17">
        <v>41</v>
      </c>
      <c r="G1519" s="8" t="str">
        <f>IF(Table13[[#This Row],[Age]]&lt;25,"18-24",IF(Table13[[#This Row],[Age]]&lt;35,"25-34",IF(Table13[[#This Row],[Age]]&lt;45,"35-44",IF(Table13[[#This Row],[Age]]&lt;55,"45-54","55-64"))))</f>
        <v>35-44</v>
      </c>
      <c r="H1519" s="8" t="s">
        <v>19</v>
      </c>
      <c r="I1519" s="8">
        <v>40</v>
      </c>
      <c r="J1519" s="8">
        <v>1.74</v>
      </c>
      <c r="K1519" s="8">
        <v>166</v>
      </c>
      <c r="L1519" s="8">
        <v>154</v>
      </c>
      <c r="M1519" s="8">
        <v>71</v>
      </c>
      <c r="N1519" s="8">
        <v>1.1299999999999999</v>
      </c>
      <c r="O1519" s="8">
        <v>1356</v>
      </c>
      <c r="P1519" s="8" t="s">
        <v>21</v>
      </c>
      <c r="Q1519" s="8" t="str">
        <f>_xlfn.IFS(AND(Table13[[#This Row],[Gender]]="female",R1519&lt;20),"Athletes",AND(Table13[[#This Row],[Gender]]="female",R1519&lt;24),"Fitnesss",AND(Table13[[#This Row],[Gender]]="female",R1519&lt;31),"Acceptable",AND(Table13[[#This Row],[Gender]]="female",R1519&lt;40),"Obese",AND(Table13[[#This Row],[Gender]]="male",R1519&lt;13),"Athletes",AND(Table13[[#This Row],[Gender]]="male",R1519&lt;17),"Fitnesss",AND(Table13[[#This Row],[Gender]]="male",R1519&lt;24.9),"Acceptable",AND(Table13[[#This Row],[Gender]]="male",R1519&lt;40),"Obese",AND(Table13[[#This Row],[Gender]]="others",R1519&lt;20),"Athletes",AND(Table13[[#This Row],[Gender]]="others",R1519&lt;24),"Fitnesss",AND(Table13[[#This Row],[Gender]]="others",R1519&lt;31),"Acceptable",AND(Table13[[#This Row],[Gender]]="others",R1519&lt;40),"Obese")</f>
        <v>Acceptable</v>
      </c>
      <c r="R1519" s="8">
        <v>20.100000000000001</v>
      </c>
      <c r="S1519" s="8">
        <v>2.8</v>
      </c>
      <c r="T1519" s="8">
        <v>3</v>
      </c>
      <c r="U1519" s="8">
        <v>3</v>
      </c>
      <c r="V1519" s="8" t="str">
        <f>IF(Table13[[#This Row],[BMI]]&lt;=18.5,"Underweight",IF(Table13[[#This Row],[BMI]]&lt;=24.9,"Normal",IF(Table13[[#This Row],[BMI]]&lt;=29.9,"Overweight",IF(Table13[[#This Row],[BMI]]&lt;=39,"Obese","Severly Obese"))))</f>
        <v>Underweight</v>
      </c>
      <c r="W1519" s="18">
        <v>15.67</v>
      </c>
    </row>
    <row r="1520" spans="6:23" x14ac:dyDescent="0.3">
      <c r="F1520" s="17">
        <v>51</v>
      </c>
      <c r="G1520" s="8" t="str">
        <f>IF(Table13[[#This Row],[Age]]&lt;25,"18-24",IF(Table13[[#This Row],[Age]]&lt;35,"25-34",IF(Table13[[#This Row],[Age]]&lt;45,"35-44",IF(Table13[[#This Row],[Age]]&lt;55,"45-54","55-64"))))</f>
        <v>45-54</v>
      </c>
      <c r="H1520" s="8" t="s">
        <v>19</v>
      </c>
      <c r="I1520" s="8">
        <v>43.9</v>
      </c>
      <c r="J1520" s="8">
        <v>1.78</v>
      </c>
      <c r="K1520" s="8">
        <v>194</v>
      </c>
      <c r="L1520" s="8">
        <v>136</v>
      </c>
      <c r="M1520" s="8">
        <v>51</v>
      </c>
      <c r="N1520" s="8">
        <v>0.98</v>
      </c>
      <c r="O1520" s="8">
        <v>1293</v>
      </c>
      <c r="P1520" s="8" t="s">
        <v>18</v>
      </c>
      <c r="Q1520" s="8" t="str">
        <f>_xlfn.IFS(AND(Table13[[#This Row],[Gender]]="female",R1520&lt;20),"Athletes",AND(Table13[[#This Row],[Gender]]="female",R1520&lt;24),"Fitnesss",AND(Table13[[#This Row],[Gender]]="female",R1520&lt;31),"Acceptable",AND(Table13[[#This Row],[Gender]]="female",R1520&lt;40),"Obese",AND(Table13[[#This Row],[Gender]]="male",R1520&lt;13),"Athletes",AND(Table13[[#This Row],[Gender]]="male",R1520&lt;17),"Fitnesss",AND(Table13[[#This Row],[Gender]]="male",R1520&lt;24.9),"Acceptable",AND(Table13[[#This Row],[Gender]]="male",R1520&lt;40),"Obese",AND(Table13[[#This Row],[Gender]]="others",R1520&lt;20),"Athletes",AND(Table13[[#This Row],[Gender]]="others",R1520&lt;24),"Fitnesss",AND(Table13[[#This Row],[Gender]]="others",R1520&lt;31),"Acceptable",AND(Table13[[#This Row],[Gender]]="others",R1520&lt;40),"Obese")</f>
        <v>Obese</v>
      </c>
      <c r="R1520" s="8">
        <v>27</v>
      </c>
      <c r="S1520" s="8">
        <v>1.5</v>
      </c>
      <c r="T1520" s="8">
        <v>2</v>
      </c>
      <c r="U1520" s="8">
        <v>1</v>
      </c>
      <c r="V1520" s="8" t="str">
        <f>IF(Table13[[#This Row],[BMI]]&lt;=18.5,"Underweight",IF(Table13[[#This Row],[BMI]]&lt;=24.9,"Normal",IF(Table13[[#This Row],[BMI]]&lt;=29.9,"Overweight",IF(Table13[[#This Row],[BMI]]&lt;=39,"Obese","Severly Obese"))))</f>
        <v>Underweight</v>
      </c>
      <c r="W1520" s="18">
        <v>15.75</v>
      </c>
    </row>
    <row r="1521" spans="6:23" x14ac:dyDescent="0.3">
      <c r="F1521" s="17">
        <v>47</v>
      </c>
      <c r="G1521" s="8" t="str">
        <f>IF(Table13[[#This Row],[Age]]&lt;25,"18-24",IF(Table13[[#This Row],[Age]]&lt;35,"25-34",IF(Table13[[#This Row],[Age]]&lt;45,"35-44",IF(Table13[[#This Row],[Age]]&lt;55,"45-54","55-64"))))</f>
        <v>45-54</v>
      </c>
      <c r="H1521" s="8" t="s">
        <v>19</v>
      </c>
      <c r="I1521" s="8">
        <v>59.6</v>
      </c>
      <c r="J1521" s="8">
        <v>1.88</v>
      </c>
      <c r="K1521" s="8">
        <v>192</v>
      </c>
      <c r="L1521" s="8">
        <v>125</v>
      </c>
      <c r="M1521" s="8">
        <v>50</v>
      </c>
      <c r="N1521" s="8">
        <v>1.32</v>
      </c>
      <c r="O1521" s="8">
        <v>1108</v>
      </c>
      <c r="P1521" s="8" t="s">
        <v>22</v>
      </c>
      <c r="Q1521" s="8" t="str">
        <f>_xlfn.IFS(AND(Table13[[#This Row],[Gender]]="female",R1521&lt;20),"Athletes",AND(Table13[[#This Row],[Gender]]="female",R1521&lt;24),"Fitnesss",AND(Table13[[#This Row],[Gender]]="female",R1521&lt;31),"Acceptable",AND(Table13[[#This Row],[Gender]]="female",R1521&lt;40),"Obese",AND(Table13[[#This Row],[Gender]]="male",R1521&lt;13),"Athletes",AND(Table13[[#This Row],[Gender]]="male",R1521&lt;17),"Fitnesss",AND(Table13[[#This Row],[Gender]]="male",R1521&lt;24.9),"Acceptable",AND(Table13[[#This Row],[Gender]]="male",R1521&lt;40),"Obese",AND(Table13[[#This Row],[Gender]]="others",R1521&lt;20),"Athletes",AND(Table13[[#This Row],[Gender]]="others",R1521&lt;24),"Fitnesss",AND(Table13[[#This Row],[Gender]]="others",R1521&lt;31),"Acceptable",AND(Table13[[#This Row],[Gender]]="others",R1521&lt;40),"Obese")</f>
        <v>Obese</v>
      </c>
      <c r="R1521" s="8">
        <v>30.6</v>
      </c>
      <c r="S1521" s="8">
        <v>2.2999999999999998</v>
      </c>
      <c r="T1521" s="8">
        <v>3</v>
      </c>
      <c r="U1521" s="8">
        <v>2</v>
      </c>
      <c r="V1521" s="8" t="str">
        <f>IF(Table13[[#This Row],[BMI]]&lt;=18.5,"Underweight",IF(Table13[[#This Row],[BMI]]&lt;=24.9,"Normal",IF(Table13[[#This Row],[BMI]]&lt;=29.9,"Overweight",IF(Table13[[#This Row],[BMI]]&lt;=39,"Obese","Severly Obese"))))</f>
        <v>Underweight</v>
      </c>
      <c r="W1521" s="18">
        <v>12.32</v>
      </c>
    </row>
    <row r="1522" spans="6:23" x14ac:dyDescent="0.3">
      <c r="F1522" s="17">
        <v>22</v>
      </c>
      <c r="G1522" s="8" t="str">
        <f>IF(Table13[[#This Row],[Age]]&lt;25,"18-24",IF(Table13[[#This Row],[Age]]&lt;35,"25-34",IF(Table13[[#This Row],[Age]]&lt;45,"35-44",IF(Table13[[#This Row],[Age]]&lt;55,"45-54","55-64"))))</f>
        <v>18-24</v>
      </c>
      <c r="H1522" s="8" t="s">
        <v>17</v>
      </c>
      <c r="I1522" s="8">
        <v>56.1</v>
      </c>
      <c r="J1522" s="8">
        <v>1.91</v>
      </c>
      <c r="K1522" s="8">
        <v>167</v>
      </c>
      <c r="L1522" s="8">
        <v>122</v>
      </c>
      <c r="M1522" s="8">
        <v>70</v>
      </c>
      <c r="N1522" s="8">
        <v>1.4</v>
      </c>
      <c r="O1522" s="8">
        <v>1183</v>
      </c>
      <c r="P1522" s="8" t="s">
        <v>20</v>
      </c>
      <c r="Q1522" s="8" t="str">
        <f>_xlfn.IFS(AND(Table13[[#This Row],[Gender]]="female",R1522&lt;20),"Athletes",AND(Table13[[#This Row],[Gender]]="female",R1522&lt;24),"Fitnesss",AND(Table13[[#This Row],[Gender]]="female",R1522&lt;31),"Acceptable",AND(Table13[[#This Row],[Gender]]="female",R1522&lt;40),"Obese",AND(Table13[[#This Row],[Gender]]="male",R1522&lt;13),"Athletes",AND(Table13[[#This Row],[Gender]]="male",R1522&lt;17),"Fitnesss",AND(Table13[[#This Row],[Gender]]="male",R1522&lt;24.9),"Acceptable",AND(Table13[[#This Row],[Gender]]="male",R1522&lt;40),"Obese",AND(Table13[[#This Row],[Gender]]="others",R1522&lt;20),"Athletes",AND(Table13[[#This Row],[Gender]]="others",R1522&lt;24),"Fitnesss",AND(Table13[[#This Row],[Gender]]="others",R1522&lt;31),"Acceptable",AND(Table13[[#This Row],[Gender]]="others",R1522&lt;40),"Obese")</f>
        <v>Acceptable</v>
      </c>
      <c r="R1522" s="8">
        <v>24.9</v>
      </c>
      <c r="S1522" s="8">
        <v>2.7</v>
      </c>
      <c r="T1522" s="8">
        <v>2</v>
      </c>
      <c r="U1522" s="8">
        <v>1</v>
      </c>
      <c r="V1522" s="8" t="str">
        <f>IF(Table13[[#This Row],[BMI]]&lt;=18.5,"Underweight",IF(Table13[[#This Row],[BMI]]&lt;=24.9,"Normal",IF(Table13[[#This Row],[BMI]]&lt;=29.9,"Overweight",IF(Table13[[#This Row],[BMI]]&lt;=39,"Obese","Severly Obese"))))</f>
        <v>Underweight</v>
      </c>
      <c r="W1522" s="18">
        <v>12.32</v>
      </c>
    </row>
    <row r="1523" spans="6:23" x14ac:dyDescent="0.3">
      <c r="F1523" s="17">
        <v>18</v>
      </c>
      <c r="G1523" s="8" t="str">
        <f>IF(Table13[[#This Row],[Age]]&lt;25,"18-24",IF(Table13[[#This Row],[Age]]&lt;35,"25-34",IF(Table13[[#This Row],[Age]]&lt;45,"35-44",IF(Table13[[#This Row],[Age]]&lt;55,"45-54","55-64"))))</f>
        <v>18-24</v>
      </c>
      <c r="H1523" s="8" t="s">
        <v>19</v>
      </c>
      <c r="I1523" s="8">
        <v>56.5</v>
      </c>
      <c r="J1523" s="8">
        <v>1.93</v>
      </c>
      <c r="K1523" s="8">
        <v>177</v>
      </c>
      <c r="L1523" s="8">
        <v>156</v>
      </c>
      <c r="M1523" s="8">
        <v>52</v>
      </c>
      <c r="N1523" s="8">
        <v>1.53</v>
      </c>
      <c r="O1523" s="8">
        <v>1419</v>
      </c>
      <c r="P1523" s="8" t="s">
        <v>18</v>
      </c>
      <c r="Q1523" s="8" t="str">
        <f>_xlfn.IFS(AND(Table13[[#This Row],[Gender]]="female",R1523&lt;20),"Athletes",AND(Table13[[#This Row],[Gender]]="female",R1523&lt;24),"Fitnesss",AND(Table13[[#This Row],[Gender]]="female",R1523&lt;31),"Acceptable",AND(Table13[[#This Row],[Gender]]="female",R1523&lt;40),"Obese",AND(Table13[[#This Row],[Gender]]="male",R1523&lt;13),"Athletes",AND(Table13[[#This Row],[Gender]]="male",R1523&lt;17),"Fitnesss",AND(Table13[[#This Row],[Gender]]="male",R1523&lt;24.9),"Acceptable",AND(Table13[[#This Row],[Gender]]="male",R1523&lt;40),"Obese",AND(Table13[[#This Row],[Gender]]="others",R1523&lt;20),"Athletes",AND(Table13[[#This Row],[Gender]]="others",R1523&lt;24),"Fitnesss",AND(Table13[[#This Row],[Gender]]="others",R1523&lt;31),"Acceptable",AND(Table13[[#This Row],[Gender]]="others",R1523&lt;40),"Obese")</f>
        <v>Acceptable</v>
      </c>
      <c r="R1523" s="8">
        <v>22.3</v>
      </c>
      <c r="S1523" s="8">
        <v>3.5</v>
      </c>
      <c r="T1523" s="8">
        <v>4</v>
      </c>
      <c r="U1523" s="8">
        <v>2</v>
      </c>
      <c r="V1523" s="8" t="str">
        <f>IF(Table13[[#This Row],[BMI]]&lt;=18.5,"Underweight",IF(Table13[[#This Row],[BMI]]&lt;=24.9,"Normal",IF(Table13[[#This Row],[BMI]]&lt;=29.9,"Overweight",IF(Table13[[#This Row],[BMI]]&lt;=39,"Obese","Severly Obese"))))</f>
        <v>Underweight</v>
      </c>
      <c r="W1523" s="18">
        <v>16.43</v>
      </c>
    </row>
    <row r="1524" spans="6:23" x14ac:dyDescent="0.3">
      <c r="F1524" s="17">
        <v>39</v>
      </c>
      <c r="G1524" s="8" t="str">
        <f>IF(Table13[[#This Row],[Age]]&lt;25,"18-24",IF(Table13[[#This Row],[Age]]&lt;35,"25-34",IF(Table13[[#This Row],[Age]]&lt;45,"35-44",IF(Table13[[#This Row],[Age]]&lt;55,"45-54","55-64"))))</f>
        <v>35-44</v>
      </c>
      <c r="H1524" s="8" t="s">
        <v>19</v>
      </c>
      <c r="I1524" s="8">
        <v>83.7</v>
      </c>
      <c r="J1524" s="8">
        <v>1.52</v>
      </c>
      <c r="K1524" s="8">
        <v>187</v>
      </c>
      <c r="L1524" s="8">
        <v>152</v>
      </c>
      <c r="M1524" s="8">
        <v>58</v>
      </c>
      <c r="N1524" s="8">
        <v>1.65</v>
      </c>
      <c r="O1524" s="8">
        <v>1647</v>
      </c>
      <c r="P1524" s="8" t="s">
        <v>18</v>
      </c>
      <c r="Q1524" s="8" t="str">
        <f>_xlfn.IFS(AND(Table13[[#This Row],[Gender]]="female",R1524&lt;20),"Athletes",AND(Table13[[#This Row],[Gender]]="female",R1524&lt;24),"Fitnesss",AND(Table13[[#This Row],[Gender]]="female",R1524&lt;31),"Acceptable",AND(Table13[[#This Row],[Gender]]="female",R1524&lt;40),"Obese",AND(Table13[[#This Row],[Gender]]="male",R1524&lt;13),"Athletes",AND(Table13[[#This Row],[Gender]]="male",R1524&lt;17),"Fitnesss",AND(Table13[[#This Row],[Gender]]="male",R1524&lt;24.9),"Acceptable",AND(Table13[[#This Row],[Gender]]="male",R1524&lt;40),"Obese",AND(Table13[[#This Row],[Gender]]="others",R1524&lt;20),"Athletes",AND(Table13[[#This Row],[Gender]]="others",R1524&lt;24),"Fitnesss",AND(Table13[[#This Row],[Gender]]="others",R1524&lt;31),"Acceptable",AND(Table13[[#This Row],[Gender]]="others",R1524&lt;40),"Obese")</f>
        <v>Obese</v>
      </c>
      <c r="R1524" s="8">
        <v>29.3</v>
      </c>
      <c r="S1524" s="8">
        <v>3.2</v>
      </c>
      <c r="T1524" s="8"/>
      <c r="U1524" s="8"/>
      <c r="V1524" s="8" t="str">
        <f>IF(Table13[[#This Row],[BMI]]&lt;=18.5,"Underweight",IF(Table13[[#This Row],[BMI]]&lt;=24.9,"Normal",IF(Table13[[#This Row],[BMI]]&lt;=29.9,"Overweight",IF(Table13[[#This Row],[BMI]]&lt;=39,"Obese","Severly Obese"))))</f>
        <v>Underweight</v>
      </c>
      <c r="W1524" s="18">
        <v>15.84</v>
      </c>
    </row>
    <row r="1525" spans="6:23" x14ac:dyDescent="0.3">
      <c r="F1525" s="17">
        <v>34</v>
      </c>
      <c r="G1525" s="8" t="str">
        <f>IF(Table13[[#This Row],[Age]]&lt;25,"18-24",IF(Table13[[#This Row],[Age]]&lt;35,"25-34",IF(Table13[[#This Row],[Age]]&lt;45,"35-44",IF(Table13[[#This Row],[Age]]&lt;55,"45-54","55-64"))))</f>
        <v>25-34</v>
      </c>
      <c r="H1525" s="8" t="s">
        <v>17</v>
      </c>
      <c r="I1525" s="8">
        <v>79.099999999999994</v>
      </c>
      <c r="J1525" s="8">
        <v>1.73</v>
      </c>
      <c r="K1525" s="8">
        <v>188</v>
      </c>
      <c r="L1525" s="8">
        <v>151</v>
      </c>
      <c r="M1525" s="8">
        <v>58</v>
      </c>
      <c r="N1525" s="8">
        <v>1.32</v>
      </c>
      <c r="O1525" s="8">
        <v>1191</v>
      </c>
      <c r="P1525" s="8" t="s">
        <v>22</v>
      </c>
      <c r="Q1525" s="8" t="str">
        <f>_xlfn.IFS(AND(Table13[[#This Row],[Gender]]="female",R1525&lt;20),"Athletes",AND(Table13[[#This Row],[Gender]]="female",R1525&lt;24),"Fitnesss",AND(Table13[[#This Row],[Gender]]="female",R1525&lt;31),"Acceptable",AND(Table13[[#This Row],[Gender]]="female",R1525&lt;40),"Obese",AND(Table13[[#This Row],[Gender]]="male",R1525&lt;13),"Athletes",AND(Table13[[#This Row],[Gender]]="male",R1525&lt;17),"Fitnesss",AND(Table13[[#This Row],[Gender]]="male",R1525&lt;24.9),"Acceptable",AND(Table13[[#This Row],[Gender]]="male",R1525&lt;40),"Obese",AND(Table13[[#This Row],[Gender]]="others",R1525&lt;20),"Athletes",AND(Table13[[#This Row],[Gender]]="others",R1525&lt;24),"Fitnesss",AND(Table13[[#This Row],[Gender]]="others",R1525&lt;31),"Acceptable",AND(Table13[[#This Row],[Gender]]="others",R1525&lt;40),"Obese")</f>
        <v>Acceptable</v>
      </c>
      <c r="R1525" s="8">
        <v>30.7</v>
      </c>
      <c r="S1525" s="8">
        <v>3.6</v>
      </c>
      <c r="T1525" s="8"/>
      <c r="U1525" s="8">
        <v>2</v>
      </c>
      <c r="V1525" s="8" t="str">
        <f>IF(Table13[[#This Row],[BMI]]&lt;=18.5,"Underweight",IF(Table13[[#This Row],[BMI]]&lt;=24.9,"Normal",IF(Table13[[#This Row],[BMI]]&lt;=29.9,"Overweight",IF(Table13[[#This Row],[BMI]]&lt;=39,"Obese","Severly Obese"))))</f>
        <v>Underweight</v>
      </c>
      <c r="W1525" s="18">
        <v>18.309999999999999</v>
      </c>
    </row>
    <row r="1526" spans="6:23" x14ac:dyDescent="0.3">
      <c r="F1526" s="17">
        <v>46</v>
      </c>
      <c r="G1526" s="8" t="str">
        <f>IF(Table13[[#This Row],[Age]]&lt;25,"18-24",IF(Table13[[#This Row],[Age]]&lt;35,"25-34",IF(Table13[[#This Row],[Age]]&lt;45,"35-44",IF(Table13[[#This Row],[Age]]&lt;55,"45-54","55-64"))))</f>
        <v>45-54</v>
      </c>
      <c r="H1526" s="8" t="s">
        <v>17</v>
      </c>
      <c r="I1526" s="8">
        <v>56.7</v>
      </c>
      <c r="J1526" s="8">
        <v>1.97</v>
      </c>
      <c r="K1526" s="8">
        <v>199</v>
      </c>
      <c r="L1526" s="8">
        <v>160</v>
      </c>
      <c r="M1526" s="8">
        <v>56</v>
      </c>
      <c r="N1526" s="8">
        <v>1.3</v>
      </c>
      <c r="O1526" s="8">
        <v>1215</v>
      </c>
      <c r="P1526" s="8" t="s">
        <v>21</v>
      </c>
      <c r="Q1526" s="8" t="str">
        <f>_xlfn.IFS(AND(Table13[[#This Row],[Gender]]="female",R1526&lt;20),"Athletes",AND(Table13[[#This Row],[Gender]]="female",R1526&lt;24),"Fitnesss",AND(Table13[[#This Row],[Gender]]="female",R1526&lt;31),"Acceptable",AND(Table13[[#This Row],[Gender]]="female",R1526&lt;40),"Obese",AND(Table13[[#This Row],[Gender]]="male",R1526&lt;13),"Athletes",AND(Table13[[#This Row],[Gender]]="male",R1526&lt;17),"Fitnesss",AND(Table13[[#This Row],[Gender]]="male",R1526&lt;24.9),"Acceptable",AND(Table13[[#This Row],[Gender]]="male",R1526&lt;40),"Obese",AND(Table13[[#This Row],[Gender]]="others",R1526&lt;20),"Athletes",AND(Table13[[#This Row],[Gender]]="others",R1526&lt;24),"Fitnesss",AND(Table13[[#This Row],[Gender]]="others",R1526&lt;31),"Acceptable",AND(Table13[[#This Row],[Gender]]="others",R1526&lt;40),"Obese")</f>
        <v>Acceptable</v>
      </c>
      <c r="R1526" s="8">
        <v>26.4</v>
      </c>
      <c r="S1526" s="8">
        <v>2.4</v>
      </c>
      <c r="T1526" s="8">
        <v>3</v>
      </c>
      <c r="U1526" s="8">
        <v>1</v>
      </c>
      <c r="V1526" s="8" t="str">
        <f>IF(Table13[[#This Row],[BMI]]&lt;=18.5,"Underweight",IF(Table13[[#This Row],[BMI]]&lt;=24.9,"Normal",IF(Table13[[#This Row],[BMI]]&lt;=29.9,"Overweight",IF(Table13[[#This Row],[BMI]]&lt;=39,"Obese","Severly Obese"))))</f>
        <v>Underweight</v>
      </c>
      <c r="W1526" s="18">
        <v>16.02</v>
      </c>
    </row>
    <row r="1527" spans="6:23" x14ac:dyDescent="0.3">
      <c r="F1527" s="17">
        <v>22</v>
      </c>
      <c r="G1527" s="8" t="str">
        <f>IF(Table13[[#This Row],[Age]]&lt;25,"18-24",IF(Table13[[#This Row],[Age]]&lt;35,"25-34",IF(Table13[[#This Row],[Age]]&lt;45,"35-44",IF(Table13[[#This Row],[Age]]&lt;55,"45-54","55-64"))))</f>
        <v>18-24</v>
      </c>
      <c r="H1527" s="8" t="s">
        <v>17</v>
      </c>
      <c r="I1527" s="8">
        <v>48.9</v>
      </c>
      <c r="J1527" s="8">
        <v>1.84</v>
      </c>
      <c r="K1527" s="8">
        <v>185</v>
      </c>
      <c r="L1527" s="8">
        <v>164</v>
      </c>
      <c r="M1527" s="8">
        <v>73</v>
      </c>
      <c r="N1527" s="8">
        <v>1.1299999999999999</v>
      </c>
      <c r="O1527" s="8"/>
      <c r="P1527" s="8" t="s">
        <v>22</v>
      </c>
      <c r="Q1527" s="8" t="str">
        <f>_xlfn.IFS(AND(Table13[[#This Row],[Gender]]="female",R1527&lt;20),"Athletes",AND(Table13[[#This Row],[Gender]]="female",R1527&lt;24),"Fitnesss",AND(Table13[[#This Row],[Gender]]="female",R1527&lt;31),"Acceptable",AND(Table13[[#This Row],[Gender]]="female",R1527&lt;40),"Obese",AND(Table13[[#This Row],[Gender]]="male",R1527&lt;13),"Athletes",AND(Table13[[#This Row],[Gender]]="male",R1527&lt;17),"Fitnesss",AND(Table13[[#This Row],[Gender]]="male",R1527&lt;24.9),"Acceptable",AND(Table13[[#This Row],[Gender]]="male",R1527&lt;40),"Obese",AND(Table13[[#This Row],[Gender]]="others",R1527&lt;20),"Athletes",AND(Table13[[#This Row],[Gender]]="others",R1527&lt;24),"Fitnesss",AND(Table13[[#This Row],[Gender]]="others",R1527&lt;31),"Acceptable",AND(Table13[[#This Row],[Gender]]="others",R1527&lt;40),"Obese")</f>
        <v>Acceptable</v>
      </c>
      <c r="R1527" s="8">
        <v>27</v>
      </c>
      <c r="S1527" s="8">
        <v>1.5</v>
      </c>
      <c r="T1527" s="8">
        <v>3</v>
      </c>
      <c r="U1527" s="8">
        <v>3</v>
      </c>
      <c r="V1527" s="8" t="str">
        <f>IF(Table13[[#This Row],[BMI]]&lt;=18.5,"Underweight",IF(Table13[[#This Row],[BMI]]&lt;=24.9,"Normal",IF(Table13[[#This Row],[BMI]]&lt;=29.9,"Overweight",IF(Table13[[#This Row],[BMI]]&lt;=39,"Obese","Severly Obese"))))</f>
        <v>Normal</v>
      </c>
      <c r="W1527" s="18">
        <v>22.64</v>
      </c>
    </row>
    <row r="1528" spans="6:23" x14ac:dyDescent="0.3">
      <c r="F1528" s="17">
        <v>43</v>
      </c>
      <c r="G1528" s="8" t="str">
        <f>IF(Table13[[#This Row],[Age]]&lt;25,"18-24",IF(Table13[[#This Row],[Age]]&lt;35,"25-34",IF(Table13[[#This Row],[Age]]&lt;45,"35-44",IF(Table13[[#This Row],[Age]]&lt;55,"45-54","55-64"))))</f>
        <v>35-44</v>
      </c>
      <c r="H1528" s="8" t="s">
        <v>17</v>
      </c>
      <c r="I1528" s="8">
        <v>47.1</v>
      </c>
      <c r="J1528" s="8">
        <v>1.81</v>
      </c>
      <c r="K1528" s="8">
        <v>166</v>
      </c>
      <c r="L1528" s="8">
        <v>149</v>
      </c>
      <c r="M1528" s="8">
        <v>69</v>
      </c>
      <c r="N1528" s="8">
        <v>0.76</v>
      </c>
      <c r="O1528" s="8">
        <v>998</v>
      </c>
      <c r="P1528" s="8" t="s">
        <v>21</v>
      </c>
      <c r="Q1528" s="8" t="str">
        <f>_xlfn.IFS(AND(Table13[[#This Row],[Gender]]="female",R1528&lt;20),"Athletes",AND(Table13[[#This Row],[Gender]]="female",R1528&lt;24),"Fitnesss",AND(Table13[[#This Row],[Gender]]="female",R1528&lt;31),"Acceptable",AND(Table13[[#This Row],[Gender]]="female",R1528&lt;40),"Obese",AND(Table13[[#This Row],[Gender]]="male",R1528&lt;13),"Athletes",AND(Table13[[#This Row],[Gender]]="male",R1528&lt;17),"Fitnesss",AND(Table13[[#This Row],[Gender]]="male",R1528&lt;24.9),"Acceptable",AND(Table13[[#This Row],[Gender]]="male",R1528&lt;40),"Obese",AND(Table13[[#This Row],[Gender]]="others",R1528&lt;20),"Athletes",AND(Table13[[#This Row],[Gender]]="others",R1528&lt;24),"Fitnesss",AND(Table13[[#This Row],[Gender]]="others",R1528&lt;31),"Acceptable",AND(Table13[[#This Row],[Gender]]="others",R1528&lt;40),"Obese")</f>
        <v>Fitnesss</v>
      </c>
      <c r="R1528" s="8">
        <v>22.2</v>
      </c>
      <c r="S1528" s="8">
        <v>3</v>
      </c>
      <c r="T1528" s="8">
        <v>4</v>
      </c>
      <c r="U1528" s="8">
        <v>1</v>
      </c>
      <c r="V1528" s="8" t="str">
        <f>IF(Table13[[#This Row],[BMI]]&lt;=18.5,"Underweight",IF(Table13[[#This Row],[BMI]]&lt;=24.9,"Normal",IF(Table13[[#This Row],[BMI]]&lt;=29.9,"Overweight",IF(Table13[[#This Row],[BMI]]&lt;=39,"Obese","Severly Obese"))))</f>
        <v>Overweight</v>
      </c>
      <c r="W1528" s="18">
        <v>29.69</v>
      </c>
    </row>
    <row r="1529" spans="6:23" x14ac:dyDescent="0.3">
      <c r="F1529" s="17">
        <v>51</v>
      </c>
      <c r="G1529" s="8" t="str">
        <f>IF(Table13[[#This Row],[Age]]&lt;25,"18-24",IF(Table13[[#This Row],[Age]]&lt;35,"25-34",IF(Table13[[#This Row],[Age]]&lt;45,"35-44",IF(Table13[[#This Row],[Age]]&lt;55,"45-54","55-64"))))</f>
        <v>45-54</v>
      </c>
      <c r="H1529" s="8" t="s">
        <v>19</v>
      </c>
      <c r="I1529" s="8">
        <v>65.099999999999994</v>
      </c>
      <c r="J1529" s="8">
        <v>1.85</v>
      </c>
      <c r="K1529" s="8">
        <v>185</v>
      </c>
      <c r="L1529" s="8">
        <v>130</v>
      </c>
      <c r="M1529" s="8">
        <v>60</v>
      </c>
      <c r="N1529" s="8">
        <v>2</v>
      </c>
      <c r="O1529" s="8">
        <v>717</v>
      </c>
      <c r="P1529" s="8" t="s">
        <v>20</v>
      </c>
      <c r="Q1529" s="8" t="str">
        <f>_xlfn.IFS(AND(Table13[[#This Row],[Gender]]="female",R1529&lt;20),"Athletes",AND(Table13[[#This Row],[Gender]]="female",R1529&lt;24),"Fitnesss",AND(Table13[[#This Row],[Gender]]="female",R1529&lt;31),"Acceptable",AND(Table13[[#This Row],[Gender]]="female",R1529&lt;40),"Obese",AND(Table13[[#This Row],[Gender]]="male",R1529&lt;13),"Athletes",AND(Table13[[#This Row],[Gender]]="male",R1529&lt;17),"Fitnesss",AND(Table13[[#This Row],[Gender]]="male",R1529&lt;24.9),"Acceptable",AND(Table13[[#This Row],[Gender]]="male",R1529&lt;40),"Obese",AND(Table13[[#This Row],[Gender]]="others",R1529&lt;20),"Athletes",AND(Table13[[#This Row],[Gender]]="others",R1529&lt;24),"Fitnesss",AND(Table13[[#This Row],[Gender]]="others",R1529&lt;31),"Acceptable",AND(Table13[[#This Row],[Gender]]="others",R1529&lt;40),"Obese")</f>
        <v>Acceptable</v>
      </c>
      <c r="R1529" s="8">
        <v>22.2</v>
      </c>
      <c r="S1529" s="8">
        <v>1.9</v>
      </c>
      <c r="T1529" s="8">
        <v>2</v>
      </c>
      <c r="U1529" s="8">
        <v>2</v>
      </c>
      <c r="V1529" s="8" t="str">
        <f>IF(Table13[[#This Row],[BMI]]&lt;=18.5,"Underweight",IF(Table13[[#This Row],[BMI]]&lt;=24.9,"Normal",IF(Table13[[#This Row],[BMI]]&lt;=29.9,"Overweight",IF(Table13[[#This Row],[BMI]]&lt;=39,"Obese","Severly Obese"))))</f>
        <v>Underweight</v>
      </c>
      <c r="W1529" s="18">
        <v>15.62</v>
      </c>
    </row>
    <row r="1530" spans="6:23" x14ac:dyDescent="0.3">
      <c r="F1530" s="17">
        <v>55</v>
      </c>
      <c r="G1530" s="8" t="str">
        <f>IF(Table13[[#This Row],[Age]]&lt;25,"18-24",IF(Table13[[#This Row],[Age]]&lt;35,"25-34",IF(Table13[[#This Row],[Age]]&lt;45,"35-44",IF(Table13[[#This Row],[Age]]&lt;55,"45-54","55-64"))))</f>
        <v>55-64</v>
      </c>
      <c r="H1530" s="8" t="s">
        <v>17</v>
      </c>
      <c r="I1530" s="8">
        <v>60.6</v>
      </c>
      <c r="J1530" s="8">
        <v>1.68</v>
      </c>
      <c r="K1530" s="8">
        <v>185</v>
      </c>
      <c r="L1530" s="8">
        <v>124</v>
      </c>
      <c r="M1530" s="8">
        <v>70</v>
      </c>
      <c r="N1530" s="8">
        <v>1.35</v>
      </c>
      <c r="O1530" s="8">
        <v>1447</v>
      </c>
      <c r="P1530" s="8" t="s">
        <v>21</v>
      </c>
      <c r="Q1530" s="8" t="str">
        <f>_xlfn.IFS(AND(Table13[[#This Row],[Gender]]="female",R1530&lt;20),"Athletes",AND(Table13[[#This Row],[Gender]]="female",R1530&lt;24),"Fitnesss",AND(Table13[[#This Row],[Gender]]="female",R1530&lt;31),"Acceptable",AND(Table13[[#This Row],[Gender]]="female",R1530&lt;40),"Obese",AND(Table13[[#This Row],[Gender]]="male",R1530&lt;13),"Athletes",AND(Table13[[#This Row],[Gender]]="male",R1530&lt;17),"Fitnesss",AND(Table13[[#This Row],[Gender]]="male",R1530&lt;24.9),"Acceptable",AND(Table13[[#This Row],[Gender]]="male",R1530&lt;40),"Obese",AND(Table13[[#This Row],[Gender]]="others",R1530&lt;20),"Athletes",AND(Table13[[#This Row],[Gender]]="others",R1530&lt;24),"Fitnesss",AND(Table13[[#This Row],[Gender]]="others",R1530&lt;31),"Acceptable",AND(Table13[[#This Row],[Gender]]="others",R1530&lt;40),"Obese")</f>
        <v>Acceptable</v>
      </c>
      <c r="R1530" s="8">
        <v>24</v>
      </c>
      <c r="S1530" s="8">
        <v>2</v>
      </c>
      <c r="T1530" s="8">
        <v>4</v>
      </c>
      <c r="U1530" s="8">
        <v>1</v>
      </c>
      <c r="V1530" s="8" t="str">
        <f>IF(Table13[[#This Row],[BMI]]&lt;=18.5,"Underweight",IF(Table13[[#This Row],[BMI]]&lt;=24.9,"Normal",IF(Table13[[#This Row],[BMI]]&lt;=29.9,"Overweight",IF(Table13[[#This Row],[BMI]]&lt;=39,"Obese","Severly Obese"))))</f>
        <v>Normal</v>
      </c>
      <c r="W1530" s="18">
        <v>18.66</v>
      </c>
    </row>
    <row r="1531" spans="6:23" x14ac:dyDescent="0.3">
      <c r="F1531" s="17">
        <v>42</v>
      </c>
      <c r="G1531" s="8" t="str">
        <f>IF(Table13[[#This Row],[Age]]&lt;25,"18-24",IF(Table13[[#This Row],[Age]]&lt;35,"25-34",IF(Table13[[#This Row],[Age]]&lt;45,"35-44",IF(Table13[[#This Row],[Age]]&lt;55,"45-54","55-64"))))</f>
        <v>35-44</v>
      </c>
      <c r="H1531" s="8" t="s">
        <v>17</v>
      </c>
      <c r="I1531" s="8">
        <v>101</v>
      </c>
      <c r="J1531" s="8">
        <v>1.56</v>
      </c>
      <c r="K1531" s="8">
        <v>186</v>
      </c>
      <c r="L1531" s="8">
        <v>168</v>
      </c>
      <c r="M1531" s="8">
        <v>56</v>
      </c>
      <c r="N1531" s="8">
        <v>1.19</v>
      </c>
      <c r="O1531" s="8">
        <v>650</v>
      </c>
      <c r="P1531" s="8" t="s">
        <v>21</v>
      </c>
      <c r="Q1531" s="8" t="str">
        <f>_xlfn.IFS(AND(Table13[[#This Row],[Gender]]="female",R1531&lt;20),"Athletes",AND(Table13[[#This Row],[Gender]]="female",R1531&lt;24),"Fitnesss",AND(Table13[[#This Row],[Gender]]="female",R1531&lt;31),"Acceptable",AND(Table13[[#This Row],[Gender]]="female",R1531&lt;40),"Obese",AND(Table13[[#This Row],[Gender]]="male",R1531&lt;13),"Athletes",AND(Table13[[#This Row],[Gender]]="male",R1531&lt;17),"Fitnesss",AND(Table13[[#This Row],[Gender]]="male",R1531&lt;24.9),"Acceptable",AND(Table13[[#This Row],[Gender]]="male",R1531&lt;40),"Obese",AND(Table13[[#This Row],[Gender]]="others",R1531&lt;20),"Athletes",AND(Table13[[#This Row],[Gender]]="others",R1531&lt;24),"Fitnesss",AND(Table13[[#This Row],[Gender]]="others",R1531&lt;31),"Acceptable",AND(Table13[[#This Row],[Gender]]="others",R1531&lt;40),"Obese")</f>
        <v>Acceptable</v>
      </c>
      <c r="R1531" s="8">
        <v>27.6</v>
      </c>
      <c r="S1531" s="8">
        <v>3.6</v>
      </c>
      <c r="T1531" s="8">
        <v>4</v>
      </c>
      <c r="U1531" s="8">
        <v>1</v>
      </c>
      <c r="V1531" s="8" t="str">
        <f>IF(Table13[[#This Row],[BMI]]&lt;=18.5,"Underweight",IF(Table13[[#This Row],[BMI]]&lt;=24.9,"Normal",IF(Table13[[#This Row],[BMI]]&lt;=29.9,"Overweight",IF(Table13[[#This Row],[BMI]]&lt;=39,"Obese","Severly Obese"))))</f>
        <v>Normal</v>
      </c>
      <c r="W1531" s="18">
        <v>24.46</v>
      </c>
    </row>
    <row r="1532" spans="6:23" x14ac:dyDescent="0.3">
      <c r="F1532" s="17">
        <v>31</v>
      </c>
      <c r="G1532" s="8" t="str">
        <f>IF(Table13[[#This Row],[Age]]&lt;25,"18-24",IF(Table13[[#This Row],[Age]]&lt;35,"25-34",IF(Table13[[#This Row],[Age]]&lt;45,"35-44",IF(Table13[[#This Row],[Age]]&lt;55,"45-54","55-64"))))</f>
        <v>25-34</v>
      </c>
      <c r="H1532" s="8" t="s">
        <v>17</v>
      </c>
      <c r="I1532" s="8">
        <v>66.400000000000006</v>
      </c>
      <c r="J1532" s="8">
        <v>1.76</v>
      </c>
      <c r="K1532" s="8">
        <v>175</v>
      </c>
      <c r="L1532" s="8">
        <v>140</v>
      </c>
      <c r="M1532" s="8">
        <v>69</v>
      </c>
      <c r="N1532" s="8">
        <v>1.55</v>
      </c>
      <c r="O1532" s="8">
        <v>640</v>
      </c>
      <c r="P1532" s="8" t="s">
        <v>18</v>
      </c>
      <c r="Q1532" s="8" t="str">
        <f>_xlfn.IFS(AND(Table13[[#This Row],[Gender]]="female",R1532&lt;20),"Athletes",AND(Table13[[#This Row],[Gender]]="female",R1532&lt;24),"Fitnesss",AND(Table13[[#This Row],[Gender]]="female",R1532&lt;31),"Acceptable",AND(Table13[[#This Row],[Gender]]="female",R1532&lt;40),"Obese",AND(Table13[[#This Row],[Gender]]="male",R1532&lt;13),"Athletes",AND(Table13[[#This Row],[Gender]]="male",R1532&lt;17),"Fitnesss",AND(Table13[[#This Row],[Gender]]="male",R1532&lt;24.9),"Acceptable",AND(Table13[[#This Row],[Gender]]="male",R1532&lt;40),"Obese",AND(Table13[[#This Row],[Gender]]="others",R1532&lt;20),"Athletes",AND(Table13[[#This Row],[Gender]]="others",R1532&lt;24),"Fitnesss",AND(Table13[[#This Row],[Gender]]="others",R1532&lt;31),"Acceptable",AND(Table13[[#This Row],[Gender]]="others",R1532&lt;40),"Obese")</f>
        <v>Acceptable</v>
      </c>
      <c r="R1532" s="8">
        <v>24.7</v>
      </c>
      <c r="S1532" s="8">
        <v>3.5</v>
      </c>
      <c r="T1532" s="8">
        <v>4</v>
      </c>
      <c r="U1532" s="8">
        <v>2</v>
      </c>
      <c r="V1532" s="8" t="str">
        <f>IF(Table13[[#This Row],[BMI]]&lt;=18.5,"Underweight",IF(Table13[[#This Row],[BMI]]&lt;=24.9,"Normal",IF(Table13[[#This Row],[BMI]]&lt;=29.9,"Overweight",IF(Table13[[#This Row],[BMI]]&lt;=39,"Obese","Severly Obese"))))</f>
        <v>Overweight</v>
      </c>
      <c r="W1532" s="18">
        <v>29.07</v>
      </c>
    </row>
    <row r="1533" spans="6:23" x14ac:dyDescent="0.3">
      <c r="F1533" s="17">
        <v>49</v>
      </c>
      <c r="G1533" s="8" t="str">
        <f>IF(Table13[[#This Row],[Age]]&lt;25,"18-24",IF(Table13[[#This Row],[Age]]&lt;35,"25-34",IF(Table13[[#This Row],[Age]]&lt;45,"35-44",IF(Table13[[#This Row],[Age]]&lt;55,"45-54","55-64"))))</f>
        <v>45-54</v>
      </c>
      <c r="H1533" s="8" t="s">
        <v>19</v>
      </c>
      <c r="I1533" s="8">
        <v>97.1</v>
      </c>
      <c r="J1533" s="8">
        <v>2</v>
      </c>
      <c r="K1533" s="8">
        <v>174</v>
      </c>
      <c r="L1533" s="8">
        <v>153</v>
      </c>
      <c r="M1533" s="8">
        <v>74</v>
      </c>
      <c r="N1533" s="8">
        <v>1.26</v>
      </c>
      <c r="O1533" s="8">
        <v>763</v>
      </c>
      <c r="P1533" s="8" t="s">
        <v>18</v>
      </c>
      <c r="Q1533" s="8" t="str">
        <f>_xlfn.IFS(AND(Table13[[#This Row],[Gender]]="female",R1533&lt;20),"Athletes",AND(Table13[[#This Row],[Gender]]="female",R1533&lt;24),"Fitnesss",AND(Table13[[#This Row],[Gender]]="female",R1533&lt;31),"Acceptable",AND(Table13[[#This Row],[Gender]]="female",R1533&lt;40),"Obese",AND(Table13[[#This Row],[Gender]]="male",R1533&lt;13),"Athletes",AND(Table13[[#This Row],[Gender]]="male",R1533&lt;17),"Fitnesss",AND(Table13[[#This Row],[Gender]]="male",R1533&lt;24.9),"Acceptable",AND(Table13[[#This Row],[Gender]]="male",R1533&lt;40),"Obese",AND(Table13[[#This Row],[Gender]]="others",R1533&lt;20),"Athletes",AND(Table13[[#This Row],[Gender]]="others",R1533&lt;24),"Fitnesss",AND(Table13[[#This Row],[Gender]]="others",R1533&lt;31),"Acceptable",AND(Table13[[#This Row],[Gender]]="others",R1533&lt;40),"Obese")</f>
        <v>Athletes</v>
      </c>
      <c r="R1533" s="8">
        <v>10</v>
      </c>
      <c r="S1533" s="8">
        <v>2.6</v>
      </c>
      <c r="T1533" s="8">
        <v>2</v>
      </c>
      <c r="U1533" s="8">
        <v>2</v>
      </c>
      <c r="V1533" s="8" t="str">
        <f>IF(Table13[[#This Row],[BMI]]&lt;=18.5,"Underweight",IF(Table13[[#This Row],[BMI]]&lt;=24.9,"Normal",IF(Table13[[#This Row],[BMI]]&lt;=29.9,"Overweight",IF(Table13[[#This Row],[BMI]]&lt;=39,"Obese","Severly Obese"))))</f>
        <v>Normal</v>
      </c>
      <c r="W1533" s="18">
        <v>23.64</v>
      </c>
    </row>
    <row r="1534" spans="6:23" x14ac:dyDescent="0.3">
      <c r="F1534" s="17">
        <v>29</v>
      </c>
      <c r="G1534" s="8" t="str">
        <f>IF(Table13[[#This Row],[Age]]&lt;25,"18-24",IF(Table13[[#This Row],[Age]]&lt;35,"25-34",IF(Table13[[#This Row],[Age]]&lt;45,"35-44",IF(Table13[[#This Row],[Age]]&lt;55,"45-54","55-64"))))</f>
        <v>25-34</v>
      </c>
      <c r="H1534" s="8" t="s">
        <v>19</v>
      </c>
      <c r="I1534" s="8">
        <v>73.7</v>
      </c>
      <c r="J1534" s="8">
        <v>1.88</v>
      </c>
      <c r="K1534" s="8">
        <v>192</v>
      </c>
      <c r="L1534" s="8">
        <v>141</v>
      </c>
      <c r="M1534" s="8">
        <v>59</v>
      </c>
      <c r="N1534" s="8">
        <v>1.68</v>
      </c>
      <c r="O1534" s="8">
        <v>769</v>
      </c>
      <c r="P1534" s="8" t="s">
        <v>20</v>
      </c>
      <c r="Q1534" s="8" t="str">
        <f>_xlfn.IFS(AND(Table13[[#This Row],[Gender]]="female",R1534&lt;20),"Athletes",AND(Table13[[#This Row],[Gender]]="female",R1534&lt;24),"Fitnesss",AND(Table13[[#This Row],[Gender]]="female",R1534&lt;31),"Acceptable",AND(Table13[[#This Row],[Gender]]="female",R1534&lt;40),"Obese",AND(Table13[[#This Row],[Gender]]="male",R1534&lt;13),"Athletes",AND(Table13[[#This Row],[Gender]]="male",R1534&lt;17),"Fitnesss",AND(Table13[[#This Row],[Gender]]="male",R1534&lt;24.9),"Acceptable",AND(Table13[[#This Row],[Gender]]="male",R1534&lt;40),"Obese",AND(Table13[[#This Row],[Gender]]="others",R1534&lt;20),"Athletes",AND(Table13[[#This Row],[Gender]]="others",R1534&lt;24),"Fitnesss",AND(Table13[[#This Row],[Gender]]="others",R1534&lt;31),"Acceptable",AND(Table13[[#This Row],[Gender]]="others",R1534&lt;40),"Obese")</f>
        <v>Athletes</v>
      </c>
      <c r="R1534" s="8"/>
      <c r="S1534" s="8">
        <v>3.2</v>
      </c>
      <c r="T1534" s="8">
        <v>3</v>
      </c>
      <c r="U1534" s="8">
        <v>3</v>
      </c>
      <c r="V1534" s="8" t="str">
        <f>IF(Table13[[#This Row],[BMI]]&lt;=18.5,"Underweight",IF(Table13[[#This Row],[BMI]]&lt;=24.9,"Normal",IF(Table13[[#This Row],[BMI]]&lt;=29.9,"Overweight",IF(Table13[[#This Row],[BMI]]&lt;=39,"Obese","Severly Obese"))))</f>
        <v>Normal</v>
      </c>
      <c r="W1534" s="18">
        <v>24.55</v>
      </c>
    </row>
    <row r="1535" spans="6:23" x14ac:dyDescent="0.3">
      <c r="F1535" s="17">
        <v>44</v>
      </c>
      <c r="G1535" s="8" t="str">
        <f>IF(Table13[[#This Row],[Age]]&lt;25,"18-24",IF(Table13[[#This Row],[Age]]&lt;35,"25-34",IF(Table13[[#This Row],[Age]]&lt;45,"35-44",IF(Table13[[#This Row],[Age]]&lt;55,"45-54","55-64"))))</f>
        <v>35-44</v>
      </c>
      <c r="H1535" s="8" t="s">
        <v>19</v>
      </c>
      <c r="I1535" s="8">
        <v>86.1</v>
      </c>
      <c r="J1535" s="8">
        <v>1.73</v>
      </c>
      <c r="K1535" s="8">
        <v>178</v>
      </c>
      <c r="L1535" s="8">
        <v>140</v>
      </c>
      <c r="M1535" s="8">
        <v>51</v>
      </c>
      <c r="N1535" s="8">
        <v>1.1200000000000001</v>
      </c>
      <c r="O1535" s="8">
        <v>1244</v>
      </c>
      <c r="P1535" s="8" t="s">
        <v>18</v>
      </c>
      <c r="Q1535" s="8" t="str">
        <f>_xlfn.IFS(AND(Table13[[#This Row],[Gender]]="female",R1535&lt;20),"Athletes",AND(Table13[[#This Row],[Gender]]="female",R1535&lt;24),"Fitnesss",AND(Table13[[#This Row],[Gender]]="female",R1535&lt;31),"Acceptable",AND(Table13[[#This Row],[Gender]]="female",R1535&lt;40),"Obese",AND(Table13[[#This Row],[Gender]]="male",R1535&lt;13),"Athletes",AND(Table13[[#This Row],[Gender]]="male",R1535&lt;17),"Fitnesss",AND(Table13[[#This Row],[Gender]]="male",R1535&lt;24.9),"Acceptable",AND(Table13[[#This Row],[Gender]]="male",R1535&lt;40),"Obese",AND(Table13[[#This Row],[Gender]]="others",R1535&lt;20),"Athletes",AND(Table13[[#This Row],[Gender]]="others",R1535&lt;24),"Fitnesss",AND(Table13[[#This Row],[Gender]]="others",R1535&lt;31),"Acceptable",AND(Table13[[#This Row],[Gender]]="others",R1535&lt;40),"Obese")</f>
        <v>Acceptable</v>
      </c>
      <c r="R1535" s="8">
        <v>22.7</v>
      </c>
      <c r="S1535" s="8">
        <v>3.4</v>
      </c>
      <c r="T1535" s="8">
        <v>3</v>
      </c>
      <c r="U1535" s="8">
        <v>3</v>
      </c>
      <c r="V1535" s="8" t="str">
        <f>IF(Table13[[#This Row],[BMI]]&lt;=18.5,"Underweight",IF(Table13[[#This Row],[BMI]]&lt;=24.9,"Normal",IF(Table13[[#This Row],[BMI]]&lt;=29.9,"Overweight",IF(Table13[[#This Row],[BMI]]&lt;=39,"Obese","Severly Obese"))))</f>
        <v>Normal</v>
      </c>
      <c r="W1535" s="18">
        <v>19.23</v>
      </c>
    </row>
    <row r="1536" spans="6:23" x14ac:dyDescent="0.3">
      <c r="F1536" s="17">
        <v>37</v>
      </c>
      <c r="G1536" s="8" t="str">
        <f>IF(Table13[[#This Row],[Age]]&lt;25,"18-24",IF(Table13[[#This Row],[Age]]&lt;35,"25-34",IF(Table13[[#This Row],[Age]]&lt;45,"35-44",IF(Table13[[#This Row],[Age]]&lt;55,"45-54","55-64"))))</f>
        <v>35-44</v>
      </c>
      <c r="H1536" s="8" t="s">
        <v>17</v>
      </c>
      <c r="I1536" s="8">
        <v>58.7</v>
      </c>
      <c r="J1536" s="8">
        <v>1.78</v>
      </c>
      <c r="K1536" s="8">
        <v>195</v>
      </c>
      <c r="L1536" s="8">
        <v>154</v>
      </c>
      <c r="M1536" s="8">
        <v>59</v>
      </c>
      <c r="N1536" s="8">
        <v>1.34</v>
      </c>
      <c r="O1536" s="8">
        <v>1015</v>
      </c>
      <c r="P1536" s="8" t="s">
        <v>20</v>
      </c>
      <c r="Q1536" s="8" t="str">
        <f>_xlfn.IFS(AND(Table13[[#This Row],[Gender]]="female",R1536&lt;20),"Athletes",AND(Table13[[#This Row],[Gender]]="female",R1536&lt;24),"Fitnesss",AND(Table13[[#This Row],[Gender]]="female",R1536&lt;31),"Acceptable",AND(Table13[[#This Row],[Gender]]="female",R1536&lt;40),"Obese",AND(Table13[[#This Row],[Gender]]="male",R1536&lt;13),"Athletes",AND(Table13[[#This Row],[Gender]]="male",R1536&lt;17),"Fitnesss",AND(Table13[[#This Row],[Gender]]="male",R1536&lt;24.9),"Acceptable",AND(Table13[[#This Row],[Gender]]="male",R1536&lt;40),"Obese",AND(Table13[[#This Row],[Gender]]="others",R1536&lt;20),"Athletes",AND(Table13[[#This Row],[Gender]]="others",R1536&lt;24),"Fitnesss",AND(Table13[[#This Row],[Gender]]="others",R1536&lt;31),"Acceptable",AND(Table13[[#This Row],[Gender]]="others",R1536&lt;40),"Obese")</f>
        <v>Acceptable</v>
      </c>
      <c r="R1536" s="8">
        <v>29.5</v>
      </c>
      <c r="S1536" s="8">
        <v>2.8</v>
      </c>
      <c r="T1536" s="8">
        <v>2</v>
      </c>
      <c r="U1536" s="8">
        <v>3</v>
      </c>
      <c r="V1536" s="8" t="str">
        <f>IF(Table13[[#This Row],[BMI]]&lt;=18.5,"Underweight",IF(Table13[[#This Row],[BMI]]&lt;=24.9,"Normal",IF(Table13[[#This Row],[BMI]]&lt;=29.9,"Overweight",IF(Table13[[#This Row],[BMI]]&lt;=39,"Obese","Severly Obese"))))</f>
        <v>Normal</v>
      </c>
      <c r="W1536" s="18">
        <v>18.670000000000002</v>
      </c>
    </row>
    <row r="1537" spans="6:23" x14ac:dyDescent="0.3">
      <c r="F1537" s="17">
        <v>37</v>
      </c>
      <c r="G1537" s="8" t="str">
        <f>IF(Table13[[#This Row],[Age]]&lt;25,"18-24",IF(Table13[[#This Row],[Age]]&lt;35,"25-34",IF(Table13[[#This Row],[Age]]&lt;45,"35-44",IF(Table13[[#This Row],[Age]]&lt;55,"45-54","55-64"))))</f>
        <v>35-44</v>
      </c>
      <c r="H1537" s="8" t="s">
        <v>17</v>
      </c>
      <c r="I1537" s="8">
        <v>69.099999999999994</v>
      </c>
      <c r="J1537" s="8">
        <v>1.74</v>
      </c>
      <c r="K1537" s="8">
        <v>175</v>
      </c>
      <c r="L1537" s="8">
        <v>127</v>
      </c>
      <c r="M1537" s="8">
        <v>53</v>
      </c>
      <c r="N1537" s="8">
        <v>1.61</v>
      </c>
      <c r="O1537" s="8">
        <v>1411</v>
      </c>
      <c r="P1537" s="8" t="s">
        <v>18</v>
      </c>
      <c r="Q1537" s="8" t="str">
        <f>_xlfn.IFS(AND(Table13[[#This Row],[Gender]]="female",R1537&lt;20),"Athletes",AND(Table13[[#This Row],[Gender]]="female",R1537&lt;24),"Fitnesss",AND(Table13[[#This Row],[Gender]]="female",R1537&lt;31),"Acceptable",AND(Table13[[#This Row],[Gender]]="female",R1537&lt;40),"Obese",AND(Table13[[#This Row],[Gender]]="male",R1537&lt;13),"Athletes",AND(Table13[[#This Row],[Gender]]="male",R1537&lt;17),"Fitnesss",AND(Table13[[#This Row],[Gender]]="male",R1537&lt;24.9),"Acceptable",AND(Table13[[#This Row],[Gender]]="male",R1537&lt;40),"Obese",AND(Table13[[#This Row],[Gender]]="others",R1537&lt;20),"Athletes",AND(Table13[[#This Row],[Gender]]="others",R1537&lt;24),"Fitnesss",AND(Table13[[#This Row],[Gender]]="others",R1537&lt;31),"Acceptable",AND(Table13[[#This Row],[Gender]]="others",R1537&lt;40),"Obese")</f>
        <v>Obese</v>
      </c>
      <c r="R1537" s="8">
        <v>31.9</v>
      </c>
      <c r="S1537" s="8">
        <v>3.6</v>
      </c>
      <c r="T1537" s="8">
        <v>2</v>
      </c>
      <c r="U1537" s="8">
        <v>2</v>
      </c>
      <c r="V1537" s="8" t="str">
        <f>IF(Table13[[#This Row],[BMI]]&lt;=18.5,"Underweight",IF(Table13[[#This Row],[BMI]]&lt;=24.9,"Normal",IF(Table13[[#This Row],[BMI]]&lt;=29.9,"Overweight",IF(Table13[[#This Row],[BMI]]&lt;=39,"Obese","Severly Obese"))))</f>
        <v>Underweight</v>
      </c>
      <c r="W1537" s="18">
        <v>18.07</v>
      </c>
    </row>
    <row r="1538" spans="6:23" x14ac:dyDescent="0.3">
      <c r="F1538" s="17">
        <v>46</v>
      </c>
      <c r="G1538" s="8" t="str">
        <f>IF(Table13[[#This Row],[Age]]&lt;25,"18-24",IF(Table13[[#This Row],[Age]]&lt;35,"25-34",IF(Table13[[#This Row],[Age]]&lt;45,"35-44",IF(Table13[[#This Row],[Age]]&lt;55,"45-54","55-64"))))</f>
        <v>45-54</v>
      </c>
      <c r="H1538" s="8" t="s">
        <v>17</v>
      </c>
      <c r="I1538" s="8">
        <v>73</v>
      </c>
      <c r="J1538" s="8">
        <v>1.73</v>
      </c>
      <c r="K1538" s="8">
        <v>164</v>
      </c>
      <c r="L1538" s="8">
        <v>150</v>
      </c>
      <c r="M1538" s="8">
        <v>54</v>
      </c>
      <c r="N1538" s="8">
        <v>1.87</v>
      </c>
      <c r="O1538" s="8">
        <v>1037</v>
      </c>
      <c r="P1538" s="8" t="s">
        <v>20</v>
      </c>
      <c r="Q1538" s="8" t="str">
        <f>_xlfn.IFS(AND(Table13[[#This Row],[Gender]]="female",R1538&lt;20),"Athletes",AND(Table13[[#This Row],[Gender]]="female",R1538&lt;24),"Fitnesss",AND(Table13[[#This Row],[Gender]]="female",R1538&lt;31),"Acceptable",AND(Table13[[#This Row],[Gender]]="female",R1538&lt;40),"Obese",AND(Table13[[#This Row],[Gender]]="male",R1538&lt;13),"Athletes",AND(Table13[[#This Row],[Gender]]="male",R1538&lt;17),"Fitnesss",AND(Table13[[#This Row],[Gender]]="male",R1538&lt;24.9),"Acceptable",AND(Table13[[#This Row],[Gender]]="male",R1538&lt;40),"Obese",AND(Table13[[#This Row],[Gender]]="others",R1538&lt;20),"Athletes",AND(Table13[[#This Row],[Gender]]="others",R1538&lt;24),"Fitnesss",AND(Table13[[#This Row],[Gender]]="others",R1538&lt;31),"Acceptable",AND(Table13[[#This Row],[Gender]]="others",R1538&lt;40),"Obese")</f>
        <v>Acceptable</v>
      </c>
      <c r="R1538" s="8">
        <v>25.1</v>
      </c>
      <c r="S1538" s="8">
        <v>3.4</v>
      </c>
      <c r="T1538" s="8">
        <v>2</v>
      </c>
      <c r="U1538" s="8"/>
      <c r="V1538" s="8" t="str">
        <f>IF(Table13[[#This Row],[BMI]]&lt;=18.5,"Underweight",IF(Table13[[#This Row],[BMI]]&lt;=24.9,"Normal",IF(Table13[[#This Row],[BMI]]&lt;=29.9,"Overweight",IF(Table13[[#This Row],[BMI]]&lt;=39,"Obese","Severly Obese"))))</f>
        <v>Underweight</v>
      </c>
      <c r="W1538" s="18">
        <v>15.27</v>
      </c>
    </row>
    <row r="1539" spans="6:23" x14ac:dyDescent="0.3">
      <c r="F1539" s="17">
        <v>53</v>
      </c>
      <c r="G1539" s="8" t="str">
        <f>IF(Table13[[#This Row],[Age]]&lt;25,"18-24",IF(Table13[[#This Row],[Age]]&lt;35,"25-34",IF(Table13[[#This Row],[Age]]&lt;45,"35-44",IF(Table13[[#This Row],[Age]]&lt;55,"45-54","55-64"))))</f>
        <v>45-54</v>
      </c>
      <c r="H1539" s="8" t="s">
        <v>19</v>
      </c>
      <c r="I1539" s="8">
        <v>67.3</v>
      </c>
      <c r="J1539" s="8">
        <v>1.5</v>
      </c>
      <c r="K1539" s="8">
        <v>199</v>
      </c>
      <c r="L1539" s="8">
        <v>151</v>
      </c>
      <c r="M1539" s="8">
        <v>60</v>
      </c>
      <c r="N1539" s="8">
        <v>1.04</v>
      </c>
      <c r="O1539" s="8">
        <v>593</v>
      </c>
      <c r="P1539" s="8" t="s">
        <v>21</v>
      </c>
      <c r="Q1539" s="8" t="str">
        <f>_xlfn.IFS(AND(Table13[[#This Row],[Gender]]="female",R1539&lt;20),"Athletes",AND(Table13[[#This Row],[Gender]]="female",R1539&lt;24),"Fitnesss",AND(Table13[[#This Row],[Gender]]="female",R1539&lt;31),"Acceptable",AND(Table13[[#This Row],[Gender]]="female",R1539&lt;40),"Obese",AND(Table13[[#This Row],[Gender]]="male",R1539&lt;13),"Athletes",AND(Table13[[#This Row],[Gender]]="male",R1539&lt;17),"Fitnesss",AND(Table13[[#This Row],[Gender]]="male",R1539&lt;24.9),"Acceptable",AND(Table13[[#This Row],[Gender]]="male",R1539&lt;40),"Obese",AND(Table13[[#This Row],[Gender]]="others",R1539&lt;20),"Athletes",AND(Table13[[#This Row],[Gender]]="others",R1539&lt;24),"Fitnesss",AND(Table13[[#This Row],[Gender]]="others",R1539&lt;31),"Acceptable",AND(Table13[[#This Row],[Gender]]="others",R1539&lt;40),"Obese")</f>
        <v>Fitnesss</v>
      </c>
      <c r="R1539" s="8">
        <v>15.8</v>
      </c>
      <c r="S1539" s="8">
        <v>3.4</v>
      </c>
      <c r="T1539" s="8">
        <v>4</v>
      </c>
      <c r="U1539" s="8">
        <v>2</v>
      </c>
      <c r="V1539" s="8" t="str">
        <f>IF(Table13[[#This Row],[BMI]]&lt;=18.5,"Underweight",IF(Table13[[#This Row],[BMI]]&lt;=24.9,"Normal",IF(Table13[[#This Row],[BMI]]&lt;=29.9,"Overweight",IF(Table13[[#This Row],[BMI]]&lt;=39,"Obese","Severly Obese"))))</f>
        <v>Underweight</v>
      </c>
      <c r="W1539" s="18">
        <v>12.32</v>
      </c>
    </row>
    <row r="1540" spans="6:23" x14ac:dyDescent="0.3">
      <c r="F1540" s="17">
        <v>47</v>
      </c>
      <c r="G1540" s="8" t="str">
        <f>IF(Table13[[#This Row],[Age]]&lt;25,"18-24",IF(Table13[[#This Row],[Age]]&lt;35,"25-34",IF(Table13[[#This Row],[Age]]&lt;45,"35-44",IF(Table13[[#This Row],[Age]]&lt;55,"45-54","55-64"))))</f>
        <v>45-54</v>
      </c>
      <c r="H1540" s="8" t="s">
        <v>17</v>
      </c>
      <c r="I1540" s="8">
        <v>59.2</v>
      </c>
      <c r="J1540" s="8">
        <v>1.67</v>
      </c>
      <c r="K1540" s="8">
        <v>182</v>
      </c>
      <c r="L1540" s="8">
        <v>169</v>
      </c>
      <c r="M1540" s="8">
        <v>57</v>
      </c>
      <c r="N1540" s="8">
        <v>1.06</v>
      </c>
      <c r="O1540" s="8">
        <v>1252</v>
      </c>
      <c r="P1540" s="8" t="s">
        <v>21</v>
      </c>
      <c r="Q1540" s="8" t="str">
        <f>_xlfn.IFS(AND(Table13[[#This Row],[Gender]]="female",R1540&lt;20),"Athletes",AND(Table13[[#This Row],[Gender]]="female",R1540&lt;24),"Fitnesss",AND(Table13[[#This Row],[Gender]]="female",R1540&lt;31),"Acceptable",AND(Table13[[#This Row],[Gender]]="female",R1540&lt;40),"Obese",AND(Table13[[#This Row],[Gender]]="male",R1540&lt;13),"Athletes",AND(Table13[[#This Row],[Gender]]="male",R1540&lt;17),"Fitnesss",AND(Table13[[#This Row],[Gender]]="male",R1540&lt;24.9),"Acceptable",AND(Table13[[#This Row],[Gender]]="male",R1540&lt;40),"Obese",AND(Table13[[#This Row],[Gender]]="others",R1540&lt;20),"Athletes",AND(Table13[[#This Row],[Gender]]="others",R1540&lt;24),"Fitnesss",AND(Table13[[#This Row],[Gender]]="others",R1540&lt;31),"Acceptable",AND(Table13[[#This Row],[Gender]]="others",R1540&lt;40),"Obese")</f>
        <v>Obese</v>
      </c>
      <c r="R1540" s="8">
        <v>31.5</v>
      </c>
      <c r="S1540" s="8">
        <v>2.2000000000000002</v>
      </c>
      <c r="T1540" s="8">
        <v>3</v>
      </c>
      <c r="U1540" s="8">
        <v>2</v>
      </c>
      <c r="V1540" s="8" t="str">
        <f>IF(Table13[[#This Row],[BMI]]&lt;=18.5,"Underweight",IF(Table13[[#This Row],[BMI]]&lt;=24.9,"Normal",IF(Table13[[#This Row],[BMI]]&lt;=29.9,"Overweight",IF(Table13[[#This Row],[BMI]]&lt;=39,"Obese","Severly Obese"))))</f>
        <v>Normal</v>
      </c>
      <c r="W1540" s="18">
        <v>23.65</v>
      </c>
    </row>
    <row r="1541" spans="6:23" x14ac:dyDescent="0.3">
      <c r="F1541" s="17">
        <v>46</v>
      </c>
      <c r="G1541" s="8" t="str">
        <f>IF(Table13[[#This Row],[Age]]&lt;25,"18-24",IF(Table13[[#This Row],[Age]]&lt;35,"25-34",IF(Table13[[#This Row],[Age]]&lt;45,"35-44",IF(Table13[[#This Row],[Age]]&lt;55,"45-54","55-64"))))</f>
        <v>45-54</v>
      </c>
      <c r="H1541" s="8" t="s">
        <v>17</v>
      </c>
      <c r="I1541" s="8">
        <v>119.6</v>
      </c>
      <c r="J1541" s="8">
        <v>1.71</v>
      </c>
      <c r="K1541" s="8">
        <v>176</v>
      </c>
      <c r="L1541" s="8">
        <v>129</v>
      </c>
      <c r="M1541" s="8">
        <v>53</v>
      </c>
      <c r="N1541" s="8">
        <v>1.26</v>
      </c>
      <c r="O1541" s="8">
        <v>1144</v>
      </c>
      <c r="P1541" s="8" t="s">
        <v>21</v>
      </c>
      <c r="Q1541" s="8" t="str">
        <f>_xlfn.IFS(AND(Table13[[#This Row],[Gender]]="female",R1541&lt;20),"Athletes",AND(Table13[[#This Row],[Gender]]="female",R1541&lt;24),"Fitnesss",AND(Table13[[#This Row],[Gender]]="female",R1541&lt;31),"Acceptable",AND(Table13[[#This Row],[Gender]]="female",R1541&lt;40),"Obese",AND(Table13[[#This Row],[Gender]]="male",R1541&lt;13),"Athletes",AND(Table13[[#This Row],[Gender]]="male",R1541&lt;17),"Fitnesss",AND(Table13[[#This Row],[Gender]]="male",R1541&lt;24.9),"Acceptable",AND(Table13[[#This Row],[Gender]]="male",R1541&lt;40),"Obese",AND(Table13[[#This Row],[Gender]]="others",R1541&lt;20),"Athletes",AND(Table13[[#This Row],[Gender]]="others",R1541&lt;24),"Fitnesss",AND(Table13[[#This Row],[Gender]]="others",R1541&lt;31),"Acceptable",AND(Table13[[#This Row],[Gender]]="others",R1541&lt;40),"Obese")</f>
        <v>Fitnesss</v>
      </c>
      <c r="R1541" s="8">
        <v>23.9</v>
      </c>
      <c r="S1541" s="8">
        <v>1.7</v>
      </c>
      <c r="T1541" s="8">
        <v>4</v>
      </c>
      <c r="U1541" s="8">
        <v>2</v>
      </c>
      <c r="V1541" s="8" t="str">
        <f>IF(Table13[[#This Row],[BMI]]&lt;=18.5,"Underweight",IF(Table13[[#This Row],[BMI]]&lt;=24.9,"Normal",IF(Table13[[#This Row],[BMI]]&lt;=29.9,"Overweight",IF(Table13[[#This Row],[BMI]]&lt;=39,"Obese","Severly Obese"))))</f>
        <v>Underweight</v>
      </c>
      <c r="W1541" s="18">
        <v>12.32</v>
      </c>
    </row>
    <row r="1542" spans="6:23" x14ac:dyDescent="0.3">
      <c r="F1542" s="17">
        <v>53</v>
      </c>
      <c r="G1542" s="8" t="str">
        <f>IF(Table13[[#This Row],[Age]]&lt;25,"18-24",IF(Table13[[#This Row],[Age]]&lt;35,"25-34",IF(Table13[[#This Row],[Age]]&lt;45,"35-44",IF(Table13[[#This Row],[Age]]&lt;55,"45-54","55-64"))))</f>
        <v>45-54</v>
      </c>
      <c r="H1542" s="8" t="s">
        <v>19</v>
      </c>
      <c r="I1542" s="8">
        <v>80.099999999999994</v>
      </c>
      <c r="J1542" s="8">
        <v>1.69</v>
      </c>
      <c r="K1542" s="8">
        <v>188</v>
      </c>
      <c r="L1542" s="8">
        <v>167</v>
      </c>
      <c r="M1542" s="8">
        <v>74</v>
      </c>
      <c r="N1542" s="8">
        <v>2</v>
      </c>
      <c r="O1542" s="8">
        <v>1196</v>
      </c>
      <c r="P1542" s="8" t="s">
        <v>18</v>
      </c>
      <c r="Q1542" s="8" t="str">
        <f>_xlfn.IFS(AND(Table13[[#This Row],[Gender]]="female",R1542&lt;20),"Athletes",AND(Table13[[#This Row],[Gender]]="female",R1542&lt;24),"Fitnesss",AND(Table13[[#This Row],[Gender]]="female",R1542&lt;31),"Acceptable",AND(Table13[[#This Row],[Gender]]="female",R1542&lt;40),"Obese",AND(Table13[[#This Row],[Gender]]="male",R1542&lt;13),"Athletes",AND(Table13[[#This Row],[Gender]]="male",R1542&lt;17),"Fitnesss",AND(Table13[[#This Row],[Gender]]="male",R1542&lt;24.9),"Acceptable",AND(Table13[[#This Row],[Gender]]="male",R1542&lt;40),"Obese",AND(Table13[[#This Row],[Gender]]="others",R1542&lt;20),"Athletes",AND(Table13[[#This Row],[Gender]]="others",R1542&lt;24),"Fitnesss",AND(Table13[[#This Row],[Gender]]="others",R1542&lt;31),"Acceptable",AND(Table13[[#This Row],[Gender]]="others",R1542&lt;40),"Obese")</f>
        <v>Fitnesss</v>
      </c>
      <c r="R1542" s="8">
        <v>13</v>
      </c>
      <c r="S1542" s="8">
        <v>2.2999999999999998</v>
      </c>
      <c r="T1542" s="8">
        <v>3</v>
      </c>
      <c r="U1542" s="8">
        <v>1</v>
      </c>
      <c r="V1542" s="8" t="str">
        <f>IF(Table13[[#This Row],[BMI]]&lt;=18.5,"Underweight",IF(Table13[[#This Row],[BMI]]&lt;=24.9,"Normal",IF(Table13[[#This Row],[BMI]]&lt;=29.9,"Overweight",IF(Table13[[#This Row],[BMI]]&lt;=39,"Obese","Severly Obese"))))</f>
        <v>Underweight</v>
      </c>
      <c r="W1542" s="18">
        <v>14.85</v>
      </c>
    </row>
    <row r="1543" spans="6:23" x14ac:dyDescent="0.3">
      <c r="F1543" s="17">
        <v>42</v>
      </c>
      <c r="G1543" s="8" t="str">
        <f>IF(Table13[[#This Row],[Age]]&lt;25,"18-24",IF(Table13[[#This Row],[Age]]&lt;35,"25-34",IF(Table13[[#This Row],[Age]]&lt;45,"35-44",IF(Table13[[#This Row],[Age]]&lt;55,"45-54","55-64"))))</f>
        <v>35-44</v>
      </c>
      <c r="H1543" s="8" t="s">
        <v>19</v>
      </c>
      <c r="I1543" s="8">
        <v>59.1</v>
      </c>
      <c r="J1543" s="8">
        <v>1.65</v>
      </c>
      <c r="K1543" s="8">
        <v>183</v>
      </c>
      <c r="L1543" s="8">
        <v>138</v>
      </c>
      <c r="M1543" s="8">
        <v>71</v>
      </c>
      <c r="N1543" s="8">
        <v>2</v>
      </c>
      <c r="O1543" s="8">
        <v>957</v>
      </c>
      <c r="P1543" s="8" t="s">
        <v>18</v>
      </c>
      <c r="Q1543" s="8" t="str">
        <f>_xlfn.IFS(AND(Table13[[#This Row],[Gender]]="female",R1543&lt;20),"Athletes",AND(Table13[[#This Row],[Gender]]="female",R1543&lt;24),"Fitnesss",AND(Table13[[#This Row],[Gender]]="female",R1543&lt;31),"Acceptable",AND(Table13[[#This Row],[Gender]]="female",R1543&lt;40),"Obese",AND(Table13[[#This Row],[Gender]]="male",R1543&lt;13),"Athletes",AND(Table13[[#This Row],[Gender]]="male",R1543&lt;17),"Fitnesss",AND(Table13[[#This Row],[Gender]]="male",R1543&lt;24.9),"Acceptable",AND(Table13[[#This Row],[Gender]]="male",R1543&lt;40),"Obese",AND(Table13[[#This Row],[Gender]]="others",R1543&lt;20),"Athletes",AND(Table13[[#This Row],[Gender]]="others",R1543&lt;24),"Fitnesss",AND(Table13[[#This Row],[Gender]]="others",R1543&lt;31),"Acceptable",AND(Table13[[#This Row],[Gender]]="others",R1543&lt;40),"Obese")</f>
        <v>Acceptable</v>
      </c>
      <c r="R1543" s="8">
        <v>21.2</v>
      </c>
      <c r="S1543" s="8">
        <v>2</v>
      </c>
      <c r="T1543" s="8">
        <v>2</v>
      </c>
      <c r="U1543" s="8">
        <v>2</v>
      </c>
      <c r="V1543" s="8" t="str">
        <f>IF(Table13[[#This Row],[BMI]]&lt;=18.5,"Underweight",IF(Table13[[#This Row],[BMI]]&lt;=24.9,"Normal",IF(Table13[[#This Row],[BMI]]&lt;=29.9,"Overweight",IF(Table13[[#This Row],[BMI]]&lt;=39,"Obese","Severly Obese"))))</f>
        <v>Obese</v>
      </c>
      <c r="W1543" s="18">
        <v>35.06</v>
      </c>
    </row>
    <row r="1544" spans="6:23" x14ac:dyDescent="0.3">
      <c r="F1544" s="17">
        <v>48</v>
      </c>
      <c r="G1544" s="8" t="str">
        <f>IF(Table13[[#This Row],[Age]]&lt;25,"18-24",IF(Table13[[#This Row],[Age]]&lt;35,"25-34",IF(Table13[[#This Row],[Age]]&lt;45,"35-44",IF(Table13[[#This Row],[Age]]&lt;55,"45-54","55-64"))))</f>
        <v>45-54</v>
      </c>
      <c r="H1544" s="8" t="s">
        <v>23</v>
      </c>
      <c r="I1544" s="8">
        <v>88.8</v>
      </c>
      <c r="J1544" s="8">
        <v>1.91</v>
      </c>
      <c r="K1544" s="8">
        <v>183</v>
      </c>
      <c r="L1544" s="8">
        <v>156</v>
      </c>
      <c r="M1544" s="8">
        <v>67</v>
      </c>
      <c r="N1544" s="8">
        <v>0.87</v>
      </c>
      <c r="O1544" s="8">
        <v>853</v>
      </c>
      <c r="P1544" s="8" t="s">
        <v>20</v>
      </c>
      <c r="Q1544" s="8" t="str">
        <f>_xlfn.IFS(AND(Table13[[#This Row],[Gender]]="female",R1544&lt;20),"Athletes",AND(Table13[[#This Row],[Gender]]="female",R1544&lt;24),"Fitnesss",AND(Table13[[#This Row],[Gender]]="female",R1544&lt;31),"Acceptable",AND(Table13[[#This Row],[Gender]]="female",R1544&lt;40),"Obese",AND(Table13[[#This Row],[Gender]]="male",R1544&lt;13),"Athletes",AND(Table13[[#This Row],[Gender]]="male",R1544&lt;17),"Fitnesss",AND(Table13[[#This Row],[Gender]]="male",R1544&lt;24.9),"Acceptable",AND(Table13[[#This Row],[Gender]]="male",R1544&lt;40),"Obese",AND(Table13[[#This Row],[Gender]]="others",R1544&lt;20),"Athletes",AND(Table13[[#This Row],[Gender]]="others",R1544&lt;24),"Fitnesss",AND(Table13[[#This Row],[Gender]]="others",R1544&lt;31),"Acceptable",AND(Table13[[#This Row],[Gender]]="others",R1544&lt;40),"Obese")</f>
        <v>Obese</v>
      </c>
      <c r="R1544" s="8">
        <v>32.5</v>
      </c>
      <c r="S1544" s="8">
        <v>3.3</v>
      </c>
      <c r="T1544" s="8">
        <v>3</v>
      </c>
      <c r="U1544" s="8">
        <v>2</v>
      </c>
      <c r="V1544" s="8" t="str">
        <f>IF(Table13[[#This Row],[BMI]]&lt;=18.5,"Underweight",IF(Table13[[#This Row],[BMI]]&lt;=24.9,"Normal",IF(Table13[[#This Row],[BMI]]&lt;=29.9,"Overweight",IF(Table13[[#This Row],[BMI]]&lt;=39,"Obese","Severly Obese"))))</f>
        <v>Normal</v>
      </c>
      <c r="W1544" s="18">
        <v>19.12</v>
      </c>
    </row>
    <row r="1545" spans="6:23" x14ac:dyDescent="0.3">
      <c r="F1545" s="17">
        <v>36</v>
      </c>
      <c r="G1545" s="8" t="str">
        <f>IF(Table13[[#This Row],[Age]]&lt;25,"18-24",IF(Table13[[#This Row],[Age]]&lt;35,"25-34",IF(Table13[[#This Row],[Age]]&lt;45,"35-44",IF(Table13[[#This Row],[Age]]&lt;55,"45-54","55-64"))))</f>
        <v>35-44</v>
      </c>
      <c r="H1545" s="8" t="s">
        <v>19</v>
      </c>
      <c r="I1545" s="8">
        <v>53.4</v>
      </c>
      <c r="J1545" s="8">
        <v>1.75</v>
      </c>
      <c r="K1545" s="8">
        <v>177</v>
      </c>
      <c r="L1545" s="8">
        <v>120</v>
      </c>
      <c r="M1545" s="8">
        <v>70</v>
      </c>
      <c r="N1545" s="8">
        <v>0.68</v>
      </c>
      <c r="O1545" s="8">
        <v>1257</v>
      </c>
      <c r="P1545" s="8" t="s">
        <v>22</v>
      </c>
      <c r="Q1545" s="8" t="str">
        <f>_xlfn.IFS(AND(Table13[[#This Row],[Gender]]="female",R1545&lt;20),"Athletes",AND(Table13[[#This Row],[Gender]]="female",R1545&lt;24),"Fitnesss",AND(Table13[[#This Row],[Gender]]="female",R1545&lt;31),"Acceptable",AND(Table13[[#This Row],[Gender]]="female",R1545&lt;40),"Obese",AND(Table13[[#This Row],[Gender]]="male",R1545&lt;13),"Athletes",AND(Table13[[#This Row],[Gender]]="male",R1545&lt;17),"Fitnesss",AND(Table13[[#This Row],[Gender]]="male",R1545&lt;24.9),"Acceptable",AND(Table13[[#This Row],[Gender]]="male",R1545&lt;40),"Obese",AND(Table13[[#This Row],[Gender]]="others",R1545&lt;20),"Athletes",AND(Table13[[#This Row],[Gender]]="others",R1545&lt;24),"Fitnesss",AND(Table13[[#This Row],[Gender]]="others",R1545&lt;31),"Acceptable",AND(Table13[[#This Row],[Gender]]="others",R1545&lt;40),"Obese")</f>
        <v>Obese</v>
      </c>
      <c r="R1545" s="8">
        <v>26.7</v>
      </c>
      <c r="S1545" s="8">
        <v>2.7</v>
      </c>
      <c r="T1545" s="8">
        <v>5</v>
      </c>
      <c r="U1545" s="8">
        <v>2</v>
      </c>
      <c r="V1545" s="8" t="str">
        <f>IF(Table13[[#This Row],[BMI]]&lt;=18.5,"Underweight",IF(Table13[[#This Row],[BMI]]&lt;=24.9,"Normal",IF(Table13[[#This Row],[BMI]]&lt;=29.9,"Overweight",IF(Table13[[#This Row],[BMI]]&lt;=39,"Obese","Severly Obese"))))</f>
        <v>Obese</v>
      </c>
      <c r="W1545" s="18">
        <v>35.28</v>
      </c>
    </row>
    <row r="1546" spans="6:23" x14ac:dyDescent="0.3">
      <c r="F1546" s="17">
        <v>18</v>
      </c>
      <c r="G1546" s="8" t="str">
        <f>IF(Table13[[#This Row],[Age]]&lt;25,"18-24",IF(Table13[[#This Row],[Age]]&lt;35,"25-34",IF(Table13[[#This Row],[Age]]&lt;45,"35-44",IF(Table13[[#This Row],[Age]]&lt;55,"45-54","55-64"))))</f>
        <v>18-24</v>
      </c>
      <c r="H1546" s="8" t="s">
        <v>19</v>
      </c>
      <c r="I1546" s="8">
        <v>98.9</v>
      </c>
      <c r="J1546" s="8">
        <v>1.58</v>
      </c>
      <c r="K1546" s="8">
        <v>181</v>
      </c>
      <c r="L1546" s="8">
        <v>126</v>
      </c>
      <c r="M1546" s="8">
        <v>68</v>
      </c>
      <c r="N1546" s="8">
        <v>1.48</v>
      </c>
      <c r="O1546" s="8">
        <v>1330</v>
      </c>
      <c r="P1546" s="8" t="s">
        <v>20</v>
      </c>
      <c r="Q1546" s="8" t="str">
        <f>_xlfn.IFS(AND(Table13[[#This Row],[Gender]]="female",R1546&lt;20),"Athletes",AND(Table13[[#This Row],[Gender]]="female",R1546&lt;24),"Fitnesss",AND(Table13[[#This Row],[Gender]]="female",R1546&lt;31),"Acceptable",AND(Table13[[#This Row],[Gender]]="female",R1546&lt;40),"Obese",AND(Table13[[#This Row],[Gender]]="male",R1546&lt;13),"Athletes",AND(Table13[[#This Row],[Gender]]="male",R1546&lt;17),"Fitnesss",AND(Table13[[#This Row],[Gender]]="male",R1546&lt;24.9),"Acceptable",AND(Table13[[#This Row],[Gender]]="male",R1546&lt;40),"Obese",AND(Table13[[#This Row],[Gender]]="others",R1546&lt;20),"Athletes",AND(Table13[[#This Row],[Gender]]="others",R1546&lt;24),"Fitnesss",AND(Table13[[#This Row],[Gender]]="others",R1546&lt;31),"Acceptable",AND(Table13[[#This Row],[Gender]]="others",R1546&lt;40),"Obese")</f>
        <v>Obese</v>
      </c>
      <c r="R1546" s="8">
        <v>27.5</v>
      </c>
      <c r="S1546" s="8">
        <v>3.1</v>
      </c>
      <c r="T1546" s="8">
        <v>3</v>
      </c>
      <c r="U1546" s="8">
        <v>2</v>
      </c>
      <c r="V1546" s="8" t="str">
        <f>IF(Table13[[#This Row],[BMI]]&lt;=18.5,"Underweight",IF(Table13[[#This Row],[BMI]]&lt;=24.9,"Normal",IF(Table13[[#This Row],[BMI]]&lt;=29.9,"Overweight",IF(Table13[[#This Row],[BMI]]&lt;=39,"Obese","Severly Obese"))))</f>
        <v>Underweight</v>
      </c>
      <c r="W1546" s="18">
        <v>12.32</v>
      </c>
    </row>
    <row r="1547" spans="6:23" x14ac:dyDescent="0.3">
      <c r="F1547" s="17">
        <v>41</v>
      </c>
      <c r="G1547" s="8" t="str">
        <f>IF(Table13[[#This Row],[Age]]&lt;25,"18-24",IF(Table13[[#This Row],[Age]]&lt;35,"25-34",IF(Table13[[#This Row],[Age]]&lt;45,"35-44",IF(Table13[[#This Row],[Age]]&lt;55,"45-54","55-64"))))</f>
        <v>35-44</v>
      </c>
      <c r="H1547" s="8" t="s">
        <v>17</v>
      </c>
      <c r="I1547" s="8">
        <v>112.2</v>
      </c>
      <c r="J1547" s="8">
        <v>1.81</v>
      </c>
      <c r="K1547" s="8">
        <v>188</v>
      </c>
      <c r="L1547" s="8">
        <v>159</v>
      </c>
      <c r="M1547" s="8">
        <v>53</v>
      </c>
      <c r="N1547" s="8">
        <v>1.1599999999999999</v>
      </c>
      <c r="O1547" s="8">
        <v>995</v>
      </c>
      <c r="P1547" s="8" t="s">
        <v>22</v>
      </c>
      <c r="Q1547" s="8" t="str">
        <f>_xlfn.IFS(AND(Table13[[#This Row],[Gender]]="female",R1547&lt;20),"Athletes",AND(Table13[[#This Row],[Gender]]="female",R1547&lt;24),"Fitnesss",AND(Table13[[#This Row],[Gender]]="female",R1547&lt;31),"Acceptable",AND(Table13[[#This Row],[Gender]]="female",R1547&lt;40),"Obese",AND(Table13[[#This Row],[Gender]]="male",R1547&lt;13),"Athletes",AND(Table13[[#This Row],[Gender]]="male",R1547&lt;17),"Fitnesss",AND(Table13[[#This Row],[Gender]]="male",R1547&lt;24.9),"Acceptable",AND(Table13[[#This Row],[Gender]]="male",R1547&lt;40),"Obese",AND(Table13[[#This Row],[Gender]]="others",R1547&lt;20),"Athletes",AND(Table13[[#This Row],[Gender]]="others",R1547&lt;24),"Fitnesss",AND(Table13[[#This Row],[Gender]]="others",R1547&lt;31),"Acceptable",AND(Table13[[#This Row],[Gender]]="others",R1547&lt;40),"Obese")</f>
        <v>Acceptable</v>
      </c>
      <c r="R1547" s="8">
        <v>30.3</v>
      </c>
      <c r="S1547" s="8">
        <v>3.3</v>
      </c>
      <c r="T1547" s="8">
        <v>3</v>
      </c>
      <c r="U1547" s="8">
        <v>2</v>
      </c>
      <c r="V1547" s="8" t="str">
        <f>IF(Table13[[#This Row],[BMI]]&lt;=18.5,"Underweight",IF(Table13[[#This Row],[BMI]]&lt;=24.9,"Normal",IF(Table13[[#This Row],[BMI]]&lt;=29.9,"Overweight",IF(Table13[[#This Row],[BMI]]&lt;=39,"Obese","Severly Obese"))))</f>
        <v>Underweight</v>
      </c>
      <c r="W1547" s="18">
        <v>18.28</v>
      </c>
    </row>
    <row r="1548" spans="6:23" x14ac:dyDescent="0.3">
      <c r="F1548" s="17">
        <v>30</v>
      </c>
      <c r="G1548" s="8" t="str">
        <f>IF(Table13[[#This Row],[Age]]&lt;25,"18-24",IF(Table13[[#This Row],[Age]]&lt;35,"25-34",IF(Table13[[#This Row],[Age]]&lt;45,"35-44",IF(Table13[[#This Row],[Age]]&lt;55,"45-54","55-64"))))</f>
        <v>25-34</v>
      </c>
      <c r="H1548" s="8" t="s">
        <v>19</v>
      </c>
      <c r="I1548" s="8">
        <v>101.6</v>
      </c>
      <c r="J1548" s="8">
        <v>1.73</v>
      </c>
      <c r="K1548" s="8">
        <v>190</v>
      </c>
      <c r="L1548" s="8">
        <v>133</v>
      </c>
      <c r="M1548" s="8">
        <v>56</v>
      </c>
      <c r="N1548" s="8">
        <v>1.38</v>
      </c>
      <c r="O1548" s="8">
        <v>1047</v>
      </c>
      <c r="P1548" s="8" t="s">
        <v>20</v>
      </c>
      <c r="Q1548" s="8" t="str">
        <f>_xlfn.IFS(AND(Table13[[#This Row],[Gender]]="female",R1548&lt;20),"Athletes",AND(Table13[[#This Row],[Gender]]="female",R1548&lt;24),"Fitnesss",AND(Table13[[#This Row],[Gender]]="female",R1548&lt;31),"Acceptable",AND(Table13[[#This Row],[Gender]]="female",R1548&lt;40),"Obese",AND(Table13[[#This Row],[Gender]]="male",R1548&lt;13),"Athletes",AND(Table13[[#This Row],[Gender]]="male",R1548&lt;17),"Fitnesss",AND(Table13[[#This Row],[Gender]]="male",R1548&lt;24.9),"Acceptable",AND(Table13[[#This Row],[Gender]]="male",R1548&lt;40),"Obese",AND(Table13[[#This Row],[Gender]]="others",R1548&lt;20),"Athletes",AND(Table13[[#This Row],[Gender]]="others",R1548&lt;24),"Fitnesss",AND(Table13[[#This Row],[Gender]]="others",R1548&lt;31),"Acceptable",AND(Table13[[#This Row],[Gender]]="others",R1548&lt;40),"Obese")</f>
        <v>Acceptable</v>
      </c>
      <c r="R1548" s="8">
        <v>22.1</v>
      </c>
      <c r="S1548" s="8">
        <v>3.2</v>
      </c>
      <c r="T1548" s="8">
        <v>3</v>
      </c>
      <c r="U1548" s="8">
        <v>3</v>
      </c>
      <c r="V1548" s="8" t="str">
        <f>IF(Table13[[#This Row],[BMI]]&lt;=18.5,"Underweight",IF(Table13[[#This Row],[BMI]]&lt;=24.9,"Normal",IF(Table13[[#This Row],[BMI]]&lt;=29.9,"Overweight",IF(Table13[[#This Row],[BMI]]&lt;=39,"Obese","Severly Obese"))))</f>
        <v>Severly Obese</v>
      </c>
      <c r="W1548" s="18">
        <v>40.75</v>
      </c>
    </row>
    <row r="1549" spans="6:23" x14ac:dyDescent="0.3">
      <c r="F1549" s="17">
        <v>19</v>
      </c>
      <c r="G1549" s="8" t="str">
        <f>IF(Table13[[#This Row],[Age]]&lt;25,"18-24",IF(Table13[[#This Row],[Age]]&lt;35,"25-34",IF(Table13[[#This Row],[Age]]&lt;45,"35-44",IF(Table13[[#This Row],[Age]]&lt;55,"45-54","55-64"))))</f>
        <v>18-24</v>
      </c>
      <c r="H1549" s="8" t="s">
        <v>17</v>
      </c>
      <c r="I1549" s="8">
        <v>74.7</v>
      </c>
      <c r="J1549" s="8">
        <v>1.85</v>
      </c>
      <c r="K1549" s="8">
        <v>194</v>
      </c>
      <c r="L1549" s="8">
        <v>127</v>
      </c>
      <c r="M1549" s="8">
        <v>74</v>
      </c>
      <c r="N1549" s="8">
        <v>0.65</v>
      </c>
      <c r="O1549" s="8">
        <v>1105</v>
      </c>
      <c r="P1549" s="8" t="s">
        <v>20</v>
      </c>
      <c r="Q1549" s="8" t="str">
        <f>_xlfn.IFS(AND(Table13[[#This Row],[Gender]]="female",R1549&lt;20),"Athletes",AND(Table13[[#This Row],[Gender]]="female",R1549&lt;24),"Fitnesss",AND(Table13[[#This Row],[Gender]]="female",R1549&lt;31),"Acceptable",AND(Table13[[#This Row],[Gender]]="female",R1549&lt;40),"Obese",AND(Table13[[#This Row],[Gender]]="male",R1549&lt;13),"Athletes",AND(Table13[[#This Row],[Gender]]="male",R1549&lt;17),"Fitnesss",AND(Table13[[#This Row],[Gender]]="male",R1549&lt;24.9),"Acceptable",AND(Table13[[#This Row],[Gender]]="male",R1549&lt;40),"Obese",AND(Table13[[#This Row],[Gender]]="others",R1549&lt;20),"Athletes",AND(Table13[[#This Row],[Gender]]="others",R1549&lt;24),"Fitnesss",AND(Table13[[#This Row],[Gender]]="others",R1549&lt;31),"Acceptable",AND(Table13[[#This Row],[Gender]]="others",R1549&lt;40),"Obese")</f>
        <v>Athletes</v>
      </c>
      <c r="R1549" s="8">
        <v>19.399999999999999</v>
      </c>
      <c r="S1549" s="8">
        <v>3.6</v>
      </c>
      <c r="T1549" s="8">
        <v>2</v>
      </c>
      <c r="U1549" s="8">
        <v>2</v>
      </c>
      <c r="V1549" s="8" t="str">
        <f>IF(Table13[[#This Row],[BMI]]&lt;=18.5,"Underweight",IF(Table13[[#This Row],[BMI]]&lt;=24.9,"Normal",IF(Table13[[#This Row],[BMI]]&lt;=29.9,"Overweight",IF(Table13[[#This Row],[BMI]]&lt;=39,"Obese","Severly Obese"))))</f>
        <v>Underweight</v>
      </c>
      <c r="W1549" s="18">
        <v>16.46</v>
      </c>
    </row>
    <row r="1550" spans="6:23" x14ac:dyDescent="0.3">
      <c r="F1550" s="17">
        <v>22</v>
      </c>
      <c r="G1550" s="8" t="str">
        <f>IF(Table13[[#This Row],[Age]]&lt;25,"18-24",IF(Table13[[#This Row],[Age]]&lt;35,"25-34",IF(Table13[[#This Row],[Age]]&lt;45,"35-44",IF(Table13[[#This Row],[Age]]&lt;55,"45-54","55-64"))))</f>
        <v>18-24</v>
      </c>
      <c r="H1550" s="8" t="s">
        <v>19</v>
      </c>
      <c r="I1550" s="8">
        <v>68.400000000000006</v>
      </c>
      <c r="J1550" s="8">
        <v>1.86</v>
      </c>
      <c r="K1550" s="8">
        <v>175</v>
      </c>
      <c r="L1550" s="8">
        <v>129</v>
      </c>
      <c r="M1550" s="8">
        <v>66</v>
      </c>
      <c r="N1550" s="8">
        <v>1.99</v>
      </c>
      <c r="O1550" s="8">
        <v>895</v>
      </c>
      <c r="P1550" s="8" t="s">
        <v>20</v>
      </c>
      <c r="Q1550" s="8" t="str">
        <f>_xlfn.IFS(AND(Table13[[#This Row],[Gender]]="female",R1550&lt;20),"Athletes",AND(Table13[[#This Row],[Gender]]="female",R1550&lt;24),"Fitnesss",AND(Table13[[#This Row],[Gender]]="female",R1550&lt;31),"Acceptable",AND(Table13[[#This Row],[Gender]]="female",R1550&lt;40),"Obese",AND(Table13[[#This Row],[Gender]]="male",R1550&lt;13),"Athletes",AND(Table13[[#This Row],[Gender]]="male",R1550&lt;17),"Fitnesss",AND(Table13[[#This Row],[Gender]]="male",R1550&lt;24.9),"Acceptable",AND(Table13[[#This Row],[Gender]]="male",R1550&lt;40),"Obese",AND(Table13[[#This Row],[Gender]]="others",R1550&lt;20),"Athletes",AND(Table13[[#This Row],[Gender]]="others",R1550&lt;24),"Fitnesss",AND(Table13[[#This Row],[Gender]]="others",R1550&lt;31),"Acceptable",AND(Table13[[#This Row],[Gender]]="others",R1550&lt;40),"Obese")</f>
        <v>Acceptable</v>
      </c>
      <c r="R1550" s="8">
        <v>20</v>
      </c>
      <c r="S1550" s="8">
        <v>3.6</v>
      </c>
      <c r="T1550" s="8">
        <v>5</v>
      </c>
      <c r="U1550" s="8">
        <v>1</v>
      </c>
      <c r="V1550" s="8" t="str">
        <f>IF(Table13[[#This Row],[BMI]]&lt;=18.5,"Underweight",IF(Table13[[#This Row],[BMI]]&lt;=24.9,"Normal",IF(Table13[[#This Row],[BMI]]&lt;=29.9,"Overweight",IF(Table13[[#This Row],[BMI]]&lt;=39,"Obese","Severly Obese"))))</f>
        <v>Underweight</v>
      </c>
      <c r="W1550" s="18">
        <v>16.16</v>
      </c>
    </row>
    <row r="1551" spans="6:23" x14ac:dyDescent="0.3">
      <c r="F1551" s="17">
        <v>22</v>
      </c>
      <c r="G1551" s="8" t="str">
        <f>IF(Table13[[#This Row],[Age]]&lt;25,"18-24",IF(Table13[[#This Row],[Age]]&lt;35,"25-34",IF(Table13[[#This Row],[Age]]&lt;45,"35-44",IF(Table13[[#This Row],[Age]]&lt;55,"45-54","55-64"))))</f>
        <v>18-24</v>
      </c>
      <c r="H1551" s="8" t="s">
        <v>17</v>
      </c>
      <c r="I1551" s="8">
        <v>86.2</v>
      </c>
      <c r="J1551" s="8">
        <v>1.93</v>
      </c>
      <c r="K1551" s="8">
        <v>167</v>
      </c>
      <c r="L1551" s="8">
        <v>145</v>
      </c>
      <c r="M1551" s="8">
        <v>62</v>
      </c>
      <c r="N1551" s="8">
        <v>1.74</v>
      </c>
      <c r="O1551" s="8">
        <v>640</v>
      </c>
      <c r="P1551" s="8" t="s">
        <v>18</v>
      </c>
      <c r="Q1551" s="8" t="str">
        <f>_xlfn.IFS(AND(Table13[[#This Row],[Gender]]="female",R1551&lt;20),"Athletes",AND(Table13[[#This Row],[Gender]]="female",R1551&lt;24),"Fitnesss",AND(Table13[[#This Row],[Gender]]="female",R1551&lt;31),"Acceptable",AND(Table13[[#This Row],[Gender]]="female",R1551&lt;40),"Obese",AND(Table13[[#This Row],[Gender]]="male",R1551&lt;13),"Athletes",AND(Table13[[#This Row],[Gender]]="male",R1551&lt;17),"Fitnesss",AND(Table13[[#This Row],[Gender]]="male",R1551&lt;24.9),"Acceptable",AND(Table13[[#This Row],[Gender]]="male",R1551&lt;40),"Obese",AND(Table13[[#This Row],[Gender]]="others",R1551&lt;20),"Athletes",AND(Table13[[#This Row],[Gender]]="others",R1551&lt;24),"Fitnesss",AND(Table13[[#This Row],[Gender]]="others",R1551&lt;31),"Acceptable",AND(Table13[[#This Row],[Gender]]="others",R1551&lt;40),"Obese")</f>
        <v>Athletes</v>
      </c>
      <c r="R1551" s="8">
        <v>18.600000000000001</v>
      </c>
      <c r="S1551" s="8">
        <v>3.3</v>
      </c>
      <c r="T1551" s="8">
        <v>3</v>
      </c>
      <c r="U1551" s="8">
        <v>1</v>
      </c>
      <c r="V1551" s="8" t="str">
        <f>IF(Table13[[#This Row],[BMI]]&lt;=18.5,"Underweight",IF(Table13[[#This Row],[BMI]]&lt;=24.9,"Normal",IF(Table13[[#This Row],[BMI]]&lt;=29.9,"Overweight",IF(Table13[[#This Row],[BMI]]&lt;=39,"Obese","Severly Obese"))))</f>
        <v>Overweight</v>
      </c>
      <c r="W1551" s="18">
        <v>29.48</v>
      </c>
    </row>
    <row r="1552" spans="6:23" x14ac:dyDescent="0.3">
      <c r="F1552" s="17">
        <v>51</v>
      </c>
      <c r="G1552" s="8" t="str">
        <f>IF(Table13[[#This Row],[Age]]&lt;25,"18-24",IF(Table13[[#This Row],[Age]]&lt;35,"25-34",IF(Table13[[#This Row],[Age]]&lt;45,"35-44",IF(Table13[[#This Row],[Age]]&lt;55,"45-54","55-64"))))</f>
        <v>45-54</v>
      </c>
      <c r="H1552" s="8" t="s">
        <v>19</v>
      </c>
      <c r="I1552" s="8">
        <v>98.9</v>
      </c>
      <c r="J1552" s="8">
        <v>1.85</v>
      </c>
      <c r="K1552" s="8">
        <v>181</v>
      </c>
      <c r="L1552" s="8">
        <v>138</v>
      </c>
      <c r="M1552" s="8">
        <v>70</v>
      </c>
      <c r="N1552" s="8">
        <v>1.49</v>
      </c>
      <c r="O1552" s="8">
        <v>859</v>
      </c>
      <c r="P1552" s="8" t="s">
        <v>20</v>
      </c>
      <c r="Q1552" s="8" t="str">
        <f>_xlfn.IFS(AND(Table13[[#This Row],[Gender]]="female",R1552&lt;20),"Athletes",AND(Table13[[#This Row],[Gender]]="female",R1552&lt;24),"Fitnesss",AND(Table13[[#This Row],[Gender]]="female",R1552&lt;31),"Acceptable",AND(Table13[[#This Row],[Gender]]="female",R1552&lt;40),"Obese",AND(Table13[[#This Row],[Gender]]="male",R1552&lt;13),"Athletes",AND(Table13[[#This Row],[Gender]]="male",R1552&lt;17),"Fitnesss",AND(Table13[[#This Row],[Gender]]="male",R1552&lt;24.9),"Acceptable",AND(Table13[[#This Row],[Gender]]="male",R1552&lt;40),"Obese",AND(Table13[[#This Row],[Gender]]="others",R1552&lt;20),"Athletes",AND(Table13[[#This Row],[Gender]]="others",R1552&lt;24),"Fitnesss",AND(Table13[[#This Row],[Gender]]="others",R1552&lt;31),"Acceptable",AND(Table13[[#This Row],[Gender]]="others",R1552&lt;40),"Obese")</f>
        <v>Obese</v>
      </c>
      <c r="R1552" s="8">
        <v>25</v>
      </c>
      <c r="S1552" s="8">
        <v>1.5</v>
      </c>
      <c r="T1552" s="8">
        <v>2</v>
      </c>
      <c r="U1552" s="8">
        <v>2</v>
      </c>
      <c r="V1552" s="8" t="str">
        <f>IF(Table13[[#This Row],[BMI]]&lt;=18.5,"Underweight",IF(Table13[[#This Row],[BMI]]&lt;=24.9,"Normal",IF(Table13[[#This Row],[BMI]]&lt;=29.9,"Overweight",IF(Table13[[#This Row],[BMI]]&lt;=39,"Obese","Severly Obese"))))</f>
        <v>Overweight</v>
      </c>
      <c r="W1552" s="18">
        <v>25.3</v>
      </c>
    </row>
    <row r="1553" spans="6:23" x14ac:dyDescent="0.3">
      <c r="F1553" s="17">
        <v>27</v>
      </c>
      <c r="G1553" s="8" t="str">
        <f>IF(Table13[[#This Row],[Age]]&lt;25,"18-24",IF(Table13[[#This Row],[Age]]&lt;35,"25-34",IF(Table13[[#This Row],[Age]]&lt;45,"35-44",IF(Table13[[#This Row],[Age]]&lt;55,"45-54","55-64"))))</f>
        <v>25-34</v>
      </c>
      <c r="H1553" s="8" t="s">
        <v>17</v>
      </c>
      <c r="I1553" s="8">
        <v>50.6</v>
      </c>
      <c r="J1553" s="8">
        <v>2</v>
      </c>
      <c r="K1553" s="8">
        <v>174</v>
      </c>
      <c r="L1553" s="8">
        <v>129</v>
      </c>
      <c r="M1553" s="8">
        <v>68</v>
      </c>
      <c r="N1553" s="8">
        <v>1.34</v>
      </c>
      <c r="O1553" s="8">
        <v>1179</v>
      </c>
      <c r="P1553" s="8" t="s">
        <v>21</v>
      </c>
      <c r="Q1553" s="8" t="str">
        <f>_xlfn.IFS(AND(Table13[[#This Row],[Gender]]="female",R1553&lt;20),"Athletes",AND(Table13[[#This Row],[Gender]]="female",R1553&lt;24),"Fitnesss",AND(Table13[[#This Row],[Gender]]="female",R1553&lt;31),"Acceptable",AND(Table13[[#This Row],[Gender]]="female",R1553&lt;40),"Obese",AND(Table13[[#This Row],[Gender]]="male",R1553&lt;13),"Athletes",AND(Table13[[#This Row],[Gender]]="male",R1553&lt;17),"Fitnesss",AND(Table13[[#This Row],[Gender]]="male",R1553&lt;24.9),"Acceptable",AND(Table13[[#This Row],[Gender]]="male",R1553&lt;40),"Obese",AND(Table13[[#This Row],[Gender]]="others",R1553&lt;20),"Athletes",AND(Table13[[#This Row],[Gender]]="others",R1553&lt;24),"Fitnesss",AND(Table13[[#This Row],[Gender]]="others",R1553&lt;31),"Acceptable",AND(Table13[[#This Row],[Gender]]="others",R1553&lt;40),"Obese")</f>
        <v>Obese</v>
      </c>
      <c r="R1553" s="8">
        <v>31</v>
      </c>
      <c r="S1553" s="8">
        <v>2</v>
      </c>
      <c r="T1553" s="8">
        <v>5</v>
      </c>
      <c r="U1553" s="8">
        <v>2</v>
      </c>
      <c r="V1553" s="8" t="str">
        <f>IF(Table13[[#This Row],[BMI]]&lt;=18.5,"Underweight",IF(Table13[[#This Row],[BMI]]&lt;=24.9,"Normal",IF(Table13[[#This Row],[BMI]]&lt;=29.9,"Overweight",IF(Table13[[#This Row],[BMI]]&lt;=39,"Obese","Severly Obese"))))</f>
        <v>Normal</v>
      </c>
      <c r="W1553" s="18">
        <v>24.12</v>
      </c>
    </row>
    <row r="1554" spans="6:23" x14ac:dyDescent="0.3">
      <c r="F1554" s="17">
        <v>56</v>
      </c>
      <c r="G1554" s="8" t="str">
        <f>IF(Table13[[#This Row],[Age]]&lt;25,"18-24",IF(Table13[[#This Row],[Age]]&lt;35,"25-34",IF(Table13[[#This Row],[Age]]&lt;45,"35-44",IF(Table13[[#This Row],[Age]]&lt;55,"45-54","55-64"))))</f>
        <v>55-64</v>
      </c>
      <c r="H1554" s="8" t="s">
        <v>17</v>
      </c>
      <c r="I1554" s="8">
        <v>68.099999999999994</v>
      </c>
      <c r="J1554" s="8">
        <v>2</v>
      </c>
      <c r="K1554" s="8">
        <v>168</v>
      </c>
      <c r="L1554" s="8">
        <v>160</v>
      </c>
      <c r="M1554" s="8">
        <v>74</v>
      </c>
      <c r="N1554" s="8">
        <v>1.39</v>
      </c>
      <c r="O1554" s="8">
        <v>1350</v>
      </c>
      <c r="P1554" s="8" t="s">
        <v>22</v>
      </c>
      <c r="Q1554" s="8" t="str">
        <f>_xlfn.IFS(AND(Table13[[#This Row],[Gender]]="female",R1554&lt;20),"Athletes",AND(Table13[[#This Row],[Gender]]="female",R1554&lt;24),"Fitnesss",AND(Table13[[#This Row],[Gender]]="female",R1554&lt;31),"Acceptable",AND(Table13[[#This Row],[Gender]]="female",R1554&lt;40),"Obese",AND(Table13[[#This Row],[Gender]]="male",R1554&lt;13),"Athletes",AND(Table13[[#This Row],[Gender]]="male",R1554&lt;17),"Fitnesss",AND(Table13[[#This Row],[Gender]]="male",R1554&lt;24.9),"Acceptable",AND(Table13[[#This Row],[Gender]]="male",R1554&lt;40),"Obese",AND(Table13[[#This Row],[Gender]]="others",R1554&lt;20),"Athletes",AND(Table13[[#This Row],[Gender]]="others",R1554&lt;24),"Fitnesss",AND(Table13[[#This Row],[Gender]]="others",R1554&lt;31),"Acceptable",AND(Table13[[#This Row],[Gender]]="others",R1554&lt;40),"Obese")</f>
        <v>Fitnesss</v>
      </c>
      <c r="R1554" s="8">
        <v>23.8</v>
      </c>
      <c r="S1554" s="8">
        <v>3.3</v>
      </c>
      <c r="T1554" s="8">
        <v>5</v>
      </c>
      <c r="U1554" s="8">
        <v>2</v>
      </c>
      <c r="V1554" s="8" t="str">
        <f>IF(Table13[[#This Row],[BMI]]&lt;=18.5,"Underweight",IF(Table13[[#This Row],[BMI]]&lt;=24.9,"Normal",IF(Table13[[#This Row],[BMI]]&lt;=29.9,"Overweight",IF(Table13[[#This Row],[BMI]]&lt;=39,"Obese","Severly Obese"))))</f>
        <v>Underweight</v>
      </c>
      <c r="W1554" s="18">
        <v>17.05</v>
      </c>
    </row>
    <row r="1555" spans="6:23" x14ac:dyDescent="0.3">
      <c r="F1555" s="17">
        <v>22</v>
      </c>
      <c r="G1555" s="8" t="str">
        <f>IF(Table13[[#This Row],[Age]]&lt;25,"18-24",IF(Table13[[#This Row],[Age]]&lt;35,"25-34",IF(Table13[[#This Row],[Age]]&lt;45,"35-44",IF(Table13[[#This Row],[Age]]&lt;55,"45-54","55-64"))))</f>
        <v>18-24</v>
      </c>
      <c r="H1555" s="8" t="s">
        <v>17</v>
      </c>
      <c r="I1555" s="8">
        <v>53</v>
      </c>
      <c r="J1555" s="8">
        <v>1.83</v>
      </c>
      <c r="K1555" s="8">
        <v>199</v>
      </c>
      <c r="L1555" s="8">
        <v>129</v>
      </c>
      <c r="M1555" s="8">
        <v>74</v>
      </c>
      <c r="N1555" s="8">
        <v>0.88</v>
      </c>
      <c r="O1555" s="8">
        <v>540</v>
      </c>
      <c r="P1555" s="8" t="s">
        <v>18</v>
      </c>
      <c r="Q1555" s="8" t="str">
        <f>_xlfn.IFS(AND(Table13[[#This Row],[Gender]]="female",R1555&lt;20),"Athletes",AND(Table13[[#This Row],[Gender]]="female",R1555&lt;24),"Fitnesss",AND(Table13[[#This Row],[Gender]]="female",R1555&lt;31),"Acceptable",AND(Table13[[#This Row],[Gender]]="female",R1555&lt;40),"Obese",AND(Table13[[#This Row],[Gender]]="male",R1555&lt;13),"Athletes",AND(Table13[[#This Row],[Gender]]="male",R1555&lt;17),"Fitnesss",AND(Table13[[#This Row],[Gender]]="male",R1555&lt;24.9),"Acceptable",AND(Table13[[#This Row],[Gender]]="male",R1555&lt;40),"Obese",AND(Table13[[#This Row],[Gender]]="others",R1555&lt;20),"Athletes",AND(Table13[[#This Row],[Gender]]="others",R1555&lt;24),"Fitnesss",AND(Table13[[#This Row],[Gender]]="others",R1555&lt;31),"Acceptable",AND(Table13[[#This Row],[Gender]]="others",R1555&lt;40),"Obese")</f>
        <v>Athletes</v>
      </c>
      <c r="R1555" s="8">
        <v>11.9</v>
      </c>
      <c r="S1555" s="8">
        <v>3.1</v>
      </c>
      <c r="T1555" s="8">
        <v>4</v>
      </c>
      <c r="U1555" s="8">
        <v>2</v>
      </c>
      <c r="V1555" s="8" t="str">
        <f>IF(Table13[[#This Row],[BMI]]&lt;=18.5,"Underweight",IF(Table13[[#This Row],[BMI]]&lt;=24.9,"Normal",IF(Table13[[#This Row],[BMI]]&lt;=29.9,"Overweight",IF(Table13[[#This Row],[BMI]]&lt;=39,"Obese","Severly Obese"))))</f>
        <v>Underweight</v>
      </c>
      <c r="W1555" s="18">
        <v>15.29</v>
      </c>
    </row>
    <row r="1556" spans="6:23" x14ac:dyDescent="0.3">
      <c r="F1556" s="17">
        <v>28</v>
      </c>
      <c r="G1556" s="8" t="str">
        <f>IF(Table13[[#This Row],[Age]]&lt;25,"18-24",IF(Table13[[#This Row],[Age]]&lt;35,"25-34",IF(Table13[[#This Row],[Age]]&lt;45,"35-44",IF(Table13[[#This Row],[Age]]&lt;55,"45-54","55-64"))))</f>
        <v>25-34</v>
      </c>
      <c r="H1556" s="8" t="s">
        <v>19</v>
      </c>
      <c r="I1556" s="8">
        <v>59.2</v>
      </c>
      <c r="J1556" s="8">
        <v>1.68</v>
      </c>
      <c r="K1556" s="8">
        <v>187</v>
      </c>
      <c r="L1556" s="8">
        <v>127</v>
      </c>
      <c r="M1556" s="8">
        <v>54</v>
      </c>
      <c r="N1556" s="8">
        <v>1.53</v>
      </c>
      <c r="O1556" s="8">
        <v>466</v>
      </c>
      <c r="P1556" s="8" t="s">
        <v>18</v>
      </c>
      <c r="Q1556" s="8" t="str">
        <f>_xlfn.IFS(AND(Table13[[#This Row],[Gender]]="female",R1556&lt;20),"Athletes",AND(Table13[[#This Row],[Gender]]="female",R1556&lt;24),"Fitnesss",AND(Table13[[#This Row],[Gender]]="female",R1556&lt;31),"Acceptable",AND(Table13[[#This Row],[Gender]]="female",R1556&lt;40),"Obese",AND(Table13[[#This Row],[Gender]]="male",R1556&lt;13),"Athletes",AND(Table13[[#This Row],[Gender]]="male",R1556&lt;17),"Fitnesss",AND(Table13[[#This Row],[Gender]]="male",R1556&lt;24.9),"Acceptable",AND(Table13[[#This Row],[Gender]]="male",R1556&lt;40),"Obese",AND(Table13[[#This Row],[Gender]]="others",R1556&lt;20),"Athletes",AND(Table13[[#This Row],[Gender]]="others",R1556&lt;24),"Fitnesss",AND(Table13[[#This Row],[Gender]]="others",R1556&lt;31),"Acceptable",AND(Table13[[#This Row],[Gender]]="others",R1556&lt;40),"Obese")</f>
        <v>Obese</v>
      </c>
      <c r="R1556" s="8">
        <v>27.3</v>
      </c>
      <c r="S1556" s="8">
        <v>2.9</v>
      </c>
      <c r="T1556" s="8">
        <v>2</v>
      </c>
      <c r="U1556" s="8">
        <v>3</v>
      </c>
      <c r="V1556" s="8" t="str">
        <f>IF(Table13[[#This Row],[BMI]]&lt;=18.5,"Underweight",IF(Table13[[#This Row],[BMI]]&lt;=24.9,"Normal",IF(Table13[[#This Row],[BMI]]&lt;=29.9,"Overweight",IF(Table13[[#This Row],[BMI]]&lt;=39,"Obese","Severly Obese"))))</f>
        <v>Underweight</v>
      </c>
      <c r="W1556" s="18">
        <v>12.32</v>
      </c>
    </row>
    <row r="1557" spans="6:23" x14ac:dyDescent="0.3">
      <c r="F1557" s="17">
        <v>35</v>
      </c>
      <c r="G1557" s="8" t="str">
        <f>IF(Table13[[#This Row],[Age]]&lt;25,"18-24",IF(Table13[[#This Row],[Age]]&lt;35,"25-34",IF(Table13[[#This Row],[Age]]&lt;45,"35-44",IF(Table13[[#This Row],[Age]]&lt;55,"45-54","55-64"))))</f>
        <v>35-44</v>
      </c>
      <c r="H1557" s="8" t="s">
        <v>19</v>
      </c>
      <c r="I1557" s="8">
        <v>40</v>
      </c>
      <c r="J1557" s="8">
        <v>2</v>
      </c>
      <c r="K1557" s="8">
        <v>169</v>
      </c>
      <c r="L1557" s="8">
        <v>138</v>
      </c>
      <c r="M1557" s="8">
        <v>72</v>
      </c>
      <c r="N1557" s="8">
        <v>1.08</v>
      </c>
      <c r="O1557" s="8">
        <v>576</v>
      </c>
      <c r="P1557" s="8" t="s">
        <v>18</v>
      </c>
      <c r="Q1557" s="8" t="str">
        <f>_xlfn.IFS(AND(Table13[[#This Row],[Gender]]="female",R1557&lt;20),"Athletes",AND(Table13[[#This Row],[Gender]]="female",R1557&lt;24),"Fitnesss",AND(Table13[[#This Row],[Gender]]="female",R1557&lt;31),"Acceptable",AND(Table13[[#This Row],[Gender]]="female",R1557&lt;40),"Obese",AND(Table13[[#This Row],[Gender]]="male",R1557&lt;13),"Athletes",AND(Table13[[#This Row],[Gender]]="male",R1557&lt;17),"Fitnesss",AND(Table13[[#This Row],[Gender]]="male",R1557&lt;24.9),"Acceptable",AND(Table13[[#This Row],[Gender]]="male",R1557&lt;40),"Obese",AND(Table13[[#This Row],[Gender]]="others",R1557&lt;20),"Athletes",AND(Table13[[#This Row],[Gender]]="others",R1557&lt;24),"Fitnesss",AND(Table13[[#This Row],[Gender]]="others",R1557&lt;31),"Acceptable",AND(Table13[[#This Row],[Gender]]="others",R1557&lt;40),"Obese")</f>
        <v>Obese</v>
      </c>
      <c r="R1557" s="8">
        <v>31.2</v>
      </c>
      <c r="S1557" s="8">
        <v>2.9</v>
      </c>
      <c r="T1557" s="8">
        <v>2</v>
      </c>
      <c r="U1557" s="8">
        <v>3</v>
      </c>
      <c r="V1557" s="8" t="str">
        <f>IF(Table13[[#This Row],[BMI]]&lt;=18.5,"Underweight",IF(Table13[[#This Row],[BMI]]&lt;=24.9,"Normal",IF(Table13[[#This Row],[BMI]]&lt;=29.9,"Overweight",IF(Table13[[#This Row],[BMI]]&lt;=39,"Obese","Severly Obese"))))</f>
        <v>Normal</v>
      </c>
      <c r="W1557" s="18">
        <v>20.21</v>
      </c>
    </row>
    <row r="1558" spans="6:23" x14ac:dyDescent="0.3">
      <c r="F1558" s="17">
        <v>48</v>
      </c>
      <c r="G1558" s="8" t="str">
        <f>IF(Table13[[#This Row],[Age]]&lt;25,"18-24",IF(Table13[[#This Row],[Age]]&lt;35,"25-34",IF(Table13[[#This Row],[Age]]&lt;45,"35-44",IF(Table13[[#This Row],[Age]]&lt;55,"45-54","55-64"))))</f>
        <v>45-54</v>
      </c>
      <c r="H1558" s="8" t="s">
        <v>19</v>
      </c>
      <c r="I1558" s="8">
        <v>90.4</v>
      </c>
      <c r="J1558" s="8">
        <v>2</v>
      </c>
      <c r="K1558" s="8">
        <v>193</v>
      </c>
      <c r="L1558" s="8">
        <v>156</v>
      </c>
      <c r="M1558" s="8">
        <v>59</v>
      </c>
      <c r="N1558" s="8">
        <v>1.78</v>
      </c>
      <c r="O1558" s="8">
        <v>1246</v>
      </c>
      <c r="P1558" s="8" t="s">
        <v>20</v>
      </c>
      <c r="Q1558" s="8" t="str">
        <f>_xlfn.IFS(AND(Table13[[#This Row],[Gender]]="female",R1558&lt;20),"Athletes",AND(Table13[[#This Row],[Gender]]="female",R1558&lt;24),"Fitnesss",AND(Table13[[#This Row],[Gender]]="female",R1558&lt;31),"Acceptable",AND(Table13[[#This Row],[Gender]]="female",R1558&lt;40),"Obese",AND(Table13[[#This Row],[Gender]]="male",R1558&lt;13),"Athletes",AND(Table13[[#This Row],[Gender]]="male",R1558&lt;17),"Fitnesss",AND(Table13[[#This Row],[Gender]]="male",R1558&lt;24.9),"Acceptable",AND(Table13[[#This Row],[Gender]]="male",R1558&lt;40),"Obese",AND(Table13[[#This Row],[Gender]]="others",R1558&lt;20),"Athletes",AND(Table13[[#This Row],[Gender]]="others",R1558&lt;24),"Fitnesss",AND(Table13[[#This Row],[Gender]]="others",R1558&lt;31),"Acceptable",AND(Table13[[#This Row],[Gender]]="others",R1558&lt;40),"Obese")</f>
        <v>Acceptable</v>
      </c>
      <c r="R1558" s="8">
        <v>24.4</v>
      </c>
      <c r="S1558" s="8">
        <v>2.2999999999999998</v>
      </c>
      <c r="T1558" s="8">
        <v>3</v>
      </c>
      <c r="U1558" s="8">
        <v>2</v>
      </c>
      <c r="V1558" s="8" t="str">
        <f>IF(Table13[[#This Row],[BMI]]&lt;=18.5,"Underweight",IF(Table13[[#This Row],[BMI]]&lt;=24.9,"Normal",IF(Table13[[#This Row],[BMI]]&lt;=29.9,"Overweight",IF(Table13[[#This Row],[BMI]]&lt;=39,"Obese","Severly Obese"))))</f>
        <v>Underweight</v>
      </c>
      <c r="W1558" s="18">
        <v>13.35</v>
      </c>
    </row>
    <row r="1559" spans="6:23" x14ac:dyDescent="0.3">
      <c r="F1559" s="17">
        <v>25</v>
      </c>
      <c r="G1559" s="8" t="str">
        <f>IF(Table13[[#This Row],[Age]]&lt;25,"18-24",IF(Table13[[#This Row],[Age]]&lt;35,"25-34",IF(Table13[[#This Row],[Age]]&lt;45,"35-44",IF(Table13[[#This Row],[Age]]&lt;55,"45-54","55-64"))))</f>
        <v>25-34</v>
      </c>
      <c r="H1559" s="8" t="s">
        <v>17</v>
      </c>
      <c r="I1559" s="8">
        <v>74.599999999999994</v>
      </c>
      <c r="J1559" s="8">
        <v>1.63</v>
      </c>
      <c r="K1559" s="8">
        <v>182</v>
      </c>
      <c r="L1559" s="8">
        <v>160</v>
      </c>
      <c r="M1559" s="8">
        <v>60</v>
      </c>
      <c r="N1559" s="8">
        <v>0.93</v>
      </c>
      <c r="O1559" s="8">
        <v>1028</v>
      </c>
      <c r="P1559" s="8" t="s">
        <v>21</v>
      </c>
      <c r="Q1559" s="8" t="str">
        <f>_xlfn.IFS(AND(Table13[[#This Row],[Gender]]="female",R1559&lt;20),"Athletes",AND(Table13[[#This Row],[Gender]]="female",R1559&lt;24),"Fitnesss",AND(Table13[[#This Row],[Gender]]="female",R1559&lt;31),"Acceptable",AND(Table13[[#This Row],[Gender]]="female",R1559&lt;40),"Obese",AND(Table13[[#This Row],[Gender]]="male",R1559&lt;13),"Athletes",AND(Table13[[#This Row],[Gender]]="male",R1559&lt;17),"Fitnesss",AND(Table13[[#This Row],[Gender]]="male",R1559&lt;24.9),"Acceptable",AND(Table13[[#This Row],[Gender]]="male",R1559&lt;40),"Obese",AND(Table13[[#This Row],[Gender]]="others",R1559&lt;20),"Athletes",AND(Table13[[#This Row],[Gender]]="others",R1559&lt;24),"Fitnesss",AND(Table13[[#This Row],[Gender]]="others",R1559&lt;31),"Acceptable",AND(Table13[[#This Row],[Gender]]="others",R1559&lt;40),"Obese")</f>
        <v>Athletes</v>
      </c>
      <c r="R1559" s="8">
        <v>14.8</v>
      </c>
      <c r="S1559" s="8">
        <v>3.5</v>
      </c>
      <c r="T1559" s="8">
        <v>3</v>
      </c>
      <c r="U1559" s="8">
        <v>2</v>
      </c>
      <c r="V1559" s="8" t="str">
        <f>IF(Table13[[#This Row],[BMI]]&lt;=18.5,"Underweight",IF(Table13[[#This Row],[BMI]]&lt;=24.9,"Normal",IF(Table13[[#This Row],[BMI]]&lt;=29.9,"Overweight",IF(Table13[[#This Row],[BMI]]&lt;=39,"Obese","Severly Obese"))))</f>
        <v>Underweight</v>
      </c>
      <c r="W1559" s="18">
        <v>18.079999999999998</v>
      </c>
    </row>
    <row r="1560" spans="6:23" x14ac:dyDescent="0.3">
      <c r="F1560" s="17">
        <v>24</v>
      </c>
      <c r="G1560" s="8" t="str">
        <f>IF(Table13[[#This Row],[Age]]&lt;25,"18-24",IF(Table13[[#This Row],[Age]]&lt;35,"25-34",IF(Table13[[#This Row],[Age]]&lt;45,"35-44",IF(Table13[[#This Row],[Age]]&lt;55,"45-54","55-64"))))</f>
        <v>18-24</v>
      </c>
      <c r="H1560" s="8" t="s">
        <v>19</v>
      </c>
      <c r="I1560" s="8">
        <v>92.2</v>
      </c>
      <c r="J1560" s="8">
        <v>1.71</v>
      </c>
      <c r="K1560" s="8">
        <v>194</v>
      </c>
      <c r="L1560" s="8">
        <v>141</v>
      </c>
      <c r="M1560" s="8">
        <v>59</v>
      </c>
      <c r="N1560" s="8">
        <v>2</v>
      </c>
      <c r="O1560" s="8">
        <v>1580</v>
      </c>
      <c r="P1560" s="8" t="s">
        <v>21</v>
      </c>
      <c r="Q1560" s="8" t="str">
        <f>_xlfn.IFS(AND(Table13[[#This Row],[Gender]]="female",R1560&lt;20),"Athletes",AND(Table13[[#This Row],[Gender]]="female",R1560&lt;24),"Fitnesss",AND(Table13[[#This Row],[Gender]]="female",R1560&lt;31),"Acceptable",AND(Table13[[#This Row],[Gender]]="female",R1560&lt;40),"Obese",AND(Table13[[#This Row],[Gender]]="male",R1560&lt;13),"Athletes",AND(Table13[[#This Row],[Gender]]="male",R1560&lt;17),"Fitnesss",AND(Table13[[#This Row],[Gender]]="male",R1560&lt;24.9),"Acceptable",AND(Table13[[#This Row],[Gender]]="male",R1560&lt;40),"Obese",AND(Table13[[#This Row],[Gender]]="others",R1560&lt;20),"Athletes",AND(Table13[[#This Row],[Gender]]="others",R1560&lt;24),"Fitnesss",AND(Table13[[#This Row],[Gender]]="others",R1560&lt;31),"Acceptable",AND(Table13[[#This Row],[Gender]]="others",R1560&lt;40),"Obese")</f>
        <v>Obese</v>
      </c>
      <c r="R1560" s="8">
        <v>32.9</v>
      </c>
      <c r="S1560" s="8">
        <v>2.4</v>
      </c>
      <c r="T1560" s="8">
        <v>4</v>
      </c>
      <c r="U1560" s="8">
        <v>2</v>
      </c>
      <c r="V1560" s="8" t="str">
        <f>IF(Table13[[#This Row],[BMI]]&lt;=18.5,"Underweight",IF(Table13[[#This Row],[BMI]]&lt;=24.9,"Normal",IF(Table13[[#This Row],[BMI]]&lt;=29.9,"Overweight",IF(Table13[[#This Row],[BMI]]&lt;=39,"Obese","Severly Obese"))))</f>
        <v>Underweight</v>
      </c>
      <c r="W1560" s="18"/>
    </row>
    <row r="1561" spans="6:23" x14ac:dyDescent="0.3">
      <c r="F1561" s="17">
        <v>35</v>
      </c>
      <c r="G1561" s="8" t="str">
        <f>IF(Table13[[#This Row],[Age]]&lt;25,"18-24",IF(Table13[[#This Row],[Age]]&lt;35,"25-34",IF(Table13[[#This Row],[Age]]&lt;45,"35-44",IF(Table13[[#This Row],[Age]]&lt;55,"45-54","55-64"))))</f>
        <v>35-44</v>
      </c>
      <c r="H1561" s="8" t="s">
        <v>17</v>
      </c>
      <c r="I1561" s="8">
        <v>56.2</v>
      </c>
      <c r="J1561" s="8">
        <v>1.74</v>
      </c>
      <c r="K1561" s="8">
        <v>170</v>
      </c>
      <c r="L1561" s="8">
        <v>151</v>
      </c>
      <c r="M1561" s="8">
        <v>66</v>
      </c>
      <c r="N1561" s="8">
        <v>0.99</v>
      </c>
      <c r="O1561" s="8">
        <v>1215</v>
      </c>
      <c r="P1561" s="8" t="s">
        <v>18</v>
      </c>
      <c r="Q1561" s="8" t="str">
        <f>_xlfn.IFS(AND(Table13[[#This Row],[Gender]]="female",R1561&lt;20),"Athletes",AND(Table13[[#This Row],[Gender]]="female",R1561&lt;24),"Fitnesss",AND(Table13[[#This Row],[Gender]]="female",R1561&lt;31),"Acceptable",AND(Table13[[#This Row],[Gender]]="female",R1561&lt;40),"Obese",AND(Table13[[#This Row],[Gender]]="male",R1561&lt;13),"Athletes",AND(Table13[[#This Row],[Gender]]="male",R1561&lt;17),"Fitnesss",AND(Table13[[#This Row],[Gender]]="male",R1561&lt;24.9),"Acceptable",AND(Table13[[#This Row],[Gender]]="male",R1561&lt;40),"Obese",AND(Table13[[#This Row],[Gender]]="others",R1561&lt;20),"Athletes",AND(Table13[[#This Row],[Gender]]="others",R1561&lt;24),"Fitnesss",AND(Table13[[#This Row],[Gender]]="others",R1561&lt;31),"Acceptable",AND(Table13[[#This Row],[Gender]]="others",R1561&lt;40),"Obese")</f>
        <v>Acceptable</v>
      </c>
      <c r="R1561" s="8">
        <v>26.9</v>
      </c>
      <c r="S1561" s="8">
        <v>2.9</v>
      </c>
      <c r="T1561" s="8">
        <v>4</v>
      </c>
      <c r="U1561" s="8">
        <v>2</v>
      </c>
      <c r="V1561" s="8" t="str">
        <f>IF(Table13[[#This Row],[BMI]]&lt;=18.5,"Underweight",IF(Table13[[#This Row],[BMI]]&lt;=24.9,"Normal",IF(Table13[[#This Row],[BMI]]&lt;=29.9,"Overweight",IF(Table13[[#This Row],[BMI]]&lt;=39,"Obese","Severly Obese"))))</f>
        <v>Normal</v>
      </c>
      <c r="W1561" s="18">
        <v>20.61</v>
      </c>
    </row>
    <row r="1562" spans="6:23" x14ac:dyDescent="0.3">
      <c r="F1562" s="17">
        <v>18</v>
      </c>
      <c r="G1562" s="8" t="str">
        <f>IF(Table13[[#This Row],[Age]]&lt;25,"18-24",IF(Table13[[#This Row],[Age]]&lt;35,"25-34",IF(Table13[[#This Row],[Age]]&lt;45,"35-44",IF(Table13[[#This Row],[Age]]&lt;55,"45-54","55-64"))))</f>
        <v>18-24</v>
      </c>
      <c r="H1562" s="8" t="s">
        <v>19</v>
      </c>
      <c r="I1562" s="8">
        <v>63</v>
      </c>
      <c r="J1562" s="8">
        <v>1.66</v>
      </c>
      <c r="K1562" s="8">
        <v>191</v>
      </c>
      <c r="L1562" s="8">
        <v>168</v>
      </c>
      <c r="M1562" s="8">
        <v>74</v>
      </c>
      <c r="N1562" s="8">
        <v>0.89</v>
      </c>
      <c r="O1562" s="8">
        <v>456</v>
      </c>
      <c r="P1562" s="8" t="s">
        <v>18</v>
      </c>
      <c r="Q1562" s="8" t="str">
        <f>_xlfn.IFS(AND(Table13[[#This Row],[Gender]]="female",R1562&lt;20),"Athletes",AND(Table13[[#This Row],[Gender]]="female",R1562&lt;24),"Fitnesss",AND(Table13[[#This Row],[Gender]]="female",R1562&lt;31),"Acceptable",AND(Table13[[#This Row],[Gender]]="female",R1562&lt;40),"Obese",AND(Table13[[#This Row],[Gender]]="male",R1562&lt;13),"Athletes",AND(Table13[[#This Row],[Gender]]="male",R1562&lt;17),"Fitnesss",AND(Table13[[#This Row],[Gender]]="male",R1562&lt;24.9),"Acceptable",AND(Table13[[#This Row],[Gender]]="male",R1562&lt;40),"Obese",AND(Table13[[#This Row],[Gender]]="others",R1562&lt;20),"Athletes",AND(Table13[[#This Row],[Gender]]="others",R1562&lt;24),"Fitnesss",AND(Table13[[#This Row],[Gender]]="others",R1562&lt;31),"Acceptable",AND(Table13[[#This Row],[Gender]]="others",R1562&lt;40),"Obese")</f>
        <v>Acceptable</v>
      </c>
      <c r="R1562" s="8">
        <v>24.5</v>
      </c>
      <c r="S1562" s="8">
        <v>2.7</v>
      </c>
      <c r="T1562" s="8">
        <v>3</v>
      </c>
      <c r="U1562" s="8">
        <v>2</v>
      </c>
      <c r="V1562" s="8" t="str">
        <f>IF(Table13[[#This Row],[BMI]]&lt;=18.5,"Underweight",IF(Table13[[#This Row],[BMI]]&lt;=24.9,"Normal",IF(Table13[[#This Row],[BMI]]&lt;=29.9,"Overweight",IF(Table13[[#This Row],[BMI]]&lt;=39,"Obese","Severly Obese"))))</f>
        <v>Underweight</v>
      </c>
      <c r="W1562" s="18">
        <v>14.75</v>
      </c>
    </row>
    <row r="1563" spans="6:23" x14ac:dyDescent="0.3">
      <c r="F1563" s="17">
        <v>50</v>
      </c>
      <c r="G1563" s="8" t="str">
        <f>IF(Table13[[#This Row],[Age]]&lt;25,"18-24",IF(Table13[[#This Row],[Age]]&lt;35,"25-34",IF(Table13[[#This Row],[Age]]&lt;45,"35-44",IF(Table13[[#This Row],[Age]]&lt;55,"45-54","55-64"))))</f>
        <v>45-54</v>
      </c>
      <c r="H1563" s="8" t="s">
        <v>17</v>
      </c>
      <c r="I1563" s="8">
        <v>76.099999999999994</v>
      </c>
      <c r="J1563" s="8">
        <v>1.82</v>
      </c>
      <c r="K1563" s="8">
        <v>191</v>
      </c>
      <c r="L1563" s="8">
        <v>146</v>
      </c>
      <c r="M1563" s="8">
        <v>54</v>
      </c>
      <c r="N1563" s="8">
        <v>1.1200000000000001</v>
      </c>
      <c r="O1563" s="8">
        <v>817</v>
      </c>
      <c r="P1563" s="8" t="s">
        <v>20</v>
      </c>
      <c r="Q1563" s="8" t="str">
        <f>_xlfn.IFS(AND(Table13[[#This Row],[Gender]]="female",R1563&lt;20),"Athletes",AND(Table13[[#This Row],[Gender]]="female",R1563&lt;24),"Fitnesss",AND(Table13[[#This Row],[Gender]]="female",R1563&lt;31),"Acceptable",AND(Table13[[#This Row],[Gender]]="female",R1563&lt;40),"Obese",AND(Table13[[#This Row],[Gender]]="male",R1563&lt;13),"Athletes",AND(Table13[[#This Row],[Gender]]="male",R1563&lt;17),"Fitnesss",AND(Table13[[#This Row],[Gender]]="male",R1563&lt;24.9),"Acceptable",AND(Table13[[#This Row],[Gender]]="male",R1563&lt;40),"Obese",AND(Table13[[#This Row],[Gender]]="others",R1563&lt;20),"Athletes",AND(Table13[[#This Row],[Gender]]="others",R1563&lt;24),"Fitnesss",AND(Table13[[#This Row],[Gender]]="others",R1563&lt;31),"Acceptable",AND(Table13[[#This Row],[Gender]]="others",R1563&lt;40),"Obese")</f>
        <v>Acceptable</v>
      </c>
      <c r="R1563" s="8">
        <v>25</v>
      </c>
      <c r="S1563" s="8">
        <v>3.2</v>
      </c>
      <c r="T1563" s="8">
        <v>2</v>
      </c>
      <c r="U1563" s="8">
        <v>1</v>
      </c>
      <c r="V1563" s="8" t="str">
        <f>IF(Table13[[#This Row],[BMI]]&lt;=18.5,"Underweight",IF(Table13[[#This Row],[BMI]]&lt;=24.9,"Normal",IF(Table13[[#This Row],[BMI]]&lt;=29.9,"Overweight",IF(Table13[[#This Row],[BMI]]&lt;=39,"Obese","Severly Obese"))))</f>
        <v>Underweight</v>
      </c>
      <c r="W1563" s="18">
        <v>14.5</v>
      </c>
    </row>
    <row r="1564" spans="6:23" x14ac:dyDescent="0.3">
      <c r="F1564" s="17">
        <v>52</v>
      </c>
      <c r="G1564" s="8" t="str">
        <f>IF(Table13[[#This Row],[Age]]&lt;25,"18-24",IF(Table13[[#This Row],[Age]]&lt;35,"25-34",IF(Table13[[#This Row],[Age]]&lt;45,"35-44",IF(Table13[[#This Row],[Age]]&lt;55,"45-54","55-64"))))</f>
        <v>45-54</v>
      </c>
      <c r="H1564" s="8" t="s">
        <v>19</v>
      </c>
      <c r="I1564" s="8">
        <v>66.599999999999994</v>
      </c>
      <c r="J1564" s="8">
        <v>1.56</v>
      </c>
      <c r="K1564" s="8">
        <v>175</v>
      </c>
      <c r="L1564" s="8">
        <v>152</v>
      </c>
      <c r="M1564" s="8">
        <v>60</v>
      </c>
      <c r="N1564" s="8">
        <v>1.04</v>
      </c>
      <c r="O1564" s="8">
        <v>1783</v>
      </c>
      <c r="P1564" s="8" t="s">
        <v>22</v>
      </c>
      <c r="Q1564" s="8" t="str">
        <f>_xlfn.IFS(AND(Table13[[#This Row],[Gender]]="female",R1564&lt;20),"Athletes",AND(Table13[[#This Row],[Gender]]="female",R1564&lt;24),"Fitnesss",AND(Table13[[#This Row],[Gender]]="female",R1564&lt;31),"Acceptable",AND(Table13[[#This Row],[Gender]]="female",R1564&lt;40),"Obese",AND(Table13[[#This Row],[Gender]]="male",R1564&lt;13),"Athletes",AND(Table13[[#This Row],[Gender]]="male",R1564&lt;17),"Fitnesss",AND(Table13[[#This Row],[Gender]]="male",R1564&lt;24.9),"Acceptable",AND(Table13[[#This Row],[Gender]]="male",R1564&lt;40),"Obese",AND(Table13[[#This Row],[Gender]]="others",R1564&lt;20),"Athletes",AND(Table13[[#This Row],[Gender]]="others",R1564&lt;24),"Fitnesss",AND(Table13[[#This Row],[Gender]]="others",R1564&lt;31),"Acceptable",AND(Table13[[#This Row],[Gender]]="others",R1564&lt;40),"Obese")</f>
        <v>Fitnesss</v>
      </c>
      <c r="R1564" s="8">
        <v>15.4</v>
      </c>
      <c r="S1564" s="8">
        <v>2.7</v>
      </c>
      <c r="T1564" s="8">
        <v>4</v>
      </c>
      <c r="U1564" s="8">
        <v>2</v>
      </c>
      <c r="V1564" s="8" t="str">
        <f>IF(Table13[[#This Row],[BMI]]&lt;=18.5,"Underweight",IF(Table13[[#This Row],[BMI]]&lt;=24.9,"Normal",IF(Table13[[#This Row],[BMI]]&lt;=29.9,"Overweight",IF(Table13[[#This Row],[BMI]]&lt;=39,"Obese","Severly Obese"))))</f>
        <v>Severly Obese</v>
      </c>
      <c r="W1564" s="18">
        <v>40</v>
      </c>
    </row>
    <row r="1565" spans="6:23" x14ac:dyDescent="0.3">
      <c r="F1565" s="17">
        <v>32</v>
      </c>
      <c r="G1565" s="8" t="str">
        <f>IF(Table13[[#This Row],[Age]]&lt;25,"18-24",IF(Table13[[#This Row],[Age]]&lt;35,"25-34",IF(Table13[[#This Row],[Age]]&lt;45,"35-44",IF(Table13[[#This Row],[Age]]&lt;55,"45-54","55-64"))))</f>
        <v>25-34</v>
      </c>
      <c r="H1565" s="8" t="s">
        <v>17</v>
      </c>
      <c r="I1565" s="8">
        <v>45.9</v>
      </c>
      <c r="J1565" s="8">
        <v>1.83</v>
      </c>
      <c r="K1565" s="8">
        <v>192</v>
      </c>
      <c r="L1565" s="8">
        <v>120</v>
      </c>
      <c r="M1565" s="8">
        <v>55</v>
      </c>
      <c r="N1565" s="8">
        <v>1.49</v>
      </c>
      <c r="O1565" s="8">
        <v>808</v>
      </c>
      <c r="P1565" s="8" t="s">
        <v>22</v>
      </c>
      <c r="Q1565" s="8" t="str">
        <f>_xlfn.IFS(AND(Table13[[#This Row],[Gender]]="female",R1565&lt;20),"Athletes",AND(Table13[[#This Row],[Gender]]="female",R1565&lt;24),"Fitnesss",AND(Table13[[#This Row],[Gender]]="female",R1565&lt;31),"Acceptable",AND(Table13[[#This Row],[Gender]]="female",R1565&lt;40),"Obese",AND(Table13[[#This Row],[Gender]]="male",R1565&lt;13),"Athletes",AND(Table13[[#This Row],[Gender]]="male",R1565&lt;17),"Fitnesss",AND(Table13[[#This Row],[Gender]]="male",R1565&lt;24.9),"Acceptable",AND(Table13[[#This Row],[Gender]]="male",R1565&lt;40),"Obese",AND(Table13[[#This Row],[Gender]]="others",R1565&lt;20),"Athletes",AND(Table13[[#This Row],[Gender]]="others",R1565&lt;24),"Fitnesss",AND(Table13[[#This Row],[Gender]]="others",R1565&lt;31),"Acceptable",AND(Table13[[#This Row],[Gender]]="others",R1565&lt;40),"Obese")</f>
        <v>Fitnesss</v>
      </c>
      <c r="R1565" s="8">
        <v>22.4</v>
      </c>
      <c r="S1565" s="8">
        <v>1.5</v>
      </c>
      <c r="T1565" s="8">
        <v>3</v>
      </c>
      <c r="U1565" s="8">
        <v>1</v>
      </c>
      <c r="V1565" s="8" t="str">
        <f>IF(Table13[[#This Row],[BMI]]&lt;=18.5,"Underweight",IF(Table13[[#This Row],[BMI]]&lt;=24.9,"Normal",IF(Table13[[#This Row],[BMI]]&lt;=29.9,"Overweight",IF(Table13[[#This Row],[BMI]]&lt;=39,"Obese","Severly Obese"))))</f>
        <v>Underweight</v>
      </c>
      <c r="W1565" s="18">
        <v>17.82</v>
      </c>
    </row>
    <row r="1566" spans="6:23" x14ac:dyDescent="0.3">
      <c r="F1566" s="17">
        <v>31</v>
      </c>
      <c r="G1566" s="8" t="str">
        <f>IF(Table13[[#This Row],[Age]]&lt;25,"18-24",IF(Table13[[#This Row],[Age]]&lt;35,"25-34",IF(Table13[[#This Row],[Age]]&lt;45,"35-44",IF(Table13[[#This Row],[Age]]&lt;55,"45-54","55-64"))))</f>
        <v>25-34</v>
      </c>
      <c r="H1566" s="8" t="s">
        <v>17</v>
      </c>
      <c r="I1566" s="8">
        <v>86.4</v>
      </c>
      <c r="J1566" s="8">
        <v>1.59</v>
      </c>
      <c r="K1566" s="8">
        <v>187</v>
      </c>
      <c r="L1566" s="8">
        <v>169</v>
      </c>
      <c r="M1566" s="8">
        <v>50</v>
      </c>
      <c r="N1566" s="8">
        <v>2</v>
      </c>
      <c r="O1566" s="8">
        <v>1336</v>
      </c>
      <c r="P1566" s="8" t="s">
        <v>22</v>
      </c>
      <c r="Q1566" s="8" t="str">
        <f>_xlfn.IFS(AND(Table13[[#This Row],[Gender]]="female",R1566&lt;20),"Athletes",AND(Table13[[#This Row],[Gender]]="female",R1566&lt;24),"Fitnesss",AND(Table13[[#This Row],[Gender]]="female",R1566&lt;31),"Acceptable",AND(Table13[[#This Row],[Gender]]="female",R1566&lt;40),"Obese",AND(Table13[[#This Row],[Gender]]="male",R1566&lt;13),"Athletes",AND(Table13[[#This Row],[Gender]]="male",R1566&lt;17),"Fitnesss",AND(Table13[[#This Row],[Gender]]="male",R1566&lt;24.9),"Acceptable",AND(Table13[[#This Row],[Gender]]="male",R1566&lt;40),"Obese",AND(Table13[[#This Row],[Gender]]="others",R1566&lt;20),"Athletes",AND(Table13[[#This Row],[Gender]]="others",R1566&lt;24),"Fitnesss",AND(Table13[[#This Row],[Gender]]="others",R1566&lt;31),"Acceptable",AND(Table13[[#This Row],[Gender]]="others",R1566&lt;40),"Obese")</f>
        <v>Acceptable</v>
      </c>
      <c r="R1566" s="8">
        <v>27.6</v>
      </c>
      <c r="S1566" s="8">
        <v>1.6</v>
      </c>
      <c r="T1566" s="8">
        <v>4</v>
      </c>
      <c r="U1566" s="8">
        <v>1</v>
      </c>
      <c r="V1566" s="8" t="str">
        <f>IF(Table13[[#This Row],[BMI]]&lt;=18.5,"Underweight",IF(Table13[[#This Row],[BMI]]&lt;=24.9,"Normal",IF(Table13[[#This Row],[BMI]]&lt;=29.9,"Overweight",IF(Table13[[#This Row],[BMI]]&lt;=39,"Obese","Severly Obese"))))</f>
        <v>Underweight</v>
      </c>
      <c r="W1566" s="18">
        <v>14.57</v>
      </c>
    </row>
    <row r="1567" spans="6:23" x14ac:dyDescent="0.3">
      <c r="F1567" s="17">
        <v>30</v>
      </c>
      <c r="G1567" s="8" t="str">
        <f>IF(Table13[[#This Row],[Age]]&lt;25,"18-24",IF(Table13[[#This Row],[Age]]&lt;35,"25-34",IF(Table13[[#This Row],[Age]]&lt;45,"35-44",IF(Table13[[#This Row],[Age]]&lt;55,"45-54","55-64"))))</f>
        <v>25-34</v>
      </c>
      <c r="H1567" s="8" t="s">
        <v>17</v>
      </c>
      <c r="I1567" s="8">
        <v>54.9</v>
      </c>
      <c r="J1567" s="8">
        <v>1.93</v>
      </c>
      <c r="K1567" s="8">
        <v>187</v>
      </c>
      <c r="L1567" s="8">
        <v>165</v>
      </c>
      <c r="M1567" s="8">
        <v>70</v>
      </c>
      <c r="N1567" s="8">
        <v>0.94</v>
      </c>
      <c r="O1567" s="8">
        <v>836</v>
      </c>
      <c r="P1567" s="8" t="s">
        <v>20</v>
      </c>
      <c r="Q1567" s="8" t="str">
        <f>_xlfn.IFS(AND(Table13[[#This Row],[Gender]]="female",R1567&lt;20),"Athletes",AND(Table13[[#This Row],[Gender]]="female",R1567&lt;24),"Fitnesss",AND(Table13[[#This Row],[Gender]]="female",R1567&lt;31),"Acceptable",AND(Table13[[#This Row],[Gender]]="female",R1567&lt;40),"Obese",AND(Table13[[#This Row],[Gender]]="male",R1567&lt;13),"Athletes",AND(Table13[[#This Row],[Gender]]="male",R1567&lt;17),"Fitnesss",AND(Table13[[#This Row],[Gender]]="male",R1567&lt;24.9),"Acceptable",AND(Table13[[#This Row],[Gender]]="male",R1567&lt;40),"Obese",AND(Table13[[#This Row],[Gender]]="others",R1567&lt;20),"Athletes",AND(Table13[[#This Row],[Gender]]="others",R1567&lt;24),"Fitnesss",AND(Table13[[#This Row],[Gender]]="others",R1567&lt;31),"Acceptable",AND(Table13[[#This Row],[Gender]]="others",R1567&lt;40),"Obese")</f>
        <v>Acceptable</v>
      </c>
      <c r="R1567" s="8">
        <v>26.7</v>
      </c>
      <c r="S1567" s="8">
        <v>3.7</v>
      </c>
      <c r="T1567" s="8">
        <v>4</v>
      </c>
      <c r="U1567" s="8">
        <v>2</v>
      </c>
      <c r="V1567" s="8" t="str">
        <f>IF(Table13[[#This Row],[BMI]]&lt;=18.5,"Underweight",IF(Table13[[#This Row],[BMI]]&lt;=24.9,"Normal",IF(Table13[[#This Row],[BMI]]&lt;=29.9,"Overweight",IF(Table13[[#This Row],[BMI]]&lt;=39,"Obese","Severly Obese"))))</f>
        <v>Underweight</v>
      </c>
      <c r="W1567" s="18">
        <v>13.37</v>
      </c>
    </row>
    <row r="1568" spans="6:23" x14ac:dyDescent="0.3">
      <c r="F1568" s="17">
        <v>21</v>
      </c>
      <c r="G1568" s="8" t="str">
        <f>IF(Table13[[#This Row],[Age]]&lt;25,"18-24",IF(Table13[[#This Row],[Age]]&lt;35,"25-34",IF(Table13[[#This Row],[Age]]&lt;45,"35-44",IF(Table13[[#This Row],[Age]]&lt;55,"45-54","55-64"))))</f>
        <v>18-24</v>
      </c>
      <c r="H1568" s="8" t="s">
        <v>19</v>
      </c>
      <c r="I1568" s="8">
        <v>91.2</v>
      </c>
      <c r="J1568" s="8">
        <v>1.7</v>
      </c>
      <c r="K1568" s="8">
        <v>194</v>
      </c>
      <c r="L1568" s="8">
        <v>142</v>
      </c>
      <c r="M1568" s="8">
        <v>62</v>
      </c>
      <c r="N1568" s="8">
        <v>0.91</v>
      </c>
      <c r="O1568" s="8">
        <v>1090</v>
      </c>
      <c r="P1568" s="8" t="s">
        <v>18</v>
      </c>
      <c r="Q1568" s="8" t="str">
        <f>_xlfn.IFS(AND(Table13[[#This Row],[Gender]]="female",R1568&lt;20),"Athletes",AND(Table13[[#This Row],[Gender]]="female",R1568&lt;24),"Fitnesss",AND(Table13[[#This Row],[Gender]]="female",R1568&lt;31),"Acceptable",AND(Table13[[#This Row],[Gender]]="female",R1568&lt;40),"Obese",AND(Table13[[#This Row],[Gender]]="male",R1568&lt;13),"Athletes",AND(Table13[[#This Row],[Gender]]="male",R1568&lt;17),"Fitnesss",AND(Table13[[#This Row],[Gender]]="male",R1568&lt;24.9),"Acceptable",AND(Table13[[#This Row],[Gender]]="male",R1568&lt;40),"Obese",AND(Table13[[#This Row],[Gender]]="others",R1568&lt;20),"Athletes",AND(Table13[[#This Row],[Gender]]="others",R1568&lt;24),"Fitnesss",AND(Table13[[#This Row],[Gender]]="others",R1568&lt;31),"Acceptable",AND(Table13[[#This Row],[Gender]]="others",R1568&lt;40),"Obese")</f>
        <v>Obese</v>
      </c>
      <c r="R1568" s="8">
        <v>33.299999999999997</v>
      </c>
      <c r="S1568" s="8">
        <v>3.7</v>
      </c>
      <c r="T1568" s="8">
        <v>3</v>
      </c>
      <c r="U1568" s="8">
        <v>2</v>
      </c>
      <c r="V1568" s="8" t="str">
        <f>IF(Table13[[#This Row],[BMI]]&lt;=18.5,"Underweight",IF(Table13[[#This Row],[BMI]]&lt;=24.9,"Normal",IF(Table13[[#This Row],[BMI]]&lt;=29.9,"Overweight",IF(Table13[[#This Row],[BMI]]&lt;=39,"Obese","Severly Obese"))))</f>
        <v>Underweight</v>
      </c>
      <c r="W1568" s="18">
        <v>17.63</v>
      </c>
    </row>
    <row r="1569" spans="6:23" x14ac:dyDescent="0.3">
      <c r="F1569" s="17">
        <v>46</v>
      </c>
      <c r="G1569" s="8" t="str">
        <f>IF(Table13[[#This Row],[Age]]&lt;25,"18-24",IF(Table13[[#This Row],[Age]]&lt;35,"25-34",IF(Table13[[#This Row],[Age]]&lt;45,"35-44",IF(Table13[[#This Row],[Age]]&lt;55,"45-54","55-64"))))</f>
        <v>45-54</v>
      </c>
      <c r="H1569" s="8" t="s">
        <v>19</v>
      </c>
      <c r="I1569" s="8">
        <v>54.2</v>
      </c>
      <c r="J1569" s="8">
        <v>1.91</v>
      </c>
      <c r="K1569" s="8">
        <v>171</v>
      </c>
      <c r="L1569" s="8">
        <v>169</v>
      </c>
      <c r="M1569" s="8">
        <v>67</v>
      </c>
      <c r="N1569" s="8">
        <v>0.9</v>
      </c>
      <c r="O1569" s="8">
        <v>771</v>
      </c>
      <c r="P1569" s="8" t="s">
        <v>21</v>
      </c>
      <c r="Q1569" s="8" t="str">
        <f>_xlfn.IFS(AND(Table13[[#This Row],[Gender]]="female",R1569&lt;20),"Athletes",AND(Table13[[#This Row],[Gender]]="female",R1569&lt;24),"Fitnesss",AND(Table13[[#This Row],[Gender]]="female",R1569&lt;31),"Acceptable",AND(Table13[[#This Row],[Gender]]="female",R1569&lt;40),"Obese",AND(Table13[[#This Row],[Gender]]="male",R1569&lt;13),"Athletes",AND(Table13[[#This Row],[Gender]]="male",R1569&lt;17),"Fitnesss",AND(Table13[[#This Row],[Gender]]="male",R1569&lt;24.9),"Acceptable",AND(Table13[[#This Row],[Gender]]="male",R1569&lt;40),"Obese",AND(Table13[[#This Row],[Gender]]="others",R1569&lt;20),"Athletes",AND(Table13[[#This Row],[Gender]]="others",R1569&lt;24),"Fitnesss",AND(Table13[[#This Row],[Gender]]="others",R1569&lt;31),"Acceptable",AND(Table13[[#This Row],[Gender]]="others",R1569&lt;40),"Obese")</f>
        <v>Fitnesss</v>
      </c>
      <c r="R1569" s="8">
        <v>14</v>
      </c>
      <c r="S1569" s="8">
        <v>2.6</v>
      </c>
      <c r="T1569" s="8">
        <v>3</v>
      </c>
      <c r="U1569" s="8">
        <v>3</v>
      </c>
      <c r="V1569" s="8" t="str">
        <f>IF(Table13[[#This Row],[BMI]]&lt;=18.5,"Underweight",IF(Table13[[#This Row],[BMI]]&lt;=24.9,"Normal",IF(Table13[[#This Row],[BMI]]&lt;=29.9,"Overweight",IF(Table13[[#This Row],[BMI]]&lt;=39,"Obese","Severly Obese"))))</f>
        <v>Overweight</v>
      </c>
      <c r="W1569" s="18">
        <v>26.79</v>
      </c>
    </row>
    <row r="1570" spans="6:23" x14ac:dyDescent="0.3">
      <c r="F1570" s="17">
        <v>22</v>
      </c>
      <c r="G1570" s="8" t="str">
        <f>IF(Table13[[#This Row],[Age]]&lt;25,"18-24",IF(Table13[[#This Row],[Age]]&lt;35,"25-34",IF(Table13[[#This Row],[Age]]&lt;45,"35-44",IF(Table13[[#This Row],[Age]]&lt;55,"45-54","55-64"))))</f>
        <v>18-24</v>
      </c>
      <c r="H1570" s="8" t="s">
        <v>17</v>
      </c>
      <c r="I1570" s="8">
        <v>60.8</v>
      </c>
      <c r="J1570" s="8">
        <v>1.77</v>
      </c>
      <c r="K1570" s="8">
        <v>169</v>
      </c>
      <c r="L1570" s="8">
        <v>130</v>
      </c>
      <c r="M1570" s="8">
        <v>74</v>
      </c>
      <c r="N1570" s="8">
        <v>1.1000000000000001</v>
      </c>
      <c r="O1570" s="8">
        <v>1298</v>
      </c>
      <c r="P1570" s="8" t="s">
        <v>20</v>
      </c>
      <c r="Q1570" s="8" t="str">
        <f>_xlfn.IFS(AND(Table13[[#This Row],[Gender]]="female",R1570&lt;20),"Athletes",AND(Table13[[#This Row],[Gender]]="female",R1570&lt;24),"Fitnesss",AND(Table13[[#This Row],[Gender]]="female",R1570&lt;31),"Acceptable",AND(Table13[[#This Row],[Gender]]="female",R1570&lt;40),"Obese",AND(Table13[[#This Row],[Gender]]="male",R1570&lt;13),"Athletes",AND(Table13[[#This Row],[Gender]]="male",R1570&lt;17),"Fitnesss",AND(Table13[[#This Row],[Gender]]="male",R1570&lt;24.9),"Acceptable",AND(Table13[[#This Row],[Gender]]="male",R1570&lt;40),"Obese",AND(Table13[[#This Row],[Gender]]="others",R1570&lt;20),"Athletes",AND(Table13[[#This Row],[Gender]]="others",R1570&lt;24),"Fitnesss",AND(Table13[[#This Row],[Gender]]="others",R1570&lt;31),"Acceptable",AND(Table13[[#This Row],[Gender]]="others",R1570&lt;40),"Obese")</f>
        <v>Acceptable</v>
      </c>
      <c r="R1570" s="8">
        <v>25.4</v>
      </c>
      <c r="S1570" s="8">
        <v>3.3</v>
      </c>
      <c r="T1570" s="8">
        <v>2</v>
      </c>
      <c r="U1570" s="8">
        <v>3</v>
      </c>
      <c r="V1570" s="8" t="str">
        <f>IF(Table13[[#This Row],[BMI]]&lt;=18.5,"Underweight",IF(Table13[[#This Row],[BMI]]&lt;=24.9,"Normal",IF(Table13[[#This Row],[BMI]]&lt;=29.9,"Overweight",IF(Table13[[#This Row],[BMI]]&lt;=39,"Obese","Severly Obese"))))</f>
        <v>Underweight</v>
      </c>
      <c r="W1570" s="18">
        <v>13.58</v>
      </c>
    </row>
    <row r="1571" spans="6:23" x14ac:dyDescent="0.3">
      <c r="F1571" s="17">
        <v>30</v>
      </c>
      <c r="G1571" s="8" t="str">
        <f>IF(Table13[[#This Row],[Age]]&lt;25,"18-24",IF(Table13[[#This Row],[Age]]&lt;35,"25-34",IF(Table13[[#This Row],[Age]]&lt;45,"35-44",IF(Table13[[#This Row],[Age]]&lt;55,"45-54","55-64"))))</f>
        <v>25-34</v>
      </c>
      <c r="H1571" s="8" t="s">
        <v>19</v>
      </c>
      <c r="I1571" s="8">
        <v>46.8</v>
      </c>
      <c r="J1571" s="8">
        <v>1.67</v>
      </c>
      <c r="K1571" s="8">
        <v>164</v>
      </c>
      <c r="L1571" s="8">
        <v>153</v>
      </c>
      <c r="M1571" s="8">
        <v>74</v>
      </c>
      <c r="N1571" s="8">
        <v>1.53</v>
      </c>
      <c r="O1571" s="8">
        <v>684</v>
      </c>
      <c r="P1571" s="8" t="s">
        <v>20</v>
      </c>
      <c r="Q1571" s="8" t="str">
        <f>_xlfn.IFS(AND(Table13[[#This Row],[Gender]]="female",R1571&lt;20),"Athletes",AND(Table13[[#This Row],[Gender]]="female",R1571&lt;24),"Fitnesss",AND(Table13[[#This Row],[Gender]]="female",R1571&lt;31),"Acceptable",AND(Table13[[#This Row],[Gender]]="female",R1571&lt;40),"Obese",AND(Table13[[#This Row],[Gender]]="male",R1571&lt;13),"Athletes",AND(Table13[[#This Row],[Gender]]="male",R1571&lt;17),"Fitnesss",AND(Table13[[#This Row],[Gender]]="male",R1571&lt;24.9),"Acceptable",AND(Table13[[#This Row],[Gender]]="male",R1571&lt;40),"Obese",AND(Table13[[#This Row],[Gender]]="others",R1571&lt;20),"Athletes",AND(Table13[[#This Row],[Gender]]="others",R1571&lt;24),"Fitnesss",AND(Table13[[#This Row],[Gender]]="others",R1571&lt;31),"Acceptable",AND(Table13[[#This Row],[Gender]]="others",R1571&lt;40),"Obese")</f>
        <v>Fitnesss</v>
      </c>
      <c r="R1571" s="8">
        <v>15.2</v>
      </c>
      <c r="S1571" s="8">
        <v>2.2999999999999998</v>
      </c>
      <c r="T1571" s="8">
        <v>4</v>
      </c>
      <c r="U1571" s="8">
        <v>2</v>
      </c>
      <c r="V1571" s="8" t="str">
        <f>IF(Table13[[#This Row],[BMI]]&lt;=18.5,"Underweight",IF(Table13[[#This Row],[BMI]]&lt;=24.9,"Normal",IF(Table13[[#This Row],[BMI]]&lt;=29.9,"Overweight",IF(Table13[[#This Row],[BMI]]&lt;=39,"Obese","Severly Obese"))))</f>
        <v>Underweight</v>
      </c>
      <c r="W1571" s="18">
        <v>12.32</v>
      </c>
    </row>
    <row r="1572" spans="6:23" x14ac:dyDescent="0.3">
      <c r="F1572" s="17">
        <v>31</v>
      </c>
      <c r="G1572" s="8" t="str">
        <f>IF(Table13[[#This Row],[Age]]&lt;25,"18-24",IF(Table13[[#This Row],[Age]]&lt;35,"25-34",IF(Table13[[#This Row],[Age]]&lt;45,"35-44",IF(Table13[[#This Row],[Age]]&lt;55,"45-54","55-64"))))</f>
        <v>25-34</v>
      </c>
      <c r="H1572" s="8" t="s">
        <v>17</v>
      </c>
      <c r="I1572" s="8">
        <v>48.1</v>
      </c>
      <c r="J1572" s="8">
        <v>1.58</v>
      </c>
      <c r="K1572" s="8">
        <v>181</v>
      </c>
      <c r="L1572" s="8">
        <v>125</v>
      </c>
      <c r="M1572" s="8">
        <v>70</v>
      </c>
      <c r="N1572" s="8">
        <v>1.88</v>
      </c>
      <c r="O1572" s="8">
        <v>695</v>
      </c>
      <c r="P1572" s="8" t="s">
        <v>21</v>
      </c>
      <c r="Q1572" s="8" t="str">
        <f>_xlfn.IFS(AND(Table13[[#This Row],[Gender]]="female",R1572&lt;20),"Athletes",AND(Table13[[#This Row],[Gender]]="female",R1572&lt;24),"Fitnesss",AND(Table13[[#This Row],[Gender]]="female",R1572&lt;31),"Acceptable",AND(Table13[[#This Row],[Gender]]="female",R1572&lt;40),"Obese",AND(Table13[[#This Row],[Gender]]="male",R1572&lt;13),"Athletes",AND(Table13[[#This Row],[Gender]]="male",R1572&lt;17),"Fitnesss",AND(Table13[[#This Row],[Gender]]="male",R1572&lt;24.9),"Acceptable",AND(Table13[[#This Row],[Gender]]="male",R1572&lt;40),"Obese",AND(Table13[[#This Row],[Gender]]="others",R1572&lt;20),"Athletes",AND(Table13[[#This Row],[Gender]]="others",R1572&lt;24),"Fitnesss",AND(Table13[[#This Row],[Gender]]="others",R1572&lt;31),"Acceptable",AND(Table13[[#This Row],[Gender]]="others",R1572&lt;40),"Obese")</f>
        <v>Fitnesss</v>
      </c>
      <c r="R1572" s="8">
        <v>23.1</v>
      </c>
      <c r="S1572" s="8">
        <v>3.3</v>
      </c>
      <c r="T1572" s="8">
        <v>3</v>
      </c>
      <c r="U1572" s="8">
        <v>2</v>
      </c>
      <c r="V1572" s="8" t="str">
        <f>IF(Table13[[#This Row],[BMI]]&lt;=18.5,"Underweight",IF(Table13[[#This Row],[BMI]]&lt;=24.9,"Normal",IF(Table13[[#This Row],[BMI]]&lt;=29.9,"Overweight",IF(Table13[[#This Row],[BMI]]&lt;=39,"Obese","Severly Obese"))))</f>
        <v>Overweight</v>
      </c>
      <c r="W1572" s="18">
        <v>26.69</v>
      </c>
    </row>
    <row r="1573" spans="6:23" x14ac:dyDescent="0.3">
      <c r="F1573" s="17">
        <v>36</v>
      </c>
      <c r="G1573" s="8" t="str">
        <f>IF(Table13[[#This Row],[Age]]&lt;25,"18-24",IF(Table13[[#This Row],[Age]]&lt;35,"25-34",IF(Table13[[#This Row],[Age]]&lt;45,"35-44",IF(Table13[[#This Row],[Age]]&lt;55,"45-54","55-64"))))</f>
        <v>35-44</v>
      </c>
      <c r="H1573" s="8" t="s">
        <v>19</v>
      </c>
      <c r="I1573" s="8">
        <v>56.5</v>
      </c>
      <c r="J1573" s="8">
        <v>1.61</v>
      </c>
      <c r="K1573" s="8">
        <v>189</v>
      </c>
      <c r="L1573" s="8">
        <v>123</v>
      </c>
      <c r="M1573" s="8">
        <v>58</v>
      </c>
      <c r="N1573" s="8">
        <v>2</v>
      </c>
      <c r="O1573" s="8">
        <v>1093</v>
      </c>
      <c r="P1573" s="8" t="s">
        <v>22</v>
      </c>
      <c r="Q1573" s="8" t="str">
        <f>_xlfn.IFS(AND(Table13[[#This Row],[Gender]]="female",R1573&lt;20),"Athletes",AND(Table13[[#This Row],[Gender]]="female",R1573&lt;24),"Fitnesss",AND(Table13[[#This Row],[Gender]]="female",R1573&lt;31),"Acceptable",AND(Table13[[#This Row],[Gender]]="female",R1573&lt;40),"Obese",AND(Table13[[#This Row],[Gender]]="male",R1573&lt;13),"Athletes",AND(Table13[[#This Row],[Gender]]="male",R1573&lt;17),"Fitnesss",AND(Table13[[#This Row],[Gender]]="male",R1573&lt;24.9),"Acceptable",AND(Table13[[#This Row],[Gender]]="male",R1573&lt;40),"Obese",AND(Table13[[#This Row],[Gender]]="others",R1573&lt;20),"Athletes",AND(Table13[[#This Row],[Gender]]="others",R1573&lt;24),"Fitnesss",AND(Table13[[#This Row],[Gender]]="others",R1573&lt;31),"Acceptable",AND(Table13[[#This Row],[Gender]]="others",R1573&lt;40),"Obese")</f>
        <v>Obese</v>
      </c>
      <c r="R1573" s="8">
        <v>32.6</v>
      </c>
      <c r="S1573" s="8">
        <v>3.5</v>
      </c>
      <c r="T1573" s="8">
        <v>3</v>
      </c>
      <c r="U1573" s="8">
        <v>3</v>
      </c>
      <c r="V1573" s="8" t="str">
        <f>IF(Table13[[#This Row],[BMI]]&lt;=18.5,"Underweight",IF(Table13[[#This Row],[BMI]]&lt;=24.9,"Normal",IF(Table13[[#This Row],[BMI]]&lt;=29.9,"Overweight",IF(Table13[[#This Row],[BMI]]&lt;=39,"Obese","Severly Obese"))))</f>
        <v>Overweight</v>
      </c>
      <c r="W1573" s="18">
        <v>25.74</v>
      </c>
    </row>
    <row r="1574" spans="6:23" x14ac:dyDescent="0.3">
      <c r="F1574" s="17">
        <v>55</v>
      </c>
      <c r="G1574" s="8" t="str">
        <f>IF(Table13[[#This Row],[Age]]&lt;25,"18-24",IF(Table13[[#This Row],[Age]]&lt;35,"25-34",IF(Table13[[#This Row],[Age]]&lt;45,"35-44",IF(Table13[[#This Row],[Age]]&lt;55,"45-54","55-64"))))</f>
        <v>55-64</v>
      </c>
      <c r="H1574" s="8" t="s">
        <v>17</v>
      </c>
      <c r="I1574" s="8">
        <v>78.400000000000006</v>
      </c>
      <c r="J1574" s="8">
        <v>1.59</v>
      </c>
      <c r="K1574" s="8">
        <v>171</v>
      </c>
      <c r="L1574" s="8">
        <v>132</v>
      </c>
      <c r="M1574" s="8">
        <v>74</v>
      </c>
      <c r="N1574" s="8">
        <v>2</v>
      </c>
      <c r="O1574" s="8">
        <v>1182</v>
      </c>
      <c r="P1574" s="8" t="s">
        <v>21</v>
      </c>
      <c r="Q1574" s="8" t="str">
        <f>_xlfn.IFS(AND(Table13[[#This Row],[Gender]]="female",R1574&lt;20),"Athletes",AND(Table13[[#This Row],[Gender]]="female",R1574&lt;24),"Fitnesss",AND(Table13[[#This Row],[Gender]]="female",R1574&lt;31),"Acceptable",AND(Table13[[#This Row],[Gender]]="female",R1574&lt;40),"Obese",AND(Table13[[#This Row],[Gender]]="male",R1574&lt;13),"Athletes",AND(Table13[[#This Row],[Gender]]="male",R1574&lt;17),"Fitnesss",AND(Table13[[#This Row],[Gender]]="male",R1574&lt;24.9),"Acceptable",AND(Table13[[#This Row],[Gender]]="male",R1574&lt;40),"Obese",AND(Table13[[#This Row],[Gender]]="others",R1574&lt;20),"Athletes",AND(Table13[[#This Row],[Gender]]="others",R1574&lt;24),"Fitnesss",AND(Table13[[#This Row],[Gender]]="others",R1574&lt;31),"Acceptable",AND(Table13[[#This Row],[Gender]]="others",R1574&lt;40),"Obese")</f>
        <v>Athletes</v>
      </c>
      <c r="R1574" s="8">
        <v>13.6</v>
      </c>
      <c r="S1574" s="8">
        <v>3.7</v>
      </c>
      <c r="T1574" s="8">
        <v>3</v>
      </c>
      <c r="U1574" s="8">
        <v>1</v>
      </c>
      <c r="V1574" s="8" t="str">
        <f>IF(Table13[[#This Row],[BMI]]&lt;=18.5,"Underweight",IF(Table13[[#This Row],[BMI]]&lt;=24.9,"Normal",IF(Table13[[#This Row],[BMI]]&lt;=29.9,"Overweight",IF(Table13[[#This Row],[BMI]]&lt;=39,"Obese","Severly Obese"))))</f>
        <v>Underweight</v>
      </c>
      <c r="W1574" s="18">
        <v>12.32</v>
      </c>
    </row>
    <row r="1575" spans="6:23" x14ac:dyDescent="0.3">
      <c r="F1575" s="17">
        <v>44</v>
      </c>
      <c r="G1575" s="8" t="str">
        <f>IF(Table13[[#This Row],[Age]]&lt;25,"18-24",IF(Table13[[#This Row],[Age]]&lt;35,"25-34",IF(Table13[[#This Row],[Age]]&lt;45,"35-44",IF(Table13[[#This Row],[Age]]&lt;55,"45-54","55-64"))))</f>
        <v>35-44</v>
      </c>
      <c r="H1575" s="8" t="s">
        <v>19</v>
      </c>
      <c r="I1575" s="8">
        <v>78.2</v>
      </c>
      <c r="J1575" s="8">
        <v>1.8</v>
      </c>
      <c r="K1575" s="8">
        <v>171</v>
      </c>
      <c r="L1575" s="8">
        <v>169</v>
      </c>
      <c r="M1575" s="8">
        <v>59</v>
      </c>
      <c r="N1575" s="8">
        <v>1.79</v>
      </c>
      <c r="O1575" s="8">
        <v>1730</v>
      </c>
      <c r="P1575" s="8" t="s">
        <v>21</v>
      </c>
      <c r="Q1575" s="8" t="str">
        <f>_xlfn.IFS(AND(Table13[[#This Row],[Gender]]="female",R1575&lt;20),"Athletes",AND(Table13[[#This Row],[Gender]]="female",R1575&lt;24),"Fitnesss",AND(Table13[[#This Row],[Gender]]="female",R1575&lt;31),"Acceptable",AND(Table13[[#This Row],[Gender]]="female",R1575&lt;40),"Obese",AND(Table13[[#This Row],[Gender]]="male",R1575&lt;13),"Athletes",AND(Table13[[#This Row],[Gender]]="male",R1575&lt;17),"Fitnesss",AND(Table13[[#This Row],[Gender]]="male",R1575&lt;24.9),"Acceptable",AND(Table13[[#This Row],[Gender]]="male",R1575&lt;40),"Obese",AND(Table13[[#This Row],[Gender]]="others",R1575&lt;20),"Athletes",AND(Table13[[#This Row],[Gender]]="others",R1575&lt;24),"Fitnesss",AND(Table13[[#This Row],[Gender]]="others",R1575&lt;31),"Acceptable",AND(Table13[[#This Row],[Gender]]="others",R1575&lt;40),"Obese")</f>
        <v>Acceptable</v>
      </c>
      <c r="R1575" s="8">
        <v>17</v>
      </c>
      <c r="S1575" s="8">
        <v>3.5</v>
      </c>
      <c r="T1575" s="8">
        <v>5</v>
      </c>
      <c r="U1575" s="8">
        <v>1</v>
      </c>
      <c r="V1575" s="8" t="str">
        <f>IF(Table13[[#This Row],[BMI]]&lt;=18.5,"Underweight",IF(Table13[[#This Row],[BMI]]&lt;=24.9,"Normal",IF(Table13[[#This Row],[BMI]]&lt;=29.9,"Overweight",IF(Table13[[#This Row],[BMI]]&lt;=39,"Obese","Severly Obese"))))</f>
        <v>Underweight</v>
      </c>
      <c r="W1575" s="18">
        <v>18.170000000000002</v>
      </c>
    </row>
    <row r="1576" spans="6:23" x14ac:dyDescent="0.3">
      <c r="F1576" s="17">
        <v>34</v>
      </c>
      <c r="G1576" s="8" t="str">
        <f>IF(Table13[[#This Row],[Age]]&lt;25,"18-24",IF(Table13[[#This Row],[Age]]&lt;35,"25-34",IF(Table13[[#This Row],[Age]]&lt;45,"35-44",IF(Table13[[#This Row],[Age]]&lt;55,"45-54","55-64"))))</f>
        <v>25-34</v>
      </c>
      <c r="H1576" s="8" t="s">
        <v>17</v>
      </c>
      <c r="I1576" s="8">
        <v>74.2</v>
      </c>
      <c r="J1576" s="8">
        <v>1.83</v>
      </c>
      <c r="K1576" s="8">
        <v>194</v>
      </c>
      <c r="L1576" s="8">
        <v>153</v>
      </c>
      <c r="M1576" s="8">
        <v>60</v>
      </c>
      <c r="N1576" s="8">
        <v>1.24</v>
      </c>
      <c r="O1576" s="8">
        <v>1632</v>
      </c>
      <c r="P1576" s="8" t="s">
        <v>18</v>
      </c>
      <c r="Q1576" s="8" t="str">
        <f>_xlfn.IFS(AND(Table13[[#This Row],[Gender]]="female",R1576&lt;20),"Athletes",AND(Table13[[#This Row],[Gender]]="female",R1576&lt;24),"Fitnesss",AND(Table13[[#This Row],[Gender]]="female",R1576&lt;31),"Acceptable",AND(Table13[[#This Row],[Gender]]="female",R1576&lt;40),"Obese",AND(Table13[[#This Row],[Gender]]="male",R1576&lt;13),"Athletes",AND(Table13[[#This Row],[Gender]]="male",R1576&lt;17),"Fitnesss",AND(Table13[[#This Row],[Gender]]="male",R1576&lt;24.9),"Acceptable",AND(Table13[[#This Row],[Gender]]="male",R1576&lt;40),"Obese",AND(Table13[[#This Row],[Gender]]="others",R1576&lt;20),"Athletes",AND(Table13[[#This Row],[Gender]]="others",R1576&lt;24),"Fitnesss",AND(Table13[[#This Row],[Gender]]="others",R1576&lt;31),"Acceptable",AND(Table13[[#This Row],[Gender]]="others",R1576&lt;40),"Obese")</f>
        <v>Acceptable</v>
      </c>
      <c r="R1576" s="8">
        <v>27.3</v>
      </c>
      <c r="S1576" s="8">
        <v>3</v>
      </c>
      <c r="T1576" s="8">
        <v>4</v>
      </c>
      <c r="U1576" s="8">
        <v>2</v>
      </c>
      <c r="V1576" s="8" t="str">
        <f>IF(Table13[[#This Row],[BMI]]&lt;=18.5,"Underweight",IF(Table13[[#This Row],[BMI]]&lt;=24.9,"Normal",IF(Table13[[#This Row],[BMI]]&lt;=29.9,"Overweight",IF(Table13[[#This Row],[BMI]]&lt;=39,"Obese","Severly Obese"))))</f>
        <v>Normal</v>
      </c>
      <c r="W1576" s="18">
        <v>20.18</v>
      </c>
    </row>
    <row r="1577" spans="6:23" x14ac:dyDescent="0.3">
      <c r="F1577" s="17">
        <v>57</v>
      </c>
      <c r="G1577" s="8" t="str">
        <f>IF(Table13[[#This Row],[Age]]&lt;25,"18-24",IF(Table13[[#This Row],[Age]]&lt;35,"25-34",IF(Table13[[#This Row],[Age]]&lt;45,"35-44",IF(Table13[[#This Row],[Age]]&lt;55,"45-54","55-64"))))</f>
        <v>55-64</v>
      </c>
      <c r="H1577" s="8" t="s">
        <v>17</v>
      </c>
      <c r="I1577" s="8">
        <v>84</v>
      </c>
      <c r="J1577" s="8">
        <v>1.95</v>
      </c>
      <c r="K1577" s="8">
        <v>199</v>
      </c>
      <c r="L1577" s="8">
        <v>142</v>
      </c>
      <c r="M1577" s="8">
        <v>51</v>
      </c>
      <c r="N1577" s="8">
        <v>1.66</v>
      </c>
      <c r="O1577" s="8">
        <v>872</v>
      </c>
      <c r="P1577" s="8" t="s">
        <v>18</v>
      </c>
      <c r="Q1577" s="8" t="str">
        <f>_xlfn.IFS(AND(Table13[[#This Row],[Gender]]="female",R1577&lt;20),"Athletes",AND(Table13[[#This Row],[Gender]]="female",R1577&lt;24),"Fitnesss",AND(Table13[[#This Row],[Gender]]="female",R1577&lt;31),"Acceptable",AND(Table13[[#This Row],[Gender]]="female",R1577&lt;40),"Obese",AND(Table13[[#This Row],[Gender]]="male",R1577&lt;13),"Athletes",AND(Table13[[#This Row],[Gender]]="male",R1577&lt;17),"Fitnesss",AND(Table13[[#This Row],[Gender]]="male",R1577&lt;24.9),"Acceptable",AND(Table13[[#This Row],[Gender]]="male",R1577&lt;40),"Obese",AND(Table13[[#This Row],[Gender]]="others",R1577&lt;20),"Athletes",AND(Table13[[#This Row],[Gender]]="others",R1577&lt;24),"Fitnesss",AND(Table13[[#This Row],[Gender]]="others",R1577&lt;31),"Acceptable",AND(Table13[[#This Row],[Gender]]="others",R1577&lt;40),"Obese")</f>
        <v>Athletes</v>
      </c>
      <c r="R1577" s="8">
        <v>17.5</v>
      </c>
      <c r="S1577" s="8">
        <v>3.4</v>
      </c>
      <c r="T1577" s="8">
        <v>4</v>
      </c>
      <c r="U1577" s="8">
        <v>1</v>
      </c>
      <c r="V1577" s="8" t="str">
        <f>IF(Table13[[#This Row],[BMI]]&lt;=18.5,"Underweight",IF(Table13[[#This Row],[BMI]]&lt;=24.9,"Normal",IF(Table13[[#This Row],[BMI]]&lt;=29.9,"Overweight",IF(Table13[[#This Row],[BMI]]&lt;=39,"Obese","Severly Obese"))))</f>
        <v>Normal</v>
      </c>
      <c r="W1577" s="18">
        <v>21.88</v>
      </c>
    </row>
    <row r="1578" spans="6:23" x14ac:dyDescent="0.3">
      <c r="F1578" s="17">
        <v>47</v>
      </c>
      <c r="G1578" s="8" t="str">
        <f>IF(Table13[[#This Row],[Age]]&lt;25,"18-24",IF(Table13[[#This Row],[Age]]&lt;35,"25-34",IF(Table13[[#This Row],[Age]]&lt;45,"35-44",IF(Table13[[#This Row],[Age]]&lt;55,"45-54","55-64"))))</f>
        <v>45-54</v>
      </c>
      <c r="H1578" s="8" t="s">
        <v>17</v>
      </c>
      <c r="I1578" s="8">
        <v>79.2</v>
      </c>
      <c r="J1578" s="8">
        <v>1.81</v>
      </c>
      <c r="K1578" s="8">
        <v>160</v>
      </c>
      <c r="L1578" s="8">
        <v>169</v>
      </c>
      <c r="M1578" s="8">
        <v>74</v>
      </c>
      <c r="N1578" s="8">
        <v>1.28</v>
      </c>
      <c r="O1578" s="8">
        <v>595</v>
      </c>
      <c r="P1578" s="8" t="s">
        <v>22</v>
      </c>
      <c r="Q1578" s="8" t="str">
        <f>_xlfn.IFS(AND(Table13[[#This Row],[Gender]]="female",R1578&lt;20),"Athletes",AND(Table13[[#This Row],[Gender]]="female",R1578&lt;24),"Fitnesss",AND(Table13[[#This Row],[Gender]]="female",R1578&lt;31),"Acceptable",AND(Table13[[#This Row],[Gender]]="female",R1578&lt;40),"Obese",AND(Table13[[#This Row],[Gender]]="male",R1578&lt;13),"Athletes",AND(Table13[[#This Row],[Gender]]="male",R1578&lt;17),"Fitnesss",AND(Table13[[#This Row],[Gender]]="male",R1578&lt;24.9),"Acceptable",AND(Table13[[#This Row],[Gender]]="male",R1578&lt;40),"Obese",AND(Table13[[#This Row],[Gender]]="others",R1578&lt;20),"Athletes",AND(Table13[[#This Row],[Gender]]="others",R1578&lt;24),"Fitnesss",AND(Table13[[#This Row],[Gender]]="others",R1578&lt;31),"Acceptable",AND(Table13[[#This Row],[Gender]]="others",R1578&lt;40),"Obese")</f>
        <v>Athletes</v>
      </c>
      <c r="R1578" s="8">
        <v>19</v>
      </c>
      <c r="S1578" s="8">
        <v>3.3</v>
      </c>
      <c r="T1578" s="8">
        <v>2</v>
      </c>
      <c r="U1578" s="8">
        <v>2</v>
      </c>
      <c r="V1578" s="8" t="str">
        <f>IF(Table13[[#This Row],[BMI]]&lt;=18.5,"Underweight",IF(Table13[[#This Row],[BMI]]&lt;=24.9,"Normal",IF(Table13[[#This Row],[BMI]]&lt;=29.9,"Overweight",IF(Table13[[#This Row],[BMI]]&lt;=39,"Obese","Severly Obese"))))</f>
        <v>Normal</v>
      </c>
      <c r="W1578" s="18">
        <v>20.55</v>
      </c>
    </row>
    <row r="1579" spans="6:23" x14ac:dyDescent="0.3">
      <c r="F1579" s="17">
        <v>20</v>
      </c>
      <c r="G1579" s="8" t="str">
        <f>IF(Table13[[#This Row],[Age]]&lt;25,"18-24",IF(Table13[[#This Row],[Age]]&lt;35,"25-34",IF(Table13[[#This Row],[Age]]&lt;45,"35-44",IF(Table13[[#This Row],[Age]]&lt;55,"45-54","55-64"))))</f>
        <v>18-24</v>
      </c>
      <c r="H1579" s="8" t="s">
        <v>17</v>
      </c>
      <c r="I1579" s="8">
        <v>102.9</v>
      </c>
      <c r="J1579" s="8">
        <v>1.61</v>
      </c>
      <c r="K1579" s="8">
        <v>172</v>
      </c>
      <c r="L1579" s="8">
        <v>146</v>
      </c>
      <c r="M1579" s="8">
        <v>70</v>
      </c>
      <c r="N1579" s="8">
        <v>1.57</v>
      </c>
      <c r="O1579" s="8">
        <v>1113</v>
      </c>
      <c r="P1579" s="8" t="s">
        <v>22</v>
      </c>
      <c r="Q1579" s="8" t="str">
        <f>_xlfn.IFS(AND(Table13[[#This Row],[Gender]]="female",R1579&lt;20),"Athletes",AND(Table13[[#This Row],[Gender]]="female",R1579&lt;24),"Fitnesss",AND(Table13[[#This Row],[Gender]]="female",R1579&lt;31),"Acceptable",AND(Table13[[#This Row],[Gender]]="female",R1579&lt;40),"Obese",AND(Table13[[#This Row],[Gender]]="male",R1579&lt;13),"Athletes",AND(Table13[[#This Row],[Gender]]="male",R1579&lt;17),"Fitnesss",AND(Table13[[#This Row],[Gender]]="male",R1579&lt;24.9),"Acceptable",AND(Table13[[#This Row],[Gender]]="male",R1579&lt;40),"Obese",AND(Table13[[#This Row],[Gender]]="others",R1579&lt;20),"Athletes",AND(Table13[[#This Row],[Gender]]="others",R1579&lt;24),"Fitnesss",AND(Table13[[#This Row],[Gender]]="others",R1579&lt;31),"Acceptable",AND(Table13[[#This Row],[Gender]]="others",R1579&lt;40),"Obese")</f>
        <v>Fitnesss</v>
      </c>
      <c r="R1579" s="8">
        <v>23.5</v>
      </c>
      <c r="S1579" s="8">
        <v>3.2</v>
      </c>
      <c r="T1579" s="8">
        <v>3</v>
      </c>
      <c r="U1579" s="8">
        <v>3</v>
      </c>
      <c r="V1579" s="8" t="str">
        <f>IF(Table13[[#This Row],[BMI]]&lt;=18.5,"Underweight",IF(Table13[[#This Row],[BMI]]&lt;=24.9,"Normal",IF(Table13[[#This Row],[BMI]]&lt;=29.9,"Overweight",IF(Table13[[#This Row],[BMI]]&lt;=39,"Obese","Severly Obese"))))</f>
        <v>Normal</v>
      </c>
      <c r="W1579" s="18">
        <v>21.82</v>
      </c>
    </row>
    <row r="1580" spans="6:23" x14ac:dyDescent="0.3">
      <c r="F1580" s="17">
        <v>30</v>
      </c>
      <c r="G1580" s="8" t="str">
        <f>IF(Table13[[#This Row],[Age]]&lt;25,"18-24",IF(Table13[[#This Row],[Age]]&lt;35,"25-34",IF(Table13[[#This Row],[Age]]&lt;45,"35-44",IF(Table13[[#This Row],[Age]]&lt;55,"45-54","55-64"))))</f>
        <v>25-34</v>
      </c>
      <c r="H1580" s="8" t="s">
        <v>17</v>
      </c>
      <c r="I1580" s="8">
        <v>57.8</v>
      </c>
      <c r="J1580" s="8">
        <v>1.89</v>
      </c>
      <c r="K1580" s="8">
        <v>168</v>
      </c>
      <c r="L1580" s="8">
        <v>165</v>
      </c>
      <c r="M1580" s="8">
        <v>67</v>
      </c>
      <c r="N1580" s="8">
        <v>1.38</v>
      </c>
      <c r="O1580" s="8">
        <v>1099</v>
      </c>
      <c r="P1580" s="8" t="s">
        <v>18</v>
      </c>
      <c r="Q1580" s="8" t="str">
        <f>_xlfn.IFS(AND(Table13[[#This Row],[Gender]]="female",R1580&lt;20),"Athletes",AND(Table13[[#This Row],[Gender]]="female",R1580&lt;24),"Fitnesss",AND(Table13[[#This Row],[Gender]]="female",R1580&lt;31),"Acceptable",AND(Table13[[#This Row],[Gender]]="female",R1580&lt;40),"Obese",AND(Table13[[#This Row],[Gender]]="male",R1580&lt;13),"Athletes",AND(Table13[[#This Row],[Gender]]="male",R1580&lt;17),"Fitnesss",AND(Table13[[#This Row],[Gender]]="male",R1580&lt;24.9),"Acceptable",AND(Table13[[#This Row],[Gender]]="male",R1580&lt;40),"Obese",AND(Table13[[#This Row],[Gender]]="others",R1580&lt;20),"Athletes",AND(Table13[[#This Row],[Gender]]="others",R1580&lt;24),"Fitnesss",AND(Table13[[#This Row],[Gender]]="others",R1580&lt;31),"Acceptable",AND(Table13[[#This Row],[Gender]]="others",R1580&lt;40),"Obese")</f>
        <v>Acceptable</v>
      </c>
      <c r="R1580" s="8">
        <v>25.6</v>
      </c>
      <c r="S1580" s="8">
        <v>1.5</v>
      </c>
      <c r="T1580" s="8"/>
      <c r="U1580" s="8">
        <v>1</v>
      </c>
      <c r="V1580" s="8" t="str">
        <f>IF(Table13[[#This Row],[BMI]]&lt;=18.5,"Underweight",IF(Table13[[#This Row],[BMI]]&lt;=24.9,"Normal",IF(Table13[[#This Row],[BMI]]&lt;=29.9,"Overweight",IF(Table13[[#This Row],[BMI]]&lt;=39,"Obese","Severly Obese"))))</f>
        <v>Underweight</v>
      </c>
      <c r="W1580" s="18">
        <v>15.3</v>
      </c>
    </row>
    <row r="1581" spans="6:23" x14ac:dyDescent="0.3">
      <c r="F1581" s="17">
        <v>37</v>
      </c>
      <c r="G1581" s="8" t="str">
        <f>IF(Table13[[#This Row],[Age]]&lt;25,"18-24",IF(Table13[[#This Row],[Age]]&lt;35,"25-34",IF(Table13[[#This Row],[Age]]&lt;45,"35-44",IF(Table13[[#This Row],[Age]]&lt;55,"45-54","55-64"))))</f>
        <v>35-44</v>
      </c>
      <c r="H1581" s="8" t="s">
        <v>17</v>
      </c>
      <c r="I1581" s="8">
        <v>94.5</v>
      </c>
      <c r="J1581" s="8">
        <v>1.73</v>
      </c>
      <c r="K1581" s="8">
        <v>198</v>
      </c>
      <c r="L1581" s="8">
        <v>135</v>
      </c>
      <c r="M1581" s="8">
        <v>74</v>
      </c>
      <c r="N1581" s="8">
        <v>1.1599999999999999</v>
      </c>
      <c r="O1581" s="8">
        <v>717</v>
      </c>
      <c r="P1581" s="8" t="s">
        <v>18</v>
      </c>
      <c r="Q1581" s="8" t="str">
        <f>_xlfn.IFS(AND(Table13[[#This Row],[Gender]]="female",R1581&lt;20),"Athletes",AND(Table13[[#This Row],[Gender]]="female",R1581&lt;24),"Fitnesss",AND(Table13[[#This Row],[Gender]]="female",R1581&lt;31),"Acceptable",AND(Table13[[#This Row],[Gender]]="female",R1581&lt;40),"Obese",AND(Table13[[#This Row],[Gender]]="male",R1581&lt;13),"Athletes",AND(Table13[[#This Row],[Gender]]="male",R1581&lt;17),"Fitnesss",AND(Table13[[#This Row],[Gender]]="male",R1581&lt;24.9),"Acceptable",AND(Table13[[#This Row],[Gender]]="male",R1581&lt;40),"Obese",AND(Table13[[#This Row],[Gender]]="others",R1581&lt;20),"Athletes",AND(Table13[[#This Row],[Gender]]="others",R1581&lt;24),"Fitnesss",AND(Table13[[#This Row],[Gender]]="others",R1581&lt;31),"Acceptable",AND(Table13[[#This Row],[Gender]]="others",R1581&lt;40),"Obese")</f>
        <v>Fitnesss</v>
      </c>
      <c r="R1581" s="8">
        <v>23.8</v>
      </c>
      <c r="S1581" s="8">
        <v>1.6</v>
      </c>
      <c r="T1581" s="8">
        <v>4</v>
      </c>
      <c r="U1581" s="8">
        <v>3</v>
      </c>
      <c r="V1581" s="8" t="str">
        <f>IF(Table13[[#This Row],[BMI]]&lt;=18.5,"Underweight",IF(Table13[[#This Row],[BMI]]&lt;=24.9,"Normal",IF(Table13[[#This Row],[BMI]]&lt;=29.9,"Overweight",IF(Table13[[#This Row],[BMI]]&lt;=39,"Obese","Severly Obese"))))</f>
        <v>Underweight</v>
      </c>
      <c r="W1581" s="18">
        <v>17.52</v>
      </c>
    </row>
    <row r="1582" spans="6:23" x14ac:dyDescent="0.3">
      <c r="F1582" s="17">
        <v>54</v>
      </c>
      <c r="G1582" s="8" t="str">
        <f>IF(Table13[[#This Row],[Age]]&lt;25,"18-24",IF(Table13[[#This Row],[Age]]&lt;35,"25-34",IF(Table13[[#This Row],[Age]]&lt;45,"35-44",IF(Table13[[#This Row],[Age]]&lt;55,"45-54","55-64"))))</f>
        <v>45-54</v>
      </c>
      <c r="H1582" s="8" t="s">
        <v>19</v>
      </c>
      <c r="I1582" s="8">
        <v>70.900000000000006</v>
      </c>
      <c r="J1582" s="8">
        <v>1.7</v>
      </c>
      <c r="K1582" s="8" t="s">
        <v>25</v>
      </c>
      <c r="L1582" s="8">
        <v>131</v>
      </c>
      <c r="M1582" s="8">
        <v>74</v>
      </c>
      <c r="N1582" s="8">
        <v>1.5</v>
      </c>
      <c r="O1582" s="8">
        <v>750</v>
      </c>
      <c r="P1582" s="8" t="s">
        <v>21</v>
      </c>
      <c r="Q1582" s="8" t="str">
        <f>_xlfn.IFS(AND(Table13[[#This Row],[Gender]]="female",R1582&lt;20),"Athletes",AND(Table13[[#This Row],[Gender]]="female",R1582&lt;24),"Fitnesss",AND(Table13[[#This Row],[Gender]]="female",R1582&lt;31),"Acceptable",AND(Table13[[#This Row],[Gender]]="female",R1582&lt;40),"Obese",AND(Table13[[#This Row],[Gender]]="male",R1582&lt;13),"Athletes",AND(Table13[[#This Row],[Gender]]="male",R1582&lt;17),"Fitnesss",AND(Table13[[#This Row],[Gender]]="male",R1582&lt;24.9),"Acceptable",AND(Table13[[#This Row],[Gender]]="male",R1582&lt;40),"Obese",AND(Table13[[#This Row],[Gender]]="others",R1582&lt;20),"Athletes",AND(Table13[[#This Row],[Gender]]="others",R1582&lt;24),"Fitnesss",AND(Table13[[#This Row],[Gender]]="others",R1582&lt;31),"Acceptable",AND(Table13[[#This Row],[Gender]]="others",R1582&lt;40),"Obese")</f>
        <v>Obese</v>
      </c>
      <c r="R1582" s="8">
        <v>29.4</v>
      </c>
      <c r="S1582" s="8">
        <v>3.7</v>
      </c>
      <c r="T1582" s="8">
        <v>4</v>
      </c>
      <c r="U1582" s="8">
        <v>2</v>
      </c>
      <c r="V1582" s="8" t="str">
        <f>IF(Table13[[#This Row],[BMI]]&lt;=18.5,"Underweight",IF(Table13[[#This Row],[BMI]]&lt;=24.9,"Normal",IF(Table13[[#This Row],[BMI]]&lt;=29.9,"Overweight",IF(Table13[[#This Row],[BMI]]&lt;=39,"Obese","Severly Obese"))))</f>
        <v>Underweight</v>
      </c>
      <c r="W1582" s="18">
        <v>13.4</v>
      </c>
    </row>
    <row r="1583" spans="6:23" x14ac:dyDescent="0.3">
      <c r="F1583" s="17">
        <v>54</v>
      </c>
      <c r="G1583" s="8" t="str">
        <f>IF(Table13[[#This Row],[Age]]&lt;25,"18-24",IF(Table13[[#This Row],[Age]]&lt;35,"25-34",IF(Table13[[#This Row],[Age]]&lt;45,"35-44",IF(Table13[[#This Row],[Age]]&lt;55,"45-54","55-64"))))</f>
        <v>45-54</v>
      </c>
      <c r="H1583" s="8" t="s">
        <v>17</v>
      </c>
      <c r="I1583" s="8">
        <v>52.6</v>
      </c>
      <c r="J1583" s="8">
        <v>1.81</v>
      </c>
      <c r="K1583" s="8">
        <v>167</v>
      </c>
      <c r="L1583" s="8">
        <v>167</v>
      </c>
      <c r="M1583" s="8">
        <v>53</v>
      </c>
      <c r="N1583" s="8">
        <v>1.46</v>
      </c>
      <c r="O1583" s="8">
        <v>988</v>
      </c>
      <c r="P1583" s="8" t="s">
        <v>22</v>
      </c>
      <c r="Q1583" s="8" t="str">
        <f>_xlfn.IFS(AND(Table13[[#This Row],[Gender]]="female",R1583&lt;20),"Athletes",AND(Table13[[#This Row],[Gender]]="female",R1583&lt;24),"Fitnesss",AND(Table13[[#This Row],[Gender]]="female",R1583&lt;31),"Acceptable",AND(Table13[[#This Row],[Gender]]="female",R1583&lt;40),"Obese",AND(Table13[[#This Row],[Gender]]="male",R1583&lt;13),"Athletes",AND(Table13[[#This Row],[Gender]]="male",R1583&lt;17),"Fitnesss",AND(Table13[[#This Row],[Gender]]="male",R1583&lt;24.9),"Acceptable",AND(Table13[[#This Row],[Gender]]="male",R1583&lt;40),"Obese",AND(Table13[[#This Row],[Gender]]="others",R1583&lt;20),"Athletes",AND(Table13[[#This Row],[Gender]]="others",R1583&lt;24),"Fitnesss",AND(Table13[[#This Row],[Gender]]="others",R1583&lt;31),"Acceptable",AND(Table13[[#This Row],[Gender]]="others",R1583&lt;40),"Obese")</f>
        <v>Acceptable</v>
      </c>
      <c r="R1583" s="8">
        <v>26.7</v>
      </c>
      <c r="S1583" s="8">
        <v>2.4</v>
      </c>
      <c r="T1583" s="8">
        <v>2</v>
      </c>
      <c r="U1583" s="8">
        <v>1</v>
      </c>
      <c r="V1583" s="8" t="str">
        <f>IF(Table13[[#This Row],[BMI]]&lt;=18.5,"Underweight",IF(Table13[[#This Row],[BMI]]&lt;=24.9,"Normal",IF(Table13[[#This Row],[BMI]]&lt;=29.9,"Overweight",IF(Table13[[#This Row],[BMI]]&lt;=39,"Obese","Severly Obese"))))</f>
        <v>Overweight</v>
      </c>
      <c r="W1583" s="18">
        <v>27.97</v>
      </c>
    </row>
    <row r="1584" spans="6:23" x14ac:dyDescent="0.3">
      <c r="F1584" s="17">
        <v>31</v>
      </c>
      <c r="G1584" s="8" t="str">
        <f>IF(Table13[[#This Row],[Age]]&lt;25,"18-24",IF(Table13[[#This Row],[Age]]&lt;35,"25-34",IF(Table13[[#This Row],[Age]]&lt;45,"35-44",IF(Table13[[#This Row],[Age]]&lt;55,"45-54","55-64"))))</f>
        <v>25-34</v>
      </c>
      <c r="H1584" s="8" t="s">
        <v>17</v>
      </c>
      <c r="I1584" s="8">
        <v>50.9</v>
      </c>
      <c r="J1584" s="8">
        <v>1.51</v>
      </c>
      <c r="K1584" s="8">
        <v>174</v>
      </c>
      <c r="L1584" s="8">
        <v>130</v>
      </c>
      <c r="M1584" s="8">
        <v>58</v>
      </c>
      <c r="N1584" s="8">
        <v>2</v>
      </c>
      <c r="O1584" s="8">
        <v>1743</v>
      </c>
      <c r="P1584" s="8" t="s">
        <v>18</v>
      </c>
      <c r="Q1584" s="8" t="str">
        <f>_xlfn.IFS(AND(Table13[[#This Row],[Gender]]="female",R1584&lt;20),"Athletes",AND(Table13[[#This Row],[Gender]]="female",R1584&lt;24),"Fitnesss",AND(Table13[[#This Row],[Gender]]="female",R1584&lt;31),"Acceptable",AND(Table13[[#This Row],[Gender]]="female",R1584&lt;40),"Obese",AND(Table13[[#This Row],[Gender]]="male",R1584&lt;13),"Athletes",AND(Table13[[#This Row],[Gender]]="male",R1584&lt;17),"Fitnesss",AND(Table13[[#This Row],[Gender]]="male",R1584&lt;24.9),"Acceptable",AND(Table13[[#This Row],[Gender]]="male",R1584&lt;40),"Obese",AND(Table13[[#This Row],[Gender]]="others",R1584&lt;20),"Athletes",AND(Table13[[#This Row],[Gender]]="others",R1584&lt;24),"Fitnesss",AND(Table13[[#This Row],[Gender]]="others",R1584&lt;31),"Acceptable",AND(Table13[[#This Row],[Gender]]="others",R1584&lt;40),"Obese")</f>
        <v>Acceptable</v>
      </c>
      <c r="R1584" s="8">
        <v>26.9</v>
      </c>
      <c r="S1584" s="8">
        <v>3.5</v>
      </c>
      <c r="T1584" s="8"/>
      <c r="U1584" s="8">
        <v>1</v>
      </c>
      <c r="V1584" s="8" t="str">
        <f>IF(Table13[[#This Row],[BMI]]&lt;=18.5,"Underweight",IF(Table13[[#This Row],[BMI]]&lt;=24.9,"Normal",IF(Table13[[#This Row],[BMI]]&lt;=29.9,"Overweight",IF(Table13[[#This Row],[BMI]]&lt;=39,"Obese","Severly Obese"))))</f>
        <v>Normal</v>
      </c>
      <c r="W1584" s="18">
        <v>22.5</v>
      </c>
    </row>
    <row r="1585" spans="6:23" x14ac:dyDescent="0.3">
      <c r="F1585" s="17">
        <v>43</v>
      </c>
      <c r="G1585" s="8" t="str">
        <f>IF(Table13[[#This Row],[Age]]&lt;25,"18-24",IF(Table13[[#This Row],[Age]]&lt;35,"25-34",IF(Table13[[#This Row],[Age]]&lt;45,"35-44",IF(Table13[[#This Row],[Age]]&lt;55,"45-54","55-64"))))</f>
        <v>35-44</v>
      </c>
      <c r="H1585" s="8" t="s">
        <v>23</v>
      </c>
      <c r="I1585" s="8">
        <v>58.9</v>
      </c>
      <c r="J1585" s="8">
        <v>1.85</v>
      </c>
      <c r="K1585" s="8">
        <v>174</v>
      </c>
      <c r="L1585" s="8">
        <v>139</v>
      </c>
      <c r="M1585" s="8">
        <v>67</v>
      </c>
      <c r="N1585" s="8">
        <v>1.41</v>
      </c>
      <c r="O1585" s="8">
        <v>1217</v>
      </c>
      <c r="P1585" s="8" t="s">
        <v>23</v>
      </c>
      <c r="Q1585" s="8" t="str">
        <f>_xlfn.IFS(AND(Table13[[#This Row],[Gender]]="female",R1585&lt;20),"Athletes",AND(Table13[[#This Row],[Gender]]="female",R1585&lt;24),"Fitnesss",AND(Table13[[#This Row],[Gender]]="female",R1585&lt;31),"Acceptable",AND(Table13[[#This Row],[Gender]]="female",R1585&lt;40),"Obese",AND(Table13[[#This Row],[Gender]]="male",R1585&lt;13),"Athletes",AND(Table13[[#This Row],[Gender]]="male",R1585&lt;17),"Fitnesss",AND(Table13[[#This Row],[Gender]]="male",R1585&lt;24.9),"Acceptable",AND(Table13[[#This Row],[Gender]]="male",R1585&lt;40),"Obese",AND(Table13[[#This Row],[Gender]]="others",R1585&lt;20),"Athletes",AND(Table13[[#This Row],[Gender]]="others",R1585&lt;24),"Fitnesss",AND(Table13[[#This Row],[Gender]]="others",R1585&lt;31),"Acceptable",AND(Table13[[#This Row],[Gender]]="others",R1585&lt;40),"Obese")</f>
        <v>Athletes</v>
      </c>
      <c r="R1585" s="8">
        <v>19.899999999999999</v>
      </c>
      <c r="S1585" s="8">
        <v>2</v>
      </c>
      <c r="T1585" s="8">
        <v>2</v>
      </c>
      <c r="U1585" s="8">
        <v>1</v>
      </c>
      <c r="V1585" s="8" t="str">
        <f>IF(Table13[[#This Row],[BMI]]&lt;=18.5,"Underweight",IF(Table13[[#This Row],[BMI]]&lt;=24.9,"Normal",IF(Table13[[#This Row],[BMI]]&lt;=29.9,"Overweight",IF(Table13[[#This Row],[BMI]]&lt;=39,"Obese","Severly Obese"))))</f>
        <v>Normal</v>
      </c>
      <c r="W1585" s="18">
        <v>20.61</v>
      </c>
    </row>
    <row r="1586" spans="6:23" x14ac:dyDescent="0.3">
      <c r="F1586" s="17">
        <v>22</v>
      </c>
      <c r="G1586" s="8" t="str">
        <f>IF(Table13[[#This Row],[Age]]&lt;25,"18-24",IF(Table13[[#This Row],[Age]]&lt;35,"25-34",IF(Table13[[#This Row],[Age]]&lt;45,"35-44",IF(Table13[[#This Row],[Age]]&lt;55,"45-54","55-64"))))</f>
        <v>18-24</v>
      </c>
      <c r="H1586" s="8" t="s">
        <v>17</v>
      </c>
      <c r="I1586" s="8">
        <v>69.3</v>
      </c>
      <c r="J1586" s="8">
        <v>1.56</v>
      </c>
      <c r="K1586" s="8">
        <v>164</v>
      </c>
      <c r="L1586" s="8">
        <v>136</v>
      </c>
      <c r="M1586" s="8">
        <v>50</v>
      </c>
      <c r="N1586" s="8">
        <v>1.33</v>
      </c>
      <c r="O1586" s="8">
        <v>1084</v>
      </c>
      <c r="P1586" s="8" t="s">
        <v>22</v>
      </c>
      <c r="Q1586" s="8" t="str">
        <f>_xlfn.IFS(AND(Table13[[#This Row],[Gender]]="female",R1586&lt;20),"Athletes",AND(Table13[[#This Row],[Gender]]="female",R1586&lt;24),"Fitnesss",AND(Table13[[#This Row],[Gender]]="female",R1586&lt;31),"Acceptable",AND(Table13[[#This Row],[Gender]]="female",R1586&lt;40),"Obese",AND(Table13[[#This Row],[Gender]]="male",R1586&lt;13),"Athletes",AND(Table13[[#This Row],[Gender]]="male",R1586&lt;17),"Fitnesss",AND(Table13[[#This Row],[Gender]]="male",R1586&lt;24.9),"Acceptable",AND(Table13[[#This Row],[Gender]]="male",R1586&lt;40),"Obese",AND(Table13[[#This Row],[Gender]]="others",R1586&lt;20),"Athletes",AND(Table13[[#This Row],[Gender]]="others",R1586&lt;24),"Fitnesss",AND(Table13[[#This Row],[Gender]]="others",R1586&lt;31),"Acceptable",AND(Table13[[#This Row],[Gender]]="others",R1586&lt;40),"Obese")</f>
        <v>Acceptable</v>
      </c>
      <c r="R1586" s="8">
        <v>30.7</v>
      </c>
      <c r="S1586" s="8">
        <v>3.4</v>
      </c>
      <c r="T1586" s="8">
        <v>3</v>
      </c>
      <c r="U1586" s="8"/>
      <c r="V1586" s="8" t="str">
        <f>IF(Table13[[#This Row],[BMI]]&lt;=18.5,"Underweight",IF(Table13[[#This Row],[BMI]]&lt;=24.9,"Normal",IF(Table13[[#This Row],[BMI]]&lt;=29.9,"Overweight",IF(Table13[[#This Row],[BMI]]&lt;=39,"Obese","Severly Obese"))))</f>
        <v>Normal</v>
      </c>
      <c r="W1586" s="18">
        <v>23.56</v>
      </c>
    </row>
    <row r="1587" spans="6:23" x14ac:dyDescent="0.3">
      <c r="F1587" s="17">
        <v>18</v>
      </c>
      <c r="G1587" s="8" t="str">
        <f>IF(Table13[[#This Row],[Age]]&lt;25,"18-24",IF(Table13[[#This Row],[Age]]&lt;35,"25-34",IF(Table13[[#This Row],[Age]]&lt;45,"35-44",IF(Table13[[#This Row],[Age]]&lt;55,"45-54","55-64"))))</f>
        <v>18-24</v>
      </c>
      <c r="H1587" s="8" t="s">
        <v>17</v>
      </c>
      <c r="I1587" s="8">
        <v>93.3</v>
      </c>
      <c r="J1587" s="8">
        <v>1.71</v>
      </c>
      <c r="K1587" s="8">
        <v>199</v>
      </c>
      <c r="L1587" s="8"/>
      <c r="M1587" s="8">
        <v>50</v>
      </c>
      <c r="N1587" s="8">
        <v>1.59</v>
      </c>
      <c r="O1587" s="8">
        <v>1166</v>
      </c>
      <c r="P1587" s="8" t="s">
        <v>22</v>
      </c>
      <c r="Q1587" s="8" t="str">
        <f>_xlfn.IFS(AND(Table13[[#This Row],[Gender]]="female",R1587&lt;20),"Athletes",AND(Table13[[#This Row],[Gender]]="female",R1587&lt;24),"Fitnesss",AND(Table13[[#This Row],[Gender]]="female",R1587&lt;31),"Acceptable",AND(Table13[[#This Row],[Gender]]="female",R1587&lt;40),"Obese",AND(Table13[[#This Row],[Gender]]="male",R1587&lt;13),"Athletes",AND(Table13[[#This Row],[Gender]]="male",R1587&lt;17),"Fitnesss",AND(Table13[[#This Row],[Gender]]="male",R1587&lt;24.9),"Acceptable",AND(Table13[[#This Row],[Gender]]="male",R1587&lt;40),"Obese",AND(Table13[[#This Row],[Gender]]="others",R1587&lt;20),"Athletes",AND(Table13[[#This Row],[Gender]]="others",R1587&lt;24),"Fitnesss",AND(Table13[[#This Row],[Gender]]="others",R1587&lt;31),"Acceptable",AND(Table13[[#This Row],[Gender]]="others",R1587&lt;40),"Obese")</f>
        <v>Fitnesss</v>
      </c>
      <c r="R1587" s="8">
        <v>22.3</v>
      </c>
      <c r="S1587" s="8">
        <v>2.6</v>
      </c>
      <c r="T1587" s="8">
        <v>4</v>
      </c>
      <c r="U1587" s="8">
        <v>1</v>
      </c>
      <c r="V1587" s="8" t="str">
        <f>IF(Table13[[#This Row],[BMI]]&lt;=18.5,"Underweight",IF(Table13[[#This Row],[BMI]]&lt;=24.9,"Normal",IF(Table13[[#This Row],[BMI]]&lt;=29.9,"Overweight",IF(Table13[[#This Row],[BMI]]&lt;=39,"Obese","Severly Obese"))))</f>
        <v>Normal</v>
      </c>
      <c r="W1587" s="18">
        <v>24.01</v>
      </c>
    </row>
    <row r="1588" spans="6:23" x14ac:dyDescent="0.3">
      <c r="F1588" s="17">
        <v>24</v>
      </c>
      <c r="G1588" s="8" t="str">
        <f>IF(Table13[[#This Row],[Age]]&lt;25,"18-24",IF(Table13[[#This Row],[Age]]&lt;35,"25-34",IF(Table13[[#This Row],[Age]]&lt;45,"35-44",IF(Table13[[#This Row],[Age]]&lt;55,"45-54","55-64"))))</f>
        <v>18-24</v>
      </c>
      <c r="H1588" s="8" t="s">
        <v>17</v>
      </c>
      <c r="I1588" s="8">
        <v>91.2</v>
      </c>
      <c r="J1588" s="8">
        <v>1.82</v>
      </c>
      <c r="K1588" s="8">
        <v>181</v>
      </c>
      <c r="L1588" s="8">
        <v>158</v>
      </c>
      <c r="M1588" s="8">
        <v>74</v>
      </c>
      <c r="N1588" s="8">
        <v>1.49</v>
      </c>
      <c r="O1588" s="8">
        <v>1263</v>
      </c>
      <c r="P1588" s="8" t="s">
        <v>23</v>
      </c>
      <c r="Q1588" s="8" t="str">
        <f>_xlfn.IFS(AND(Table13[[#This Row],[Gender]]="female",R1588&lt;20),"Athletes",AND(Table13[[#This Row],[Gender]]="female",R1588&lt;24),"Fitnesss",AND(Table13[[#This Row],[Gender]]="female",R1588&lt;31),"Acceptable",AND(Table13[[#This Row],[Gender]]="female",R1588&lt;40),"Obese",AND(Table13[[#This Row],[Gender]]="male",R1588&lt;13),"Athletes",AND(Table13[[#This Row],[Gender]]="male",R1588&lt;17),"Fitnesss",AND(Table13[[#This Row],[Gender]]="male",R1588&lt;24.9),"Acceptable",AND(Table13[[#This Row],[Gender]]="male",R1588&lt;40),"Obese",AND(Table13[[#This Row],[Gender]]="others",R1588&lt;20),"Athletes",AND(Table13[[#This Row],[Gender]]="others",R1588&lt;24),"Fitnesss",AND(Table13[[#This Row],[Gender]]="others",R1588&lt;31),"Acceptable",AND(Table13[[#This Row],[Gender]]="others",R1588&lt;40),"Obese")</f>
        <v>Acceptable</v>
      </c>
      <c r="R1588" s="8">
        <v>26.9</v>
      </c>
      <c r="S1588" s="8">
        <v>1.8</v>
      </c>
      <c r="T1588" s="8">
        <v>2</v>
      </c>
      <c r="U1588" s="8">
        <v>2</v>
      </c>
      <c r="V1588" s="8" t="str">
        <f>IF(Table13[[#This Row],[BMI]]&lt;=18.5,"Underweight",IF(Table13[[#This Row],[BMI]]&lt;=24.9,"Normal",IF(Table13[[#This Row],[BMI]]&lt;=29.9,"Overweight",IF(Table13[[#This Row],[BMI]]&lt;=39,"Obese","Severly Obese"))))</f>
        <v>Underweight</v>
      </c>
      <c r="W1588" s="18">
        <v>12.74</v>
      </c>
    </row>
    <row r="1589" spans="6:23" x14ac:dyDescent="0.3">
      <c r="F1589" s="17">
        <v>45</v>
      </c>
      <c r="G1589" s="8" t="str">
        <f>IF(Table13[[#This Row],[Age]]&lt;25,"18-24",IF(Table13[[#This Row],[Age]]&lt;35,"25-34",IF(Table13[[#This Row],[Age]]&lt;45,"35-44",IF(Table13[[#This Row],[Age]]&lt;55,"45-54","55-64"))))</f>
        <v>45-54</v>
      </c>
      <c r="H1589" s="8" t="s">
        <v>17</v>
      </c>
      <c r="I1589" s="8">
        <v>40</v>
      </c>
      <c r="J1589" s="8">
        <v>1.59</v>
      </c>
      <c r="K1589" s="8">
        <v>199</v>
      </c>
      <c r="L1589" s="8">
        <v>144</v>
      </c>
      <c r="M1589" s="8">
        <v>70</v>
      </c>
      <c r="N1589" s="8">
        <v>1.2</v>
      </c>
      <c r="O1589" s="8"/>
      <c r="P1589" s="8" t="s">
        <v>21</v>
      </c>
      <c r="Q1589" s="8" t="str">
        <f>_xlfn.IFS(AND(Table13[[#This Row],[Gender]]="female",R1589&lt;20),"Athletes",AND(Table13[[#This Row],[Gender]]="female",R1589&lt;24),"Fitnesss",AND(Table13[[#This Row],[Gender]]="female",R1589&lt;31),"Acceptable",AND(Table13[[#This Row],[Gender]]="female",R1589&lt;40),"Obese",AND(Table13[[#This Row],[Gender]]="male",R1589&lt;13),"Athletes",AND(Table13[[#This Row],[Gender]]="male",R1589&lt;17),"Fitnesss",AND(Table13[[#This Row],[Gender]]="male",R1589&lt;24.9),"Acceptable",AND(Table13[[#This Row],[Gender]]="male",R1589&lt;40),"Obese",AND(Table13[[#This Row],[Gender]]="others",R1589&lt;20),"Athletes",AND(Table13[[#This Row],[Gender]]="others",R1589&lt;24),"Fitnesss",AND(Table13[[#This Row],[Gender]]="others",R1589&lt;31),"Acceptable",AND(Table13[[#This Row],[Gender]]="others",R1589&lt;40),"Obese")</f>
        <v>Athletes</v>
      </c>
      <c r="R1589" s="8">
        <v>15.3</v>
      </c>
      <c r="S1589" s="8"/>
      <c r="T1589" s="8">
        <v>3</v>
      </c>
      <c r="U1589" s="8">
        <v>3</v>
      </c>
      <c r="V1589" s="8" t="str">
        <f>IF(Table13[[#This Row],[BMI]]&lt;=18.5,"Underweight",IF(Table13[[#This Row],[BMI]]&lt;=24.9,"Normal",IF(Table13[[#This Row],[BMI]]&lt;=29.9,"Overweight",IF(Table13[[#This Row],[BMI]]&lt;=39,"Obese","Severly Obese"))))</f>
        <v>Normal</v>
      </c>
      <c r="W1589" s="18">
        <v>19.329999999999998</v>
      </c>
    </row>
    <row r="1590" spans="6:23" x14ac:dyDescent="0.3">
      <c r="F1590" s="17">
        <v>34</v>
      </c>
      <c r="G1590" s="8" t="str">
        <f>IF(Table13[[#This Row],[Age]]&lt;25,"18-24",IF(Table13[[#This Row],[Age]]&lt;35,"25-34",IF(Table13[[#This Row],[Age]]&lt;45,"35-44",IF(Table13[[#This Row],[Age]]&lt;55,"45-54","55-64"))))</f>
        <v>25-34</v>
      </c>
      <c r="H1590" s="8" t="s">
        <v>23</v>
      </c>
      <c r="I1590" s="8">
        <v>80.599999999999994</v>
      </c>
      <c r="J1590" s="8">
        <v>1.76</v>
      </c>
      <c r="K1590" s="8">
        <v>177</v>
      </c>
      <c r="L1590" s="8">
        <v>163</v>
      </c>
      <c r="M1590" s="8">
        <v>18</v>
      </c>
      <c r="N1590" s="8">
        <v>2</v>
      </c>
      <c r="O1590" s="8">
        <v>1783</v>
      </c>
      <c r="P1590" s="8" t="s">
        <v>20</v>
      </c>
      <c r="Q1590" s="8" t="str">
        <f>_xlfn.IFS(AND(Table13[[#This Row],[Gender]]="female",R1590&lt;20),"Athletes",AND(Table13[[#This Row],[Gender]]="female",R1590&lt;24),"Fitnesss",AND(Table13[[#This Row],[Gender]]="female",R1590&lt;31),"Acceptable",AND(Table13[[#This Row],[Gender]]="female",R1590&lt;40),"Obese",AND(Table13[[#This Row],[Gender]]="male",R1590&lt;13),"Athletes",AND(Table13[[#This Row],[Gender]]="male",R1590&lt;17),"Fitnesss",AND(Table13[[#This Row],[Gender]]="male",R1590&lt;24.9),"Acceptable",AND(Table13[[#This Row],[Gender]]="male",R1590&lt;40),"Obese",AND(Table13[[#This Row],[Gender]]="others",R1590&lt;20),"Athletes",AND(Table13[[#This Row],[Gender]]="others",R1590&lt;24),"Fitnesss",AND(Table13[[#This Row],[Gender]]="others",R1590&lt;31),"Acceptable",AND(Table13[[#This Row],[Gender]]="others",R1590&lt;40),"Obese")</f>
        <v>Acceptable</v>
      </c>
      <c r="R1590" s="8">
        <v>27.5</v>
      </c>
      <c r="S1590" s="8">
        <v>3.4</v>
      </c>
      <c r="T1590" s="8">
        <v>4</v>
      </c>
      <c r="U1590" s="8">
        <v>1</v>
      </c>
      <c r="V1590" s="8" t="str">
        <f>IF(Table13[[#This Row],[BMI]]&lt;=18.5,"Underweight",IF(Table13[[#This Row],[BMI]]&lt;=24.9,"Normal",IF(Table13[[#This Row],[BMI]]&lt;=29.9,"Overweight",IF(Table13[[#This Row],[BMI]]&lt;=39,"Obese","Severly Obese"))))</f>
        <v>Underweight</v>
      </c>
      <c r="W1590" s="18">
        <v>13.09</v>
      </c>
    </row>
    <row r="1591" spans="6:23" x14ac:dyDescent="0.3">
      <c r="F1591" s="17">
        <v>25</v>
      </c>
      <c r="G1591" s="8" t="str">
        <f>IF(Table13[[#This Row],[Age]]&lt;25,"18-24",IF(Table13[[#This Row],[Age]]&lt;35,"25-34",IF(Table13[[#This Row],[Age]]&lt;45,"35-44",IF(Table13[[#This Row],[Age]]&lt;55,"45-54","55-64"))))</f>
        <v>25-34</v>
      </c>
      <c r="H1591" s="8" t="s">
        <v>19</v>
      </c>
      <c r="I1591" s="8">
        <v>40</v>
      </c>
      <c r="J1591" s="8">
        <v>1.56</v>
      </c>
      <c r="K1591" s="8">
        <v>195</v>
      </c>
      <c r="L1591" s="8">
        <v>132</v>
      </c>
      <c r="M1591" s="8">
        <v>57</v>
      </c>
      <c r="N1591" s="8">
        <v>0.65</v>
      </c>
      <c r="O1591" s="8">
        <v>499</v>
      </c>
      <c r="P1591" s="8" t="s">
        <v>22</v>
      </c>
      <c r="Q1591" s="8" t="str">
        <f>_xlfn.IFS(AND(Table13[[#This Row],[Gender]]="female",R1591&lt;20),"Athletes",AND(Table13[[#This Row],[Gender]]="female",R1591&lt;24),"Fitnesss",AND(Table13[[#This Row],[Gender]]="female",R1591&lt;31),"Acceptable",AND(Table13[[#This Row],[Gender]]="female",R1591&lt;40),"Obese",AND(Table13[[#This Row],[Gender]]="male",R1591&lt;13),"Athletes",AND(Table13[[#This Row],[Gender]]="male",R1591&lt;17),"Fitnesss",AND(Table13[[#This Row],[Gender]]="male",R1591&lt;24.9),"Acceptable",AND(Table13[[#This Row],[Gender]]="male",R1591&lt;40),"Obese",AND(Table13[[#This Row],[Gender]]="others",R1591&lt;20),"Athletes",AND(Table13[[#This Row],[Gender]]="others",R1591&lt;24),"Fitnesss",AND(Table13[[#This Row],[Gender]]="others",R1591&lt;31),"Acceptable",AND(Table13[[#This Row],[Gender]]="others",R1591&lt;40),"Obese")</f>
        <v>Fitnesss</v>
      </c>
      <c r="R1591" s="8">
        <v>16.7</v>
      </c>
      <c r="S1591" s="8">
        <v>3.4</v>
      </c>
      <c r="T1591" s="8">
        <v>3</v>
      </c>
      <c r="U1591" s="8">
        <v>2</v>
      </c>
      <c r="V1591" s="8" t="str">
        <f>IF(Table13[[#This Row],[BMI]]&lt;=18.5,"Underweight",IF(Table13[[#This Row],[BMI]]&lt;=24.9,"Normal",IF(Table13[[#This Row],[BMI]]&lt;=29.9,"Overweight",IF(Table13[[#This Row],[BMI]]&lt;=39,"Obese","Severly Obese"))))</f>
        <v>Underweight</v>
      </c>
      <c r="W1591" s="18">
        <v>12.32</v>
      </c>
    </row>
    <row r="1592" spans="6:23" x14ac:dyDescent="0.3">
      <c r="F1592" s="17">
        <v>45</v>
      </c>
      <c r="G1592" s="8" t="str">
        <f>IF(Table13[[#This Row],[Age]]&lt;25,"18-24",IF(Table13[[#This Row],[Age]]&lt;35,"25-34",IF(Table13[[#This Row],[Age]]&lt;45,"35-44",IF(Table13[[#This Row],[Age]]&lt;55,"45-54","55-64"))))</f>
        <v>45-54</v>
      </c>
      <c r="H1592" s="8" t="s">
        <v>19</v>
      </c>
      <c r="I1592" s="8">
        <v>76.599999999999994</v>
      </c>
      <c r="J1592" s="8">
        <v>1.77</v>
      </c>
      <c r="K1592" s="8">
        <v>181</v>
      </c>
      <c r="L1592" s="8">
        <v>122</v>
      </c>
      <c r="M1592" s="8">
        <v>64</v>
      </c>
      <c r="N1592" s="8">
        <v>1.82</v>
      </c>
      <c r="O1592" s="8">
        <v>1186</v>
      </c>
      <c r="P1592" s="8" t="s">
        <v>20</v>
      </c>
      <c r="Q1592" s="8" t="str">
        <f>_xlfn.IFS(AND(Table13[[#This Row],[Gender]]="female",R1592&lt;20),"Athletes",AND(Table13[[#This Row],[Gender]]="female",R1592&lt;24),"Fitnesss",AND(Table13[[#This Row],[Gender]]="female",R1592&lt;31),"Acceptable",AND(Table13[[#This Row],[Gender]]="female",R1592&lt;40),"Obese",AND(Table13[[#This Row],[Gender]]="male",R1592&lt;13),"Athletes",AND(Table13[[#This Row],[Gender]]="male",R1592&lt;17),"Fitnesss",AND(Table13[[#This Row],[Gender]]="male",R1592&lt;24.9),"Acceptable",AND(Table13[[#This Row],[Gender]]="male",R1592&lt;40),"Obese",AND(Table13[[#This Row],[Gender]]="others",R1592&lt;20),"Athletes",AND(Table13[[#This Row],[Gender]]="others",R1592&lt;24),"Fitnesss",AND(Table13[[#This Row],[Gender]]="others",R1592&lt;31),"Acceptable",AND(Table13[[#This Row],[Gender]]="others",R1592&lt;40),"Obese")</f>
        <v>Acceptable</v>
      </c>
      <c r="R1592" s="8">
        <v>19.100000000000001</v>
      </c>
      <c r="S1592" s="8">
        <v>3.5</v>
      </c>
      <c r="T1592" s="8">
        <v>2</v>
      </c>
      <c r="U1592" s="8">
        <v>1</v>
      </c>
      <c r="V1592" s="8" t="str">
        <f>IF(Table13[[#This Row],[BMI]]&lt;=18.5,"Underweight",IF(Table13[[#This Row],[BMI]]&lt;=24.9,"Normal",IF(Table13[[#This Row],[BMI]]&lt;=29.9,"Overweight",IF(Table13[[#This Row],[BMI]]&lt;=39,"Obese","Severly Obese"))))</f>
        <v>Normal</v>
      </c>
      <c r="W1592" s="18">
        <v>20.79</v>
      </c>
    </row>
    <row r="1593" spans="6:23" x14ac:dyDescent="0.3">
      <c r="F1593" s="17">
        <v>25</v>
      </c>
      <c r="G1593" s="8" t="str">
        <f>IF(Table13[[#This Row],[Age]]&lt;25,"18-24",IF(Table13[[#This Row],[Age]]&lt;35,"25-34",IF(Table13[[#This Row],[Age]]&lt;45,"35-44",IF(Table13[[#This Row],[Age]]&lt;55,"45-54","55-64"))))</f>
        <v>25-34</v>
      </c>
      <c r="H1593" s="8" t="s">
        <v>17</v>
      </c>
      <c r="I1593" s="8">
        <v>61.1</v>
      </c>
      <c r="J1593" s="8">
        <v>1.72</v>
      </c>
      <c r="K1593" s="8">
        <v>176</v>
      </c>
      <c r="L1593" s="8">
        <v>162</v>
      </c>
      <c r="M1593" s="8">
        <v>53</v>
      </c>
      <c r="N1593" s="8">
        <v>0.92</v>
      </c>
      <c r="O1593" s="8">
        <v>1378</v>
      </c>
      <c r="P1593" s="8" t="s">
        <v>18</v>
      </c>
      <c r="Q1593" s="8" t="str">
        <f>_xlfn.IFS(AND(Table13[[#This Row],[Gender]]="female",R1593&lt;20),"Athletes",AND(Table13[[#This Row],[Gender]]="female",R1593&lt;24),"Fitnesss",AND(Table13[[#This Row],[Gender]]="female",R1593&lt;31),"Acceptable",AND(Table13[[#This Row],[Gender]]="female",R1593&lt;40),"Obese",AND(Table13[[#This Row],[Gender]]="male",R1593&lt;13),"Athletes",AND(Table13[[#This Row],[Gender]]="male",R1593&lt;17),"Fitnesss",AND(Table13[[#This Row],[Gender]]="male",R1593&lt;24.9),"Acceptable",AND(Table13[[#This Row],[Gender]]="male",R1593&lt;40),"Obese",AND(Table13[[#This Row],[Gender]]="others",R1593&lt;20),"Athletes",AND(Table13[[#This Row],[Gender]]="others",R1593&lt;24),"Fitnesss",AND(Table13[[#This Row],[Gender]]="others",R1593&lt;31),"Acceptable",AND(Table13[[#This Row],[Gender]]="others",R1593&lt;40),"Obese")</f>
        <v>Athletes</v>
      </c>
      <c r="R1593" s="8">
        <v>15</v>
      </c>
      <c r="S1593" s="8">
        <v>3.4</v>
      </c>
      <c r="T1593" s="8">
        <v>4</v>
      </c>
      <c r="U1593" s="8">
        <v>1</v>
      </c>
      <c r="V1593" s="8" t="str">
        <f>IF(Table13[[#This Row],[BMI]]&lt;=18.5,"Underweight",IF(Table13[[#This Row],[BMI]]&lt;=24.9,"Normal",IF(Table13[[#This Row],[BMI]]&lt;=29.9,"Overweight",IF(Table13[[#This Row],[BMI]]&lt;=39,"Obese","Severly Obese"))))</f>
        <v>Underweight</v>
      </c>
      <c r="W1593" s="18">
        <v>12.62</v>
      </c>
    </row>
    <row r="1594" spans="6:23" x14ac:dyDescent="0.3">
      <c r="F1594" s="17">
        <v>51</v>
      </c>
      <c r="G1594" s="8" t="str">
        <f>IF(Table13[[#This Row],[Age]]&lt;25,"18-24",IF(Table13[[#This Row],[Age]]&lt;35,"25-34",IF(Table13[[#This Row],[Age]]&lt;45,"35-44",IF(Table13[[#This Row],[Age]]&lt;55,"45-54","55-64"))))</f>
        <v>45-54</v>
      </c>
      <c r="H1594" s="8" t="s">
        <v>17</v>
      </c>
      <c r="I1594" s="8">
        <v>58.8</v>
      </c>
      <c r="J1594" s="8">
        <v>1.78</v>
      </c>
      <c r="K1594" s="8">
        <v>172</v>
      </c>
      <c r="L1594" s="8">
        <v>120</v>
      </c>
      <c r="M1594" s="8">
        <v>54</v>
      </c>
      <c r="N1594" s="8">
        <v>2</v>
      </c>
      <c r="O1594" s="8">
        <v>1113</v>
      </c>
      <c r="P1594" s="8" t="s">
        <v>21</v>
      </c>
      <c r="Q1594" s="8" t="str">
        <f>_xlfn.IFS(AND(Table13[[#This Row],[Gender]]="female",R1594&lt;20),"Athletes",AND(Table13[[#This Row],[Gender]]="female",R1594&lt;24),"Fitnesss",AND(Table13[[#This Row],[Gender]]="female",R1594&lt;31),"Acceptable",AND(Table13[[#This Row],[Gender]]="female",R1594&lt;40),"Obese",AND(Table13[[#This Row],[Gender]]="male",R1594&lt;13),"Athletes",AND(Table13[[#This Row],[Gender]]="male",R1594&lt;17),"Fitnesss",AND(Table13[[#This Row],[Gender]]="male",R1594&lt;24.9),"Acceptable",AND(Table13[[#This Row],[Gender]]="male",R1594&lt;40),"Obese",AND(Table13[[#This Row],[Gender]]="others",R1594&lt;20),"Athletes",AND(Table13[[#This Row],[Gender]]="others",R1594&lt;24),"Fitnesss",AND(Table13[[#This Row],[Gender]]="others",R1594&lt;31),"Acceptable",AND(Table13[[#This Row],[Gender]]="others",R1594&lt;40),"Obese")</f>
        <v>Obese</v>
      </c>
      <c r="R1594" s="8">
        <v>31.5</v>
      </c>
      <c r="S1594" s="8">
        <v>2.2999999999999998</v>
      </c>
      <c r="T1594" s="8">
        <v>4</v>
      </c>
      <c r="U1594" s="8">
        <v>1</v>
      </c>
      <c r="V1594" s="8" t="str">
        <f>IF(Table13[[#This Row],[BMI]]&lt;=18.5,"Underweight",IF(Table13[[#This Row],[BMI]]&lt;=24.9,"Normal",IF(Table13[[#This Row],[BMI]]&lt;=29.9,"Overweight",IF(Table13[[#This Row],[BMI]]&lt;=39,"Obese","Severly Obese"))))</f>
        <v>Underweight</v>
      </c>
      <c r="W1594" s="18"/>
    </row>
    <row r="1595" spans="6:23" x14ac:dyDescent="0.3">
      <c r="F1595" s="17">
        <v>31</v>
      </c>
      <c r="G1595" s="8" t="str">
        <f>IF(Table13[[#This Row],[Age]]&lt;25,"18-24",IF(Table13[[#This Row],[Age]]&lt;35,"25-34",IF(Table13[[#This Row],[Age]]&lt;45,"35-44",IF(Table13[[#This Row],[Age]]&lt;55,"45-54","55-64"))))</f>
        <v>25-34</v>
      </c>
      <c r="H1595" s="8" t="s">
        <v>17</v>
      </c>
      <c r="I1595" s="8">
        <v>48.4</v>
      </c>
      <c r="J1595" s="8">
        <v>1.81</v>
      </c>
      <c r="K1595" s="8">
        <v>178</v>
      </c>
      <c r="L1595" s="8">
        <v>120</v>
      </c>
      <c r="M1595" s="8">
        <v>71</v>
      </c>
      <c r="N1595" s="8">
        <v>1.45</v>
      </c>
      <c r="O1595" s="8">
        <v>1004</v>
      </c>
      <c r="P1595" s="8" t="s">
        <v>18</v>
      </c>
      <c r="Q1595" s="8" t="str">
        <f>_xlfn.IFS(AND(Table13[[#This Row],[Gender]]="female",R1595&lt;20),"Athletes",AND(Table13[[#This Row],[Gender]]="female",R1595&lt;24),"Fitnesss",AND(Table13[[#This Row],[Gender]]="female",R1595&lt;31),"Acceptable",AND(Table13[[#This Row],[Gender]]="female",R1595&lt;40),"Obese",AND(Table13[[#This Row],[Gender]]="male",R1595&lt;13),"Athletes",AND(Table13[[#This Row],[Gender]]="male",R1595&lt;17),"Fitnesss",AND(Table13[[#This Row],[Gender]]="male",R1595&lt;24.9),"Acceptable",AND(Table13[[#This Row],[Gender]]="male",R1595&lt;40),"Obese",AND(Table13[[#This Row],[Gender]]="others",R1595&lt;20),"Athletes",AND(Table13[[#This Row],[Gender]]="others",R1595&lt;24),"Fitnesss",AND(Table13[[#This Row],[Gender]]="others",R1595&lt;31),"Acceptable",AND(Table13[[#This Row],[Gender]]="others",R1595&lt;40),"Obese")</f>
        <v>Fitnesss</v>
      </c>
      <c r="R1595" s="8">
        <v>23.1</v>
      </c>
      <c r="S1595" s="8">
        <v>1.5</v>
      </c>
      <c r="T1595" s="8">
        <v>3</v>
      </c>
      <c r="U1595" s="8">
        <v>1</v>
      </c>
      <c r="V1595" s="8" t="str">
        <f>IF(Table13[[#This Row],[BMI]]&lt;=18.5,"Underweight",IF(Table13[[#This Row],[BMI]]&lt;=24.9,"Normal",IF(Table13[[#This Row],[BMI]]&lt;=29.9,"Overweight",IF(Table13[[#This Row],[BMI]]&lt;=39,"Obese","Severly Obese"))))</f>
        <v>Obese</v>
      </c>
      <c r="W1595" s="18">
        <v>31.33</v>
      </c>
    </row>
    <row r="1596" spans="6:23" x14ac:dyDescent="0.3">
      <c r="F1596" s="17">
        <v>28</v>
      </c>
      <c r="G1596" s="8" t="str">
        <f>IF(Table13[[#This Row],[Age]]&lt;25,"18-24",IF(Table13[[#This Row],[Age]]&lt;35,"25-34",IF(Table13[[#This Row],[Age]]&lt;45,"35-44",IF(Table13[[#This Row],[Age]]&lt;55,"45-54","55-64"))))</f>
        <v>25-34</v>
      </c>
      <c r="H1596" s="8" t="s">
        <v>17</v>
      </c>
      <c r="I1596" s="8">
        <v>77.8</v>
      </c>
      <c r="J1596" s="8">
        <v>1.62</v>
      </c>
      <c r="K1596" s="8">
        <v>164</v>
      </c>
      <c r="L1596" s="8">
        <v>161</v>
      </c>
      <c r="M1596" s="8">
        <v>70</v>
      </c>
      <c r="N1596" s="8">
        <v>1.52</v>
      </c>
      <c r="O1596" s="8">
        <v>1095</v>
      </c>
      <c r="P1596" s="8" t="s">
        <v>18</v>
      </c>
      <c r="Q1596" s="8" t="str">
        <f>_xlfn.IFS(AND(Table13[[#This Row],[Gender]]="female",R1596&lt;20),"Athletes",AND(Table13[[#This Row],[Gender]]="female",R1596&lt;24),"Fitnesss",AND(Table13[[#This Row],[Gender]]="female",R1596&lt;31),"Acceptable",AND(Table13[[#This Row],[Gender]]="female",R1596&lt;40),"Obese",AND(Table13[[#This Row],[Gender]]="male",R1596&lt;13),"Athletes",AND(Table13[[#This Row],[Gender]]="male",R1596&lt;17),"Fitnesss",AND(Table13[[#This Row],[Gender]]="male",R1596&lt;24.9),"Acceptable",AND(Table13[[#This Row],[Gender]]="male",R1596&lt;40),"Obese",AND(Table13[[#This Row],[Gender]]="others",R1596&lt;20),"Athletes",AND(Table13[[#This Row],[Gender]]="others",R1596&lt;24),"Fitnesss",AND(Table13[[#This Row],[Gender]]="others",R1596&lt;31),"Acceptable",AND(Table13[[#This Row],[Gender]]="others",R1596&lt;40),"Obese")</f>
        <v>Fitnesss</v>
      </c>
      <c r="R1596" s="8">
        <v>23.1</v>
      </c>
      <c r="S1596" s="8">
        <v>3.5</v>
      </c>
      <c r="T1596" s="8">
        <v>5</v>
      </c>
      <c r="U1596" s="8">
        <v>2</v>
      </c>
      <c r="V1596" s="8" t="str">
        <f>IF(Table13[[#This Row],[BMI]]&lt;=18.5,"Underweight",IF(Table13[[#This Row],[BMI]]&lt;=24.9,"Normal",IF(Table13[[#This Row],[BMI]]&lt;=29.9,"Overweight",IF(Table13[[#This Row],[BMI]]&lt;=39,"Obese","Severly Obese"))))</f>
        <v>Normal</v>
      </c>
      <c r="W1596" s="18">
        <v>21.22</v>
      </c>
    </row>
    <row r="1597" spans="6:23" x14ac:dyDescent="0.3">
      <c r="F1597" s="17">
        <v>48</v>
      </c>
      <c r="G1597" s="8" t="str">
        <f>IF(Table13[[#This Row],[Age]]&lt;25,"18-24",IF(Table13[[#This Row],[Age]]&lt;35,"25-34",IF(Table13[[#This Row],[Age]]&lt;45,"35-44",IF(Table13[[#This Row],[Age]]&lt;55,"45-54","55-64"))))</f>
        <v>45-54</v>
      </c>
      <c r="H1597" s="8" t="s">
        <v>19</v>
      </c>
      <c r="I1597" s="8">
        <v>119.9</v>
      </c>
      <c r="J1597" s="8">
        <v>1.73</v>
      </c>
      <c r="K1597" s="8">
        <v>165</v>
      </c>
      <c r="L1597" s="8">
        <v>156</v>
      </c>
      <c r="M1597" s="8">
        <v>66</v>
      </c>
      <c r="N1597" s="8">
        <v>0.99</v>
      </c>
      <c r="O1597" s="8">
        <v>781</v>
      </c>
      <c r="P1597" s="8" t="s">
        <v>20</v>
      </c>
      <c r="Q1597" s="8" t="str">
        <f>_xlfn.IFS(AND(Table13[[#This Row],[Gender]]="female",R1597&lt;20),"Athletes",AND(Table13[[#This Row],[Gender]]="female",R1597&lt;24),"Fitnesss",AND(Table13[[#This Row],[Gender]]="female",R1597&lt;31),"Acceptable",AND(Table13[[#This Row],[Gender]]="female",R1597&lt;40),"Obese",AND(Table13[[#This Row],[Gender]]="male",R1597&lt;13),"Athletes",AND(Table13[[#This Row],[Gender]]="male",R1597&lt;17),"Fitnesss",AND(Table13[[#This Row],[Gender]]="male",R1597&lt;24.9),"Acceptable",AND(Table13[[#This Row],[Gender]]="male",R1597&lt;40),"Obese",AND(Table13[[#This Row],[Gender]]="others",R1597&lt;20),"Athletes",AND(Table13[[#This Row],[Gender]]="others",R1597&lt;24),"Fitnesss",AND(Table13[[#This Row],[Gender]]="others",R1597&lt;31),"Acceptable",AND(Table13[[#This Row],[Gender]]="others",R1597&lt;40),"Obese")</f>
        <v>Acceptable</v>
      </c>
      <c r="R1597" s="8">
        <v>18.5</v>
      </c>
      <c r="S1597" s="8">
        <v>3.6</v>
      </c>
      <c r="T1597" s="8">
        <v>3</v>
      </c>
      <c r="U1597" s="8">
        <v>1</v>
      </c>
      <c r="V1597" s="8" t="str">
        <f>IF(Table13[[#This Row],[BMI]]&lt;=18.5,"Underweight",IF(Table13[[#This Row],[BMI]]&lt;=24.9,"Normal",IF(Table13[[#This Row],[BMI]]&lt;=29.9,"Overweight",IF(Table13[[#This Row],[BMI]]&lt;=39,"Obese","Severly Obese"))))</f>
        <v>Underweight</v>
      </c>
      <c r="W1597" s="18">
        <v>18.18</v>
      </c>
    </row>
    <row r="1598" spans="6:23" x14ac:dyDescent="0.3">
      <c r="F1598" s="17">
        <v>44</v>
      </c>
      <c r="G1598" s="8" t="str">
        <f>IF(Table13[[#This Row],[Age]]&lt;25,"18-24",IF(Table13[[#This Row],[Age]]&lt;35,"25-34",IF(Table13[[#This Row],[Age]]&lt;45,"35-44",IF(Table13[[#This Row],[Age]]&lt;55,"45-54","55-64"))))</f>
        <v>35-44</v>
      </c>
      <c r="H1598" s="8" t="s">
        <v>23</v>
      </c>
      <c r="I1598" s="8">
        <v>64.5</v>
      </c>
      <c r="J1598" s="8">
        <v>1.5</v>
      </c>
      <c r="K1598" s="8">
        <v>173</v>
      </c>
      <c r="L1598" s="8">
        <v>166</v>
      </c>
      <c r="M1598" s="8">
        <v>50</v>
      </c>
      <c r="N1598" s="8">
        <v>0.54</v>
      </c>
      <c r="O1598" s="8">
        <v>874</v>
      </c>
      <c r="P1598" s="8" t="s">
        <v>22</v>
      </c>
      <c r="Q1598" s="8" t="str">
        <f>_xlfn.IFS(AND(Table13[[#This Row],[Gender]]="female",R1598&lt;20),"Athletes",AND(Table13[[#This Row],[Gender]]="female",R1598&lt;24),"Fitnesss",AND(Table13[[#This Row],[Gender]]="female",R1598&lt;31),"Acceptable",AND(Table13[[#This Row],[Gender]]="female",R1598&lt;40),"Obese",AND(Table13[[#This Row],[Gender]]="male",R1598&lt;13),"Athletes",AND(Table13[[#This Row],[Gender]]="male",R1598&lt;17),"Fitnesss",AND(Table13[[#This Row],[Gender]]="male",R1598&lt;24.9),"Acceptable",AND(Table13[[#This Row],[Gender]]="male",R1598&lt;40),"Obese",AND(Table13[[#This Row],[Gender]]="others",R1598&lt;20),"Athletes",AND(Table13[[#This Row],[Gender]]="others",R1598&lt;24),"Fitnesss",AND(Table13[[#This Row],[Gender]]="others",R1598&lt;31),"Acceptable",AND(Table13[[#This Row],[Gender]]="others",R1598&lt;40),"Obese")</f>
        <v>Acceptable</v>
      </c>
      <c r="R1598" s="8">
        <v>25.2</v>
      </c>
      <c r="S1598" s="8">
        <v>1.9</v>
      </c>
      <c r="T1598" s="8">
        <v>3</v>
      </c>
      <c r="U1598" s="8">
        <v>2</v>
      </c>
      <c r="V1598" s="8" t="str">
        <f>IF(Table13[[#This Row],[BMI]]&lt;=18.5,"Underweight",IF(Table13[[#This Row],[BMI]]&lt;=24.9,"Normal",IF(Table13[[#This Row],[BMI]]&lt;=29.9,"Overweight",IF(Table13[[#This Row],[BMI]]&lt;=39,"Obese","Severly Obese"))))</f>
        <v>Underweight</v>
      </c>
      <c r="W1598" s="18">
        <v>12.32</v>
      </c>
    </row>
    <row r="1599" spans="6:23" x14ac:dyDescent="0.3">
      <c r="F1599" s="17">
        <v>39</v>
      </c>
      <c r="G1599" s="8" t="str">
        <f>IF(Table13[[#This Row],[Age]]&lt;25,"18-24",IF(Table13[[#This Row],[Age]]&lt;35,"25-34",IF(Table13[[#This Row],[Age]]&lt;45,"35-44",IF(Table13[[#This Row],[Age]]&lt;55,"45-54","55-64"))))</f>
        <v>35-44</v>
      </c>
      <c r="H1599" s="8" t="s">
        <v>17</v>
      </c>
      <c r="I1599" s="8">
        <v>84</v>
      </c>
      <c r="J1599" s="8">
        <v>1.79</v>
      </c>
      <c r="K1599" s="8">
        <v>176</v>
      </c>
      <c r="L1599" s="8">
        <v>126</v>
      </c>
      <c r="M1599" s="8">
        <v>72</v>
      </c>
      <c r="N1599" s="8">
        <v>1.5</v>
      </c>
      <c r="O1599" s="8">
        <v>1057</v>
      </c>
      <c r="P1599" s="8" t="s">
        <v>21</v>
      </c>
      <c r="Q1599" s="8" t="str">
        <f>_xlfn.IFS(AND(Table13[[#This Row],[Gender]]="female",R1599&lt;20),"Athletes",AND(Table13[[#This Row],[Gender]]="female",R1599&lt;24),"Fitnesss",AND(Table13[[#This Row],[Gender]]="female",R1599&lt;31),"Acceptable",AND(Table13[[#This Row],[Gender]]="female",R1599&lt;40),"Obese",AND(Table13[[#This Row],[Gender]]="male",R1599&lt;13),"Athletes",AND(Table13[[#This Row],[Gender]]="male",R1599&lt;17),"Fitnesss",AND(Table13[[#This Row],[Gender]]="male",R1599&lt;24.9),"Acceptable",AND(Table13[[#This Row],[Gender]]="male",R1599&lt;40),"Obese",AND(Table13[[#This Row],[Gender]]="others",R1599&lt;20),"Athletes",AND(Table13[[#This Row],[Gender]]="others",R1599&lt;24),"Fitnesss",AND(Table13[[#This Row],[Gender]]="others",R1599&lt;31),"Acceptable",AND(Table13[[#This Row],[Gender]]="others",R1599&lt;40),"Obese")</f>
        <v>Acceptable</v>
      </c>
      <c r="R1599" s="8">
        <v>28</v>
      </c>
      <c r="S1599" s="8">
        <v>3.3</v>
      </c>
      <c r="T1599" s="8">
        <v>3</v>
      </c>
      <c r="U1599" s="8">
        <v>1</v>
      </c>
      <c r="V1599" s="8" t="str">
        <f>IF(Table13[[#This Row],[BMI]]&lt;=18.5,"Underweight",IF(Table13[[#This Row],[BMI]]&lt;=24.9,"Normal",IF(Table13[[#This Row],[BMI]]&lt;=29.9,"Overweight",IF(Table13[[#This Row],[BMI]]&lt;=39,"Obese","Severly Obese"))))</f>
        <v>Obese</v>
      </c>
      <c r="W1599" s="18">
        <v>30.44</v>
      </c>
    </row>
    <row r="1600" spans="6:23" x14ac:dyDescent="0.3">
      <c r="F1600" s="17">
        <v>34</v>
      </c>
      <c r="G1600" s="8" t="str">
        <f>IF(Table13[[#This Row],[Age]]&lt;25,"18-24",IF(Table13[[#This Row],[Age]]&lt;35,"25-34",IF(Table13[[#This Row],[Age]]&lt;45,"35-44",IF(Table13[[#This Row],[Age]]&lt;55,"45-54","55-64"))))</f>
        <v>25-34</v>
      </c>
      <c r="H1600" s="8" t="s">
        <v>19</v>
      </c>
      <c r="I1600" s="8">
        <v>80.7</v>
      </c>
      <c r="J1600" s="8">
        <v>1.8</v>
      </c>
      <c r="K1600" s="8">
        <v>193</v>
      </c>
      <c r="L1600" s="8">
        <v>153</v>
      </c>
      <c r="M1600" s="8">
        <v>57</v>
      </c>
      <c r="N1600" s="8">
        <v>1.18</v>
      </c>
      <c r="O1600" s="8">
        <v>930</v>
      </c>
      <c r="P1600" s="8" t="s">
        <v>22</v>
      </c>
      <c r="Q1600" s="8" t="str">
        <f>_xlfn.IFS(AND(Table13[[#This Row],[Gender]]="female",R1600&lt;20),"Athletes",AND(Table13[[#This Row],[Gender]]="female",R1600&lt;24),"Fitnesss",AND(Table13[[#This Row],[Gender]]="female",R1600&lt;31),"Acceptable",AND(Table13[[#This Row],[Gender]]="female",R1600&lt;40),"Obese",AND(Table13[[#This Row],[Gender]]="male",R1600&lt;13),"Athletes",AND(Table13[[#This Row],[Gender]]="male",R1600&lt;17),"Fitnesss",AND(Table13[[#This Row],[Gender]]="male",R1600&lt;24.9),"Acceptable",AND(Table13[[#This Row],[Gender]]="male",R1600&lt;40),"Obese",AND(Table13[[#This Row],[Gender]]="others",R1600&lt;20),"Athletes",AND(Table13[[#This Row],[Gender]]="others",R1600&lt;24),"Fitnesss",AND(Table13[[#This Row],[Gender]]="others",R1600&lt;31),"Acceptable",AND(Table13[[#This Row],[Gender]]="others",R1600&lt;40),"Obese")</f>
        <v>Obese</v>
      </c>
      <c r="R1600" s="8">
        <v>27.2</v>
      </c>
      <c r="S1600" s="8">
        <v>2.2999999999999998</v>
      </c>
      <c r="T1600" s="8">
        <v>3</v>
      </c>
      <c r="U1600" s="8">
        <v>1</v>
      </c>
      <c r="V1600" s="8" t="str">
        <f>IF(Table13[[#This Row],[BMI]]&lt;=18.5,"Underweight",IF(Table13[[#This Row],[BMI]]&lt;=24.9,"Normal",IF(Table13[[#This Row],[BMI]]&lt;=29.9,"Overweight",IF(Table13[[#This Row],[BMI]]&lt;=39,"Obese","Severly Obese"))))</f>
        <v>Underweight</v>
      </c>
      <c r="W1600" s="18">
        <v>13.63</v>
      </c>
    </row>
    <row r="1601" spans="6:23" x14ac:dyDescent="0.3">
      <c r="F1601" s="17">
        <v>24</v>
      </c>
      <c r="G1601" s="8" t="str">
        <f>IF(Table13[[#This Row],[Age]]&lt;25,"18-24",IF(Table13[[#This Row],[Age]]&lt;35,"25-34",IF(Table13[[#This Row],[Age]]&lt;45,"35-44",IF(Table13[[#This Row],[Age]]&lt;55,"45-54","55-64"))))</f>
        <v>18-24</v>
      </c>
      <c r="H1601" s="8" t="s">
        <v>17</v>
      </c>
      <c r="I1601" s="8">
        <v>102.6</v>
      </c>
      <c r="J1601" s="8">
        <v>1.67</v>
      </c>
      <c r="K1601" s="8">
        <v>190</v>
      </c>
      <c r="L1601" s="8">
        <v>132</v>
      </c>
      <c r="M1601" s="8">
        <v>73</v>
      </c>
      <c r="N1601" s="8">
        <v>1.41</v>
      </c>
      <c r="O1601" s="8">
        <v>800</v>
      </c>
      <c r="P1601" s="8" t="s">
        <v>22</v>
      </c>
      <c r="Q1601" s="8" t="str">
        <f>_xlfn.IFS(AND(Table13[[#This Row],[Gender]]="female",R1601&lt;20),"Athletes",AND(Table13[[#This Row],[Gender]]="female",R1601&lt;24),"Fitnesss",AND(Table13[[#This Row],[Gender]]="female",R1601&lt;31),"Acceptable",AND(Table13[[#This Row],[Gender]]="female",R1601&lt;40),"Obese",AND(Table13[[#This Row],[Gender]]="male",R1601&lt;13),"Athletes",AND(Table13[[#This Row],[Gender]]="male",R1601&lt;17),"Fitnesss",AND(Table13[[#This Row],[Gender]]="male",R1601&lt;24.9),"Acceptable",AND(Table13[[#This Row],[Gender]]="male",R1601&lt;40),"Obese",AND(Table13[[#This Row],[Gender]]="others",R1601&lt;20),"Athletes",AND(Table13[[#This Row],[Gender]]="others",R1601&lt;24),"Fitnesss",AND(Table13[[#This Row],[Gender]]="others",R1601&lt;31),"Acceptable",AND(Table13[[#This Row],[Gender]]="others",R1601&lt;40),"Obese")</f>
        <v>Acceptable</v>
      </c>
      <c r="R1601" s="8">
        <v>28.3</v>
      </c>
      <c r="S1601" s="8">
        <v>1.5</v>
      </c>
      <c r="T1601" s="8">
        <v>3</v>
      </c>
      <c r="U1601" s="8">
        <v>2</v>
      </c>
      <c r="V1601" s="8" t="str">
        <f>IF(Table13[[#This Row],[BMI]]&lt;=18.5,"Underweight",IF(Table13[[#This Row],[BMI]]&lt;=24.9,"Normal",IF(Table13[[#This Row],[BMI]]&lt;=29.9,"Overweight",IF(Table13[[#This Row],[BMI]]&lt;=39,"Obese","Severly Obese"))))</f>
        <v>Normal</v>
      </c>
      <c r="W1601" s="18">
        <v>18.79</v>
      </c>
    </row>
    <row r="1602" spans="6:23" x14ac:dyDescent="0.3">
      <c r="F1602" s="17">
        <v>51</v>
      </c>
      <c r="G1602" s="8" t="str">
        <f>IF(Table13[[#This Row],[Age]]&lt;25,"18-24",IF(Table13[[#This Row],[Age]]&lt;35,"25-34",IF(Table13[[#This Row],[Age]]&lt;45,"35-44",IF(Table13[[#This Row],[Age]]&lt;55,"45-54","55-64"))))</f>
        <v>45-54</v>
      </c>
      <c r="H1602" s="8" t="s">
        <v>17</v>
      </c>
      <c r="I1602" s="8">
        <v>80.400000000000006</v>
      </c>
      <c r="J1602" s="8">
        <v>1.64</v>
      </c>
      <c r="K1602" s="8">
        <v>181</v>
      </c>
      <c r="L1602" s="8"/>
      <c r="M1602" s="8">
        <v>74</v>
      </c>
      <c r="N1602" s="8">
        <v>1.07</v>
      </c>
      <c r="O1602" s="8">
        <v>913</v>
      </c>
      <c r="P1602" s="8" t="s">
        <v>20</v>
      </c>
      <c r="Q1602" s="8" t="str">
        <f>_xlfn.IFS(AND(Table13[[#This Row],[Gender]]="female",R1602&lt;20),"Athletes",AND(Table13[[#This Row],[Gender]]="female",R1602&lt;24),"Fitnesss",AND(Table13[[#This Row],[Gender]]="female",R1602&lt;31),"Acceptable",AND(Table13[[#This Row],[Gender]]="female",R1602&lt;40),"Obese",AND(Table13[[#This Row],[Gender]]="male",R1602&lt;13),"Athletes",AND(Table13[[#This Row],[Gender]]="male",R1602&lt;17),"Fitnesss",AND(Table13[[#This Row],[Gender]]="male",R1602&lt;24.9),"Acceptable",AND(Table13[[#This Row],[Gender]]="male",R1602&lt;40),"Obese",AND(Table13[[#This Row],[Gender]]="others",R1602&lt;20),"Athletes",AND(Table13[[#This Row],[Gender]]="others",R1602&lt;24),"Fitnesss",AND(Table13[[#This Row],[Gender]]="others",R1602&lt;31),"Acceptable",AND(Table13[[#This Row],[Gender]]="others",R1602&lt;40),"Obese")</f>
        <v>Acceptable</v>
      </c>
      <c r="R1602" s="8">
        <v>26.4</v>
      </c>
      <c r="S1602" s="8">
        <v>1.5</v>
      </c>
      <c r="T1602" s="8">
        <v>5</v>
      </c>
      <c r="U1602" s="8">
        <v>3</v>
      </c>
      <c r="V1602" s="8" t="str">
        <f>IF(Table13[[#This Row],[BMI]]&lt;=18.5,"Underweight",IF(Table13[[#This Row],[BMI]]&lt;=24.9,"Normal",IF(Table13[[#This Row],[BMI]]&lt;=29.9,"Overweight",IF(Table13[[#This Row],[BMI]]&lt;=39,"Obese","Severly Obese"))))</f>
        <v>Underweight</v>
      </c>
      <c r="W1602" s="18">
        <v>12.32</v>
      </c>
    </row>
    <row r="1603" spans="6:23" x14ac:dyDescent="0.3">
      <c r="F1603" s="17">
        <v>42</v>
      </c>
      <c r="G1603" s="8" t="str">
        <f>IF(Table13[[#This Row],[Age]]&lt;25,"18-24",IF(Table13[[#This Row],[Age]]&lt;35,"25-34",IF(Table13[[#This Row],[Age]]&lt;45,"35-44",IF(Table13[[#This Row],[Age]]&lt;55,"45-54","55-64"))))</f>
        <v>35-44</v>
      </c>
      <c r="H1603" s="8" t="s">
        <v>17</v>
      </c>
      <c r="I1603" s="8">
        <v>57.1</v>
      </c>
      <c r="J1603" s="8">
        <v>1.84</v>
      </c>
      <c r="K1603" s="8">
        <v>199</v>
      </c>
      <c r="L1603" s="8">
        <v>163</v>
      </c>
      <c r="M1603" s="8">
        <v>74</v>
      </c>
      <c r="N1603" s="8">
        <v>1.2</v>
      </c>
      <c r="O1603" s="8">
        <v>303</v>
      </c>
      <c r="P1603" s="8" t="s">
        <v>18</v>
      </c>
      <c r="Q1603" s="8" t="str">
        <f>_xlfn.IFS(AND(Table13[[#This Row],[Gender]]="female",R1603&lt;20),"Athletes",AND(Table13[[#This Row],[Gender]]="female",R1603&lt;24),"Fitnesss",AND(Table13[[#This Row],[Gender]]="female",R1603&lt;31),"Acceptable",AND(Table13[[#This Row],[Gender]]="female",R1603&lt;40),"Obese",AND(Table13[[#This Row],[Gender]]="male",R1603&lt;13),"Athletes",AND(Table13[[#This Row],[Gender]]="male",R1603&lt;17),"Fitnesss",AND(Table13[[#This Row],[Gender]]="male",R1603&lt;24.9),"Acceptable",AND(Table13[[#This Row],[Gender]]="male",R1603&lt;40),"Obese",AND(Table13[[#This Row],[Gender]]="others",R1603&lt;20),"Athletes",AND(Table13[[#This Row],[Gender]]="others",R1603&lt;24),"Fitnesss",AND(Table13[[#This Row],[Gender]]="others",R1603&lt;31),"Acceptable",AND(Table13[[#This Row],[Gender]]="others",R1603&lt;40),"Obese")</f>
        <v>Fitnesss</v>
      </c>
      <c r="R1603" s="8">
        <v>21.3</v>
      </c>
      <c r="S1603" s="8">
        <v>2.7</v>
      </c>
      <c r="T1603" s="8">
        <v>3</v>
      </c>
      <c r="U1603" s="8">
        <v>1</v>
      </c>
      <c r="V1603" s="8" t="str">
        <f>IF(Table13[[#This Row],[BMI]]&lt;=18.5,"Underweight",IF(Table13[[#This Row],[BMI]]&lt;=24.9,"Normal",IF(Table13[[#This Row],[BMI]]&lt;=29.9,"Overweight",IF(Table13[[#This Row],[BMI]]&lt;=39,"Obese","Severly Obese"))))</f>
        <v>Underweight</v>
      </c>
      <c r="W1603" s="18">
        <v>14.84</v>
      </c>
    </row>
    <row r="1604" spans="6:23" x14ac:dyDescent="0.3">
      <c r="F1604" s="17">
        <v>23</v>
      </c>
      <c r="G1604" s="8" t="str">
        <f>IF(Table13[[#This Row],[Age]]&lt;25,"18-24",IF(Table13[[#This Row],[Age]]&lt;35,"25-34",IF(Table13[[#This Row],[Age]]&lt;45,"35-44",IF(Table13[[#This Row],[Age]]&lt;55,"45-54","55-64"))))</f>
        <v>18-24</v>
      </c>
      <c r="H1604" s="8" t="s">
        <v>17</v>
      </c>
      <c r="I1604" s="8">
        <v>60.5</v>
      </c>
      <c r="J1604" s="8">
        <v>1.88</v>
      </c>
      <c r="K1604" s="8">
        <v>166</v>
      </c>
      <c r="L1604" s="8">
        <v>149</v>
      </c>
      <c r="M1604" s="8">
        <v>63</v>
      </c>
      <c r="N1604" s="8"/>
      <c r="O1604" s="8">
        <v>907</v>
      </c>
      <c r="P1604" s="8" t="s">
        <v>22</v>
      </c>
      <c r="Q1604" s="8" t="str">
        <f>_xlfn.IFS(AND(Table13[[#This Row],[Gender]]="female",R1604&lt;20),"Athletes",AND(Table13[[#This Row],[Gender]]="female",R1604&lt;24),"Fitnesss",AND(Table13[[#This Row],[Gender]]="female",R1604&lt;31),"Acceptable",AND(Table13[[#This Row],[Gender]]="female",R1604&lt;40),"Obese",AND(Table13[[#This Row],[Gender]]="male",R1604&lt;13),"Athletes",AND(Table13[[#This Row],[Gender]]="male",R1604&lt;17),"Fitnesss",AND(Table13[[#This Row],[Gender]]="male",R1604&lt;24.9),"Acceptable",AND(Table13[[#This Row],[Gender]]="male",R1604&lt;40),"Obese",AND(Table13[[#This Row],[Gender]]="others",R1604&lt;20),"Athletes",AND(Table13[[#This Row],[Gender]]="others",R1604&lt;24),"Fitnesss",AND(Table13[[#This Row],[Gender]]="others",R1604&lt;31),"Acceptable",AND(Table13[[#This Row],[Gender]]="others",R1604&lt;40),"Obese")</f>
        <v>Fitnesss</v>
      </c>
      <c r="R1604" s="8">
        <v>23.5</v>
      </c>
      <c r="S1604" s="8">
        <v>3.1</v>
      </c>
      <c r="T1604" s="8">
        <v>4</v>
      </c>
      <c r="U1604" s="8">
        <v>1</v>
      </c>
      <c r="V1604" s="8" t="str">
        <f>IF(Table13[[#This Row],[BMI]]&lt;=18.5,"Underweight",IF(Table13[[#This Row],[BMI]]&lt;=24.9,"Normal",IF(Table13[[#This Row],[BMI]]&lt;=29.9,"Overweight",IF(Table13[[#This Row],[BMI]]&lt;=39,"Obese","Severly Obese"))))</f>
        <v>Underweight</v>
      </c>
      <c r="W1604" s="18">
        <v>15.38</v>
      </c>
    </row>
    <row r="1605" spans="6:23" x14ac:dyDescent="0.3">
      <c r="F1605" s="17">
        <v>18</v>
      </c>
      <c r="G1605" s="8" t="str">
        <f>IF(Table13[[#This Row],[Age]]&lt;25,"18-24",IF(Table13[[#This Row],[Age]]&lt;35,"25-34",IF(Table13[[#This Row],[Age]]&lt;45,"35-44",IF(Table13[[#This Row],[Age]]&lt;55,"45-54","55-64"))))</f>
        <v>18-24</v>
      </c>
      <c r="H1605" s="8" t="s">
        <v>17</v>
      </c>
      <c r="I1605" s="8">
        <v>98.5</v>
      </c>
      <c r="J1605" s="8">
        <v>1.99</v>
      </c>
      <c r="K1605" s="8">
        <v>187</v>
      </c>
      <c r="L1605" s="8">
        <v>153</v>
      </c>
      <c r="M1605" s="8">
        <v>57</v>
      </c>
      <c r="N1605" s="8">
        <v>1.95</v>
      </c>
      <c r="O1605" s="8">
        <v>859</v>
      </c>
      <c r="P1605" s="8" t="s">
        <v>22</v>
      </c>
      <c r="Q1605" s="8" t="str">
        <f>_xlfn.IFS(AND(Table13[[#This Row],[Gender]]="female",R1605&lt;20),"Athletes",AND(Table13[[#This Row],[Gender]]="female",R1605&lt;24),"Fitnesss",AND(Table13[[#This Row],[Gender]]="female",R1605&lt;31),"Acceptable",AND(Table13[[#This Row],[Gender]]="female",R1605&lt;40),"Obese",AND(Table13[[#This Row],[Gender]]="male",R1605&lt;13),"Athletes",AND(Table13[[#This Row],[Gender]]="male",R1605&lt;17),"Fitnesss",AND(Table13[[#This Row],[Gender]]="male",R1605&lt;24.9),"Acceptable",AND(Table13[[#This Row],[Gender]]="male",R1605&lt;40),"Obese",AND(Table13[[#This Row],[Gender]]="others",R1605&lt;20),"Athletes",AND(Table13[[#This Row],[Gender]]="others",R1605&lt;24),"Fitnesss",AND(Table13[[#This Row],[Gender]]="others",R1605&lt;31),"Acceptable",AND(Table13[[#This Row],[Gender]]="others",R1605&lt;40),"Obese")</f>
        <v>Fitnesss</v>
      </c>
      <c r="R1605" s="8">
        <v>22.7</v>
      </c>
      <c r="S1605" s="8">
        <v>1.9</v>
      </c>
      <c r="T1605" s="8">
        <v>3</v>
      </c>
      <c r="U1605" s="8">
        <v>2</v>
      </c>
      <c r="V1605" s="8" t="str">
        <f>IF(Table13[[#This Row],[BMI]]&lt;=18.5,"Underweight",IF(Table13[[#This Row],[BMI]]&lt;=24.9,"Normal",IF(Table13[[#This Row],[BMI]]&lt;=29.9,"Overweight",IF(Table13[[#This Row],[BMI]]&lt;=39,"Obese","Severly Obese"))))</f>
        <v>Underweight</v>
      </c>
      <c r="W1605" s="18">
        <v>15.7</v>
      </c>
    </row>
    <row r="1606" spans="6:23" x14ac:dyDescent="0.3">
      <c r="F1606" s="17">
        <v>23</v>
      </c>
      <c r="G1606" s="8" t="str">
        <f>IF(Table13[[#This Row],[Age]]&lt;25,"18-24",IF(Table13[[#This Row],[Age]]&lt;35,"25-34",IF(Table13[[#This Row],[Age]]&lt;45,"35-44",IF(Table13[[#This Row],[Age]]&lt;55,"45-54","55-64"))))</f>
        <v>18-24</v>
      </c>
      <c r="H1606" s="8" t="s">
        <v>17</v>
      </c>
      <c r="I1606" s="8">
        <v>68</v>
      </c>
      <c r="J1606" s="8">
        <v>1.74</v>
      </c>
      <c r="K1606" s="8">
        <v>175</v>
      </c>
      <c r="L1606" s="8">
        <v>120</v>
      </c>
      <c r="M1606" s="8">
        <v>68</v>
      </c>
      <c r="N1606" s="8">
        <v>1.01</v>
      </c>
      <c r="O1606" s="8">
        <v>694</v>
      </c>
      <c r="P1606" s="8" t="s">
        <v>21</v>
      </c>
      <c r="Q1606" s="8" t="str">
        <f>_xlfn.IFS(AND(Table13[[#This Row],[Gender]]="female",R1606&lt;20),"Athletes",AND(Table13[[#This Row],[Gender]]="female",R1606&lt;24),"Fitnesss",AND(Table13[[#This Row],[Gender]]="female",R1606&lt;31),"Acceptable",AND(Table13[[#This Row],[Gender]]="female",R1606&lt;40),"Obese",AND(Table13[[#This Row],[Gender]]="male",R1606&lt;13),"Athletes",AND(Table13[[#This Row],[Gender]]="male",R1606&lt;17),"Fitnesss",AND(Table13[[#This Row],[Gender]]="male",R1606&lt;24.9),"Acceptable",AND(Table13[[#This Row],[Gender]]="male",R1606&lt;40),"Obese",AND(Table13[[#This Row],[Gender]]="others",R1606&lt;20),"Athletes",AND(Table13[[#This Row],[Gender]]="others",R1606&lt;24),"Fitnesss",AND(Table13[[#This Row],[Gender]]="others",R1606&lt;31),"Acceptable",AND(Table13[[#This Row],[Gender]]="others",R1606&lt;40),"Obese")</f>
        <v>Acceptable</v>
      </c>
      <c r="R1606" s="8">
        <v>24.5</v>
      </c>
      <c r="S1606" s="8">
        <v>3.5</v>
      </c>
      <c r="T1606" s="8">
        <v>5</v>
      </c>
      <c r="U1606" s="8">
        <v>2</v>
      </c>
      <c r="V1606" s="8" t="str">
        <f>IF(Table13[[#This Row],[BMI]]&lt;=18.5,"Underweight",IF(Table13[[#This Row],[BMI]]&lt;=24.9,"Normal",IF(Table13[[#This Row],[BMI]]&lt;=29.9,"Overweight",IF(Table13[[#This Row],[BMI]]&lt;=39,"Obese","Severly Obese"))))</f>
        <v>Underweight</v>
      </c>
      <c r="W1606" s="18">
        <v>17.47</v>
      </c>
    </row>
    <row r="1607" spans="6:23" x14ac:dyDescent="0.3">
      <c r="F1607" s="17">
        <v>18</v>
      </c>
      <c r="G1607" s="8" t="str">
        <f>IF(Table13[[#This Row],[Age]]&lt;25,"18-24",IF(Table13[[#This Row],[Age]]&lt;35,"25-34",IF(Table13[[#This Row],[Age]]&lt;45,"35-44",IF(Table13[[#This Row],[Age]]&lt;55,"45-54","55-64"))))</f>
        <v>18-24</v>
      </c>
      <c r="H1607" s="8" t="s">
        <v>19</v>
      </c>
      <c r="I1607" s="8">
        <v>40</v>
      </c>
      <c r="J1607" s="8">
        <v>1.82</v>
      </c>
      <c r="K1607" s="8">
        <v>177</v>
      </c>
      <c r="L1607" s="8">
        <v>127</v>
      </c>
      <c r="M1607" s="8">
        <v>74</v>
      </c>
      <c r="N1607" s="8">
        <v>0.73</v>
      </c>
      <c r="O1607" s="8">
        <v>352</v>
      </c>
      <c r="P1607" s="8" t="s">
        <v>22</v>
      </c>
      <c r="Q1607" s="8" t="str">
        <f>_xlfn.IFS(AND(Table13[[#This Row],[Gender]]="female",R1607&lt;20),"Athletes",AND(Table13[[#This Row],[Gender]]="female",R1607&lt;24),"Fitnesss",AND(Table13[[#This Row],[Gender]]="female",R1607&lt;31),"Acceptable",AND(Table13[[#This Row],[Gender]]="female",R1607&lt;40),"Obese",AND(Table13[[#This Row],[Gender]]="male",R1607&lt;13),"Athletes",AND(Table13[[#This Row],[Gender]]="male",R1607&lt;17),"Fitnesss",AND(Table13[[#This Row],[Gender]]="male",R1607&lt;24.9),"Acceptable",AND(Table13[[#This Row],[Gender]]="male",R1607&lt;40),"Obese",AND(Table13[[#This Row],[Gender]]="others",R1607&lt;20),"Athletes",AND(Table13[[#This Row],[Gender]]="others",R1607&lt;24),"Fitnesss",AND(Table13[[#This Row],[Gender]]="others",R1607&lt;31),"Acceptable",AND(Table13[[#This Row],[Gender]]="others",R1607&lt;40),"Obese")</f>
        <v>Obese</v>
      </c>
      <c r="R1607" s="8">
        <v>26</v>
      </c>
      <c r="S1607" s="8">
        <v>3.4</v>
      </c>
      <c r="T1607" s="8">
        <v>3</v>
      </c>
      <c r="U1607" s="8">
        <v>2</v>
      </c>
      <c r="V1607" s="8" t="str">
        <f>IF(Table13[[#This Row],[BMI]]&lt;=18.5,"Underweight",IF(Table13[[#This Row],[BMI]]&lt;=24.9,"Normal",IF(Table13[[#This Row],[BMI]]&lt;=29.9,"Overweight",IF(Table13[[#This Row],[BMI]]&lt;=39,"Obese","Severly Obese"))))</f>
        <v>Overweight</v>
      </c>
      <c r="W1607" s="18">
        <v>28.42</v>
      </c>
    </row>
    <row r="1608" spans="6:23" x14ac:dyDescent="0.3">
      <c r="F1608" s="17">
        <v>50</v>
      </c>
      <c r="G1608" s="8" t="str">
        <f>IF(Table13[[#This Row],[Age]]&lt;25,"18-24",IF(Table13[[#This Row],[Age]]&lt;35,"25-34",IF(Table13[[#This Row],[Age]]&lt;45,"35-44",IF(Table13[[#This Row],[Age]]&lt;55,"45-54","55-64"))))</f>
        <v>45-54</v>
      </c>
      <c r="H1608" s="8" t="s">
        <v>19</v>
      </c>
      <c r="I1608" s="8">
        <v>41.9</v>
      </c>
      <c r="J1608" s="8">
        <v>2</v>
      </c>
      <c r="K1608" s="8">
        <v>199</v>
      </c>
      <c r="L1608" s="8">
        <v>161</v>
      </c>
      <c r="M1608" s="8">
        <v>74</v>
      </c>
      <c r="N1608" s="8">
        <v>1.24</v>
      </c>
      <c r="O1608" s="8">
        <v>953</v>
      </c>
      <c r="P1608" s="8" t="s">
        <v>20</v>
      </c>
      <c r="Q1608" s="8" t="str">
        <f>_xlfn.IFS(AND(Table13[[#This Row],[Gender]]="female",R1608&lt;20),"Athletes",AND(Table13[[#This Row],[Gender]]="female",R1608&lt;24),"Fitnesss",AND(Table13[[#This Row],[Gender]]="female",R1608&lt;31),"Acceptable",AND(Table13[[#This Row],[Gender]]="female",R1608&lt;40),"Obese",AND(Table13[[#This Row],[Gender]]="male",R1608&lt;13),"Athletes",AND(Table13[[#This Row],[Gender]]="male",R1608&lt;17),"Fitnesss",AND(Table13[[#This Row],[Gender]]="male",R1608&lt;24.9),"Acceptable",AND(Table13[[#This Row],[Gender]]="male",R1608&lt;40),"Obese",AND(Table13[[#This Row],[Gender]]="others",R1608&lt;20),"Athletes",AND(Table13[[#This Row],[Gender]]="others",R1608&lt;24),"Fitnesss",AND(Table13[[#This Row],[Gender]]="others",R1608&lt;31),"Acceptable",AND(Table13[[#This Row],[Gender]]="others",R1608&lt;40),"Obese")</f>
        <v>Acceptable</v>
      </c>
      <c r="R1608" s="8">
        <v>24.6</v>
      </c>
      <c r="S1608" s="8">
        <v>3.2</v>
      </c>
      <c r="T1608" s="8">
        <v>3</v>
      </c>
      <c r="U1608" s="8">
        <v>2</v>
      </c>
      <c r="V1608" s="8" t="str">
        <f>IF(Table13[[#This Row],[BMI]]&lt;=18.5,"Underweight",IF(Table13[[#This Row],[BMI]]&lt;=24.9,"Normal",IF(Table13[[#This Row],[BMI]]&lt;=29.9,"Overweight",IF(Table13[[#This Row],[BMI]]&lt;=39,"Obese","Severly Obese"))))</f>
        <v>Underweight</v>
      </c>
      <c r="W1608" s="18">
        <v>16.02</v>
      </c>
    </row>
    <row r="1609" spans="6:23" x14ac:dyDescent="0.3">
      <c r="F1609" s="17">
        <v>18</v>
      </c>
      <c r="G1609" s="8" t="str">
        <f>IF(Table13[[#This Row],[Age]]&lt;25,"18-24",IF(Table13[[#This Row],[Age]]&lt;35,"25-34",IF(Table13[[#This Row],[Age]]&lt;45,"35-44",IF(Table13[[#This Row],[Age]]&lt;55,"45-54","55-64"))))</f>
        <v>18-24</v>
      </c>
      <c r="H1609" s="8" t="s">
        <v>19</v>
      </c>
      <c r="I1609" s="8">
        <v>60.5</v>
      </c>
      <c r="J1609" s="8">
        <v>1.57</v>
      </c>
      <c r="K1609" s="8">
        <v>177</v>
      </c>
      <c r="L1609" s="8">
        <v>131</v>
      </c>
      <c r="M1609" s="8">
        <v>59</v>
      </c>
      <c r="N1609" s="8">
        <v>1.3</v>
      </c>
      <c r="O1609" s="8">
        <v>1286</v>
      </c>
      <c r="P1609" s="8" t="s">
        <v>21</v>
      </c>
      <c r="Q1609" s="8" t="str">
        <f>_xlfn.IFS(AND(Table13[[#This Row],[Gender]]="female",R1609&lt;20),"Athletes",AND(Table13[[#This Row],[Gender]]="female",R1609&lt;24),"Fitnesss",AND(Table13[[#This Row],[Gender]]="female",R1609&lt;31),"Acceptable",AND(Table13[[#This Row],[Gender]]="female",R1609&lt;40),"Obese",AND(Table13[[#This Row],[Gender]]="male",R1609&lt;13),"Athletes",AND(Table13[[#This Row],[Gender]]="male",R1609&lt;17),"Fitnesss",AND(Table13[[#This Row],[Gender]]="male",R1609&lt;24.9),"Acceptable",AND(Table13[[#This Row],[Gender]]="male",R1609&lt;40),"Obese",AND(Table13[[#This Row],[Gender]]="others",R1609&lt;20),"Athletes",AND(Table13[[#This Row],[Gender]]="others",R1609&lt;24),"Fitnesss",AND(Table13[[#This Row],[Gender]]="others",R1609&lt;31),"Acceptable",AND(Table13[[#This Row],[Gender]]="others",R1609&lt;40),"Obese")</f>
        <v>Obese</v>
      </c>
      <c r="R1609" s="8">
        <v>28.1</v>
      </c>
      <c r="S1609" s="8">
        <v>2.6</v>
      </c>
      <c r="T1609" s="8">
        <v>3</v>
      </c>
      <c r="U1609" s="8">
        <v>2</v>
      </c>
      <c r="V1609" s="8" t="str">
        <f>IF(Table13[[#This Row],[BMI]]&lt;=18.5,"Underweight",IF(Table13[[#This Row],[BMI]]&lt;=24.9,"Normal",IF(Table13[[#This Row],[BMI]]&lt;=29.9,"Overweight",IF(Table13[[#This Row],[BMI]]&lt;=39,"Obese","Severly Obese"))))</f>
        <v>Normal</v>
      </c>
      <c r="W1609" s="18">
        <v>19.420000000000002</v>
      </c>
    </row>
    <row r="1610" spans="6:23" x14ac:dyDescent="0.3">
      <c r="F1610" s="17">
        <v>32</v>
      </c>
      <c r="G1610" s="8" t="str">
        <f>IF(Table13[[#This Row],[Age]]&lt;25,"18-24",IF(Table13[[#This Row],[Age]]&lt;35,"25-34",IF(Table13[[#This Row],[Age]]&lt;45,"35-44",IF(Table13[[#This Row],[Age]]&lt;55,"45-54","55-64"))))</f>
        <v>25-34</v>
      </c>
      <c r="H1610" s="8" t="s">
        <v>19</v>
      </c>
      <c r="I1610" s="8">
        <v>40</v>
      </c>
      <c r="J1610" s="8">
        <v>1.61</v>
      </c>
      <c r="K1610" s="8">
        <v>176</v>
      </c>
      <c r="L1610" s="8">
        <v>156</v>
      </c>
      <c r="M1610" s="8">
        <v>59</v>
      </c>
      <c r="N1610" s="8"/>
      <c r="O1610" s="8">
        <v>582</v>
      </c>
      <c r="P1610" s="8" t="s">
        <v>22</v>
      </c>
      <c r="Q1610" s="8" t="str">
        <f>_xlfn.IFS(AND(Table13[[#This Row],[Gender]]="female",R1610&lt;20),"Athletes",AND(Table13[[#This Row],[Gender]]="female",R1610&lt;24),"Fitnesss",AND(Table13[[#This Row],[Gender]]="female",R1610&lt;31),"Acceptable",AND(Table13[[#This Row],[Gender]]="female",R1610&lt;40),"Obese",AND(Table13[[#This Row],[Gender]]="male",R1610&lt;13),"Athletes",AND(Table13[[#This Row],[Gender]]="male",R1610&lt;17),"Fitnesss",AND(Table13[[#This Row],[Gender]]="male",R1610&lt;24.9),"Acceptable",AND(Table13[[#This Row],[Gender]]="male",R1610&lt;40),"Obese",AND(Table13[[#This Row],[Gender]]="others",R1610&lt;20),"Athletes",AND(Table13[[#This Row],[Gender]]="others",R1610&lt;24),"Fitnesss",AND(Table13[[#This Row],[Gender]]="others",R1610&lt;31),"Acceptable",AND(Table13[[#This Row],[Gender]]="others",R1610&lt;40),"Obese")</f>
        <v>Fitnesss</v>
      </c>
      <c r="R1610" s="8">
        <v>15.1</v>
      </c>
      <c r="S1610" s="8">
        <v>3.4</v>
      </c>
      <c r="T1610" s="8">
        <v>4</v>
      </c>
      <c r="U1610" s="8">
        <v>1</v>
      </c>
      <c r="V1610" s="8" t="str">
        <f>IF(Table13[[#This Row],[BMI]]&lt;=18.5,"Underweight",IF(Table13[[#This Row],[BMI]]&lt;=24.9,"Normal",IF(Table13[[#This Row],[BMI]]&lt;=29.9,"Overweight",IF(Table13[[#This Row],[BMI]]&lt;=39,"Obese","Severly Obese"))))</f>
        <v>Overweight</v>
      </c>
      <c r="W1610" s="18">
        <v>25.61</v>
      </c>
    </row>
    <row r="1611" spans="6:23" x14ac:dyDescent="0.3">
      <c r="F1611" s="17">
        <v>46</v>
      </c>
      <c r="G1611" s="8" t="str">
        <f>IF(Table13[[#This Row],[Age]]&lt;25,"18-24",IF(Table13[[#This Row],[Age]]&lt;35,"25-34",IF(Table13[[#This Row],[Age]]&lt;45,"35-44",IF(Table13[[#This Row],[Age]]&lt;55,"45-54","55-64"))))</f>
        <v>45-54</v>
      </c>
      <c r="H1611" s="8" t="s">
        <v>19</v>
      </c>
      <c r="I1611" s="8">
        <v>40.700000000000003</v>
      </c>
      <c r="J1611" s="8">
        <v>1.66</v>
      </c>
      <c r="K1611" s="8">
        <v>190</v>
      </c>
      <c r="L1611" s="8">
        <v>169</v>
      </c>
      <c r="M1611" s="8">
        <v>58</v>
      </c>
      <c r="N1611" s="8">
        <v>0.92</v>
      </c>
      <c r="O1611" s="8">
        <v>760</v>
      </c>
      <c r="P1611" s="8" t="s">
        <v>21</v>
      </c>
      <c r="Q1611" s="8" t="str">
        <f>_xlfn.IFS(AND(Table13[[#This Row],[Gender]]="female",R1611&lt;20),"Athletes",AND(Table13[[#This Row],[Gender]]="female",R1611&lt;24),"Fitnesss",AND(Table13[[#This Row],[Gender]]="female",R1611&lt;31),"Acceptable",AND(Table13[[#This Row],[Gender]]="female",R1611&lt;40),"Obese",AND(Table13[[#This Row],[Gender]]="male",R1611&lt;13),"Athletes",AND(Table13[[#This Row],[Gender]]="male",R1611&lt;17),"Fitnesss",AND(Table13[[#This Row],[Gender]]="male",R1611&lt;24.9),"Acceptable",AND(Table13[[#This Row],[Gender]]="male",R1611&lt;40),"Obese",AND(Table13[[#This Row],[Gender]]="others",R1611&lt;20),"Athletes",AND(Table13[[#This Row],[Gender]]="others",R1611&lt;24),"Fitnesss",AND(Table13[[#This Row],[Gender]]="others",R1611&lt;31),"Acceptable",AND(Table13[[#This Row],[Gender]]="others",R1611&lt;40),"Obese")</f>
        <v>Obese</v>
      </c>
      <c r="R1611" s="8">
        <v>27.2</v>
      </c>
      <c r="S1611" s="8">
        <v>3.5</v>
      </c>
      <c r="T1611" s="8">
        <v>5</v>
      </c>
      <c r="U1611" s="8">
        <v>2</v>
      </c>
      <c r="V1611" s="8" t="str">
        <f>IF(Table13[[#This Row],[BMI]]&lt;=18.5,"Underweight",IF(Table13[[#This Row],[BMI]]&lt;=24.9,"Normal",IF(Table13[[#This Row],[BMI]]&lt;=29.9,"Overweight",IF(Table13[[#This Row],[BMI]]&lt;=39,"Obese","Severly Obese"))))</f>
        <v>Normal</v>
      </c>
      <c r="W1611" s="18">
        <v>18.760000000000002</v>
      </c>
    </row>
    <row r="1612" spans="6:23" x14ac:dyDescent="0.3">
      <c r="F1612" s="17">
        <v>18</v>
      </c>
      <c r="G1612" s="8" t="str">
        <f>IF(Table13[[#This Row],[Age]]&lt;25,"18-24",IF(Table13[[#This Row],[Age]]&lt;35,"25-34",IF(Table13[[#This Row],[Age]]&lt;45,"35-44",IF(Table13[[#This Row],[Age]]&lt;55,"45-54","55-64"))))</f>
        <v>18-24</v>
      </c>
      <c r="H1612" s="8" t="s">
        <v>17</v>
      </c>
      <c r="I1612" s="8">
        <v>53.8</v>
      </c>
      <c r="J1612" s="8">
        <v>1.7</v>
      </c>
      <c r="K1612" s="8">
        <v>197</v>
      </c>
      <c r="L1612" s="8">
        <v>120</v>
      </c>
      <c r="M1612" s="8">
        <v>69</v>
      </c>
      <c r="N1612" s="8">
        <v>1.01</v>
      </c>
      <c r="O1612" s="8">
        <v>1274</v>
      </c>
      <c r="P1612" s="8" t="s">
        <v>18</v>
      </c>
      <c r="Q1612" s="8" t="str">
        <f>_xlfn.IFS(AND(Table13[[#This Row],[Gender]]="female",R1612&lt;20),"Athletes",AND(Table13[[#This Row],[Gender]]="female",R1612&lt;24),"Fitnesss",AND(Table13[[#This Row],[Gender]]="female",R1612&lt;31),"Acceptable",AND(Table13[[#This Row],[Gender]]="female",R1612&lt;40),"Obese",AND(Table13[[#This Row],[Gender]]="male",R1612&lt;13),"Athletes",AND(Table13[[#This Row],[Gender]]="male",R1612&lt;17),"Fitnesss",AND(Table13[[#This Row],[Gender]]="male",R1612&lt;24.9),"Acceptable",AND(Table13[[#This Row],[Gender]]="male",R1612&lt;40),"Obese",AND(Table13[[#This Row],[Gender]]="others",R1612&lt;20),"Athletes",AND(Table13[[#This Row],[Gender]]="others",R1612&lt;24),"Fitnesss",AND(Table13[[#This Row],[Gender]]="others",R1612&lt;31),"Acceptable",AND(Table13[[#This Row],[Gender]]="others",R1612&lt;40),"Obese")</f>
        <v>Obese</v>
      </c>
      <c r="R1612" s="8">
        <v>31.4</v>
      </c>
      <c r="S1612" s="8">
        <v>2.4</v>
      </c>
      <c r="T1612" s="8">
        <v>3</v>
      </c>
      <c r="U1612" s="8">
        <v>3</v>
      </c>
      <c r="V1612" s="8" t="str">
        <f>IF(Table13[[#This Row],[BMI]]&lt;=18.5,"Underweight",IF(Table13[[#This Row],[BMI]]&lt;=24.9,"Normal",IF(Table13[[#This Row],[BMI]]&lt;=29.9,"Overweight",IF(Table13[[#This Row],[BMI]]&lt;=39,"Obese","Severly Obese"))))</f>
        <v>Underweight</v>
      </c>
      <c r="W1612" s="18">
        <v>15.72</v>
      </c>
    </row>
    <row r="1613" spans="6:23" x14ac:dyDescent="0.3">
      <c r="F1613" s="17">
        <v>18</v>
      </c>
      <c r="G1613" s="8" t="str">
        <f>IF(Table13[[#This Row],[Age]]&lt;25,"18-24",IF(Table13[[#This Row],[Age]]&lt;35,"25-34",IF(Table13[[#This Row],[Age]]&lt;45,"35-44",IF(Table13[[#This Row],[Age]]&lt;55,"45-54","55-64"))))</f>
        <v>18-24</v>
      </c>
      <c r="H1613" s="8" t="s">
        <v>23</v>
      </c>
      <c r="I1613" s="8">
        <v>115.4</v>
      </c>
      <c r="J1613" s="8">
        <v>1.79</v>
      </c>
      <c r="K1613" s="8">
        <v>188</v>
      </c>
      <c r="L1613" s="8">
        <v>168</v>
      </c>
      <c r="M1613" s="8">
        <v>72</v>
      </c>
      <c r="N1613" s="8">
        <v>2</v>
      </c>
      <c r="O1613" s="8">
        <v>859</v>
      </c>
      <c r="P1613" s="8" t="s">
        <v>22</v>
      </c>
      <c r="Q1613" s="8" t="str">
        <f>_xlfn.IFS(AND(Table13[[#This Row],[Gender]]="female",R1613&lt;20),"Athletes",AND(Table13[[#This Row],[Gender]]="female",R1613&lt;24),"Fitnesss",AND(Table13[[#This Row],[Gender]]="female",R1613&lt;31),"Acceptable",AND(Table13[[#This Row],[Gender]]="female",R1613&lt;40),"Obese",AND(Table13[[#This Row],[Gender]]="male",R1613&lt;13),"Athletes",AND(Table13[[#This Row],[Gender]]="male",R1613&lt;17),"Fitnesss",AND(Table13[[#This Row],[Gender]]="male",R1613&lt;24.9),"Acceptable",AND(Table13[[#This Row],[Gender]]="male",R1613&lt;40),"Obese",AND(Table13[[#This Row],[Gender]]="others",R1613&lt;20),"Athletes",AND(Table13[[#This Row],[Gender]]="others",R1613&lt;24),"Fitnesss",AND(Table13[[#This Row],[Gender]]="others",R1613&lt;31),"Acceptable",AND(Table13[[#This Row],[Gender]]="others",R1613&lt;40),"Obese")</f>
        <v>Obese</v>
      </c>
      <c r="R1613" s="8">
        <v>31.2</v>
      </c>
      <c r="S1613" s="8">
        <v>1.8</v>
      </c>
      <c r="T1613" s="8">
        <v>3</v>
      </c>
      <c r="U1613" s="8">
        <v>2</v>
      </c>
      <c r="V1613" s="8" t="str">
        <f>IF(Table13[[#This Row],[BMI]]&lt;=18.5,"Underweight",IF(Table13[[#This Row],[BMI]]&lt;=24.9,"Normal",IF(Table13[[#This Row],[BMI]]&lt;=29.9,"Overweight",IF(Table13[[#This Row],[BMI]]&lt;=39,"Obese","Severly Obese"))))</f>
        <v>Normal</v>
      </c>
      <c r="W1613" s="18">
        <v>19.059999999999999</v>
      </c>
    </row>
    <row r="1614" spans="6:23" x14ac:dyDescent="0.3">
      <c r="F1614" s="17">
        <v>46</v>
      </c>
      <c r="G1614" s="8" t="str">
        <f>IF(Table13[[#This Row],[Age]]&lt;25,"18-24",IF(Table13[[#This Row],[Age]]&lt;35,"25-34",IF(Table13[[#This Row],[Age]]&lt;45,"35-44",IF(Table13[[#This Row],[Age]]&lt;55,"45-54","55-64"))))</f>
        <v>45-54</v>
      </c>
      <c r="H1614" s="8" t="s">
        <v>19</v>
      </c>
      <c r="I1614" s="8">
        <v>54</v>
      </c>
      <c r="J1614" s="8">
        <v>1.82</v>
      </c>
      <c r="K1614" s="8">
        <v>177</v>
      </c>
      <c r="L1614" s="8">
        <v>163</v>
      </c>
      <c r="M1614" s="8">
        <v>63</v>
      </c>
      <c r="N1614" s="8">
        <v>1.4</v>
      </c>
      <c r="O1614" s="8">
        <v>979</v>
      </c>
      <c r="P1614" s="8" t="s">
        <v>22</v>
      </c>
      <c r="Q1614" s="8" t="str">
        <f>_xlfn.IFS(AND(Table13[[#This Row],[Gender]]="female",R1614&lt;20),"Athletes",AND(Table13[[#This Row],[Gender]]="female",R1614&lt;24),"Fitnesss",AND(Table13[[#This Row],[Gender]]="female",R1614&lt;31),"Acceptable",AND(Table13[[#This Row],[Gender]]="female",R1614&lt;40),"Obese",AND(Table13[[#This Row],[Gender]]="male",R1614&lt;13),"Athletes",AND(Table13[[#This Row],[Gender]]="male",R1614&lt;17),"Fitnesss",AND(Table13[[#This Row],[Gender]]="male",R1614&lt;24.9),"Acceptable",AND(Table13[[#This Row],[Gender]]="male",R1614&lt;40),"Obese",AND(Table13[[#This Row],[Gender]]="others",R1614&lt;20),"Athletes",AND(Table13[[#This Row],[Gender]]="others",R1614&lt;24),"Fitnesss",AND(Table13[[#This Row],[Gender]]="others",R1614&lt;31),"Acceptable",AND(Table13[[#This Row],[Gender]]="others",R1614&lt;40),"Obese")</f>
        <v>Obese</v>
      </c>
      <c r="R1614" s="8">
        <v>33.700000000000003</v>
      </c>
      <c r="S1614" s="8">
        <v>3.7</v>
      </c>
      <c r="T1614" s="8">
        <v>2</v>
      </c>
      <c r="U1614" s="8">
        <v>2</v>
      </c>
      <c r="V1614" s="8" t="str">
        <f>IF(Table13[[#This Row],[BMI]]&lt;=18.5,"Underweight",IF(Table13[[#This Row],[BMI]]&lt;=24.9,"Normal",IF(Table13[[#This Row],[BMI]]&lt;=29.9,"Overweight",IF(Table13[[#This Row],[BMI]]&lt;=39,"Obese","Severly Obese"))))</f>
        <v>Underweight</v>
      </c>
      <c r="W1614" s="18">
        <v>14.05</v>
      </c>
    </row>
    <row r="1615" spans="6:23" x14ac:dyDescent="0.3">
      <c r="F1615" s="17">
        <v>24</v>
      </c>
      <c r="G1615" s="8" t="str">
        <f>IF(Table13[[#This Row],[Age]]&lt;25,"18-24",IF(Table13[[#This Row],[Age]]&lt;35,"25-34",IF(Table13[[#This Row],[Age]]&lt;45,"35-44",IF(Table13[[#This Row],[Age]]&lt;55,"45-54","55-64"))))</f>
        <v>18-24</v>
      </c>
      <c r="H1615" s="8" t="s">
        <v>19</v>
      </c>
      <c r="I1615" s="8">
        <v>105.7</v>
      </c>
      <c r="J1615" s="8">
        <v>2</v>
      </c>
      <c r="K1615" s="8">
        <v>187</v>
      </c>
      <c r="L1615" s="8">
        <v>145</v>
      </c>
      <c r="M1615" s="8">
        <v>58</v>
      </c>
      <c r="N1615" s="8">
        <v>1.48</v>
      </c>
      <c r="O1615" s="8">
        <v>1002</v>
      </c>
      <c r="P1615" s="8" t="s">
        <v>18</v>
      </c>
      <c r="Q1615" s="8" t="str">
        <f>_xlfn.IFS(AND(Table13[[#This Row],[Gender]]="female",R1615&lt;20),"Athletes",AND(Table13[[#This Row],[Gender]]="female",R1615&lt;24),"Fitnesss",AND(Table13[[#This Row],[Gender]]="female",R1615&lt;31),"Acceptable",AND(Table13[[#This Row],[Gender]]="female",R1615&lt;40),"Obese",AND(Table13[[#This Row],[Gender]]="male",R1615&lt;13),"Athletes",AND(Table13[[#This Row],[Gender]]="male",R1615&lt;17),"Fitnesss",AND(Table13[[#This Row],[Gender]]="male",R1615&lt;24.9),"Acceptable",AND(Table13[[#This Row],[Gender]]="male",R1615&lt;40),"Obese",AND(Table13[[#This Row],[Gender]]="others",R1615&lt;20),"Athletes",AND(Table13[[#This Row],[Gender]]="others",R1615&lt;24),"Fitnesss",AND(Table13[[#This Row],[Gender]]="others",R1615&lt;31),"Acceptable",AND(Table13[[#This Row],[Gender]]="others",R1615&lt;40),"Obese")</f>
        <v>Obese</v>
      </c>
      <c r="R1615" s="8">
        <v>25.9</v>
      </c>
      <c r="S1615" s="8">
        <v>2.5</v>
      </c>
      <c r="T1615" s="8">
        <v>3</v>
      </c>
      <c r="U1615" s="8">
        <v>1</v>
      </c>
      <c r="V1615" s="8" t="str">
        <f>IF(Table13[[#This Row],[BMI]]&lt;=18.5,"Underweight",IF(Table13[[#This Row],[BMI]]&lt;=24.9,"Normal",IF(Table13[[#This Row],[BMI]]&lt;=29.9,"Overweight",IF(Table13[[#This Row],[BMI]]&lt;=39,"Obese","Severly Obese"))))</f>
        <v>Severly Obese</v>
      </c>
      <c r="W1615" s="18">
        <v>43.01</v>
      </c>
    </row>
    <row r="1616" spans="6:23" x14ac:dyDescent="0.3">
      <c r="F1616" s="17">
        <v>31</v>
      </c>
      <c r="G1616" s="8" t="str">
        <f>IF(Table13[[#This Row],[Age]]&lt;25,"18-24",IF(Table13[[#This Row],[Age]]&lt;35,"25-34",IF(Table13[[#This Row],[Age]]&lt;45,"35-44",IF(Table13[[#This Row],[Age]]&lt;55,"45-54","55-64"))))</f>
        <v>25-34</v>
      </c>
      <c r="H1616" s="8" t="s">
        <v>19</v>
      </c>
      <c r="I1616" s="8">
        <v>87.3</v>
      </c>
      <c r="J1616" s="8">
        <v>1.65</v>
      </c>
      <c r="K1616" s="8">
        <v>176</v>
      </c>
      <c r="L1616" s="8">
        <v>137</v>
      </c>
      <c r="M1616" s="8">
        <v>74</v>
      </c>
      <c r="N1616" s="8">
        <v>0.91</v>
      </c>
      <c r="O1616" s="8">
        <v>1262</v>
      </c>
      <c r="P1616" s="8" t="s">
        <v>22</v>
      </c>
      <c r="Q1616" s="8" t="str">
        <f>_xlfn.IFS(AND(Table13[[#This Row],[Gender]]="female",R1616&lt;20),"Athletes",AND(Table13[[#This Row],[Gender]]="female",R1616&lt;24),"Fitnesss",AND(Table13[[#This Row],[Gender]]="female",R1616&lt;31),"Acceptable",AND(Table13[[#This Row],[Gender]]="female",R1616&lt;40),"Obese",AND(Table13[[#This Row],[Gender]]="male",R1616&lt;13),"Athletes",AND(Table13[[#This Row],[Gender]]="male",R1616&lt;17),"Fitnesss",AND(Table13[[#This Row],[Gender]]="male",R1616&lt;24.9),"Acceptable",AND(Table13[[#This Row],[Gender]]="male",R1616&lt;40),"Obese",AND(Table13[[#This Row],[Gender]]="others",R1616&lt;20),"Athletes",AND(Table13[[#This Row],[Gender]]="others",R1616&lt;24),"Fitnesss",AND(Table13[[#This Row],[Gender]]="others",R1616&lt;31),"Acceptable",AND(Table13[[#This Row],[Gender]]="others",R1616&lt;40),"Obese")</f>
        <v>Obese</v>
      </c>
      <c r="R1616" s="8">
        <v>31.5</v>
      </c>
      <c r="S1616" s="8"/>
      <c r="T1616" s="8">
        <v>4</v>
      </c>
      <c r="U1616" s="8">
        <v>2</v>
      </c>
      <c r="V1616" s="8" t="str">
        <f>IF(Table13[[#This Row],[BMI]]&lt;=18.5,"Underweight",IF(Table13[[#This Row],[BMI]]&lt;=24.9,"Normal",IF(Table13[[#This Row],[BMI]]&lt;=29.9,"Overweight",IF(Table13[[#This Row],[BMI]]&lt;=39,"Obese","Severly Obese"))))</f>
        <v>Overweight</v>
      </c>
      <c r="W1616" s="18">
        <v>26.33</v>
      </c>
    </row>
    <row r="1617" spans="6:23" x14ac:dyDescent="0.3">
      <c r="F1617" s="17">
        <v>30</v>
      </c>
      <c r="G1617" s="8" t="str">
        <f>IF(Table13[[#This Row],[Age]]&lt;25,"18-24",IF(Table13[[#This Row],[Age]]&lt;35,"25-34",IF(Table13[[#This Row],[Age]]&lt;45,"35-44",IF(Table13[[#This Row],[Age]]&lt;55,"45-54","55-64"))))</f>
        <v>25-34</v>
      </c>
      <c r="H1617" s="8" t="s">
        <v>17</v>
      </c>
      <c r="I1617" s="8">
        <v>57.7</v>
      </c>
      <c r="J1617" s="8">
        <v>1.76</v>
      </c>
      <c r="K1617" s="8">
        <v>160</v>
      </c>
      <c r="L1617" s="8">
        <v>152</v>
      </c>
      <c r="M1617" s="8">
        <v>59</v>
      </c>
      <c r="N1617" s="8">
        <v>1.82</v>
      </c>
      <c r="O1617" s="8">
        <v>314</v>
      </c>
      <c r="P1617" s="8" t="s">
        <v>20</v>
      </c>
      <c r="Q1617" s="8" t="str">
        <f>_xlfn.IFS(AND(Table13[[#This Row],[Gender]]="female",R1617&lt;20),"Athletes",AND(Table13[[#This Row],[Gender]]="female",R1617&lt;24),"Fitnesss",AND(Table13[[#This Row],[Gender]]="female",R1617&lt;31),"Acceptable",AND(Table13[[#This Row],[Gender]]="female",R1617&lt;40),"Obese",AND(Table13[[#This Row],[Gender]]="male",R1617&lt;13),"Athletes",AND(Table13[[#This Row],[Gender]]="male",R1617&lt;17),"Fitnesss",AND(Table13[[#This Row],[Gender]]="male",R1617&lt;24.9),"Acceptable",AND(Table13[[#This Row],[Gender]]="male",R1617&lt;40),"Obese",AND(Table13[[#This Row],[Gender]]="others",R1617&lt;20),"Athletes",AND(Table13[[#This Row],[Gender]]="others",R1617&lt;24),"Fitnesss",AND(Table13[[#This Row],[Gender]]="others",R1617&lt;31),"Acceptable",AND(Table13[[#This Row],[Gender]]="others",R1617&lt;40),"Obese")</f>
        <v>Fitnesss</v>
      </c>
      <c r="R1617" s="8">
        <v>23.2</v>
      </c>
      <c r="S1617" s="8">
        <v>1.8</v>
      </c>
      <c r="T1617" s="8">
        <v>4</v>
      </c>
      <c r="U1617" s="8">
        <v>3</v>
      </c>
      <c r="V1617" s="8" t="str">
        <f>IF(Table13[[#This Row],[BMI]]&lt;=18.5,"Underweight",IF(Table13[[#This Row],[BMI]]&lt;=24.9,"Normal",IF(Table13[[#This Row],[BMI]]&lt;=29.9,"Overweight",IF(Table13[[#This Row],[BMI]]&lt;=39,"Obese","Severly Obese"))))</f>
        <v>Underweight</v>
      </c>
      <c r="W1617" s="18">
        <v>12.32</v>
      </c>
    </row>
    <row r="1618" spans="6:23" x14ac:dyDescent="0.3">
      <c r="F1618" s="17">
        <v>24</v>
      </c>
      <c r="G1618" s="8" t="str">
        <f>IF(Table13[[#This Row],[Age]]&lt;25,"18-24",IF(Table13[[#This Row],[Age]]&lt;35,"25-34",IF(Table13[[#This Row],[Age]]&lt;45,"35-44",IF(Table13[[#This Row],[Age]]&lt;55,"45-54","55-64"))))</f>
        <v>18-24</v>
      </c>
      <c r="H1618" s="8" t="s">
        <v>19</v>
      </c>
      <c r="I1618" s="8">
        <v>72.7</v>
      </c>
      <c r="J1618" s="8">
        <v>2</v>
      </c>
      <c r="K1618" s="8">
        <v>190</v>
      </c>
      <c r="L1618" s="8">
        <v>131</v>
      </c>
      <c r="M1618" s="8">
        <v>56</v>
      </c>
      <c r="N1618" s="8">
        <v>1.33</v>
      </c>
      <c r="O1618" s="8">
        <v>1126</v>
      </c>
      <c r="P1618" s="8" t="s">
        <v>20</v>
      </c>
      <c r="Q1618" s="8" t="str">
        <f>_xlfn.IFS(AND(Table13[[#This Row],[Gender]]="female",R1618&lt;20),"Athletes",AND(Table13[[#This Row],[Gender]]="female",R1618&lt;24),"Fitnesss",AND(Table13[[#This Row],[Gender]]="female",R1618&lt;31),"Acceptable",AND(Table13[[#This Row],[Gender]]="female",R1618&lt;40),"Obese",AND(Table13[[#This Row],[Gender]]="male",R1618&lt;13),"Athletes",AND(Table13[[#This Row],[Gender]]="male",R1618&lt;17),"Fitnesss",AND(Table13[[#This Row],[Gender]]="male",R1618&lt;24.9),"Acceptable",AND(Table13[[#This Row],[Gender]]="male",R1618&lt;40),"Obese",AND(Table13[[#This Row],[Gender]]="others",R1618&lt;20),"Athletes",AND(Table13[[#This Row],[Gender]]="others",R1618&lt;24),"Fitnesss",AND(Table13[[#This Row],[Gender]]="others",R1618&lt;31),"Acceptable",AND(Table13[[#This Row],[Gender]]="others",R1618&lt;40),"Obese")</f>
        <v>Athletes</v>
      </c>
      <c r="R1618" s="8">
        <v>12.6</v>
      </c>
      <c r="S1618" s="8">
        <v>3.6</v>
      </c>
      <c r="T1618" s="8">
        <v>2</v>
      </c>
      <c r="U1618" s="8">
        <v>2</v>
      </c>
      <c r="V1618" s="8" t="str">
        <f>IF(Table13[[#This Row],[BMI]]&lt;=18.5,"Underweight",IF(Table13[[#This Row],[BMI]]&lt;=24.9,"Normal",IF(Table13[[#This Row],[BMI]]&lt;=29.9,"Overweight",IF(Table13[[#This Row],[BMI]]&lt;=39,"Obese","Severly Obese"))))</f>
        <v>Normal</v>
      </c>
      <c r="W1618" s="18">
        <v>23.15</v>
      </c>
    </row>
    <row r="1619" spans="6:23" x14ac:dyDescent="0.3">
      <c r="F1619" s="17">
        <v>25</v>
      </c>
      <c r="G1619" s="8" t="str">
        <f>IF(Table13[[#This Row],[Age]]&lt;25,"18-24",IF(Table13[[#This Row],[Age]]&lt;35,"25-34",IF(Table13[[#This Row],[Age]]&lt;45,"35-44",IF(Table13[[#This Row],[Age]]&lt;55,"45-54","55-64"))))</f>
        <v>25-34</v>
      </c>
      <c r="H1619" s="8" t="s">
        <v>23</v>
      </c>
      <c r="I1619" s="8">
        <v>102.4</v>
      </c>
      <c r="J1619" s="8">
        <v>1.68</v>
      </c>
      <c r="K1619" s="8">
        <v>188</v>
      </c>
      <c r="L1619" s="8">
        <v>141</v>
      </c>
      <c r="M1619" s="8">
        <v>56</v>
      </c>
      <c r="N1619" s="8">
        <v>1.66</v>
      </c>
      <c r="O1619" s="8">
        <v>1553</v>
      </c>
      <c r="P1619" s="8" t="s">
        <v>22</v>
      </c>
      <c r="Q1619" s="8" t="str">
        <f>_xlfn.IFS(AND(Table13[[#This Row],[Gender]]="female",R1619&lt;20),"Athletes",AND(Table13[[#This Row],[Gender]]="female",R1619&lt;24),"Fitnesss",AND(Table13[[#This Row],[Gender]]="female",R1619&lt;31),"Acceptable",AND(Table13[[#This Row],[Gender]]="female",R1619&lt;40),"Obese",AND(Table13[[#This Row],[Gender]]="male",R1619&lt;13),"Athletes",AND(Table13[[#This Row],[Gender]]="male",R1619&lt;17),"Fitnesss",AND(Table13[[#This Row],[Gender]]="male",R1619&lt;24.9),"Acceptable",AND(Table13[[#This Row],[Gender]]="male",R1619&lt;40),"Obese",AND(Table13[[#This Row],[Gender]]="others",R1619&lt;20),"Athletes",AND(Table13[[#This Row],[Gender]]="others",R1619&lt;24),"Fitnesss",AND(Table13[[#This Row],[Gender]]="others",R1619&lt;31),"Acceptable",AND(Table13[[#This Row],[Gender]]="others",R1619&lt;40),"Obese")</f>
        <v>Athletes</v>
      </c>
      <c r="R1619" s="8">
        <v>18.600000000000001</v>
      </c>
      <c r="S1619" s="8">
        <v>1.7</v>
      </c>
      <c r="T1619" s="8">
        <v>2</v>
      </c>
      <c r="U1619" s="8">
        <v>2</v>
      </c>
      <c r="V1619" s="8" t="str">
        <f>IF(Table13[[#This Row],[BMI]]&lt;=18.5,"Underweight",IF(Table13[[#This Row],[BMI]]&lt;=24.9,"Normal",IF(Table13[[#This Row],[BMI]]&lt;=29.9,"Overweight",IF(Table13[[#This Row],[BMI]]&lt;=39,"Obese","Severly Obese"))))</f>
        <v>Underweight</v>
      </c>
      <c r="W1619" s="18">
        <v>16.38</v>
      </c>
    </row>
    <row r="1620" spans="6:23" x14ac:dyDescent="0.3">
      <c r="F1620" s="17">
        <v>29</v>
      </c>
      <c r="G1620" s="8" t="str">
        <f>IF(Table13[[#This Row],[Age]]&lt;25,"18-24",IF(Table13[[#This Row],[Age]]&lt;35,"25-34",IF(Table13[[#This Row],[Age]]&lt;45,"35-44",IF(Table13[[#This Row],[Age]]&lt;55,"45-54","55-64"))))</f>
        <v>25-34</v>
      </c>
      <c r="H1620" s="8" t="s">
        <v>17</v>
      </c>
      <c r="I1620" s="8">
        <v>81.400000000000006</v>
      </c>
      <c r="J1620" s="8">
        <v>1.89</v>
      </c>
      <c r="K1620" s="8">
        <v>177</v>
      </c>
      <c r="L1620" s="8">
        <v>137</v>
      </c>
      <c r="M1620" s="8">
        <v>70</v>
      </c>
      <c r="N1620" s="8">
        <v>1.01</v>
      </c>
      <c r="O1620" s="8">
        <v>503</v>
      </c>
      <c r="P1620" s="8" t="s">
        <v>22</v>
      </c>
      <c r="Q1620" s="8" t="str">
        <f>_xlfn.IFS(AND(Table13[[#This Row],[Gender]]="female",R1620&lt;20),"Athletes",AND(Table13[[#This Row],[Gender]]="female",R1620&lt;24),"Fitnesss",AND(Table13[[#This Row],[Gender]]="female",R1620&lt;31),"Acceptable",AND(Table13[[#This Row],[Gender]]="female",R1620&lt;40),"Obese",AND(Table13[[#This Row],[Gender]]="male",R1620&lt;13),"Athletes",AND(Table13[[#This Row],[Gender]]="male",R1620&lt;17),"Fitnesss",AND(Table13[[#This Row],[Gender]]="male",R1620&lt;24.9),"Acceptable",AND(Table13[[#This Row],[Gender]]="male",R1620&lt;40),"Obese",AND(Table13[[#This Row],[Gender]]="others",R1620&lt;20),"Athletes",AND(Table13[[#This Row],[Gender]]="others",R1620&lt;24),"Fitnesss",AND(Table13[[#This Row],[Gender]]="others",R1620&lt;31),"Acceptable",AND(Table13[[#This Row],[Gender]]="others",R1620&lt;40),"Obese")</f>
        <v>Athletes</v>
      </c>
      <c r="R1620" s="8">
        <v>14.5</v>
      </c>
      <c r="S1620" s="8">
        <v>1.5</v>
      </c>
      <c r="T1620" s="8"/>
      <c r="U1620" s="8">
        <v>1</v>
      </c>
      <c r="V1620" s="8" t="str">
        <f>IF(Table13[[#This Row],[BMI]]&lt;=18.5,"Underweight",IF(Table13[[#This Row],[BMI]]&lt;=24.9,"Normal",IF(Table13[[#This Row],[BMI]]&lt;=29.9,"Overweight",IF(Table13[[#This Row],[BMI]]&lt;=39,"Obese","Severly Obese"))))</f>
        <v>Normal</v>
      </c>
      <c r="W1620" s="18">
        <v>21.8</v>
      </c>
    </row>
    <row r="1621" spans="6:23" x14ac:dyDescent="0.3">
      <c r="F1621" s="17">
        <v>39</v>
      </c>
      <c r="G1621" s="8" t="str">
        <f>IF(Table13[[#This Row],[Age]]&lt;25,"18-24",IF(Table13[[#This Row],[Age]]&lt;35,"25-34",IF(Table13[[#This Row],[Age]]&lt;45,"35-44",IF(Table13[[#This Row],[Age]]&lt;55,"45-54","55-64"))))</f>
        <v>35-44</v>
      </c>
      <c r="H1621" s="8" t="s">
        <v>19</v>
      </c>
      <c r="I1621" s="8">
        <v>81.900000000000006</v>
      </c>
      <c r="J1621" s="8">
        <v>1.72</v>
      </c>
      <c r="K1621" s="8">
        <v>187</v>
      </c>
      <c r="L1621" s="8">
        <v>156</v>
      </c>
      <c r="M1621" s="8">
        <v>53</v>
      </c>
      <c r="N1621" s="8">
        <v>1.19</v>
      </c>
      <c r="O1621" s="8">
        <v>1329</v>
      </c>
      <c r="P1621" s="8" t="s">
        <v>22</v>
      </c>
      <c r="Q1621" s="8" t="str">
        <f>_xlfn.IFS(AND(Table13[[#This Row],[Gender]]="female",R1621&lt;20),"Athletes",AND(Table13[[#This Row],[Gender]]="female",R1621&lt;24),"Fitnesss",AND(Table13[[#This Row],[Gender]]="female",R1621&lt;31),"Acceptable",AND(Table13[[#This Row],[Gender]]="female",R1621&lt;40),"Obese",AND(Table13[[#This Row],[Gender]]="male",R1621&lt;13),"Athletes",AND(Table13[[#This Row],[Gender]]="male",R1621&lt;17),"Fitnesss",AND(Table13[[#This Row],[Gender]]="male",R1621&lt;24.9),"Acceptable",AND(Table13[[#This Row],[Gender]]="male",R1621&lt;40),"Obese",AND(Table13[[#This Row],[Gender]]="others",R1621&lt;20),"Athletes",AND(Table13[[#This Row],[Gender]]="others",R1621&lt;24),"Fitnesss",AND(Table13[[#This Row],[Gender]]="others",R1621&lt;31),"Acceptable",AND(Table13[[#This Row],[Gender]]="others",R1621&lt;40),"Obese")</f>
        <v>Acceptable</v>
      </c>
      <c r="R1621" s="8">
        <v>24.2</v>
      </c>
      <c r="S1621" s="8">
        <v>3.4</v>
      </c>
      <c r="T1621" s="8">
        <v>4</v>
      </c>
      <c r="U1621" s="8">
        <v>2</v>
      </c>
      <c r="V1621" s="8" t="str">
        <f>IF(Table13[[#This Row],[BMI]]&lt;=18.5,"Underweight",IF(Table13[[#This Row],[BMI]]&lt;=24.9,"Normal",IF(Table13[[#This Row],[BMI]]&lt;=29.9,"Overweight",IF(Table13[[#This Row],[BMI]]&lt;=39,"Obese","Severly Obese"))))</f>
        <v>Underweight</v>
      </c>
      <c r="W1621" s="18">
        <v>12.91</v>
      </c>
    </row>
    <row r="1622" spans="6:23" x14ac:dyDescent="0.3">
      <c r="F1622" s="17">
        <v>48</v>
      </c>
      <c r="G1622" s="8" t="str">
        <f>IF(Table13[[#This Row],[Age]]&lt;25,"18-24",IF(Table13[[#This Row],[Age]]&lt;35,"25-34",IF(Table13[[#This Row],[Age]]&lt;45,"35-44",IF(Table13[[#This Row],[Age]]&lt;55,"45-54","55-64"))))</f>
        <v>45-54</v>
      </c>
      <c r="H1622" s="8" t="s">
        <v>17</v>
      </c>
      <c r="I1622" s="8">
        <v>65.099999999999994</v>
      </c>
      <c r="J1622" s="8">
        <v>1.79</v>
      </c>
      <c r="K1622" s="8">
        <v>189</v>
      </c>
      <c r="L1622" s="8">
        <v>120</v>
      </c>
      <c r="M1622" s="8">
        <v>74</v>
      </c>
      <c r="N1622" s="8">
        <v>1.26</v>
      </c>
      <c r="O1622" s="8">
        <v>325</v>
      </c>
      <c r="P1622" s="8" t="s">
        <v>18</v>
      </c>
      <c r="Q1622" s="8" t="str">
        <f>_xlfn.IFS(AND(Table13[[#This Row],[Gender]]="female",R1622&lt;20),"Athletes",AND(Table13[[#This Row],[Gender]]="female",R1622&lt;24),"Fitnesss",AND(Table13[[#This Row],[Gender]]="female",R1622&lt;31),"Acceptable",AND(Table13[[#This Row],[Gender]]="female",R1622&lt;40),"Obese",AND(Table13[[#This Row],[Gender]]="male",R1622&lt;13),"Athletes",AND(Table13[[#This Row],[Gender]]="male",R1622&lt;17),"Fitnesss",AND(Table13[[#This Row],[Gender]]="male",R1622&lt;24.9),"Acceptable",AND(Table13[[#This Row],[Gender]]="male",R1622&lt;40),"Obese",AND(Table13[[#This Row],[Gender]]="others",R1622&lt;20),"Athletes",AND(Table13[[#This Row],[Gender]]="others",R1622&lt;24),"Fitnesss",AND(Table13[[#This Row],[Gender]]="others",R1622&lt;31),"Acceptable",AND(Table13[[#This Row],[Gender]]="others",R1622&lt;40),"Obese")</f>
        <v>Fitnesss</v>
      </c>
      <c r="R1622" s="8">
        <v>23.5</v>
      </c>
      <c r="S1622" s="8">
        <v>2.1</v>
      </c>
      <c r="T1622" s="8">
        <v>5</v>
      </c>
      <c r="U1622" s="8">
        <v>3</v>
      </c>
      <c r="V1622" s="8" t="str">
        <f>IF(Table13[[#This Row],[BMI]]&lt;=18.5,"Underweight",IF(Table13[[#This Row],[BMI]]&lt;=24.9,"Normal",IF(Table13[[#This Row],[BMI]]&lt;=29.9,"Overweight",IF(Table13[[#This Row],[BMI]]&lt;=39,"Obese","Severly Obese"))))</f>
        <v>Overweight</v>
      </c>
      <c r="W1622" s="18">
        <v>28.56</v>
      </c>
    </row>
    <row r="1623" spans="6:23" x14ac:dyDescent="0.3">
      <c r="F1623" s="17">
        <v>28</v>
      </c>
      <c r="G1623" s="8" t="str">
        <f>IF(Table13[[#This Row],[Age]]&lt;25,"18-24",IF(Table13[[#This Row],[Age]]&lt;35,"25-34",IF(Table13[[#This Row],[Age]]&lt;45,"35-44",IF(Table13[[#This Row],[Age]]&lt;55,"45-54","55-64"))))</f>
        <v>25-34</v>
      </c>
      <c r="H1623" s="8" t="s">
        <v>17</v>
      </c>
      <c r="I1623" s="8">
        <v>67.8</v>
      </c>
      <c r="J1623" s="8">
        <v>1.57</v>
      </c>
      <c r="K1623" s="8">
        <v>198</v>
      </c>
      <c r="L1623" s="8">
        <v>135</v>
      </c>
      <c r="M1623" s="8">
        <v>67</v>
      </c>
      <c r="N1623" s="8">
        <v>2</v>
      </c>
      <c r="O1623" s="8">
        <v>1062</v>
      </c>
      <c r="P1623" s="8" t="s">
        <v>18</v>
      </c>
      <c r="Q1623" s="8" t="str">
        <f>_xlfn.IFS(AND(Table13[[#This Row],[Gender]]="female",R1623&lt;20),"Athletes",AND(Table13[[#This Row],[Gender]]="female",R1623&lt;24),"Fitnesss",AND(Table13[[#This Row],[Gender]]="female",R1623&lt;31),"Acceptable",AND(Table13[[#This Row],[Gender]]="female",R1623&lt;40),"Obese",AND(Table13[[#This Row],[Gender]]="male",R1623&lt;13),"Athletes",AND(Table13[[#This Row],[Gender]]="male",R1623&lt;17),"Fitnesss",AND(Table13[[#This Row],[Gender]]="male",R1623&lt;24.9),"Acceptable",AND(Table13[[#This Row],[Gender]]="male",R1623&lt;40),"Obese",AND(Table13[[#This Row],[Gender]]="others",R1623&lt;20),"Athletes",AND(Table13[[#This Row],[Gender]]="others",R1623&lt;24),"Fitnesss",AND(Table13[[#This Row],[Gender]]="others",R1623&lt;31),"Acceptable",AND(Table13[[#This Row],[Gender]]="others",R1623&lt;40),"Obese")</f>
        <v>Acceptable</v>
      </c>
      <c r="R1623" s="8">
        <v>30.5</v>
      </c>
      <c r="S1623" s="8">
        <v>1.5</v>
      </c>
      <c r="T1623" s="8">
        <v>3</v>
      </c>
      <c r="U1623" s="8">
        <v>1</v>
      </c>
      <c r="V1623" s="8" t="str">
        <f>IF(Table13[[#This Row],[BMI]]&lt;=18.5,"Underweight",IF(Table13[[#This Row],[BMI]]&lt;=24.9,"Normal",IF(Table13[[#This Row],[BMI]]&lt;=29.9,"Overweight",IF(Table13[[#This Row],[BMI]]&lt;=39,"Obese","Severly Obese"))))</f>
        <v>Underweight</v>
      </c>
      <c r="W1623" s="18">
        <v>14.86</v>
      </c>
    </row>
    <row r="1624" spans="6:23" x14ac:dyDescent="0.3">
      <c r="F1624" s="17">
        <v>25</v>
      </c>
      <c r="G1624" s="8" t="str">
        <f>IF(Table13[[#This Row],[Age]]&lt;25,"18-24",IF(Table13[[#This Row],[Age]]&lt;35,"25-34",IF(Table13[[#This Row],[Age]]&lt;45,"35-44",IF(Table13[[#This Row],[Age]]&lt;55,"45-54","55-64"))))</f>
        <v>25-34</v>
      </c>
      <c r="H1624" s="8" t="s">
        <v>19</v>
      </c>
      <c r="I1624" s="8">
        <v>56.9</v>
      </c>
      <c r="J1624" s="8">
        <v>1.61</v>
      </c>
      <c r="K1624" s="8">
        <v>183</v>
      </c>
      <c r="L1624" s="8">
        <v>130</v>
      </c>
      <c r="M1624" s="8">
        <v>18</v>
      </c>
      <c r="N1624" s="8">
        <v>1.33</v>
      </c>
      <c r="O1624" s="8">
        <v>804</v>
      </c>
      <c r="P1624" s="8" t="s">
        <v>21</v>
      </c>
      <c r="Q1624" s="8" t="str">
        <f>_xlfn.IFS(AND(Table13[[#This Row],[Gender]]="female",R1624&lt;20),"Athletes",AND(Table13[[#This Row],[Gender]]="female",R1624&lt;24),"Fitnesss",AND(Table13[[#This Row],[Gender]]="female",R1624&lt;31),"Acceptable",AND(Table13[[#This Row],[Gender]]="female",R1624&lt;40),"Obese",AND(Table13[[#This Row],[Gender]]="male",R1624&lt;13),"Athletes",AND(Table13[[#This Row],[Gender]]="male",R1624&lt;17),"Fitnesss",AND(Table13[[#This Row],[Gender]]="male",R1624&lt;24.9),"Acceptable",AND(Table13[[#This Row],[Gender]]="male",R1624&lt;40),"Obese",AND(Table13[[#This Row],[Gender]]="others",R1624&lt;20),"Athletes",AND(Table13[[#This Row],[Gender]]="others",R1624&lt;24),"Fitnesss",AND(Table13[[#This Row],[Gender]]="others",R1624&lt;31),"Acceptable",AND(Table13[[#This Row],[Gender]]="others",R1624&lt;40),"Obese")</f>
        <v>Acceptable</v>
      </c>
      <c r="R1624" s="8">
        <v>20.100000000000001</v>
      </c>
      <c r="S1624" s="8">
        <v>1.5</v>
      </c>
      <c r="T1624" s="8">
        <v>4</v>
      </c>
      <c r="U1624" s="8">
        <v>2</v>
      </c>
      <c r="V1624" s="8" t="str">
        <f>IF(Table13[[#This Row],[BMI]]&lt;=18.5,"Underweight",IF(Table13[[#This Row],[BMI]]&lt;=24.9,"Normal",IF(Table13[[#This Row],[BMI]]&lt;=29.9,"Overweight",IF(Table13[[#This Row],[BMI]]&lt;=39,"Obese","Severly Obese"))))</f>
        <v>Normal</v>
      </c>
      <c r="W1624" s="18">
        <v>23.68</v>
      </c>
    </row>
    <row r="1625" spans="6:23" x14ac:dyDescent="0.3">
      <c r="F1625" s="17">
        <v>53</v>
      </c>
      <c r="G1625" s="8" t="str">
        <f>IF(Table13[[#This Row],[Age]]&lt;25,"18-24",IF(Table13[[#This Row],[Age]]&lt;35,"25-34",IF(Table13[[#This Row],[Age]]&lt;45,"35-44",IF(Table13[[#This Row],[Age]]&lt;55,"45-54","55-64"))))</f>
        <v>45-54</v>
      </c>
      <c r="H1625" s="8" t="s">
        <v>17</v>
      </c>
      <c r="I1625" s="8">
        <v>55</v>
      </c>
      <c r="J1625" s="8">
        <v>1.6</v>
      </c>
      <c r="K1625" s="8">
        <v>181</v>
      </c>
      <c r="L1625" s="8">
        <v>133</v>
      </c>
      <c r="M1625" s="8">
        <v>74</v>
      </c>
      <c r="N1625" s="8">
        <v>1.25</v>
      </c>
      <c r="O1625" s="8">
        <v>645</v>
      </c>
      <c r="P1625" s="8" t="s">
        <v>18</v>
      </c>
      <c r="Q1625" s="8" t="str">
        <f>_xlfn.IFS(AND(Table13[[#This Row],[Gender]]="female",R1625&lt;20),"Athletes",AND(Table13[[#This Row],[Gender]]="female",R1625&lt;24),"Fitnesss",AND(Table13[[#This Row],[Gender]]="female",R1625&lt;31),"Acceptable",AND(Table13[[#This Row],[Gender]]="female",R1625&lt;40),"Obese",AND(Table13[[#This Row],[Gender]]="male",R1625&lt;13),"Athletes",AND(Table13[[#This Row],[Gender]]="male",R1625&lt;17),"Fitnesss",AND(Table13[[#This Row],[Gender]]="male",R1625&lt;24.9),"Acceptable",AND(Table13[[#This Row],[Gender]]="male",R1625&lt;40),"Obese",AND(Table13[[#This Row],[Gender]]="others",R1625&lt;20),"Athletes",AND(Table13[[#This Row],[Gender]]="others",R1625&lt;24),"Fitnesss",AND(Table13[[#This Row],[Gender]]="others",R1625&lt;31),"Acceptable",AND(Table13[[#This Row],[Gender]]="others",R1625&lt;40),"Obese")</f>
        <v>Acceptable</v>
      </c>
      <c r="R1625" s="8">
        <v>28.2</v>
      </c>
      <c r="S1625" s="8">
        <v>2.4</v>
      </c>
      <c r="T1625" s="8">
        <v>4</v>
      </c>
      <c r="U1625" s="8">
        <v>1</v>
      </c>
      <c r="V1625" s="8" t="str">
        <f>IF(Table13[[#This Row],[BMI]]&lt;=18.5,"Underweight",IF(Table13[[#This Row],[BMI]]&lt;=24.9,"Normal",IF(Table13[[#This Row],[BMI]]&lt;=29.9,"Overweight",IF(Table13[[#This Row],[BMI]]&lt;=39,"Obese","Severly Obese"))))</f>
        <v>Normal</v>
      </c>
      <c r="W1625" s="18">
        <v>21.6</v>
      </c>
    </row>
    <row r="1626" spans="6:23" x14ac:dyDescent="0.3">
      <c r="F1626" s="17">
        <v>38</v>
      </c>
      <c r="G1626" s="8" t="str">
        <f>IF(Table13[[#This Row],[Age]]&lt;25,"18-24",IF(Table13[[#This Row],[Age]]&lt;35,"25-34",IF(Table13[[#This Row],[Age]]&lt;45,"35-44",IF(Table13[[#This Row],[Age]]&lt;55,"45-54","55-64"))))</f>
        <v>35-44</v>
      </c>
      <c r="H1626" s="8" t="s">
        <v>23</v>
      </c>
      <c r="I1626" s="8">
        <v>42.6</v>
      </c>
      <c r="J1626" s="8">
        <v>1.61</v>
      </c>
      <c r="K1626" s="8">
        <v>172</v>
      </c>
      <c r="L1626" s="8">
        <v>122</v>
      </c>
      <c r="M1626" s="8">
        <v>69</v>
      </c>
      <c r="N1626" s="8">
        <v>1.1299999999999999</v>
      </c>
      <c r="O1626" s="8">
        <v>462</v>
      </c>
      <c r="P1626" s="8" t="s">
        <v>22</v>
      </c>
      <c r="Q1626" s="8" t="str">
        <f>_xlfn.IFS(AND(Table13[[#This Row],[Gender]]="female",R1626&lt;20),"Athletes",AND(Table13[[#This Row],[Gender]]="female",R1626&lt;24),"Fitnesss",AND(Table13[[#This Row],[Gender]]="female",R1626&lt;31),"Acceptable",AND(Table13[[#This Row],[Gender]]="female",R1626&lt;40),"Obese",AND(Table13[[#This Row],[Gender]]="male",R1626&lt;13),"Athletes",AND(Table13[[#This Row],[Gender]]="male",R1626&lt;17),"Fitnesss",AND(Table13[[#This Row],[Gender]]="male",R1626&lt;24.9),"Acceptable",AND(Table13[[#This Row],[Gender]]="male",R1626&lt;40),"Obese",AND(Table13[[#This Row],[Gender]]="others",R1626&lt;20),"Athletes",AND(Table13[[#This Row],[Gender]]="others",R1626&lt;24),"Fitnesss",AND(Table13[[#This Row],[Gender]]="others",R1626&lt;31),"Acceptable",AND(Table13[[#This Row],[Gender]]="others",R1626&lt;40),"Obese")</f>
        <v>Athletes</v>
      </c>
      <c r="R1626" s="8">
        <v>14.9</v>
      </c>
      <c r="S1626" s="8">
        <v>2.5</v>
      </c>
      <c r="T1626" s="8">
        <v>2</v>
      </c>
      <c r="U1626" s="8"/>
      <c r="V1626" s="8" t="str">
        <f>IF(Table13[[#This Row],[BMI]]&lt;=18.5,"Underweight",IF(Table13[[#This Row],[BMI]]&lt;=24.9,"Normal",IF(Table13[[#This Row],[BMI]]&lt;=29.9,"Overweight",IF(Table13[[#This Row],[BMI]]&lt;=39,"Obese","Severly Obese"))))</f>
        <v>Underweight</v>
      </c>
      <c r="W1626" s="18">
        <v>15.67</v>
      </c>
    </row>
    <row r="1627" spans="6:23" x14ac:dyDescent="0.3">
      <c r="F1627" s="17">
        <v>50</v>
      </c>
      <c r="G1627" s="8" t="str">
        <f>IF(Table13[[#This Row],[Age]]&lt;25,"18-24",IF(Table13[[#This Row],[Age]]&lt;35,"25-34",IF(Table13[[#This Row],[Age]]&lt;45,"35-44",IF(Table13[[#This Row],[Age]]&lt;55,"45-54","55-64"))))</f>
        <v>45-54</v>
      </c>
      <c r="H1627" s="8" t="s">
        <v>17</v>
      </c>
      <c r="I1627" s="8">
        <v>61.5</v>
      </c>
      <c r="J1627" s="8">
        <v>1.57</v>
      </c>
      <c r="K1627" s="8">
        <v>199</v>
      </c>
      <c r="L1627" s="8">
        <v>139</v>
      </c>
      <c r="M1627" s="8">
        <v>71</v>
      </c>
      <c r="N1627" s="8">
        <v>0.95</v>
      </c>
      <c r="O1627" s="8">
        <v>798</v>
      </c>
      <c r="P1627" s="8" t="s">
        <v>20</v>
      </c>
      <c r="Q1627" s="8" t="str">
        <f>_xlfn.IFS(AND(Table13[[#This Row],[Gender]]="female",R1627&lt;20),"Athletes",AND(Table13[[#This Row],[Gender]]="female",R1627&lt;24),"Fitnesss",AND(Table13[[#This Row],[Gender]]="female",R1627&lt;31),"Acceptable",AND(Table13[[#This Row],[Gender]]="female",R1627&lt;40),"Obese",AND(Table13[[#This Row],[Gender]]="male",R1627&lt;13),"Athletes",AND(Table13[[#This Row],[Gender]]="male",R1627&lt;17),"Fitnesss",AND(Table13[[#This Row],[Gender]]="male",R1627&lt;24.9),"Acceptable",AND(Table13[[#This Row],[Gender]]="male",R1627&lt;40),"Obese",AND(Table13[[#This Row],[Gender]]="others",R1627&lt;20),"Athletes",AND(Table13[[#This Row],[Gender]]="others",R1627&lt;24),"Fitnesss",AND(Table13[[#This Row],[Gender]]="others",R1627&lt;31),"Acceptable",AND(Table13[[#This Row],[Gender]]="others",R1627&lt;40),"Obese")</f>
        <v>Fitnesss</v>
      </c>
      <c r="R1627" s="8">
        <v>22.5</v>
      </c>
      <c r="S1627" s="8">
        <v>3.5</v>
      </c>
      <c r="T1627" s="8">
        <v>4</v>
      </c>
      <c r="U1627" s="8">
        <v>2</v>
      </c>
      <c r="V1627" s="8" t="str">
        <f>IF(Table13[[#This Row],[BMI]]&lt;=18.5,"Underweight",IF(Table13[[#This Row],[BMI]]&lt;=24.9,"Normal",IF(Table13[[#This Row],[BMI]]&lt;=29.9,"Overweight",IF(Table13[[#This Row],[BMI]]&lt;=39,"Obese","Severly Obese"))))</f>
        <v>Underweight</v>
      </c>
      <c r="W1627" s="18">
        <v>17.3</v>
      </c>
    </row>
    <row r="1628" spans="6:23" x14ac:dyDescent="0.3">
      <c r="F1628" s="17">
        <v>27</v>
      </c>
      <c r="G1628" s="8" t="str">
        <f>IF(Table13[[#This Row],[Age]]&lt;25,"18-24",IF(Table13[[#This Row],[Age]]&lt;35,"25-34",IF(Table13[[#This Row],[Age]]&lt;45,"35-44",IF(Table13[[#This Row],[Age]]&lt;55,"45-54","55-64"))))</f>
        <v>25-34</v>
      </c>
      <c r="H1628" s="8" t="s">
        <v>19</v>
      </c>
      <c r="I1628" s="8">
        <v>64.2</v>
      </c>
      <c r="J1628" s="8">
        <v>1.89</v>
      </c>
      <c r="K1628" s="8">
        <v>188</v>
      </c>
      <c r="L1628" s="8">
        <v>143</v>
      </c>
      <c r="M1628" s="8">
        <v>51</v>
      </c>
      <c r="N1628" s="8">
        <v>2</v>
      </c>
      <c r="O1628" s="8">
        <v>1662</v>
      </c>
      <c r="P1628" s="8" t="s">
        <v>18</v>
      </c>
      <c r="Q1628" s="8" t="str">
        <f>_xlfn.IFS(AND(Table13[[#This Row],[Gender]]="female",R1628&lt;20),"Athletes",AND(Table13[[#This Row],[Gender]]="female",R1628&lt;24),"Fitnesss",AND(Table13[[#This Row],[Gender]]="female",R1628&lt;31),"Acceptable",AND(Table13[[#This Row],[Gender]]="female",R1628&lt;40),"Obese",AND(Table13[[#This Row],[Gender]]="male",R1628&lt;13),"Athletes",AND(Table13[[#This Row],[Gender]]="male",R1628&lt;17),"Fitnesss",AND(Table13[[#This Row],[Gender]]="male",R1628&lt;24.9),"Acceptable",AND(Table13[[#This Row],[Gender]]="male",R1628&lt;40),"Obese",AND(Table13[[#This Row],[Gender]]="others",R1628&lt;20),"Athletes",AND(Table13[[#This Row],[Gender]]="others",R1628&lt;24),"Fitnesss",AND(Table13[[#This Row],[Gender]]="others",R1628&lt;31),"Acceptable",AND(Table13[[#This Row],[Gender]]="others",R1628&lt;40),"Obese")</f>
        <v>Acceptable</v>
      </c>
      <c r="R1628" s="8">
        <v>23</v>
      </c>
      <c r="S1628" s="8">
        <v>3.1</v>
      </c>
      <c r="T1628" s="8">
        <v>4</v>
      </c>
      <c r="U1628" s="8">
        <v>2</v>
      </c>
      <c r="V1628" s="8" t="str">
        <f>IF(Table13[[#This Row],[BMI]]&lt;=18.5,"Underweight",IF(Table13[[#This Row],[BMI]]&lt;=24.9,"Normal",IF(Table13[[#This Row],[BMI]]&lt;=29.9,"Overweight",IF(Table13[[#This Row],[BMI]]&lt;=39,"Obese","Severly Obese"))))</f>
        <v>Underweight</v>
      </c>
      <c r="W1628" s="18">
        <v>17.41</v>
      </c>
    </row>
    <row r="1629" spans="6:23" x14ac:dyDescent="0.3">
      <c r="F1629" s="17">
        <v>38</v>
      </c>
      <c r="G1629" s="8" t="str">
        <f>IF(Table13[[#This Row],[Age]]&lt;25,"18-24",IF(Table13[[#This Row],[Age]]&lt;35,"25-34",IF(Table13[[#This Row],[Age]]&lt;45,"35-44",IF(Table13[[#This Row],[Age]]&lt;55,"45-54","55-64"))))</f>
        <v>35-44</v>
      </c>
      <c r="H1629" s="8" t="s">
        <v>19</v>
      </c>
      <c r="I1629" s="8">
        <v>76.7</v>
      </c>
      <c r="J1629" s="8">
        <v>1.99</v>
      </c>
      <c r="K1629" s="8">
        <v>192</v>
      </c>
      <c r="L1629" s="8">
        <v>131</v>
      </c>
      <c r="M1629" s="8">
        <v>74</v>
      </c>
      <c r="N1629" s="8">
        <v>1.1399999999999999</v>
      </c>
      <c r="O1629" s="8">
        <v>1263</v>
      </c>
      <c r="P1629" s="8" t="s">
        <v>18</v>
      </c>
      <c r="Q1629" s="8" t="str">
        <f>_xlfn.IFS(AND(Table13[[#This Row],[Gender]]="female",R1629&lt;20),"Athletes",AND(Table13[[#This Row],[Gender]]="female",R1629&lt;24),"Fitnesss",AND(Table13[[#This Row],[Gender]]="female",R1629&lt;31),"Acceptable",AND(Table13[[#This Row],[Gender]]="female",R1629&lt;40),"Obese",AND(Table13[[#This Row],[Gender]]="male",R1629&lt;13),"Athletes",AND(Table13[[#This Row],[Gender]]="male",R1629&lt;17),"Fitnesss",AND(Table13[[#This Row],[Gender]]="male",R1629&lt;24.9),"Acceptable",AND(Table13[[#This Row],[Gender]]="male",R1629&lt;40),"Obese",AND(Table13[[#This Row],[Gender]]="others",R1629&lt;20),"Athletes",AND(Table13[[#This Row],[Gender]]="others",R1629&lt;24),"Fitnesss",AND(Table13[[#This Row],[Gender]]="others",R1629&lt;31),"Acceptable",AND(Table13[[#This Row],[Gender]]="others",R1629&lt;40),"Obese")</f>
        <v>Obese</v>
      </c>
      <c r="R1629" s="8">
        <v>28.3</v>
      </c>
      <c r="S1629" s="8">
        <v>1.6</v>
      </c>
      <c r="T1629" s="8">
        <v>5</v>
      </c>
      <c r="U1629" s="8">
        <v>1</v>
      </c>
      <c r="V1629" s="8" t="str">
        <f>IF(Table13[[#This Row],[BMI]]&lt;=18.5,"Underweight",IF(Table13[[#This Row],[BMI]]&lt;=24.9,"Normal",IF(Table13[[#This Row],[BMI]]&lt;=29.9,"Overweight",IF(Table13[[#This Row],[BMI]]&lt;=39,"Obese","Severly Obese"))))</f>
        <v>Underweight</v>
      </c>
      <c r="W1629" s="18">
        <v>14.98</v>
      </c>
    </row>
    <row r="1630" spans="6:23" x14ac:dyDescent="0.3">
      <c r="F1630" s="17">
        <v>51</v>
      </c>
      <c r="G1630" s="8" t="str">
        <f>IF(Table13[[#This Row],[Age]]&lt;25,"18-24",IF(Table13[[#This Row],[Age]]&lt;35,"25-34",IF(Table13[[#This Row],[Age]]&lt;45,"35-44",IF(Table13[[#This Row],[Age]]&lt;55,"45-54","55-64"))))</f>
        <v>45-54</v>
      </c>
      <c r="H1630" s="8" t="s">
        <v>19</v>
      </c>
      <c r="I1630" s="8">
        <v>100.2</v>
      </c>
      <c r="J1630" s="8"/>
      <c r="K1630" s="8">
        <v>164</v>
      </c>
      <c r="L1630" s="8">
        <v>153</v>
      </c>
      <c r="M1630" s="8">
        <v>72</v>
      </c>
      <c r="N1630" s="8">
        <v>1.1599999999999999</v>
      </c>
      <c r="O1630" s="8">
        <v>1499</v>
      </c>
      <c r="P1630" s="8" t="s">
        <v>22</v>
      </c>
      <c r="Q1630" s="8" t="str">
        <f>_xlfn.IFS(AND(Table13[[#This Row],[Gender]]="female",R1630&lt;20),"Athletes",AND(Table13[[#This Row],[Gender]]="female",R1630&lt;24),"Fitnesss",AND(Table13[[#This Row],[Gender]]="female",R1630&lt;31),"Acceptable",AND(Table13[[#This Row],[Gender]]="female",R1630&lt;40),"Obese",AND(Table13[[#This Row],[Gender]]="male",R1630&lt;13),"Athletes",AND(Table13[[#This Row],[Gender]]="male",R1630&lt;17),"Fitnesss",AND(Table13[[#This Row],[Gender]]="male",R1630&lt;24.9),"Acceptable",AND(Table13[[#This Row],[Gender]]="male",R1630&lt;40),"Obese",AND(Table13[[#This Row],[Gender]]="others",R1630&lt;20),"Athletes",AND(Table13[[#This Row],[Gender]]="others",R1630&lt;24),"Fitnesss",AND(Table13[[#This Row],[Gender]]="others",R1630&lt;31),"Acceptable",AND(Table13[[#This Row],[Gender]]="others",R1630&lt;40),"Obese")</f>
        <v>Athletes</v>
      </c>
      <c r="R1630" s="8">
        <v>10</v>
      </c>
      <c r="S1630" s="8">
        <v>1.7</v>
      </c>
      <c r="T1630" s="8">
        <v>4</v>
      </c>
      <c r="U1630" s="8">
        <v>1</v>
      </c>
      <c r="V1630" s="8" t="str">
        <f>IF(Table13[[#This Row],[BMI]]&lt;=18.5,"Underweight",IF(Table13[[#This Row],[BMI]]&lt;=24.9,"Normal",IF(Table13[[#This Row],[BMI]]&lt;=29.9,"Overweight",IF(Table13[[#This Row],[BMI]]&lt;=39,"Obese","Severly Obese"))))</f>
        <v>Underweight</v>
      </c>
      <c r="W1630" s="18">
        <v>16.37</v>
      </c>
    </row>
    <row r="1631" spans="6:23" x14ac:dyDescent="0.3">
      <c r="F1631" s="17">
        <v>54</v>
      </c>
      <c r="G1631" s="8" t="str">
        <f>IF(Table13[[#This Row],[Age]]&lt;25,"18-24",IF(Table13[[#This Row],[Age]]&lt;35,"25-34",IF(Table13[[#This Row],[Age]]&lt;45,"35-44",IF(Table13[[#This Row],[Age]]&lt;55,"45-54","55-64"))))</f>
        <v>45-54</v>
      </c>
      <c r="H1631" s="8" t="s">
        <v>17</v>
      </c>
      <c r="I1631" s="8">
        <v>58.1</v>
      </c>
      <c r="J1631" s="8">
        <v>1.57</v>
      </c>
      <c r="K1631" s="8">
        <v>182</v>
      </c>
      <c r="L1631" s="8">
        <v>169</v>
      </c>
      <c r="M1631" s="8">
        <v>74</v>
      </c>
      <c r="N1631" s="8">
        <v>1.59</v>
      </c>
      <c r="O1631" s="8">
        <v>649</v>
      </c>
      <c r="P1631" s="8" t="s">
        <v>20</v>
      </c>
      <c r="Q1631" s="8" t="str">
        <f>_xlfn.IFS(AND(Table13[[#This Row],[Gender]]="female",R1631&lt;20),"Athletes",AND(Table13[[#This Row],[Gender]]="female",R1631&lt;24),"Fitnesss",AND(Table13[[#This Row],[Gender]]="female",R1631&lt;31),"Acceptable",AND(Table13[[#This Row],[Gender]]="female",R1631&lt;40),"Obese",AND(Table13[[#This Row],[Gender]]="male",R1631&lt;13),"Athletes",AND(Table13[[#This Row],[Gender]]="male",R1631&lt;17),"Fitnesss",AND(Table13[[#This Row],[Gender]]="male",R1631&lt;24.9),"Acceptable",AND(Table13[[#This Row],[Gender]]="male",R1631&lt;40),"Obese",AND(Table13[[#This Row],[Gender]]="others",R1631&lt;20),"Athletes",AND(Table13[[#This Row],[Gender]]="others",R1631&lt;24),"Fitnesss",AND(Table13[[#This Row],[Gender]]="others",R1631&lt;31),"Acceptable",AND(Table13[[#This Row],[Gender]]="others",R1631&lt;40),"Obese")</f>
        <v>Athletes</v>
      </c>
      <c r="R1631" s="8">
        <v>19.7</v>
      </c>
      <c r="S1631" s="8">
        <v>3.4</v>
      </c>
      <c r="T1631" s="8">
        <v>3</v>
      </c>
      <c r="U1631" s="8">
        <v>2</v>
      </c>
      <c r="V1631" s="8" t="str">
        <f>IF(Table13[[#This Row],[BMI]]&lt;=18.5,"Underweight",IF(Table13[[#This Row],[BMI]]&lt;=24.9,"Normal",IF(Table13[[#This Row],[BMI]]&lt;=29.9,"Overweight",IF(Table13[[#This Row],[BMI]]&lt;=39,"Obese","Severly Obese"))))</f>
        <v>Normal</v>
      </c>
      <c r="W1631" s="18">
        <v>23.19</v>
      </c>
    </row>
    <row r="1632" spans="6:23" x14ac:dyDescent="0.3">
      <c r="F1632" s="17">
        <v>33</v>
      </c>
      <c r="G1632" s="8" t="str">
        <f>IF(Table13[[#This Row],[Age]]&lt;25,"18-24",IF(Table13[[#This Row],[Age]]&lt;35,"25-34",IF(Table13[[#This Row],[Age]]&lt;45,"35-44",IF(Table13[[#This Row],[Age]]&lt;55,"45-54","55-64"))))</f>
        <v>25-34</v>
      </c>
      <c r="H1632" s="8" t="s">
        <v>17</v>
      </c>
      <c r="I1632" s="8">
        <v>58.2</v>
      </c>
      <c r="J1632" s="8">
        <v>1.62</v>
      </c>
      <c r="K1632" s="8">
        <v>170</v>
      </c>
      <c r="L1632" s="8">
        <v>163</v>
      </c>
      <c r="M1632" s="8">
        <v>60</v>
      </c>
      <c r="N1632" s="8">
        <v>1.21</v>
      </c>
      <c r="O1632" s="8">
        <v>1524</v>
      </c>
      <c r="P1632" s="8" t="s">
        <v>20</v>
      </c>
      <c r="Q1632" s="8" t="str">
        <f>_xlfn.IFS(AND(Table13[[#This Row],[Gender]]="female",R1632&lt;20),"Athletes",AND(Table13[[#This Row],[Gender]]="female",R1632&lt;24),"Fitnesss",AND(Table13[[#This Row],[Gender]]="female",R1632&lt;31),"Acceptable",AND(Table13[[#This Row],[Gender]]="female",R1632&lt;40),"Obese",AND(Table13[[#This Row],[Gender]]="male",R1632&lt;13),"Athletes",AND(Table13[[#This Row],[Gender]]="male",R1632&lt;17),"Fitnesss",AND(Table13[[#This Row],[Gender]]="male",R1632&lt;24.9),"Acceptable",AND(Table13[[#This Row],[Gender]]="male",R1632&lt;40),"Obese",AND(Table13[[#This Row],[Gender]]="others",R1632&lt;20),"Athletes",AND(Table13[[#This Row],[Gender]]="others",R1632&lt;24),"Fitnesss",AND(Table13[[#This Row],[Gender]]="others",R1632&lt;31),"Acceptable",AND(Table13[[#This Row],[Gender]]="others",R1632&lt;40),"Obese")</f>
        <v>Acceptable</v>
      </c>
      <c r="R1632" s="8">
        <v>26.5</v>
      </c>
      <c r="S1632" s="8">
        <v>2.8</v>
      </c>
      <c r="T1632" s="8">
        <v>3</v>
      </c>
      <c r="U1632" s="8">
        <v>2</v>
      </c>
      <c r="V1632" s="8" t="str">
        <f>IF(Table13[[#This Row],[BMI]]&lt;=18.5,"Underweight",IF(Table13[[#This Row],[BMI]]&lt;=24.9,"Normal",IF(Table13[[#This Row],[BMI]]&lt;=29.9,"Overweight",IF(Table13[[#This Row],[BMI]]&lt;=39,"Obese","Severly Obese"))))</f>
        <v>Underweight</v>
      </c>
      <c r="W1632" s="18">
        <v>12.32</v>
      </c>
    </row>
    <row r="1633" spans="6:23" x14ac:dyDescent="0.3">
      <c r="F1633" s="17">
        <v>30</v>
      </c>
      <c r="G1633" s="8" t="str">
        <f>IF(Table13[[#This Row],[Age]]&lt;25,"18-24",IF(Table13[[#This Row],[Age]]&lt;35,"25-34",IF(Table13[[#This Row],[Age]]&lt;45,"35-44",IF(Table13[[#This Row],[Age]]&lt;55,"45-54","55-64"))))</f>
        <v>25-34</v>
      </c>
      <c r="H1633" s="8" t="s">
        <v>19</v>
      </c>
      <c r="I1633" s="8">
        <v>80.099999999999994</v>
      </c>
      <c r="J1633" s="8"/>
      <c r="K1633" s="8">
        <v>192</v>
      </c>
      <c r="L1633" s="8">
        <v>153</v>
      </c>
      <c r="M1633" s="8">
        <v>50</v>
      </c>
      <c r="N1633" s="8">
        <v>0.55000000000000004</v>
      </c>
      <c r="O1633" s="8">
        <v>1222</v>
      </c>
      <c r="P1633" s="8" t="s">
        <v>18</v>
      </c>
      <c r="Q1633" s="8" t="str">
        <f>_xlfn.IFS(AND(Table13[[#This Row],[Gender]]="female",R1633&lt;20),"Athletes",AND(Table13[[#This Row],[Gender]]="female",R1633&lt;24),"Fitnesss",AND(Table13[[#This Row],[Gender]]="female",R1633&lt;31),"Acceptable",AND(Table13[[#This Row],[Gender]]="female",R1633&lt;40),"Obese",AND(Table13[[#This Row],[Gender]]="male",R1633&lt;13),"Athletes",AND(Table13[[#This Row],[Gender]]="male",R1633&lt;17),"Fitnesss",AND(Table13[[#This Row],[Gender]]="male",R1633&lt;24.9),"Acceptable",AND(Table13[[#This Row],[Gender]]="male",R1633&lt;40),"Obese",AND(Table13[[#This Row],[Gender]]="others",R1633&lt;20),"Athletes",AND(Table13[[#This Row],[Gender]]="others",R1633&lt;24),"Fitnesss",AND(Table13[[#This Row],[Gender]]="others",R1633&lt;31),"Acceptable",AND(Table13[[#This Row],[Gender]]="others",R1633&lt;40),"Obese")</f>
        <v>Obese</v>
      </c>
      <c r="R1633" s="8">
        <v>31.7</v>
      </c>
      <c r="S1633" s="8">
        <v>1.5</v>
      </c>
      <c r="T1633" s="8">
        <v>3</v>
      </c>
      <c r="U1633" s="8">
        <v>1</v>
      </c>
      <c r="V1633" s="8" t="str">
        <f>IF(Table13[[#This Row],[BMI]]&lt;=18.5,"Underweight",IF(Table13[[#This Row],[BMI]]&lt;=24.9,"Normal",IF(Table13[[#This Row],[BMI]]&lt;=29.9,"Overweight",IF(Table13[[#This Row],[BMI]]&lt;=39,"Obese","Severly Obese"))))</f>
        <v>Normal</v>
      </c>
      <c r="W1633" s="18">
        <v>19.510000000000002</v>
      </c>
    </row>
    <row r="1634" spans="6:23" x14ac:dyDescent="0.3">
      <c r="F1634" s="17">
        <v>46</v>
      </c>
      <c r="G1634" s="8" t="str">
        <f>IF(Table13[[#This Row],[Age]]&lt;25,"18-24",IF(Table13[[#This Row],[Age]]&lt;35,"25-34",IF(Table13[[#This Row],[Age]]&lt;45,"35-44",IF(Table13[[#This Row],[Age]]&lt;55,"45-54","55-64"))))</f>
        <v>45-54</v>
      </c>
      <c r="H1634" s="8" t="s">
        <v>19</v>
      </c>
      <c r="I1634" s="8">
        <v>55.1</v>
      </c>
      <c r="J1634" s="8">
        <v>1.62</v>
      </c>
      <c r="K1634" s="8">
        <v>170</v>
      </c>
      <c r="L1634" s="8">
        <v>166</v>
      </c>
      <c r="M1634" s="8">
        <v>52</v>
      </c>
      <c r="N1634" s="8">
        <v>1.03</v>
      </c>
      <c r="O1634" s="8">
        <v>1370</v>
      </c>
      <c r="P1634" s="8" t="s">
        <v>20</v>
      </c>
      <c r="Q1634" s="8" t="str">
        <f>_xlfn.IFS(AND(Table13[[#This Row],[Gender]]="female",R1634&lt;20),"Athletes",AND(Table13[[#This Row],[Gender]]="female",R1634&lt;24),"Fitnesss",AND(Table13[[#This Row],[Gender]]="female",R1634&lt;31),"Acceptable",AND(Table13[[#This Row],[Gender]]="female",R1634&lt;40),"Obese",AND(Table13[[#This Row],[Gender]]="male",R1634&lt;13),"Athletes",AND(Table13[[#This Row],[Gender]]="male",R1634&lt;17),"Fitnesss",AND(Table13[[#This Row],[Gender]]="male",R1634&lt;24.9),"Acceptable",AND(Table13[[#This Row],[Gender]]="male",R1634&lt;40),"Obese",AND(Table13[[#This Row],[Gender]]="others",R1634&lt;20),"Athletes",AND(Table13[[#This Row],[Gender]]="others",R1634&lt;24),"Fitnesss",AND(Table13[[#This Row],[Gender]]="others",R1634&lt;31),"Acceptable",AND(Table13[[#This Row],[Gender]]="others",R1634&lt;40),"Obese")</f>
        <v>Obese</v>
      </c>
      <c r="R1634" s="8">
        <v>34.4</v>
      </c>
      <c r="S1634" s="8">
        <v>1.8</v>
      </c>
      <c r="T1634" s="8">
        <v>2</v>
      </c>
      <c r="U1634" s="8">
        <v>1</v>
      </c>
      <c r="V1634" s="8" t="str">
        <f>IF(Table13[[#This Row],[BMI]]&lt;=18.5,"Underweight",IF(Table13[[#This Row],[BMI]]&lt;=24.9,"Normal",IF(Table13[[#This Row],[BMI]]&lt;=29.9,"Overweight",IF(Table13[[#This Row],[BMI]]&lt;=39,"Obese","Severly Obese"))))</f>
        <v>Overweight</v>
      </c>
      <c r="W1634" s="18">
        <v>26.04</v>
      </c>
    </row>
    <row r="1635" spans="6:23" x14ac:dyDescent="0.3">
      <c r="F1635" s="17">
        <v>32</v>
      </c>
      <c r="G1635" s="8" t="str">
        <f>IF(Table13[[#This Row],[Age]]&lt;25,"18-24",IF(Table13[[#This Row],[Age]]&lt;35,"25-34",IF(Table13[[#This Row],[Age]]&lt;45,"35-44",IF(Table13[[#This Row],[Age]]&lt;55,"45-54","55-64"))))</f>
        <v>25-34</v>
      </c>
      <c r="H1635" s="8" t="s">
        <v>17</v>
      </c>
      <c r="I1635" s="8">
        <v>51.2</v>
      </c>
      <c r="J1635" s="8">
        <v>1.9</v>
      </c>
      <c r="K1635" s="8">
        <v>162</v>
      </c>
      <c r="L1635" s="8">
        <v>160</v>
      </c>
      <c r="M1635" s="8">
        <v>60</v>
      </c>
      <c r="N1635" s="8">
        <v>1.25</v>
      </c>
      <c r="O1635" s="8">
        <v>988</v>
      </c>
      <c r="P1635" s="8" t="s">
        <v>20</v>
      </c>
      <c r="Q1635" s="8" t="str">
        <f>_xlfn.IFS(AND(Table13[[#This Row],[Gender]]="female",R1635&lt;20),"Athletes",AND(Table13[[#This Row],[Gender]]="female",R1635&lt;24),"Fitnesss",AND(Table13[[#This Row],[Gender]]="female",R1635&lt;31),"Acceptable",AND(Table13[[#This Row],[Gender]]="female",R1635&lt;40),"Obese",AND(Table13[[#This Row],[Gender]]="male",R1635&lt;13),"Athletes",AND(Table13[[#This Row],[Gender]]="male",R1635&lt;17),"Fitnesss",AND(Table13[[#This Row],[Gender]]="male",R1635&lt;24.9),"Acceptable",AND(Table13[[#This Row],[Gender]]="male",R1635&lt;40),"Obese",AND(Table13[[#This Row],[Gender]]="others",R1635&lt;20),"Athletes",AND(Table13[[#This Row],[Gender]]="others",R1635&lt;24),"Fitnesss",AND(Table13[[#This Row],[Gender]]="others",R1635&lt;31),"Acceptable",AND(Table13[[#This Row],[Gender]]="others",R1635&lt;40),"Obese")</f>
        <v>Fitnesss</v>
      </c>
      <c r="R1635" s="8">
        <v>21.6</v>
      </c>
      <c r="S1635" s="8">
        <v>2.5</v>
      </c>
      <c r="T1635" s="8">
        <v>3</v>
      </c>
      <c r="U1635" s="8">
        <v>2</v>
      </c>
      <c r="V1635" s="8" t="str">
        <f>IF(Table13[[#This Row],[BMI]]&lt;=18.5,"Underweight",IF(Table13[[#This Row],[BMI]]&lt;=24.9,"Normal",IF(Table13[[#This Row],[BMI]]&lt;=29.9,"Overweight",IF(Table13[[#This Row],[BMI]]&lt;=39,"Obese","Severly Obese"))))</f>
        <v>Normal</v>
      </c>
      <c r="W1635" s="18">
        <v>22.51</v>
      </c>
    </row>
    <row r="1636" spans="6:23" x14ac:dyDescent="0.3">
      <c r="F1636" s="17">
        <v>43</v>
      </c>
      <c r="G1636" s="8" t="str">
        <f>IF(Table13[[#This Row],[Age]]&lt;25,"18-24",IF(Table13[[#This Row],[Age]]&lt;35,"25-34",IF(Table13[[#This Row],[Age]]&lt;45,"35-44",IF(Table13[[#This Row],[Age]]&lt;55,"45-54","55-64"))))</f>
        <v>35-44</v>
      </c>
      <c r="H1636" s="8" t="s">
        <v>19</v>
      </c>
      <c r="I1636" s="8">
        <v>40</v>
      </c>
      <c r="J1636" s="8">
        <v>1.95</v>
      </c>
      <c r="K1636" s="8">
        <v>162</v>
      </c>
      <c r="L1636" s="8">
        <v>138</v>
      </c>
      <c r="M1636" s="8">
        <v>58</v>
      </c>
      <c r="N1636" s="8">
        <v>2</v>
      </c>
      <c r="O1636" s="8">
        <v>918</v>
      </c>
      <c r="P1636" s="8" t="s">
        <v>22</v>
      </c>
      <c r="Q1636" s="8" t="str">
        <f>_xlfn.IFS(AND(Table13[[#This Row],[Gender]]="female",R1636&lt;20),"Athletes",AND(Table13[[#This Row],[Gender]]="female",R1636&lt;24),"Fitnesss",AND(Table13[[#This Row],[Gender]]="female",R1636&lt;31),"Acceptable",AND(Table13[[#This Row],[Gender]]="female",R1636&lt;40),"Obese",AND(Table13[[#This Row],[Gender]]="male",R1636&lt;13),"Athletes",AND(Table13[[#This Row],[Gender]]="male",R1636&lt;17),"Fitnesss",AND(Table13[[#This Row],[Gender]]="male",R1636&lt;24.9),"Acceptable",AND(Table13[[#This Row],[Gender]]="male",R1636&lt;40),"Obese",AND(Table13[[#This Row],[Gender]]="others",R1636&lt;20),"Athletes",AND(Table13[[#This Row],[Gender]]="others",R1636&lt;24),"Fitnesss",AND(Table13[[#This Row],[Gender]]="others",R1636&lt;31),"Acceptable",AND(Table13[[#This Row],[Gender]]="others",R1636&lt;40),"Obese")</f>
        <v>Obese</v>
      </c>
      <c r="R1636" s="8">
        <v>26.4</v>
      </c>
      <c r="S1636" s="8">
        <v>1.8</v>
      </c>
      <c r="T1636" s="8">
        <v>4</v>
      </c>
      <c r="U1636" s="8">
        <v>2</v>
      </c>
      <c r="V1636" s="8" t="str">
        <f>IF(Table13[[#This Row],[BMI]]&lt;=18.5,"Underweight",IF(Table13[[#This Row],[BMI]]&lt;=24.9,"Normal",IF(Table13[[#This Row],[BMI]]&lt;=29.9,"Overweight",IF(Table13[[#This Row],[BMI]]&lt;=39,"Obese","Severly Obese"))))</f>
        <v>Normal</v>
      </c>
      <c r="W1636" s="18">
        <v>18.66</v>
      </c>
    </row>
    <row r="1637" spans="6:23" x14ac:dyDescent="0.3">
      <c r="F1637" s="17">
        <v>42</v>
      </c>
      <c r="G1637" s="8" t="str">
        <f>IF(Table13[[#This Row],[Age]]&lt;25,"18-24",IF(Table13[[#This Row],[Age]]&lt;35,"25-34",IF(Table13[[#This Row],[Age]]&lt;45,"35-44",IF(Table13[[#This Row],[Age]]&lt;55,"45-54","55-64"))))</f>
        <v>35-44</v>
      </c>
      <c r="H1637" s="8" t="s">
        <v>19</v>
      </c>
      <c r="I1637" s="8">
        <v>45.3</v>
      </c>
      <c r="J1637" s="8">
        <v>1.53</v>
      </c>
      <c r="K1637" s="8">
        <v>193</v>
      </c>
      <c r="L1637" s="8">
        <v>128</v>
      </c>
      <c r="M1637" s="8">
        <v>74</v>
      </c>
      <c r="N1637" s="8">
        <v>1.05</v>
      </c>
      <c r="O1637" s="8">
        <v>810</v>
      </c>
      <c r="P1637" s="8" t="s">
        <v>23</v>
      </c>
      <c r="Q1637" s="8" t="str">
        <f>_xlfn.IFS(AND(Table13[[#This Row],[Gender]]="female",R1637&lt;20),"Athletes",AND(Table13[[#This Row],[Gender]]="female",R1637&lt;24),"Fitnesss",AND(Table13[[#This Row],[Gender]]="female",R1637&lt;31),"Acceptable",AND(Table13[[#This Row],[Gender]]="female",R1637&lt;40),"Obese",AND(Table13[[#This Row],[Gender]]="male",R1637&lt;13),"Athletes",AND(Table13[[#This Row],[Gender]]="male",R1637&lt;17),"Fitnesss",AND(Table13[[#This Row],[Gender]]="male",R1637&lt;24.9),"Acceptable",AND(Table13[[#This Row],[Gender]]="male",R1637&lt;40),"Obese",AND(Table13[[#This Row],[Gender]]="others",R1637&lt;20),"Athletes",AND(Table13[[#This Row],[Gender]]="others",R1637&lt;24),"Fitnesss",AND(Table13[[#This Row],[Gender]]="others",R1637&lt;31),"Acceptable",AND(Table13[[#This Row],[Gender]]="others",R1637&lt;40),"Obese")</f>
        <v>Acceptable</v>
      </c>
      <c r="R1637" s="8">
        <v>21.1</v>
      </c>
      <c r="S1637" s="8">
        <v>2.4</v>
      </c>
      <c r="T1637" s="8">
        <v>2</v>
      </c>
      <c r="U1637" s="8">
        <v>2</v>
      </c>
      <c r="V1637" s="8" t="str">
        <f>IF(Table13[[#This Row],[BMI]]&lt;=18.5,"Underweight",IF(Table13[[#This Row],[BMI]]&lt;=24.9,"Normal",IF(Table13[[#This Row],[BMI]]&lt;=29.9,"Overweight",IF(Table13[[#This Row],[BMI]]&lt;=39,"Obese","Severly Obese"))))</f>
        <v>Underweight</v>
      </c>
      <c r="W1637" s="18">
        <v>17.18</v>
      </c>
    </row>
    <row r="1638" spans="6:23" x14ac:dyDescent="0.3">
      <c r="F1638" s="17">
        <v>22</v>
      </c>
      <c r="G1638" s="8" t="str">
        <f>IF(Table13[[#This Row],[Age]]&lt;25,"18-24",IF(Table13[[#This Row],[Age]]&lt;35,"25-34",IF(Table13[[#This Row],[Age]]&lt;45,"35-44",IF(Table13[[#This Row],[Age]]&lt;55,"45-54","55-64"))))</f>
        <v>18-24</v>
      </c>
      <c r="H1638" s="8" t="s">
        <v>17</v>
      </c>
      <c r="I1638" s="8">
        <v>54.1</v>
      </c>
      <c r="J1638" s="8">
        <v>1.76</v>
      </c>
      <c r="K1638" s="8">
        <v>178</v>
      </c>
      <c r="L1638" s="8">
        <v>127</v>
      </c>
      <c r="M1638" s="8">
        <v>65</v>
      </c>
      <c r="N1638" s="8">
        <v>1.42</v>
      </c>
      <c r="O1638" s="8">
        <v>501</v>
      </c>
      <c r="P1638" s="8" t="s">
        <v>18</v>
      </c>
      <c r="Q1638" s="8" t="str">
        <f>_xlfn.IFS(AND(Table13[[#This Row],[Gender]]="female",R1638&lt;20),"Athletes",AND(Table13[[#This Row],[Gender]]="female",R1638&lt;24),"Fitnesss",AND(Table13[[#This Row],[Gender]]="female",R1638&lt;31),"Acceptable",AND(Table13[[#This Row],[Gender]]="female",R1638&lt;40),"Obese",AND(Table13[[#This Row],[Gender]]="male",R1638&lt;13),"Athletes",AND(Table13[[#This Row],[Gender]]="male",R1638&lt;17),"Fitnesss",AND(Table13[[#This Row],[Gender]]="male",R1638&lt;24.9),"Acceptable",AND(Table13[[#This Row],[Gender]]="male",R1638&lt;40),"Obese",AND(Table13[[#This Row],[Gender]]="others",R1638&lt;20),"Athletes",AND(Table13[[#This Row],[Gender]]="others",R1638&lt;24),"Fitnesss",AND(Table13[[#This Row],[Gender]]="others",R1638&lt;31),"Acceptable",AND(Table13[[#This Row],[Gender]]="others",R1638&lt;40),"Obese")</f>
        <v>Acceptable</v>
      </c>
      <c r="R1638" s="8">
        <v>29.2</v>
      </c>
      <c r="S1638" s="8">
        <v>3.7</v>
      </c>
      <c r="T1638" s="8">
        <v>4</v>
      </c>
      <c r="U1638" s="8">
        <v>1</v>
      </c>
      <c r="V1638" s="8" t="str">
        <f>IF(Table13[[#This Row],[BMI]]&lt;=18.5,"Underweight",IF(Table13[[#This Row],[BMI]]&lt;=24.9,"Normal",IF(Table13[[#This Row],[BMI]]&lt;=29.9,"Overweight",IF(Table13[[#This Row],[BMI]]&lt;=39,"Obese","Severly Obese"))))</f>
        <v>Normal</v>
      </c>
      <c r="W1638" s="18">
        <v>22.15</v>
      </c>
    </row>
    <row r="1639" spans="6:23" x14ac:dyDescent="0.3">
      <c r="F1639" s="17">
        <v>24</v>
      </c>
      <c r="G1639" s="8" t="str">
        <f>IF(Table13[[#This Row],[Age]]&lt;25,"18-24",IF(Table13[[#This Row],[Age]]&lt;35,"25-34",IF(Table13[[#This Row],[Age]]&lt;45,"35-44",IF(Table13[[#This Row],[Age]]&lt;55,"45-54","55-64"))))</f>
        <v>18-24</v>
      </c>
      <c r="H1639" s="8" t="s">
        <v>19</v>
      </c>
      <c r="I1639" s="8">
        <v>58.8</v>
      </c>
      <c r="J1639" s="8">
        <v>1.89</v>
      </c>
      <c r="K1639" s="8">
        <v>163</v>
      </c>
      <c r="L1639" s="8">
        <v>150</v>
      </c>
      <c r="M1639" s="8">
        <v>73</v>
      </c>
      <c r="N1639" s="8">
        <v>1.28</v>
      </c>
      <c r="O1639" s="8">
        <v>800</v>
      </c>
      <c r="P1639" s="8" t="s">
        <v>18</v>
      </c>
      <c r="Q1639" s="8" t="str">
        <f>_xlfn.IFS(AND(Table13[[#This Row],[Gender]]="female",R1639&lt;20),"Athletes",AND(Table13[[#This Row],[Gender]]="female",R1639&lt;24),"Fitnesss",AND(Table13[[#This Row],[Gender]]="female",R1639&lt;31),"Acceptable",AND(Table13[[#This Row],[Gender]]="female",R1639&lt;40),"Obese",AND(Table13[[#This Row],[Gender]]="male",R1639&lt;13),"Athletes",AND(Table13[[#This Row],[Gender]]="male",R1639&lt;17),"Fitnesss",AND(Table13[[#This Row],[Gender]]="male",R1639&lt;24.9),"Acceptable",AND(Table13[[#This Row],[Gender]]="male",R1639&lt;40),"Obese",AND(Table13[[#This Row],[Gender]]="others",R1639&lt;20),"Athletes",AND(Table13[[#This Row],[Gender]]="others",R1639&lt;24),"Fitnesss",AND(Table13[[#This Row],[Gender]]="others",R1639&lt;31),"Acceptable",AND(Table13[[#This Row],[Gender]]="others",R1639&lt;40),"Obese")</f>
        <v>Obese</v>
      </c>
      <c r="R1639" s="8">
        <v>27.1</v>
      </c>
      <c r="S1639" s="8">
        <v>2.5</v>
      </c>
      <c r="T1639" s="8">
        <v>2</v>
      </c>
      <c r="U1639" s="8">
        <v>2</v>
      </c>
      <c r="V1639" s="8" t="str">
        <f>IF(Table13[[#This Row],[BMI]]&lt;=18.5,"Underweight",IF(Table13[[#This Row],[BMI]]&lt;=24.9,"Normal",IF(Table13[[#This Row],[BMI]]&lt;=29.9,"Overweight",IF(Table13[[#This Row],[BMI]]&lt;=39,"Obese","Severly Obese"))))</f>
        <v>Underweight</v>
      </c>
      <c r="W1639" s="18">
        <v>15.86</v>
      </c>
    </row>
    <row r="1640" spans="6:23" x14ac:dyDescent="0.3">
      <c r="F1640" s="17">
        <v>36</v>
      </c>
      <c r="G1640" s="8" t="str">
        <f>IF(Table13[[#This Row],[Age]]&lt;25,"18-24",IF(Table13[[#This Row],[Age]]&lt;35,"25-34",IF(Table13[[#This Row],[Age]]&lt;45,"35-44",IF(Table13[[#This Row],[Age]]&lt;55,"45-54","55-64"))))</f>
        <v>35-44</v>
      </c>
      <c r="H1640" s="8" t="s">
        <v>23</v>
      </c>
      <c r="I1640" s="8">
        <v>55.5</v>
      </c>
      <c r="J1640" s="8">
        <v>1.69</v>
      </c>
      <c r="K1640" s="8">
        <v>198</v>
      </c>
      <c r="L1640" s="8">
        <v>132</v>
      </c>
      <c r="M1640" s="8">
        <v>71</v>
      </c>
      <c r="N1640" s="8">
        <v>1.85</v>
      </c>
      <c r="O1640" s="8">
        <v>1590</v>
      </c>
      <c r="P1640" s="8" t="s">
        <v>20</v>
      </c>
      <c r="Q1640" s="8" t="str">
        <f>_xlfn.IFS(AND(Table13[[#This Row],[Gender]]="female",R1640&lt;20),"Athletes",AND(Table13[[#This Row],[Gender]]="female",R1640&lt;24),"Fitnesss",AND(Table13[[#This Row],[Gender]]="female",R1640&lt;31),"Acceptable",AND(Table13[[#This Row],[Gender]]="female",R1640&lt;40),"Obese",AND(Table13[[#This Row],[Gender]]="male",R1640&lt;13),"Athletes",AND(Table13[[#This Row],[Gender]]="male",R1640&lt;17),"Fitnesss",AND(Table13[[#This Row],[Gender]]="male",R1640&lt;24.9),"Acceptable",AND(Table13[[#This Row],[Gender]]="male",R1640&lt;40),"Obese",AND(Table13[[#This Row],[Gender]]="others",R1640&lt;20),"Athletes",AND(Table13[[#This Row],[Gender]]="others",R1640&lt;24),"Fitnesss",AND(Table13[[#This Row],[Gender]]="others",R1640&lt;31),"Acceptable",AND(Table13[[#This Row],[Gender]]="others",R1640&lt;40),"Obese")</f>
        <v>Athletes</v>
      </c>
      <c r="R1640" s="8">
        <v>15.3</v>
      </c>
      <c r="S1640" s="8">
        <v>2.2000000000000002</v>
      </c>
      <c r="T1640" s="8">
        <v>3</v>
      </c>
      <c r="U1640" s="8">
        <v>2</v>
      </c>
      <c r="V1640" s="8" t="str">
        <f>IF(Table13[[#This Row],[BMI]]&lt;=18.5,"Underweight",IF(Table13[[#This Row],[BMI]]&lt;=24.9,"Normal",IF(Table13[[#This Row],[BMI]]&lt;=29.9,"Overweight",IF(Table13[[#This Row],[BMI]]&lt;=39,"Obese","Severly Obese"))))</f>
        <v>Overweight</v>
      </c>
      <c r="W1640" s="18">
        <v>27.8</v>
      </c>
    </row>
    <row r="1641" spans="6:23" x14ac:dyDescent="0.3">
      <c r="F1641" s="17">
        <v>27</v>
      </c>
      <c r="G1641" s="8" t="str">
        <f>IF(Table13[[#This Row],[Age]]&lt;25,"18-24",IF(Table13[[#This Row],[Age]]&lt;35,"25-34",IF(Table13[[#This Row],[Age]]&lt;45,"35-44",IF(Table13[[#This Row],[Age]]&lt;55,"45-54","55-64"))))</f>
        <v>25-34</v>
      </c>
      <c r="H1641" s="8" t="s">
        <v>17</v>
      </c>
      <c r="I1641" s="8">
        <v>40</v>
      </c>
      <c r="J1641" s="8">
        <v>1.8</v>
      </c>
      <c r="K1641" s="8">
        <v>162</v>
      </c>
      <c r="L1641" s="8">
        <v>140</v>
      </c>
      <c r="M1641" s="8">
        <v>74</v>
      </c>
      <c r="N1641" s="8">
        <v>1.42</v>
      </c>
      <c r="O1641" s="8">
        <v>901</v>
      </c>
      <c r="P1641" s="8" t="s">
        <v>21</v>
      </c>
      <c r="Q1641" s="8" t="str">
        <f>_xlfn.IFS(AND(Table13[[#This Row],[Gender]]="female",R1641&lt;20),"Athletes",AND(Table13[[#This Row],[Gender]]="female",R1641&lt;24),"Fitnesss",AND(Table13[[#This Row],[Gender]]="female",R1641&lt;31),"Acceptable",AND(Table13[[#This Row],[Gender]]="female",R1641&lt;40),"Obese",AND(Table13[[#This Row],[Gender]]="male",R1641&lt;13),"Athletes",AND(Table13[[#This Row],[Gender]]="male",R1641&lt;17),"Fitnesss",AND(Table13[[#This Row],[Gender]]="male",R1641&lt;24.9),"Acceptable",AND(Table13[[#This Row],[Gender]]="male",R1641&lt;40),"Obese",AND(Table13[[#This Row],[Gender]]="others",R1641&lt;20),"Athletes",AND(Table13[[#This Row],[Gender]]="others",R1641&lt;24),"Fitnesss",AND(Table13[[#This Row],[Gender]]="others",R1641&lt;31),"Acceptable",AND(Table13[[#This Row],[Gender]]="others",R1641&lt;40),"Obese")</f>
        <v>Fitnesss</v>
      </c>
      <c r="R1641" s="8">
        <v>22.2</v>
      </c>
      <c r="S1641" s="8">
        <v>2.5</v>
      </c>
      <c r="T1641" s="8">
        <v>5</v>
      </c>
      <c r="U1641" s="8">
        <v>1</v>
      </c>
      <c r="V1641" s="8" t="str">
        <f>IF(Table13[[#This Row],[BMI]]&lt;=18.5,"Underweight",IF(Table13[[#This Row],[BMI]]&lt;=24.9,"Normal",IF(Table13[[#This Row],[BMI]]&lt;=29.9,"Overweight",IF(Table13[[#This Row],[BMI]]&lt;=39,"Obese","Severly Obese"))))</f>
        <v>Overweight</v>
      </c>
      <c r="W1641" s="18">
        <v>29.73</v>
      </c>
    </row>
    <row r="1642" spans="6:23" x14ac:dyDescent="0.3">
      <c r="F1642" s="17">
        <v>41</v>
      </c>
      <c r="G1642" s="8" t="str">
        <f>IF(Table13[[#This Row],[Age]]&lt;25,"18-24",IF(Table13[[#This Row],[Age]]&lt;35,"25-34",IF(Table13[[#This Row],[Age]]&lt;45,"35-44",IF(Table13[[#This Row],[Age]]&lt;55,"45-54","55-64"))))</f>
        <v>35-44</v>
      </c>
      <c r="H1642" s="8" t="s">
        <v>19</v>
      </c>
      <c r="I1642" s="8">
        <v>53</v>
      </c>
      <c r="J1642" s="8">
        <v>1.62</v>
      </c>
      <c r="K1642" s="8">
        <v>161</v>
      </c>
      <c r="L1642" s="8">
        <v>142</v>
      </c>
      <c r="M1642" s="8">
        <v>61</v>
      </c>
      <c r="N1642" s="8">
        <v>1.42</v>
      </c>
      <c r="O1642" s="8">
        <v>761</v>
      </c>
      <c r="P1642" s="8" t="s">
        <v>18</v>
      </c>
      <c r="Q1642" s="8" t="str">
        <f>_xlfn.IFS(AND(Table13[[#This Row],[Gender]]="female",R1642&lt;20),"Athletes",AND(Table13[[#This Row],[Gender]]="female",R1642&lt;24),"Fitnesss",AND(Table13[[#This Row],[Gender]]="female",R1642&lt;31),"Acceptable",AND(Table13[[#This Row],[Gender]]="female",R1642&lt;40),"Obese",AND(Table13[[#This Row],[Gender]]="male",R1642&lt;13),"Athletes",AND(Table13[[#This Row],[Gender]]="male",R1642&lt;17),"Fitnesss",AND(Table13[[#This Row],[Gender]]="male",R1642&lt;24.9),"Acceptable",AND(Table13[[#This Row],[Gender]]="male",R1642&lt;40),"Obese",AND(Table13[[#This Row],[Gender]]="others",R1642&lt;20),"Athletes",AND(Table13[[#This Row],[Gender]]="others",R1642&lt;24),"Fitnesss",AND(Table13[[#This Row],[Gender]]="others",R1642&lt;31),"Acceptable",AND(Table13[[#This Row],[Gender]]="others",R1642&lt;40),"Obese")</f>
        <v>Acceptable</v>
      </c>
      <c r="R1642" s="8">
        <v>21</v>
      </c>
      <c r="S1642" s="8">
        <v>3.3</v>
      </c>
      <c r="T1642" s="8">
        <v>3</v>
      </c>
      <c r="U1642" s="8">
        <v>1</v>
      </c>
      <c r="V1642" s="8" t="str">
        <f>IF(Table13[[#This Row],[BMI]]&lt;=18.5,"Underweight",IF(Table13[[#This Row],[BMI]]&lt;=24.9,"Normal",IF(Table13[[#This Row],[BMI]]&lt;=29.9,"Overweight",IF(Table13[[#This Row],[BMI]]&lt;=39,"Obese","Severly Obese"))))</f>
        <v>Normal</v>
      </c>
      <c r="W1642" s="18">
        <v>20.51</v>
      </c>
    </row>
    <row r="1643" spans="6:23" x14ac:dyDescent="0.3">
      <c r="F1643" s="17">
        <v>18</v>
      </c>
      <c r="G1643" s="8" t="str">
        <f>IF(Table13[[#This Row],[Age]]&lt;25,"18-24",IF(Table13[[#This Row],[Age]]&lt;35,"25-34",IF(Table13[[#This Row],[Age]]&lt;45,"35-44",IF(Table13[[#This Row],[Age]]&lt;55,"45-54","55-64"))))</f>
        <v>18-24</v>
      </c>
      <c r="H1643" s="8" t="s">
        <v>17</v>
      </c>
      <c r="I1643" s="8">
        <v>83.5</v>
      </c>
      <c r="J1643" s="8">
        <v>1.67</v>
      </c>
      <c r="K1643" s="8">
        <v>162</v>
      </c>
      <c r="L1643" s="8">
        <v>169</v>
      </c>
      <c r="M1643" s="8">
        <v>70</v>
      </c>
      <c r="N1643" s="8">
        <v>1.54</v>
      </c>
      <c r="O1643" s="8">
        <v>1389</v>
      </c>
      <c r="P1643" s="8" t="s">
        <v>20</v>
      </c>
      <c r="Q1643" s="8" t="str">
        <f>_xlfn.IFS(AND(Table13[[#This Row],[Gender]]="female",R1643&lt;20),"Athletes",AND(Table13[[#This Row],[Gender]]="female",R1643&lt;24),"Fitnesss",AND(Table13[[#This Row],[Gender]]="female",R1643&lt;31),"Acceptable",AND(Table13[[#This Row],[Gender]]="female",R1643&lt;40),"Obese",AND(Table13[[#This Row],[Gender]]="male",R1643&lt;13),"Athletes",AND(Table13[[#This Row],[Gender]]="male",R1643&lt;17),"Fitnesss",AND(Table13[[#This Row],[Gender]]="male",R1643&lt;24.9),"Acceptable",AND(Table13[[#This Row],[Gender]]="male",R1643&lt;40),"Obese",AND(Table13[[#This Row],[Gender]]="others",R1643&lt;20),"Athletes",AND(Table13[[#This Row],[Gender]]="others",R1643&lt;24),"Fitnesss",AND(Table13[[#This Row],[Gender]]="others",R1643&lt;31),"Acceptable",AND(Table13[[#This Row],[Gender]]="others",R1643&lt;40),"Obese")</f>
        <v>Athletes</v>
      </c>
      <c r="R1643" s="8">
        <v>12.1</v>
      </c>
      <c r="S1643" s="8">
        <v>1.7</v>
      </c>
      <c r="T1643" s="8">
        <v>2</v>
      </c>
      <c r="U1643" s="8">
        <v>1</v>
      </c>
      <c r="V1643" s="8" t="str">
        <f>IF(Table13[[#This Row],[BMI]]&lt;=18.5,"Underweight",IF(Table13[[#This Row],[BMI]]&lt;=24.9,"Normal",IF(Table13[[#This Row],[BMI]]&lt;=29.9,"Overweight",IF(Table13[[#This Row],[BMI]]&lt;=39,"Obese","Severly Obese"))))</f>
        <v>Obese</v>
      </c>
      <c r="W1643" s="18">
        <v>33.799999999999997</v>
      </c>
    </row>
    <row r="1644" spans="6:23" x14ac:dyDescent="0.3">
      <c r="F1644" s="17">
        <v>51</v>
      </c>
      <c r="G1644" s="8" t="str">
        <f>IF(Table13[[#This Row],[Age]]&lt;25,"18-24",IF(Table13[[#This Row],[Age]]&lt;35,"25-34",IF(Table13[[#This Row],[Age]]&lt;45,"35-44",IF(Table13[[#This Row],[Age]]&lt;55,"45-54","55-64"))))</f>
        <v>45-54</v>
      </c>
      <c r="H1644" s="8" t="s">
        <v>17</v>
      </c>
      <c r="I1644" s="8">
        <v>58.6</v>
      </c>
      <c r="J1644" s="8">
        <v>2</v>
      </c>
      <c r="K1644" s="8">
        <v>162</v>
      </c>
      <c r="L1644" s="8">
        <v>150</v>
      </c>
      <c r="M1644" s="8">
        <v>55</v>
      </c>
      <c r="N1644" s="8">
        <v>1.28</v>
      </c>
      <c r="O1644" s="8">
        <v>1030</v>
      </c>
      <c r="P1644" s="8" t="s">
        <v>18</v>
      </c>
      <c r="Q1644" s="8" t="str">
        <f>_xlfn.IFS(AND(Table13[[#This Row],[Gender]]="female",R1644&lt;20),"Athletes",AND(Table13[[#This Row],[Gender]]="female",R1644&lt;24),"Fitnesss",AND(Table13[[#This Row],[Gender]]="female",R1644&lt;31),"Acceptable",AND(Table13[[#This Row],[Gender]]="female",R1644&lt;40),"Obese",AND(Table13[[#This Row],[Gender]]="male",R1644&lt;13),"Athletes",AND(Table13[[#This Row],[Gender]]="male",R1644&lt;17),"Fitnesss",AND(Table13[[#This Row],[Gender]]="male",R1644&lt;24.9),"Acceptable",AND(Table13[[#This Row],[Gender]]="male",R1644&lt;40),"Obese",AND(Table13[[#This Row],[Gender]]="others",R1644&lt;20),"Athletes",AND(Table13[[#This Row],[Gender]]="others",R1644&lt;24),"Fitnesss",AND(Table13[[#This Row],[Gender]]="others",R1644&lt;31),"Acceptable",AND(Table13[[#This Row],[Gender]]="others",R1644&lt;40),"Obese")</f>
        <v>Athletes</v>
      </c>
      <c r="R1644" s="8">
        <v>16.7</v>
      </c>
      <c r="S1644" s="8">
        <v>3.4</v>
      </c>
      <c r="T1644" s="8">
        <v>3</v>
      </c>
      <c r="U1644" s="8">
        <v>2</v>
      </c>
      <c r="V1644" s="8" t="str">
        <f>IF(Table13[[#This Row],[BMI]]&lt;=18.5,"Underweight",IF(Table13[[#This Row],[BMI]]&lt;=24.9,"Normal",IF(Table13[[#This Row],[BMI]]&lt;=29.9,"Overweight",IF(Table13[[#This Row],[BMI]]&lt;=39,"Obese","Severly Obese"))))</f>
        <v>Obese</v>
      </c>
      <c r="W1644" s="18">
        <v>37.28</v>
      </c>
    </row>
    <row r="1645" spans="6:23" x14ac:dyDescent="0.3">
      <c r="F1645" s="17">
        <v>18</v>
      </c>
      <c r="G1645" s="8" t="str">
        <f>IF(Table13[[#This Row],[Age]]&lt;25,"18-24",IF(Table13[[#This Row],[Age]]&lt;35,"25-34",IF(Table13[[#This Row],[Age]]&lt;45,"35-44",IF(Table13[[#This Row],[Age]]&lt;55,"45-54","55-64"))))</f>
        <v>18-24</v>
      </c>
      <c r="H1645" s="8" t="s">
        <v>17</v>
      </c>
      <c r="I1645" s="8">
        <v>40</v>
      </c>
      <c r="J1645" s="8">
        <v>1.9</v>
      </c>
      <c r="K1645" s="8">
        <v>166</v>
      </c>
      <c r="L1645" s="8">
        <v>169</v>
      </c>
      <c r="M1645" s="8">
        <v>57</v>
      </c>
      <c r="N1645" s="8">
        <v>1.28</v>
      </c>
      <c r="O1645" s="8">
        <v>1556</v>
      </c>
      <c r="P1645" s="8" t="s">
        <v>18</v>
      </c>
      <c r="Q1645" s="8" t="str">
        <f>_xlfn.IFS(AND(Table13[[#This Row],[Gender]]="female",R1645&lt;20),"Athletes",AND(Table13[[#This Row],[Gender]]="female",R1645&lt;24),"Fitnesss",AND(Table13[[#This Row],[Gender]]="female",R1645&lt;31),"Acceptable",AND(Table13[[#This Row],[Gender]]="female",R1645&lt;40),"Obese",AND(Table13[[#This Row],[Gender]]="male",R1645&lt;13),"Athletes",AND(Table13[[#This Row],[Gender]]="male",R1645&lt;17),"Fitnesss",AND(Table13[[#This Row],[Gender]]="male",R1645&lt;24.9),"Acceptable",AND(Table13[[#This Row],[Gender]]="male",R1645&lt;40),"Obese",AND(Table13[[#This Row],[Gender]]="others",R1645&lt;20),"Athletes",AND(Table13[[#This Row],[Gender]]="others",R1645&lt;24),"Fitnesss",AND(Table13[[#This Row],[Gender]]="others",R1645&lt;31),"Acceptable",AND(Table13[[#This Row],[Gender]]="others",R1645&lt;40),"Obese")</f>
        <v>Athletes</v>
      </c>
      <c r="R1645" s="8">
        <v>17.399999999999999</v>
      </c>
      <c r="S1645" s="8">
        <v>2.1</v>
      </c>
      <c r="T1645" s="8">
        <v>2</v>
      </c>
      <c r="U1645" s="8">
        <v>3</v>
      </c>
      <c r="V1645" s="8" t="str">
        <f>IF(Table13[[#This Row],[BMI]]&lt;=18.5,"Underweight",IF(Table13[[#This Row],[BMI]]&lt;=24.9,"Normal",IF(Table13[[#This Row],[BMI]]&lt;=29.9,"Overweight",IF(Table13[[#This Row],[BMI]]&lt;=39,"Obese","Severly Obese"))))</f>
        <v>Normal</v>
      </c>
      <c r="W1645" s="18">
        <v>19.510000000000002</v>
      </c>
    </row>
    <row r="1646" spans="6:23" x14ac:dyDescent="0.3">
      <c r="F1646" s="17">
        <v>44</v>
      </c>
      <c r="G1646" s="8" t="str">
        <f>IF(Table13[[#This Row],[Age]]&lt;25,"18-24",IF(Table13[[#This Row],[Age]]&lt;35,"25-34",IF(Table13[[#This Row],[Age]]&lt;45,"35-44",IF(Table13[[#This Row],[Age]]&lt;55,"45-54","55-64"))))</f>
        <v>35-44</v>
      </c>
      <c r="H1646" s="8" t="s">
        <v>17</v>
      </c>
      <c r="I1646" s="8">
        <v>91.2</v>
      </c>
      <c r="J1646" s="8">
        <v>1.87</v>
      </c>
      <c r="K1646" s="8">
        <v>194</v>
      </c>
      <c r="L1646" s="8">
        <v>141</v>
      </c>
      <c r="M1646" s="8">
        <v>66</v>
      </c>
      <c r="N1646" s="8">
        <v>1.66</v>
      </c>
      <c r="O1646" s="8">
        <v>1345</v>
      </c>
      <c r="P1646" s="8" t="s">
        <v>22</v>
      </c>
      <c r="Q1646" s="8" t="str">
        <f>_xlfn.IFS(AND(Table13[[#This Row],[Gender]]="female",R1646&lt;20),"Athletes",AND(Table13[[#This Row],[Gender]]="female",R1646&lt;24),"Fitnesss",AND(Table13[[#This Row],[Gender]]="female",R1646&lt;31),"Acceptable",AND(Table13[[#This Row],[Gender]]="female",R1646&lt;40),"Obese",AND(Table13[[#This Row],[Gender]]="male",R1646&lt;13),"Athletes",AND(Table13[[#This Row],[Gender]]="male",R1646&lt;17),"Fitnesss",AND(Table13[[#This Row],[Gender]]="male",R1646&lt;24.9),"Acceptable",AND(Table13[[#This Row],[Gender]]="male",R1646&lt;40),"Obese",AND(Table13[[#This Row],[Gender]]="others",R1646&lt;20),"Athletes",AND(Table13[[#This Row],[Gender]]="others",R1646&lt;24),"Fitnesss",AND(Table13[[#This Row],[Gender]]="others",R1646&lt;31),"Acceptable",AND(Table13[[#This Row],[Gender]]="others",R1646&lt;40),"Obese")</f>
        <v>Fitnesss</v>
      </c>
      <c r="R1646" s="8">
        <v>22.7</v>
      </c>
      <c r="S1646" s="8">
        <v>2.5</v>
      </c>
      <c r="T1646" s="8">
        <v>2</v>
      </c>
      <c r="U1646" s="8">
        <v>1</v>
      </c>
      <c r="V1646" s="8" t="str">
        <f>IF(Table13[[#This Row],[BMI]]&lt;=18.5,"Underweight",IF(Table13[[#This Row],[BMI]]&lt;=24.9,"Normal",IF(Table13[[#This Row],[BMI]]&lt;=29.9,"Overweight",IF(Table13[[#This Row],[BMI]]&lt;=39,"Obese","Severly Obese"))))</f>
        <v>Underweight</v>
      </c>
      <c r="W1646" s="18">
        <v>15.5</v>
      </c>
    </row>
    <row r="1647" spans="6:23" x14ac:dyDescent="0.3">
      <c r="F1647" s="17">
        <v>31</v>
      </c>
      <c r="G1647" s="8" t="str">
        <f>IF(Table13[[#This Row],[Age]]&lt;25,"18-24",IF(Table13[[#This Row],[Age]]&lt;35,"25-34",IF(Table13[[#This Row],[Age]]&lt;45,"35-44",IF(Table13[[#This Row],[Age]]&lt;55,"45-54","55-64"))))</f>
        <v>25-34</v>
      </c>
      <c r="H1647" s="8" t="s">
        <v>19</v>
      </c>
      <c r="I1647" s="8">
        <v>60.7</v>
      </c>
      <c r="J1647" s="8">
        <v>1.62</v>
      </c>
      <c r="K1647" s="8">
        <v>198</v>
      </c>
      <c r="L1647" s="8">
        <v>120</v>
      </c>
      <c r="M1647" s="8">
        <v>71</v>
      </c>
      <c r="N1647" s="8">
        <v>1.35</v>
      </c>
      <c r="O1647" s="8">
        <v>967</v>
      </c>
      <c r="P1647" s="8" t="s">
        <v>22</v>
      </c>
      <c r="Q1647" s="8" t="str">
        <f>_xlfn.IFS(AND(Table13[[#This Row],[Gender]]="female",R1647&lt;20),"Athletes",AND(Table13[[#This Row],[Gender]]="female",R1647&lt;24),"Fitnesss",AND(Table13[[#This Row],[Gender]]="female",R1647&lt;31),"Acceptable",AND(Table13[[#This Row],[Gender]]="female",R1647&lt;40),"Obese",AND(Table13[[#This Row],[Gender]]="male",R1647&lt;13),"Athletes",AND(Table13[[#This Row],[Gender]]="male",R1647&lt;17),"Fitnesss",AND(Table13[[#This Row],[Gender]]="male",R1647&lt;24.9),"Acceptable",AND(Table13[[#This Row],[Gender]]="male",R1647&lt;40),"Obese",AND(Table13[[#This Row],[Gender]]="others",R1647&lt;20),"Athletes",AND(Table13[[#This Row],[Gender]]="others",R1647&lt;24),"Fitnesss",AND(Table13[[#This Row],[Gender]]="others",R1647&lt;31),"Acceptable",AND(Table13[[#This Row],[Gender]]="others",R1647&lt;40),"Obese")</f>
        <v>Obese</v>
      </c>
      <c r="R1647" s="8">
        <v>31.2</v>
      </c>
      <c r="S1647" s="8">
        <v>3.2</v>
      </c>
      <c r="T1647" s="8">
        <v>4</v>
      </c>
      <c r="U1647" s="8">
        <v>2</v>
      </c>
      <c r="V1647" s="8" t="str">
        <f>IF(Table13[[#This Row],[BMI]]&lt;=18.5,"Underweight",IF(Table13[[#This Row],[BMI]]&lt;=24.9,"Normal",IF(Table13[[#This Row],[BMI]]&lt;=29.9,"Overweight",IF(Table13[[#This Row],[BMI]]&lt;=39,"Obese","Severly Obese"))))</f>
        <v>Normal</v>
      </c>
      <c r="W1647" s="18">
        <v>23.83</v>
      </c>
    </row>
    <row r="1648" spans="6:23" x14ac:dyDescent="0.3">
      <c r="F1648" s="17">
        <v>36</v>
      </c>
      <c r="G1648" s="8" t="str">
        <f>IF(Table13[[#This Row],[Age]]&lt;25,"18-24",IF(Table13[[#This Row],[Age]]&lt;35,"25-34",IF(Table13[[#This Row],[Age]]&lt;45,"35-44",IF(Table13[[#This Row],[Age]]&lt;55,"45-54","55-64"))))</f>
        <v>35-44</v>
      </c>
      <c r="H1648" s="8" t="s">
        <v>19</v>
      </c>
      <c r="I1648" s="8">
        <v>62.2</v>
      </c>
      <c r="J1648" s="8">
        <v>1.5</v>
      </c>
      <c r="K1648" s="8">
        <v>192</v>
      </c>
      <c r="L1648" s="8">
        <v>132</v>
      </c>
      <c r="M1648" s="8">
        <v>61</v>
      </c>
      <c r="N1648" s="8">
        <v>2</v>
      </c>
      <c r="O1648" s="8">
        <v>913</v>
      </c>
      <c r="P1648" s="8" t="s">
        <v>21</v>
      </c>
      <c r="Q1648" s="8" t="str">
        <f>_xlfn.IFS(AND(Table13[[#This Row],[Gender]]="female",R1648&lt;20),"Athletes",AND(Table13[[#This Row],[Gender]]="female",R1648&lt;24),"Fitnesss",AND(Table13[[#This Row],[Gender]]="female",R1648&lt;31),"Acceptable",AND(Table13[[#This Row],[Gender]]="female",R1648&lt;40),"Obese",AND(Table13[[#This Row],[Gender]]="male",R1648&lt;13),"Athletes",AND(Table13[[#This Row],[Gender]]="male",R1648&lt;17),"Fitnesss",AND(Table13[[#This Row],[Gender]]="male",R1648&lt;24.9),"Acceptable",AND(Table13[[#This Row],[Gender]]="male",R1648&lt;40),"Obese",AND(Table13[[#This Row],[Gender]]="others",R1648&lt;20),"Athletes",AND(Table13[[#This Row],[Gender]]="others",R1648&lt;24),"Fitnesss",AND(Table13[[#This Row],[Gender]]="others",R1648&lt;31),"Acceptable",AND(Table13[[#This Row],[Gender]]="others",R1648&lt;40),"Obese")</f>
        <v>Athletes</v>
      </c>
      <c r="R1648" s="8">
        <v>11.4</v>
      </c>
      <c r="S1648" s="8">
        <v>1.5</v>
      </c>
      <c r="T1648" s="8">
        <v>3</v>
      </c>
      <c r="U1648" s="8">
        <v>2</v>
      </c>
      <c r="V1648" s="8" t="str">
        <f>IF(Table13[[#This Row],[BMI]]&lt;=18.5,"Underweight",IF(Table13[[#This Row],[BMI]]&lt;=24.9,"Normal",IF(Table13[[#This Row],[BMI]]&lt;=29.9,"Overweight",IF(Table13[[#This Row],[BMI]]&lt;=39,"Obese","Severly Obese"))))</f>
        <v>Normal</v>
      </c>
      <c r="W1648" s="18">
        <v>22.96</v>
      </c>
    </row>
    <row r="1649" spans="6:23" x14ac:dyDescent="0.3">
      <c r="F1649" s="17">
        <v>23</v>
      </c>
      <c r="G1649" s="8" t="str">
        <f>IF(Table13[[#This Row],[Age]]&lt;25,"18-24",IF(Table13[[#This Row],[Age]]&lt;35,"25-34",IF(Table13[[#This Row],[Age]]&lt;45,"35-44",IF(Table13[[#This Row],[Age]]&lt;55,"45-54","55-64"))))</f>
        <v>18-24</v>
      </c>
      <c r="H1649" s="8" t="s">
        <v>17</v>
      </c>
      <c r="I1649" s="8">
        <v>62.1</v>
      </c>
      <c r="J1649" s="8">
        <v>1.83</v>
      </c>
      <c r="K1649" s="8">
        <v>168</v>
      </c>
      <c r="L1649" s="8">
        <v>149</v>
      </c>
      <c r="M1649" s="8">
        <v>51</v>
      </c>
      <c r="N1649" s="8">
        <v>1.39</v>
      </c>
      <c r="O1649" s="8">
        <v>1135</v>
      </c>
      <c r="P1649" s="8" t="s">
        <v>22</v>
      </c>
      <c r="Q1649" s="8" t="str">
        <f>_xlfn.IFS(AND(Table13[[#This Row],[Gender]]="female",R1649&lt;20),"Athletes",AND(Table13[[#This Row],[Gender]]="female",R1649&lt;24),"Fitnesss",AND(Table13[[#This Row],[Gender]]="female",R1649&lt;31),"Acceptable",AND(Table13[[#This Row],[Gender]]="female",R1649&lt;40),"Obese",AND(Table13[[#This Row],[Gender]]="male",R1649&lt;13),"Athletes",AND(Table13[[#This Row],[Gender]]="male",R1649&lt;17),"Fitnesss",AND(Table13[[#This Row],[Gender]]="male",R1649&lt;24.9),"Acceptable",AND(Table13[[#This Row],[Gender]]="male",R1649&lt;40),"Obese",AND(Table13[[#This Row],[Gender]]="others",R1649&lt;20),"Athletes",AND(Table13[[#This Row],[Gender]]="others",R1649&lt;24),"Fitnesss",AND(Table13[[#This Row],[Gender]]="others",R1649&lt;31),"Acceptable",AND(Table13[[#This Row],[Gender]]="others",R1649&lt;40),"Obese")</f>
        <v>Acceptable</v>
      </c>
      <c r="R1649" s="8">
        <v>26.1</v>
      </c>
      <c r="S1649" s="8">
        <v>2</v>
      </c>
      <c r="T1649" s="8">
        <v>3</v>
      </c>
      <c r="U1649" s="8">
        <v>2</v>
      </c>
      <c r="V1649" s="8" t="str">
        <f>IF(Table13[[#This Row],[BMI]]&lt;=18.5,"Underweight",IF(Table13[[#This Row],[BMI]]&lt;=24.9,"Normal",IF(Table13[[#This Row],[BMI]]&lt;=29.9,"Overweight",IF(Table13[[#This Row],[BMI]]&lt;=39,"Obese","Severly Obese"))))</f>
        <v>Normal</v>
      </c>
      <c r="W1649" s="18">
        <v>21.35</v>
      </c>
    </row>
    <row r="1650" spans="6:23" x14ac:dyDescent="0.3">
      <c r="F1650" s="17">
        <v>24</v>
      </c>
      <c r="G1650" s="8" t="str">
        <f>IF(Table13[[#This Row],[Age]]&lt;25,"18-24",IF(Table13[[#This Row],[Age]]&lt;35,"25-34",IF(Table13[[#This Row],[Age]]&lt;45,"35-44",IF(Table13[[#This Row],[Age]]&lt;55,"45-54","55-64"))))</f>
        <v>18-24</v>
      </c>
      <c r="H1650" s="8" t="s">
        <v>19</v>
      </c>
      <c r="I1650" s="8">
        <v>79</v>
      </c>
      <c r="J1650" s="8">
        <v>1.62</v>
      </c>
      <c r="K1650" s="8">
        <v>177</v>
      </c>
      <c r="L1650" s="8">
        <v>169</v>
      </c>
      <c r="M1650" s="8">
        <v>73</v>
      </c>
      <c r="N1650" s="8">
        <v>1</v>
      </c>
      <c r="O1650" s="8">
        <v>887</v>
      </c>
      <c r="P1650" s="8" t="s">
        <v>22</v>
      </c>
      <c r="Q1650" s="8" t="str">
        <f>_xlfn.IFS(AND(Table13[[#This Row],[Gender]]="female",R1650&lt;20),"Athletes",AND(Table13[[#This Row],[Gender]]="female",R1650&lt;24),"Fitnesss",AND(Table13[[#This Row],[Gender]]="female",R1650&lt;31),"Acceptable",AND(Table13[[#This Row],[Gender]]="female",R1650&lt;40),"Obese",AND(Table13[[#This Row],[Gender]]="male",R1650&lt;13),"Athletes",AND(Table13[[#This Row],[Gender]]="male",R1650&lt;17),"Fitnesss",AND(Table13[[#This Row],[Gender]]="male",R1650&lt;24.9),"Acceptable",AND(Table13[[#This Row],[Gender]]="male",R1650&lt;40),"Obese",AND(Table13[[#This Row],[Gender]]="others",R1650&lt;20),"Athletes",AND(Table13[[#This Row],[Gender]]="others",R1650&lt;24),"Fitnesss",AND(Table13[[#This Row],[Gender]]="others",R1650&lt;31),"Acceptable",AND(Table13[[#This Row],[Gender]]="others",R1650&lt;40),"Obese")</f>
        <v>Obese</v>
      </c>
      <c r="R1650" s="8">
        <v>25</v>
      </c>
      <c r="S1650" s="8">
        <v>3.5</v>
      </c>
      <c r="T1650" s="8">
        <v>2</v>
      </c>
      <c r="U1650" s="8">
        <v>3</v>
      </c>
      <c r="V1650" s="8" t="str">
        <f>IF(Table13[[#This Row],[BMI]]&lt;=18.5,"Underweight",IF(Table13[[#This Row],[BMI]]&lt;=24.9,"Normal",IF(Table13[[#This Row],[BMI]]&lt;=29.9,"Overweight",IF(Table13[[#This Row],[BMI]]&lt;=39,"Obese","Severly Obese"))))</f>
        <v>Underweight</v>
      </c>
      <c r="W1650" s="18">
        <v>12.32</v>
      </c>
    </row>
    <row r="1651" spans="6:23" x14ac:dyDescent="0.3">
      <c r="F1651" s="17">
        <v>38</v>
      </c>
      <c r="G1651" s="8" t="str">
        <f>IF(Table13[[#This Row],[Age]]&lt;25,"18-24",IF(Table13[[#This Row],[Age]]&lt;35,"25-34",IF(Table13[[#This Row],[Age]]&lt;45,"35-44",IF(Table13[[#This Row],[Age]]&lt;55,"45-54","55-64"))))</f>
        <v>35-44</v>
      </c>
      <c r="H1651" s="8" t="s">
        <v>19</v>
      </c>
      <c r="I1651" s="8">
        <v>58.4</v>
      </c>
      <c r="J1651" s="8">
        <v>1.65</v>
      </c>
      <c r="K1651" s="8">
        <v>169</v>
      </c>
      <c r="L1651" s="8">
        <v>141</v>
      </c>
      <c r="M1651" s="8">
        <v>53</v>
      </c>
      <c r="N1651" s="8">
        <v>2</v>
      </c>
      <c r="O1651" s="8">
        <v>1109</v>
      </c>
      <c r="P1651" s="8" t="s">
        <v>22</v>
      </c>
      <c r="Q1651" s="8" t="str">
        <f>_xlfn.IFS(AND(Table13[[#This Row],[Gender]]="female",R1651&lt;20),"Athletes",AND(Table13[[#This Row],[Gender]]="female",R1651&lt;24),"Fitnesss",AND(Table13[[#This Row],[Gender]]="female",R1651&lt;31),"Acceptable",AND(Table13[[#This Row],[Gender]]="female",R1651&lt;40),"Obese",AND(Table13[[#This Row],[Gender]]="male",R1651&lt;13),"Athletes",AND(Table13[[#This Row],[Gender]]="male",R1651&lt;17),"Fitnesss",AND(Table13[[#This Row],[Gender]]="male",R1651&lt;24.9),"Acceptable",AND(Table13[[#This Row],[Gender]]="male",R1651&lt;40),"Obese",AND(Table13[[#This Row],[Gender]]="others",R1651&lt;20),"Athletes",AND(Table13[[#This Row],[Gender]]="others",R1651&lt;24),"Fitnesss",AND(Table13[[#This Row],[Gender]]="others",R1651&lt;31),"Acceptable",AND(Table13[[#This Row],[Gender]]="others",R1651&lt;40),"Obese")</f>
        <v>Acceptable</v>
      </c>
      <c r="R1651" s="8">
        <v>24</v>
      </c>
      <c r="S1651" s="8">
        <v>2.2999999999999998</v>
      </c>
      <c r="T1651" s="8">
        <v>2</v>
      </c>
      <c r="U1651" s="8">
        <v>1</v>
      </c>
      <c r="V1651" s="8" t="str">
        <f>IF(Table13[[#This Row],[BMI]]&lt;=18.5,"Underweight",IF(Table13[[#This Row],[BMI]]&lt;=24.9,"Normal",IF(Table13[[#This Row],[BMI]]&lt;=29.9,"Overweight",IF(Table13[[#This Row],[BMI]]&lt;=39,"Obese","Severly Obese"))))</f>
        <v>Obese</v>
      </c>
      <c r="W1651" s="18">
        <v>35.49</v>
      </c>
    </row>
    <row r="1652" spans="6:23" x14ac:dyDescent="0.3">
      <c r="F1652" s="17">
        <v>31</v>
      </c>
      <c r="G1652" s="8" t="str">
        <f>IF(Table13[[#This Row],[Age]]&lt;25,"18-24",IF(Table13[[#This Row],[Age]]&lt;35,"25-34",IF(Table13[[#This Row],[Age]]&lt;45,"35-44",IF(Table13[[#This Row],[Age]]&lt;55,"45-54","55-64"))))</f>
        <v>25-34</v>
      </c>
      <c r="H1652" s="8" t="s">
        <v>17</v>
      </c>
      <c r="I1652" s="8">
        <v>75.8</v>
      </c>
      <c r="J1652" s="8">
        <v>1.7</v>
      </c>
      <c r="K1652" s="8">
        <v>199</v>
      </c>
      <c r="L1652" s="8">
        <v>129</v>
      </c>
      <c r="M1652" s="8">
        <v>60</v>
      </c>
      <c r="N1652" s="8">
        <v>0.87</v>
      </c>
      <c r="O1652" s="8">
        <v>922</v>
      </c>
      <c r="P1652" s="8" t="s">
        <v>21</v>
      </c>
      <c r="Q1652" s="8" t="str">
        <f>_xlfn.IFS(AND(Table13[[#This Row],[Gender]]="female",R1652&lt;20),"Athletes",AND(Table13[[#This Row],[Gender]]="female",R1652&lt;24),"Fitnesss",AND(Table13[[#This Row],[Gender]]="female",R1652&lt;31),"Acceptable",AND(Table13[[#This Row],[Gender]]="female",R1652&lt;40),"Obese",AND(Table13[[#This Row],[Gender]]="male",R1652&lt;13),"Athletes",AND(Table13[[#This Row],[Gender]]="male",R1652&lt;17),"Fitnesss",AND(Table13[[#This Row],[Gender]]="male",R1652&lt;24.9),"Acceptable",AND(Table13[[#This Row],[Gender]]="male",R1652&lt;40),"Obese",AND(Table13[[#This Row],[Gender]]="others",R1652&lt;20),"Athletes",AND(Table13[[#This Row],[Gender]]="others",R1652&lt;24),"Fitnesss",AND(Table13[[#This Row],[Gender]]="others",R1652&lt;31),"Acceptable",AND(Table13[[#This Row],[Gender]]="others",R1652&lt;40),"Obese")</f>
        <v>Acceptable</v>
      </c>
      <c r="R1652" s="8">
        <v>24.2</v>
      </c>
      <c r="S1652" s="8">
        <v>1.9</v>
      </c>
      <c r="T1652" s="8">
        <v>2</v>
      </c>
      <c r="U1652" s="8">
        <v>1</v>
      </c>
      <c r="V1652" s="8" t="str">
        <f>IF(Table13[[#This Row],[BMI]]&lt;=18.5,"Underweight",IF(Table13[[#This Row],[BMI]]&lt;=24.9,"Normal",IF(Table13[[#This Row],[BMI]]&lt;=29.9,"Overweight",IF(Table13[[#This Row],[BMI]]&lt;=39,"Obese","Severly Obese"))))</f>
        <v>Underweight</v>
      </c>
      <c r="W1652" s="18">
        <v>15.58</v>
      </c>
    </row>
    <row r="1653" spans="6:23" x14ac:dyDescent="0.3">
      <c r="F1653" s="17">
        <v>55</v>
      </c>
      <c r="G1653" s="8" t="str">
        <f>IF(Table13[[#This Row],[Age]]&lt;25,"18-24",IF(Table13[[#This Row],[Age]]&lt;35,"25-34",IF(Table13[[#This Row],[Age]]&lt;45,"35-44",IF(Table13[[#This Row],[Age]]&lt;55,"45-54","55-64"))))</f>
        <v>55-64</v>
      </c>
      <c r="H1653" s="8" t="s">
        <v>17</v>
      </c>
      <c r="I1653" s="8">
        <v>65.5</v>
      </c>
      <c r="J1653" s="8">
        <v>1.94</v>
      </c>
      <c r="K1653" s="8">
        <v>170</v>
      </c>
      <c r="L1653" s="8">
        <v>123</v>
      </c>
      <c r="M1653" s="8">
        <v>74</v>
      </c>
      <c r="N1653" s="8">
        <v>1.37</v>
      </c>
      <c r="O1653" s="8">
        <v>787</v>
      </c>
      <c r="P1653" s="8" t="s">
        <v>21</v>
      </c>
      <c r="Q1653" s="8" t="str">
        <f>_xlfn.IFS(AND(Table13[[#This Row],[Gender]]="female",R1653&lt;20),"Athletes",AND(Table13[[#This Row],[Gender]]="female",R1653&lt;24),"Fitnesss",AND(Table13[[#This Row],[Gender]]="female",R1653&lt;31),"Acceptable",AND(Table13[[#This Row],[Gender]]="female",R1653&lt;40),"Obese",AND(Table13[[#This Row],[Gender]]="male",R1653&lt;13),"Athletes",AND(Table13[[#This Row],[Gender]]="male",R1653&lt;17),"Fitnesss",AND(Table13[[#This Row],[Gender]]="male",R1653&lt;24.9),"Acceptable",AND(Table13[[#This Row],[Gender]]="male",R1653&lt;40),"Obese",AND(Table13[[#This Row],[Gender]]="others",R1653&lt;20),"Athletes",AND(Table13[[#This Row],[Gender]]="others",R1653&lt;24),"Fitnesss",AND(Table13[[#This Row],[Gender]]="others",R1653&lt;31),"Acceptable",AND(Table13[[#This Row],[Gender]]="others",R1653&lt;40),"Obese")</f>
        <v>Acceptable</v>
      </c>
      <c r="R1653" s="8">
        <v>28.7</v>
      </c>
      <c r="S1653" s="8">
        <v>3.1</v>
      </c>
      <c r="T1653" s="8">
        <v>3</v>
      </c>
      <c r="U1653" s="8">
        <v>1</v>
      </c>
      <c r="V1653" s="8" t="str">
        <f>IF(Table13[[#This Row],[BMI]]&lt;=18.5,"Underweight",IF(Table13[[#This Row],[BMI]]&lt;=24.9,"Normal",IF(Table13[[#This Row],[BMI]]&lt;=29.9,"Overweight",IF(Table13[[#This Row],[BMI]]&lt;=39,"Obese","Severly Obese"))))</f>
        <v>Underweight</v>
      </c>
      <c r="W1653" s="18">
        <v>17</v>
      </c>
    </row>
    <row r="1654" spans="6:23" x14ac:dyDescent="0.3">
      <c r="F1654" s="17">
        <v>52</v>
      </c>
      <c r="G1654" s="8" t="str">
        <f>IF(Table13[[#This Row],[Age]]&lt;25,"18-24",IF(Table13[[#This Row],[Age]]&lt;35,"25-34",IF(Table13[[#This Row],[Age]]&lt;45,"35-44",IF(Table13[[#This Row],[Age]]&lt;55,"45-54","55-64"))))</f>
        <v>45-54</v>
      </c>
      <c r="H1654" s="8" t="s">
        <v>17</v>
      </c>
      <c r="I1654" s="8">
        <v>81</v>
      </c>
      <c r="J1654" s="8">
        <v>1.62</v>
      </c>
      <c r="K1654" s="8">
        <v>178</v>
      </c>
      <c r="L1654" s="8">
        <v>146</v>
      </c>
      <c r="M1654" s="8">
        <v>53</v>
      </c>
      <c r="N1654" s="8">
        <v>1.44</v>
      </c>
      <c r="O1654" s="8">
        <v>1628</v>
      </c>
      <c r="P1654" s="8" t="s">
        <v>18</v>
      </c>
      <c r="Q1654" s="8" t="str">
        <f>_xlfn.IFS(AND(Table13[[#This Row],[Gender]]="female",R1654&lt;20),"Athletes",AND(Table13[[#This Row],[Gender]]="female",R1654&lt;24),"Fitnesss",AND(Table13[[#This Row],[Gender]]="female",R1654&lt;31),"Acceptable",AND(Table13[[#This Row],[Gender]]="female",R1654&lt;40),"Obese",AND(Table13[[#This Row],[Gender]]="male",R1654&lt;13),"Athletes",AND(Table13[[#This Row],[Gender]]="male",R1654&lt;17),"Fitnesss",AND(Table13[[#This Row],[Gender]]="male",R1654&lt;24.9),"Acceptable",AND(Table13[[#This Row],[Gender]]="male",R1654&lt;40),"Obese",AND(Table13[[#This Row],[Gender]]="others",R1654&lt;20),"Athletes",AND(Table13[[#This Row],[Gender]]="others",R1654&lt;24),"Fitnesss",AND(Table13[[#This Row],[Gender]]="others",R1654&lt;31),"Acceptable",AND(Table13[[#This Row],[Gender]]="others",R1654&lt;40),"Obese")</f>
        <v>Acceptable</v>
      </c>
      <c r="R1654" s="8">
        <v>25.4</v>
      </c>
      <c r="S1654" s="8">
        <v>2.5</v>
      </c>
      <c r="T1654" s="8">
        <v>4</v>
      </c>
      <c r="U1654" s="8">
        <v>1</v>
      </c>
      <c r="V1654" s="8" t="str">
        <f>IF(Table13[[#This Row],[BMI]]&lt;=18.5,"Underweight",IF(Table13[[#This Row],[BMI]]&lt;=24.9,"Normal",IF(Table13[[#This Row],[BMI]]&lt;=29.9,"Overweight",IF(Table13[[#This Row],[BMI]]&lt;=39,"Obese","Severly Obese"))))</f>
        <v>Underweight</v>
      </c>
      <c r="W1654" s="18">
        <v>17.41</v>
      </c>
    </row>
    <row r="1655" spans="6:23" x14ac:dyDescent="0.3">
      <c r="F1655" s="17">
        <v>24</v>
      </c>
      <c r="G1655" s="8" t="str">
        <f>IF(Table13[[#This Row],[Age]]&lt;25,"18-24",IF(Table13[[#This Row],[Age]]&lt;35,"25-34",IF(Table13[[#This Row],[Age]]&lt;45,"35-44",IF(Table13[[#This Row],[Age]]&lt;55,"45-54","55-64"))))</f>
        <v>18-24</v>
      </c>
      <c r="H1655" s="8" t="s">
        <v>17</v>
      </c>
      <c r="I1655" s="8">
        <v>84.5</v>
      </c>
      <c r="J1655" s="8">
        <v>1.84</v>
      </c>
      <c r="K1655" s="8">
        <v>171</v>
      </c>
      <c r="L1655" s="8">
        <v>128</v>
      </c>
      <c r="M1655" s="8">
        <v>63</v>
      </c>
      <c r="N1655" s="8">
        <v>0.7</v>
      </c>
      <c r="O1655" s="8">
        <v>1067</v>
      </c>
      <c r="P1655" s="8" t="s">
        <v>23</v>
      </c>
      <c r="Q1655" s="8" t="str">
        <f>_xlfn.IFS(AND(Table13[[#This Row],[Gender]]="female",R1655&lt;20),"Athletes",AND(Table13[[#This Row],[Gender]]="female",R1655&lt;24),"Fitnesss",AND(Table13[[#This Row],[Gender]]="female",R1655&lt;31),"Acceptable",AND(Table13[[#This Row],[Gender]]="female",R1655&lt;40),"Obese",AND(Table13[[#This Row],[Gender]]="male",R1655&lt;13),"Athletes",AND(Table13[[#This Row],[Gender]]="male",R1655&lt;17),"Fitnesss",AND(Table13[[#This Row],[Gender]]="male",R1655&lt;24.9),"Acceptable",AND(Table13[[#This Row],[Gender]]="male",R1655&lt;40),"Obese",AND(Table13[[#This Row],[Gender]]="others",R1655&lt;20),"Athletes",AND(Table13[[#This Row],[Gender]]="others",R1655&lt;24),"Fitnesss",AND(Table13[[#This Row],[Gender]]="others",R1655&lt;31),"Acceptable",AND(Table13[[#This Row],[Gender]]="others",R1655&lt;40),"Obese")</f>
        <v>Obese</v>
      </c>
      <c r="R1655" s="8">
        <v>32</v>
      </c>
      <c r="S1655" s="8">
        <v>2.4</v>
      </c>
      <c r="T1655" s="8">
        <v>2</v>
      </c>
      <c r="U1655" s="8">
        <v>1</v>
      </c>
      <c r="V1655" s="8" t="str">
        <f>IF(Table13[[#This Row],[BMI]]&lt;=18.5,"Underweight",IF(Table13[[#This Row],[BMI]]&lt;=24.9,"Normal",IF(Table13[[#This Row],[BMI]]&lt;=29.9,"Overweight",IF(Table13[[#This Row],[BMI]]&lt;=39,"Obese","Severly Obese"))))</f>
        <v>Underweight</v>
      </c>
      <c r="W1655" s="18">
        <v>12.32</v>
      </c>
    </row>
    <row r="1656" spans="6:23" x14ac:dyDescent="0.3">
      <c r="F1656" s="17">
        <v>18</v>
      </c>
      <c r="G1656" s="8" t="str">
        <f>IF(Table13[[#This Row],[Age]]&lt;25,"18-24",IF(Table13[[#This Row],[Age]]&lt;35,"25-34",IF(Table13[[#This Row],[Age]]&lt;45,"35-44",IF(Table13[[#This Row],[Age]]&lt;55,"45-54","55-64"))))</f>
        <v>18-24</v>
      </c>
      <c r="H1656" s="8" t="s">
        <v>19</v>
      </c>
      <c r="I1656" s="8">
        <v>48.7</v>
      </c>
      <c r="J1656" s="8">
        <v>1.75</v>
      </c>
      <c r="K1656" s="8">
        <v>187</v>
      </c>
      <c r="L1656" s="8">
        <v>141</v>
      </c>
      <c r="M1656" s="8">
        <v>70</v>
      </c>
      <c r="N1656" s="8">
        <v>2</v>
      </c>
      <c r="O1656" s="8">
        <v>1266</v>
      </c>
      <c r="P1656" s="8" t="s">
        <v>20</v>
      </c>
      <c r="Q1656" s="8" t="str">
        <f>_xlfn.IFS(AND(Table13[[#This Row],[Gender]]="female",R1656&lt;20),"Athletes",AND(Table13[[#This Row],[Gender]]="female",R1656&lt;24),"Fitnesss",AND(Table13[[#This Row],[Gender]]="female",R1656&lt;31),"Acceptable",AND(Table13[[#This Row],[Gender]]="female",R1656&lt;40),"Obese",AND(Table13[[#This Row],[Gender]]="male",R1656&lt;13),"Athletes",AND(Table13[[#This Row],[Gender]]="male",R1656&lt;17),"Fitnesss",AND(Table13[[#This Row],[Gender]]="male",R1656&lt;24.9),"Acceptable",AND(Table13[[#This Row],[Gender]]="male",R1656&lt;40),"Obese",AND(Table13[[#This Row],[Gender]]="others",R1656&lt;20),"Athletes",AND(Table13[[#This Row],[Gender]]="others",R1656&lt;24),"Fitnesss",AND(Table13[[#This Row],[Gender]]="others",R1656&lt;31),"Acceptable",AND(Table13[[#This Row],[Gender]]="others",R1656&lt;40),"Obese")</f>
        <v>Obese</v>
      </c>
      <c r="R1656" s="8">
        <v>34.4</v>
      </c>
      <c r="S1656" s="8">
        <v>2.6</v>
      </c>
      <c r="T1656" s="8">
        <v>3</v>
      </c>
      <c r="U1656" s="8">
        <v>1</v>
      </c>
      <c r="V1656" s="8" t="str">
        <f>IF(Table13[[#This Row],[BMI]]&lt;=18.5,"Underweight",IF(Table13[[#This Row],[BMI]]&lt;=24.9,"Normal",IF(Table13[[#This Row],[BMI]]&lt;=29.9,"Overweight",IF(Table13[[#This Row],[BMI]]&lt;=39,"Obese","Severly Obese"))))</f>
        <v>Obese</v>
      </c>
      <c r="W1656" s="18">
        <v>38.479999999999997</v>
      </c>
    </row>
    <row r="1657" spans="6:23" x14ac:dyDescent="0.3">
      <c r="F1657" s="17">
        <v>30</v>
      </c>
      <c r="G1657" s="8" t="str">
        <f>IF(Table13[[#This Row],[Age]]&lt;25,"18-24",IF(Table13[[#This Row],[Age]]&lt;35,"25-34",IF(Table13[[#This Row],[Age]]&lt;45,"35-44",IF(Table13[[#This Row],[Age]]&lt;55,"45-54","55-64"))))</f>
        <v>25-34</v>
      </c>
      <c r="H1657" s="8" t="s">
        <v>19</v>
      </c>
      <c r="I1657" s="8">
        <v>88.3</v>
      </c>
      <c r="J1657" s="8">
        <v>1.72</v>
      </c>
      <c r="K1657" s="8">
        <v>195</v>
      </c>
      <c r="L1657" s="8">
        <v>158</v>
      </c>
      <c r="M1657" s="8">
        <v>70</v>
      </c>
      <c r="N1657" s="8"/>
      <c r="O1657" s="8">
        <v>1327</v>
      </c>
      <c r="P1657" s="8" t="s">
        <v>23</v>
      </c>
      <c r="Q1657" s="8" t="str">
        <f>_xlfn.IFS(AND(Table13[[#This Row],[Gender]]="female",R1657&lt;20),"Athletes",AND(Table13[[#This Row],[Gender]]="female",R1657&lt;24),"Fitnesss",AND(Table13[[#This Row],[Gender]]="female",R1657&lt;31),"Acceptable",AND(Table13[[#This Row],[Gender]]="female",R1657&lt;40),"Obese",AND(Table13[[#This Row],[Gender]]="male",R1657&lt;13),"Athletes",AND(Table13[[#This Row],[Gender]]="male",R1657&lt;17),"Fitnesss",AND(Table13[[#This Row],[Gender]]="male",R1657&lt;24.9),"Acceptable",AND(Table13[[#This Row],[Gender]]="male",R1657&lt;40),"Obese",AND(Table13[[#This Row],[Gender]]="others",R1657&lt;20),"Athletes",AND(Table13[[#This Row],[Gender]]="others",R1657&lt;24),"Fitnesss",AND(Table13[[#This Row],[Gender]]="others",R1657&lt;31),"Acceptable",AND(Table13[[#This Row],[Gender]]="others",R1657&lt;40),"Obese")</f>
        <v>Athletes</v>
      </c>
      <c r="R1657" s="8">
        <v>12.3</v>
      </c>
      <c r="S1657" s="8">
        <v>3.6</v>
      </c>
      <c r="T1657" s="8">
        <v>3</v>
      </c>
      <c r="U1657" s="8">
        <v>2</v>
      </c>
      <c r="V1657" s="8" t="str">
        <f>IF(Table13[[#This Row],[BMI]]&lt;=18.5,"Underweight",IF(Table13[[#This Row],[BMI]]&lt;=24.9,"Normal",IF(Table13[[#This Row],[BMI]]&lt;=29.9,"Overweight",IF(Table13[[#This Row],[BMI]]&lt;=39,"Obese","Severly Obese"))))</f>
        <v>Obese</v>
      </c>
      <c r="W1657" s="18">
        <v>33.99</v>
      </c>
    </row>
    <row r="1658" spans="6:23" x14ac:dyDescent="0.3">
      <c r="F1658" s="17">
        <v>53</v>
      </c>
      <c r="G1658" s="8" t="str">
        <f>IF(Table13[[#This Row],[Age]]&lt;25,"18-24",IF(Table13[[#This Row],[Age]]&lt;35,"25-34",IF(Table13[[#This Row],[Age]]&lt;45,"35-44",IF(Table13[[#This Row],[Age]]&lt;55,"45-54","55-64"))))</f>
        <v>45-54</v>
      </c>
      <c r="H1658" s="8" t="s">
        <v>17</v>
      </c>
      <c r="I1658" s="8"/>
      <c r="J1658" s="8">
        <v>1.55</v>
      </c>
      <c r="K1658" s="8">
        <v>190</v>
      </c>
      <c r="L1658" s="8">
        <v>150</v>
      </c>
      <c r="M1658" s="8">
        <v>71</v>
      </c>
      <c r="N1658" s="8"/>
      <c r="O1658" s="8">
        <v>1006</v>
      </c>
      <c r="P1658" s="8" t="s">
        <v>18</v>
      </c>
      <c r="Q1658" s="8" t="str">
        <f>_xlfn.IFS(AND(Table13[[#This Row],[Gender]]="female",R1658&lt;20),"Athletes",AND(Table13[[#This Row],[Gender]]="female",R1658&lt;24),"Fitnesss",AND(Table13[[#This Row],[Gender]]="female",R1658&lt;31),"Acceptable",AND(Table13[[#This Row],[Gender]]="female",R1658&lt;40),"Obese",AND(Table13[[#This Row],[Gender]]="male",R1658&lt;13),"Athletes",AND(Table13[[#This Row],[Gender]]="male",R1658&lt;17),"Fitnesss",AND(Table13[[#This Row],[Gender]]="male",R1658&lt;24.9),"Acceptable",AND(Table13[[#This Row],[Gender]]="male",R1658&lt;40),"Obese",AND(Table13[[#This Row],[Gender]]="others",R1658&lt;20),"Athletes",AND(Table13[[#This Row],[Gender]]="others",R1658&lt;24),"Fitnesss",AND(Table13[[#This Row],[Gender]]="others",R1658&lt;31),"Acceptable",AND(Table13[[#This Row],[Gender]]="others",R1658&lt;40),"Obese")</f>
        <v>Fitnesss</v>
      </c>
      <c r="R1658" s="8">
        <v>22.8</v>
      </c>
      <c r="S1658" s="8">
        <v>3.5</v>
      </c>
      <c r="T1658" s="8">
        <v>4</v>
      </c>
      <c r="U1658" s="8">
        <v>2</v>
      </c>
      <c r="V1658" s="8" t="str">
        <f>IF(Table13[[#This Row],[BMI]]&lt;=18.5,"Underweight",IF(Table13[[#This Row],[BMI]]&lt;=24.9,"Normal",IF(Table13[[#This Row],[BMI]]&lt;=29.9,"Overweight",IF(Table13[[#This Row],[BMI]]&lt;=39,"Obese","Severly Obese"))))</f>
        <v>Overweight</v>
      </c>
      <c r="W1658" s="18">
        <v>29.07</v>
      </c>
    </row>
    <row r="1659" spans="6:23" x14ac:dyDescent="0.3">
      <c r="F1659" s="17">
        <v>56</v>
      </c>
      <c r="G1659" s="8" t="str">
        <f>IF(Table13[[#This Row],[Age]]&lt;25,"18-24",IF(Table13[[#This Row],[Age]]&lt;35,"25-34",IF(Table13[[#This Row],[Age]]&lt;45,"35-44",IF(Table13[[#This Row],[Age]]&lt;55,"45-54","55-64"))))</f>
        <v>55-64</v>
      </c>
      <c r="H1659" s="8" t="s">
        <v>17</v>
      </c>
      <c r="I1659" s="8">
        <v>85.2</v>
      </c>
      <c r="J1659" s="8">
        <v>1.6</v>
      </c>
      <c r="K1659" s="8">
        <v>163</v>
      </c>
      <c r="L1659" s="8">
        <v>151</v>
      </c>
      <c r="M1659" s="8">
        <v>51</v>
      </c>
      <c r="N1659" s="8">
        <v>1.25</v>
      </c>
      <c r="O1659" s="8">
        <v>672</v>
      </c>
      <c r="P1659" s="8" t="s">
        <v>22</v>
      </c>
      <c r="Q1659" s="8" t="str">
        <f>_xlfn.IFS(AND(Table13[[#This Row],[Gender]]="female",R1659&lt;20),"Athletes",AND(Table13[[#This Row],[Gender]]="female",R1659&lt;24),"Fitnesss",AND(Table13[[#This Row],[Gender]]="female",R1659&lt;31),"Acceptable",AND(Table13[[#This Row],[Gender]]="female",R1659&lt;40),"Obese",AND(Table13[[#This Row],[Gender]]="male",R1659&lt;13),"Athletes",AND(Table13[[#This Row],[Gender]]="male",R1659&lt;17),"Fitnesss",AND(Table13[[#This Row],[Gender]]="male",R1659&lt;24.9),"Acceptable",AND(Table13[[#This Row],[Gender]]="male",R1659&lt;40),"Obese",AND(Table13[[#This Row],[Gender]]="others",R1659&lt;20),"Athletes",AND(Table13[[#This Row],[Gender]]="others",R1659&lt;24),"Fitnesss",AND(Table13[[#This Row],[Gender]]="others",R1659&lt;31),"Acceptable",AND(Table13[[#This Row],[Gender]]="others",R1659&lt;40),"Obese")</f>
        <v>Acceptable</v>
      </c>
      <c r="R1659" s="8">
        <v>26.5</v>
      </c>
      <c r="S1659" s="8">
        <v>1.7</v>
      </c>
      <c r="T1659" s="8">
        <v>3</v>
      </c>
      <c r="U1659" s="8">
        <v>1</v>
      </c>
      <c r="V1659" s="8" t="str">
        <f>IF(Table13[[#This Row],[BMI]]&lt;=18.5,"Underweight",IF(Table13[[#This Row],[BMI]]&lt;=24.9,"Normal",IF(Table13[[#This Row],[BMI]]&lt;=29.9,"Overweight",IF(Table13[[#This Row],[BMI]]&lt;=39,"Obese","Severly Obese"))))</f>
        <v>Normal</v>
      </c>
      <c r="W1659" s="18">
        <v>21.05</v>
      </c>
    </row>
    <row r="1660" spans="6:23" x14ac:dyDescent="0.3">
      <c r="F1660" s="17">
        <v>18</v>
      </c>
      <c r="G1660" s="8" t="str">
        <f>IF(Table13[[#This Row],[Age]]&lt;25,"18-24",IF(Table13[[#This Row],[Age]]&lt;35,"25-34",IF(Table13[[#This Row],[Age]]&lt;45,"35-44",IF(Table13[[#This Row],[Age]]&lt;55,"45-54","55-64"))))</f>
        <v>18-24</v>
      </c>
      <c r="H1660" s="8" t="s">
        <v>19</v>
      </c>
      <c r="I1660" s="8">
        <v>68.7</v>
      </c>
      <c r="J1660" s="8">
        <v>1.81</v>
      </c>
      <c r="K1660" s="8">
        <v>192</v>
      </c>
      <c r="L1660" s="8">
        <v>169</v>
      </c>
      <c r="M1660" s="8">
        <v>62</v>
      </c>
      <c r="N1660" s="8">
        <v>1.08</v>
      </c>
      <c r="O1660" s="8">
        <v>1783</v>
      </c>
      <c r="P1660" s="8" t="s">
        <v>18</v>
      </c>
      <c r="Q1660" s="8" t="str">
        <f>_xlfn.IFS(AND(Table13[[#This Row],[Gender]]="female",R1660&lt;20),"Athletes",AND(Table13[[#This Row],[Gender]]="female",R1660&lt;24),"Fitnesss",AND(Table13[[#This Row],[Gender]]="female",R1660&lt;31),"Acceptable",AND(Table13[[#This Row],[Gender]]="female",R1660&lt;40),"Obese",AND(Table13[[#This Row],[Gender]]="male",R1660&lt;13),"Athletes",AND(Table13[[#This Row],[Gender]]="male",R1660&lt;17),"Fitnesss",AND(Table13[[#This Row],[Gender]]="male",R1660&lt;24.9),"Acceptable",AND(Table13[[#This Row],[Gender]]="male",R1660&lt;40),"Obese",AND(Table13[[#This Row],[Gender]]="others",R1660&lt;20),"Athletes",AND(Table13[[#This Row],[Gender]]="others",R1660&lt;24),"Fitnesss",AND(Table13[[#This Row],[Gender]]="others",R1660&lt;31),"Acceptable",AND(Table13[[#This Row],[Gender]]="others",R1660&lt;40),"Obese")</f>
        <v>Athletes</v>
      </c>
      <c r="R1660" s="8">
        <v>10</v>
      </c>
      <c r="S1660" s="8">
        <v>3.4</v>
      </c>
      <c r="T1660" s="8"/>
      <c r="U1660" s="8">
        <v>1</v>
      </c>
      <c r="V1660" s="8" t="str">
        <f>IF(Table13[[#This Row],[BMI]]&lt;=18.5,"Underweight",IF(Table13[[#This Row],[BMI]]&lt;=24.9,"Normal",IF(Table13[[#This Row],[BMI]]&lt;=29.9,"Overweight",IF(Table13[[#This Row],[BMI]]&lt;=39,"Obese","Severly Obese"))))</f>
        <v>Obese</v>
      </c>
      <c r="W1660" s="18">
        <v>32.200000000000003</v>
      </c>
    </row>
    <row r="1661" spans="6:23" x14ac:dyDescent="0.3">
      <c r="F1661" s="17">
        <v>40</v>
      </c>
      <c r="G1661" s="8" t="str">
        <f>IF(Table13[[#This Row],[Age]]&lt;25,"18-24",IF(Table13[[#This Row],[Age]]&lt;35,"25-34",IF(Table13[[#This Row],[Age]]&lt;45,"35-44",IF(Table13[[#This Row],[Age]]&lt;55,"45-54","55-64"))))</f>
        <v>35-44</v>
      </c>
      <c r="H1661" s="8" t="s">
        <v>19</v>
      </c>
      <c r="I1661" s="8">
        <v>97.4</v>
      </c>
      <c r="J1661" s="8">
        <v>1.66</v>
      </c>
      <c r="K1661" s="8">
        <v>166</v>
      </c>
      <c r="L1661" s="8">
        <v>149</v>
      </c>
      <c r="M1661" s="8">
        <v>60</v>
      </c>
      <c r="N1661" s="8">
        <v>1.1599999999999999</v>
      </c>
      <c r="O1661" s="8">
        <v>700</v>
      </c>
      <c r="P1661" s="8" t="s">
        <v>21</v>
      </c>
      <c r="Q1661" s="8" t="str">
        <f>_xlfn.IFS(AND(Table13[[#This Row],[Gender]]="female",R1661&lt;20),"Athletes",AND(Table13[[#This Row],[Gender]]="female",R1661&lt;24),"Fitnesss",AND(Table13[[#This Row],[Gender]]="female",R1661&lt;31),"Acceptable",AND(Table13[[#This Row],[Gender]]="female",R1661&lt;40),"Obese",AND(Table13[[#This Row],[Gender]]="male",R1661&lt;13),"Athletes",AND(Table13[[#This Row],[Gender]]="male",R1661&lt;17),"Fitnesss",AND(Table13[[#This Row],[Gender]]="male",R1661&lt;24.9),"Acceptable",AND(Table13[[#This Row],[Gender]]="male",R1661&lt;40),"Obese",AND(Table13[[#This Row],[Gender]]="others",R1661&lt;20),"Athletes",AND(Table13[[#This Row],[Gender]]="others",R1661&lt;24),"Fitnesss",AND(Table13[[#This Row],[Gender]]="others",R1661&lt;31),"Acceptable",AND(Table13[[#This Row],[Gender]]="others",R1661&lt;40),"Obese")</f>
        <v>Acceptable</v>
      </c>
      <c r="R1661" s="8">
        <v>20.8</v>
      </c>
      <c r="S1661" s="8"/>
      <c r="T1661" s="8">
        <v>2</v>
      </c>
      <c r="U1661" s="8">
        <v>2</v>
      </c>
      <c r="V1661" s="8" t="str">
        <f>IF(Table13[[#This Row],[BMI]]&lt;=18.5,"Underweight",IF(Table13[[#This Row],[BMI]]&lt;=24.9,"Normal",IF(Table13[[#This Row],[BMI]]&lt;=29.9,"Overweight",IF(Table13[[#This Row],[BMI]]&lt;=39,"Obese","Severly Obese"))))</f>
        <v>Overweight</v>
      </c>
      <c r="W1661" s="18">
        <v>25.05</v>
      </c>
    </row>
    <row r="1662" spans="6:23" x14ac:dyDescent="0.3">
      <c r="F1662" s="17">
        <v>33</v>
      </c>
      <c r="G1662" s="8" t="str">
        <f>IF(Table13[[#This Row],[Age]]&lt;25,"18-24",IF(Table13[[#This Row],[Age]]&lt;35,"25-34",IF(Table13[[#This Row],[Age]]&lt;45,"35-44",IF(Table13[[#This Row],[Age]]&lt;55,"45-54","55-64"))))</f>
        <v>25-34</v>
      </c>
      <c r="H1662" s="8" t="s">
        <v>19</v>
      </c>
      <c r="I1662" s="8">
        <v>73.3</v>
      </c>
      <c r="J1662" s="8">
        <v>1.86</v>
      </c>
      <c r="K1662" s="8">
        <v>187</v>
      </c>
      <c r="L1662" s="8">
        <v>123</v>
      </c>
      <c r="M1662" s="8">
        <v>60</v>
      </c>
      <c r="N1662" s="8">
        <v>1.22</v>
      </c>
      <c r="O1662" s="8">
        <v>1254</v>
      </c>
      <c r="P1662" s="8" t="s">
        <v>20</v>
      </c>
      <c r="Q1662" s="8" t="str">
        <f>_xlfn.IFS(AND(Table13[[#This Row],[Gender]]="female",R1662&lt;20),"Athletes",AND(Table13[[#This Row],[Gender]]="female",R1662&lt;24),"Fitnesss",AND(Table13[[#This Row],[Gender]]="female",R1662&lt;31),"Acceptable",AND(Table13[[#This Row],[Gender]]="female",R1662&lt;40),"Obese",AND(Table13[[#This Row],[Gender]]="male",R1662&lt;13),"Athletes",AND(Table13[[#This Row],[Gender]]="male",R1662&lt;17),"Fitnesss",AND(Table13[[#This Row],[Gender]]="male",R1662&lt;24.9),"Acceptable",AND(Table13[[#This Row],[Gender]]="male",R1662&lt;40),"Obese",AND(Table13[[#This Row],[Gender]]="others",R1662&lt;20),"Athletes",AND(Table13[[#This Row],[Gender]]="others",R1662&lt;24),"Fitnesss",AND(Table13[[#This Row],[Gender]]="others",R1662&lt;31),"Acceptable",AND(Table13[[#This Row],[Gender]]="others",R1662&lt;40),"Obese")</f>
        <v>Obese</v>
      </c>
      <c r="R1662" s="8">
        <v>35</v>
      </c>
      <c r="S1662" s="8">
        <v>1.9</v>
      </c>
      <c r="T1662" s="8">
        <v>4</v>
      </c>
      <c r="U1662" s="8">
        <v>1</v>
      </c>
      <c r="V1662" s="8" t="str">
        <f>IF(Table13[[#This Row],[BMI]]&lt;=18.5,"Underweight",IF(Table13[[#This Row],[BMI]]&lt;=24.9,"Normal",IF(Table13[[#This Row],[BMI]]&lt;=29.9,"Overweight",IF(Table13[[#This Row],[BMI]]&lt;=39,"Obese","Severly Obese"))))</f>
        <v>Underweight</v>
      </c>
      <c r="W1662" s="18">
        <v>15.26</v>
      </c>
    </row>
    <row r="1663" spans="6:23" x14ac:dyDescent="0.3">
      <c r="F1663" s="17">
        <v>33</v>
      </c>
      <c r="G1663" s="8" t="str">
        <f>IF(Table13[[#This Row],[Age]]&lt;25,"18-24",IF(Table13[[#This Row],[Age]]&lt;35,"25-34",IF(Table13[[#This Row],[Age]]&lt;45,"35-44",IF(Table13[[#This Row],[Age]]&lt;55,"45-54","55-64"))))</f>
        <v>25-34</v>
      </c>
      <c r="H1663" s="8" t="s">
        <v>17</v>
      </c>
      <c r="I1663" s="8">
        <v>44.9</v>
      </c>
      <c r="J1663" s="8">
        <v>1.73</v>
      </c>
      <c r="K1663" s="8">
        <v>176</v>
      </c>
      <c r="L1663" s="8">
        <v>158</v>
      </c>
      <c r="M1663" s="8">
        <v>74</v>
      </c>
      <c r="N1663" s="8">
        <v>2</v>
      </c>
      <c r="O1663" s="8">
        <v>905</v>
      </c>
      <c r="P1663" s="8" t="s">
        <v>18</v>
      </c>
      <c r="Q1663" s="8" t="str">
        <f>_xlfn.IFS(AND(Table13[[#This Row],[Gender]]="female",R1663&lt;20),"Athletes",AND(Table13[[#This Row],[Gender]]="female",R1663&lt;24),"Fitnesss",AND(Table13[[#This Row],[Gender]]="female",R1663&lt;31),"Acceptable",AND(Table13[[#This Row],[Gender]]="female",R1663&lt;40),"Obese",AND(Table13[[#This Row],[Gender]]="male",R1663&lt;13),"Athletes",AND(Table13[[#This Row],[Gender]]="male",R1663&lt;17),"Fitnesss",AND(Table13[[#This Row],[Gender]]="male",R1663&lt;24.9),"Acceptable",AND(Table13[[#This Row],[Gender]]="male",R1663&lt;40),"Obese",AND(Table13[[#This Row],[Gender]]="others",R1663&lt;20),"Athletes",AND(Table13[[#This Row],[Gender]]="others",R1663&lt;24),"Fitnesss",AND(Table13[[#This Row],[Gender]]="others",R1663&lt;31),"Acceptable",AND(Table13[[#This Row],[Gender]]="others",R1663&lt;40),"Obese")</f>
        <v>Acceptable</v>
      </c>
      <c r="R1663" s="8">
        <v>27</v>
      </c>
      <c r="S1663" s="8">
        <v>2.1</v>
      </c>
      <c r="T1663" s="8">
        <v>3</v>
      </c>
      <c r="U1663" s="8">
        <v>2</v>
      </c>
      <c r="V1663" s="8" t="str">
        <f>IF(Table13[[#This Row],[BMI]]&lt;=18.5,"Underweight",IF(Table13[[#This Row],[BMI]]&lt;=24.9,"Normal",IF(Table13[[#This Row],[BMI]]&lt;=29.9,"Overweight",IF(Table13[[#This Row],[BMI]]&lt;=39,"Obese","Severly Obese"))))</f>
        <v>Normal</v>
      </c>
      <c r="W1663" s="18">
        <v>23.8</v>
      </c>
    </row>
    <row r="1664" spans="6:23" x14ac:dyDescent="0.3">
      <c r="F1664" s="17">
        <v>39</v>
      </c>
      <c r="G1664" s="8" t="str">
        <f>IF(Table13[[#This Row],[Age]]&lt;25,"18-24",IF(Table13[[#This Row],[Age]]&lt;35,"25-34",IF(Table13[[#This Row],[Age]]&lt;45,"35-44",IF(Table13[[#This Row],[Age]]&lt;55,"45-54","55-64"))))</f>
        <v>35-44</v>
      </c>
      <c r="H1664" s="8" t="s">
        <v>19</v>
      </c>
      <c r="I1664" s="8">
        <v>59.9</v>
      </c>
      <c r="J1664" s="8">
        <v>1.71</v>
      </c>
      <c r="K1664" s="8">
        <v>174</v>
      </c>
      <c r="L1664" s="8">
        <v>131</v>
      </c>
      <c r="M1664" s="8">
        <v>50</v>
      </c>
      <c r="N1664" s="8">
        <v>1.41</v>
      </c>
      <c r="O1664" s="8">
        <v>733</v>
      </c>
      <c r="P1664" s="8" t="s">
        <v>22</v>
      </c>
      <c r="Q1664" s="8" t="str">
        <f>_xlfn.IFS(AND(Table13[[#This Row],[Gender]]="female",R1664&lt;20),"Athletes",AND(Table13[[#This Row],[Gender]]="female",R1664&lt;24),"Fitnesss",AND(Table13[[#This Row],[Gender]]="female",R1664&lt;31),"Acceptable",AND(Table13[[#This Row],[Gender]]="female",R1664&lt;40),"Obese",AND(Table13[[#This Row],[Gender]]="male",R1664&lt;13),"Athletes",AND(Table13[[#This Row],[Gender]]="male",R1664&lt;17),"Fitnesss",AND(Table13[[#This Row],[Gender]]="male",R1664&lt;24.9),"Acceptable",AND(Table13[[#This Row],[Gender]]="male",R1664&lt;40),"Obese",AND(Table13[[#This Row],[Gender]]="others",R1664&lt;20),"Athletes",AND(Table13[[#This Row],[Gender]]="others",R1664&lt;24),"Fitnesss",AND(Table13[[#This Row],[Gender]]="others",R1664&lt;31),"Acceptable",AND(Table13[[#This Row],[Gender]]="others",R1664&lt;40),"Obese")</f>
        <v>Acceptable</v>
      </c>
      <c r="R1664" s="8">
        <v>24.7</v>
      </c>
      <c r="S1664" s="8">
        <v>2.9</v>
      </c>
      <c r="T1664" s="8">
        <v>2</v>
      </c>
      <c r="U1664" s="8">
        <v>2</v>
      </c>
      <c r="V1664" s="8" t="str">
        <f>IF(Table13[[#This Row],[BMI]]&lt;=18.5,"Underweight",IF(Table13[[#This Row],[BMI]]&lt;=24.9,"Normal",IF(Table13[[#This Row],[BMI]]&lt;=29.9,"Overweight",IF(Table13[[#This Row],[BMI]]&lt;=39,"Obese","Severly Obese"))))</f>
        <v>Normal</v>
      </c>
      <c r="W1664" s="18">
        <v>19.739999999999998</v>
      </c>
    </row>
    <row r="1665" spans="6:23" x14ac:dyDescent="0.3">
      <c r="F1665" s="17">
        <v>40</v>
      </c>
      <c r="G1665" s="8" t="str">
        <f>IF(Table13[[#This Row],[Age]]&lt;25,"18-24",IF(Table13[[#This Row],[Age]]&lt;35,"25-34",IF(Table13[[#This Row],[Age]]&lt;45,"35-44",IF(Table13[[#This Row],[Age]]&lt;55,"45-54","55-64"))))</f>
        <v>35-44</v>
      </c>
      <c r="H1665" s="8" t="s">
        <v>19</v>
      </c>
      <c r="I1665" s="8">
        <v>43.9</v>
      </c>
      <c r="J1665" s="8">
        <v>1.92</v>
      </c>
      <c r="K1665" s="8">
        <v>186</v>
      </c>
      <c r="L1665" s="8">
        <v>143</v>
      </c>
      <c r="M1665" s="8">
        <v>74</v>
      </c>
      <c r="N1665" s="8">
        <v>0.83</v>
      </c>
      <c r="O1665" s="8">
        <v>1018</v>
      </c>
      <c r="P1665" s="8" t="s">
        <v>22</v>
      </c>
      <c r="Q1665" s="8" t="str">
        <f>_xlfn.IFS(AND(Table13[[#This Row],[Gender]]="female",R1665&lt;20),"Athletes",AND(Table13[[#This Row],[Gender]]="female",R1665&lt;24),"Fitnesss",AND(Table13[[#This Row],[Gender]]="female",R1665&lt;31),"Acceptable",AND(Table13[[#This Row],[Gender]]="female",R1665&lt;40),"Obese",AND(Table13[[#This Row],[Gender]]="male",R1665&lt;13),"Athletes",AND(Table13[[#This Row],[Gender]]="male",R1665&lt;17),"Fitnesss",AND(Table13[[#This Row],[Gender]]="male",R1665&lt;24.9),"Acceptable",AND(Table13[[#This Row],[Gender]]="male",R1665&lt;40),"Obese",AND(Table13[[#This Row],[Gender]]="others",R1665&lt;20),"Athletes",AND(Table13[[#This Row],[Gender]]="others",R1665&lt;24),"Fitnesss",AND(Table13[[#This Row],[Gender]]="others",R1665&lt;31),"Acceptable",AND(Table13[[#This Row],[Gender]]="others",R1665&lt;40),"Obese")</f>
        <v>Athletes</v>
      </c>
      <c r="R1665" s="8">
        <v>12</v>
      </c>
      <c r="S1665" s="8">
        <v>3.1</v>
      </c>
      <c r="T1665" s="8">
        <v>3</v>
      </c>
      <c r="U1665" s="8">
        <v>1</v>
      </c>
      <c r="V1665" s="8" t="str">
        <f>IF(Table13[[#This Row],[BMI]]&lt;=18.5,"Underweight",IF(Table13[[#This Row],[BMI]]&lt;=24.9,"Normal",IF(Table13[[#This Row],[BMI]]&lt;=29.9,"Overweight",IF(Table13[[#This Row],[BMI]]&lt;=39,"Obese","Severly Obese"))))</f>
        <v>Overweight</v>
      </c>
      <c r="W1665" s="18">
        <v>29.23</v>
      </c>
    </row>
    <row r="1666" spans="6:23" x14ac:dyDescent="0.3">
      <c r="F1666" s="17">
        <v>20</v>
      </c>
      <c r="G1666" s="8" t="str">
        <f>IF(Table13[[#This Row],[Age]]&lt;25,"18-24",IF(Table13[[#This Row],[Age]]&lt;35,"25-34",IF(Table13[[#This Row],[Age]]&lt;45,"35-44",IF(Table13[[#This Row],[Age]]&lt;55,"45-54","55-64"))))</f>
        <v>18-24</v>
      </c>
      <c r="H1666" s="8" t="s">
        <v>19</v>
      </c>
      <c r="I1666" s="8">
        <v>40</v>
      </c>
      <c r="J1666" s="8">
        <v>1.52</v>
      </c>
      <c r="K1666" s="8">
        <v>164</v>
      </c>
      <c r="L1666" s="8">
        <v>144</v>
      </c>
      <c r="M1666" s="8">
        <v>65</v>
      </c>
      <c r="N1666" s="8">
        <v>1.53</v>
      </c>
      <c r="O1666" s="8">
        <v>629</v>
      </c>
      <c r="P1666" s="8" t="s">
        <v>18</v>
      </c>
      <c r="Q1666" s="8" t="str">
        <f>_xlfn.IFS(AND(Table13[[#This Row],[Gender]]="female",R1666&lt;20),"Athletes",AND(Table13[[#This Row],[Gender]]="female",R1666&lt;24),"Fitnesss",AND(Table13[[#This Row],[Gender]]="female",R1666&lt;31),"Acceptable",AND(Table13[[#This Row],[Gender]]="female",R1666&lt;40),"Obese",AND(Table13[[#This Row],[Gender]]="male",R1666&lt;13),"Athletes",AND(Table13[[#This Row],[Gender]]="male",R1666&lt;17),"Fitnesss",AND(Table13[[#This Row],[Gender]]="male",R1666&lt;24.9),"Acceptable",AND(Table13[[#This Row],[Gender]]="male",R1666&lt;40),"Obese",AND(Table13[[#This Row],[Gender]]="others",R1666&lt;20),"Athletes",AND(Table13[[#This Row],[Gender]]="others",R1666&lt;24),"Fitnesss",AND(Table13[[#This Row],[Gender]]="others",R1666&lt;31),"Acceptable",AND(Table13[[#This Row],[Gender]]="others",R1666&lt;40),"Obese")</f>
        <v>Acceptable</v>
      </c>
      <c r="R1666" s="8">
        <v>22.6</v>
      </c>
      <c r="S1666" s="8">
        <v>3.1</v>
      </c>
      <c r="T1666" s="8">
        <v>4</v>
      </c>
      <c r="U1666" s="8">
        <v>1</v>
      </c>
      <c r="V1666" s="8" t="str">
        <f>IF(Table13[[#This Row],[BMI]]&lt;=18.5,"Underweight",IF(Table13[[#This Row],[BMI]]&lt;=24.9,"Normal",IF(Table13[[#This Row],[BMI]]&lt;=29.9,"Overweight",IF(Table13[[#This Row],[BMI]]&lt;=39,"Obese","Severly Obese"))))</f>
        <v>Normal</v>
      </c>
      <c r="W1666" s="18">
        <v>22.23</v>
      </c>
    </row>
    <row r="1667" spans="6:23" x14ac:dyDescent="0.3">
      <c r="F1667" s="17">
        <v>26</v>
      </c>
      <c r="G1667" s="8" t="str">
        <f>IF(Table13[[#This Row],[Age]]&lt;25,"18-24",IF(Table13[[#This Row],[Age]]&lt;35,"25-34",IF(Table13[[#This Row],[Age]]&lt;45,"35-44",IF(Table13[[#This Row],[Age]]&lt;55,"45-54","55-64"))))</f>
        <v>25-34</v>
      </c>
      <c r="H1667" s="8" t="s">
        <v>19</v>
      </c>
      <c r="I1667" s="8">
        <v>65.900000000000006</v>
      </c>
      <c r="J1667" s="8">
        <v>1.99</v>
      </c>
      <c r="K1667" s="8">
        <v>166</v>
      </c>
      <c r="L1667" s="8">
        <v>127</v>
      </c>
      <c r="M1667" s="8">
        <v>71</v>
      </c>
      <c r="N1667" s="8">
        <v>1.08</v>
      </c>
      <c r="O1667" s="8">
        <v>1218</v>
      </c>
      <c r="P1667" s="8" t="s">
        <v>20</v>
      </c>
      <c r="Q1667" s="8" t="str">
        <f>_xlfn.IFS(AND(Table13[[#This Row],[Gender]]="female",R1667&lt;20),"Athletes",AND(Table13[[#This Row],[Gender]]="female",R1667&lt;24),"Fitnesss",AND(Table13[[#This Row],[Gender]]="female",R1667&lt;31),"Acceptable",AND(Table13[[#This Row],[Gender]]="female",R1667&lt;40),"Obese",AND(Table13[[#This Row],[Gender]]="male",R1667&lt;13),"Athletes",AND(Table13[[#This Row],[Gender]]="male",R1667&lt;17),"Fitnesss",AND(Table13[[#This Row],[Gender]]="male",R1667&lt;24.9),"Acceptable",AND(Table13[[#This Row],[Gender]]="male",R1667&lt;40),"Obese",AND(Table13[[#This Row],[Gender]]="others",R1667&lt;20),"Athletes",AND(Table13[[#This Row],[Gender]]="others",R1667&lt;24),"Fitnesss",AND(Table13[[#This Row],[Gender]]="others",R1667&lt;31),"Acceptable",AND(Table13[[#This Row],[Gender]]="others",R1667&lt;40),"Obese")</f>
        <v>Acceptable</v>
      </c>
      <c r="R1667" s="8">
        <v>22</v>
      </c>
      <c r="S1667" s="8">
        <v>2.6</v>
      </c>
      <c r="T1667" s="8">
        <v>4</v>
      </c>
      <c r="U1667" s="8">
        <v>2</v>
      </c>
      <c r="V1667" s="8" t="str">
        <f>IF(Table13[[#This Row],[BMI]]&lt;=18.5,"Underweight",IF(Table13[[#This Row],[BMI]]&lt;=24.9,"Normal",IF(Table13[[#This Row],[BMI]]&lt;=29.9,"Overweight",IF(Table13[[#This Row],[BMI]]&lt;=39,"Obese","Severly Obese"))))</f>
        <v>Underweight</v>
      </c>
      <c r="W1667" s="18">
        <v>13.91</v>
      </c>
    </row>
    <row r="1668" spans="6:23" x14ac:dyDescent="0.3">
      <c r="F1668" s="17">
        <v>21</v>
      </c>
      <c r="G1668" s="8" t="str">
        <f>IF(Table13[[#This Row],[Age]]&lt;25,"18-24",IF(Table13[[#This Row],[Age]]&lt;35,"25-34",IF(Table13[[#This Row],[Age]]&lt;45,"35-44",IF(Table13[[#This Row],[Age]]&lt;55,"45-54","55-64"))))</f>
        <v>18-24</v>
      </c>
      <c r="H1668" s="8" t="s">
        <v>17</v>
      </c>
      <c r="I1668" s="8">
        <v>59.8</v>
      </c>
      <c r="J1668" s="8">
        <v>1.65</v>
      </c>
      <c r="K1668" s="8">
        <v>162</v>
      </c>
      <c r="L1668" s="8">
        <v>169</v>
      </c>
      <c r="M1668" s="8">
        <v>74</v>
      </c>
      <c r="N1668" s="8">
        <v>1.5</v>
      </c>
      <c r="O1668" s="8">
        <v>1130</v>
      </c>
      <c r="P1668" s="8" t="s">
        <v>20</v>
      </c>
      <c r="Q1668" s="8" t="str">
        <f>_xlfn.IFS(AND(Table13[[#This Row],[Gender]]="female",R1668&lt;20),"Athletes",AND(Table13[[#This Row],[Gender]]="female",R1668&lt;24),"Fitnesss",AND(Table13[[#This Row],[Gender]]="female",R1668&lt;31),"Acceptable",AND(Table13[[#This Row],[Gender]]="female",R1668&lt;40),"Obese",AND(Table13[[#This Row],[Gender]]="male",R1668&lt;13),"Athletes",AND(Table13[[#This Row],[Gender]]="male",R1668&lt;17),"Fitnesss",AND(Table13[[#This Row],[Gender]]="male",R1668&lt;24.9),"Acceptable",AND(Table13[[#This Row],[Gender]]="male",R1668&lt;40),"Obese",AND(Table13[[#This Row],[Gender]]="others",R1668&lt;20),"Athletes",AND(Table13[[#This Row],[Gender]]="others",R1668&lt;24),"Fitnesss",AND(Table13[[#This Row],[Gender]]="others",R1668&lt;31),"Acceptable",AND(Table13[[#This Row],[Gender]]="others",R1668&lt;40),"Obese")</f>
        <v>Acceptable</v>
      </c>
      <c r="R1668" s="8">
        <v>30.4</v>
      </c>
      <c r="S1668" s="8">
        <v>3.2</v>
      </c>
      <c r="T1668" s="8">
        <v>5</v>
      </c>
      <c r="U1668" s="8">
        <v>3</v>
      </c>
      <c r="V1668" s="8" t="str">
        <f>IF(Table13[[#This Row],[BMI]]&lt;=18.5,"Underweight",IF(Table13[[#This Row],[BMI]]&lt;=24.9,"Normal",IF(Table13[[#This Row],[BMI]]&lt;=29.9,"Overweight",IF(Table13[[#This Row],[BMI]]&lt;=39,"Obese","Severly Obese"))))</f>
        <v>Underweight</v>
      </c>
      <c r="W1668" s="18">
        <v>12.32</v>
      </c>
    </row>
    <row r="1669" spans="6:23" x14ac:dyDescent="0.3">
      <c r="F1669" s="17">
        <v>36</v>
      </c>
      <c r="G1669" s="8" t="str">
        <f>IF(Table13[[#This Row],[Age]]&lt;25,"18-24",IF(Table13[[#This Row],[Age]]&lt;35,"25-34",IF(Table13[[#This Row],[Age]]&lt;45,"35-44",IF(Table13[[#This Row],[Age]]&lt;55,"45-54","55-64"))))</f>
        <v>35-44</v>
      </c>
      <c r="H1669" s="8" t="s">
        <v>17</v>
      </c>
      <c r="I1669" s="8">
        <v>77.7</v>
      </c>
      <c r="J1669" s="8">
        <v>1.66</v>
      </c>
      <c r="K1669" s="8">
        <v>193</v>
      </c>
      <c r="L1669" s="8">
        <v>120</v>
      </c>
      <c r="M1669" s="8">
        <v>72</v>
      </c>
      <c r="N1669" s="8">
        <v>1.21</v>
      </c>
      <c r="O1669" s="8">
        <v>1115</v>
      </c>
      <c r="P1669" s="8" t="s">
        <v>18</v>
      </c>
      <c r="Q1669" s="8" t="str">
        <f>_xlfn.IFS(AND(Table13[[#This Row],[Gender]]="female",R1669&lt;20),"Athletes",AND(Table13[[#This Row],[Gender]]="female",R1669&lt;24),"Fitnesss",AND(Table13[[#This Row],[Gender]]="female",R1669&lt;31),"Acceptable",AND(Table13[[#This Row],[Gender]]="female",R1669&lt;40),"Obese",AND(Table13[[#This Row],[Gender]]="male",R1669&lt;13),"Athletes",AND(Table13[[#This Row],[Gender]]="male",R1669&lt;17),"Fitnesss",AND(Table13[[#This Row],[Gender]]="male",R1669&lt;24.9),"Acceptable",AND(Table13[[#This Row],[Gender]]="male",R1669&lt;40),"Obese",AND(Table13[[#This Row],[Gender]]="others",R1669&lt;20),"Athletes",AND(Table13[[#This Row],[Gender]]="others",R1669&lt;24),"Fitnesss",AND(Table13[[#This Row],[Gender]]="others",R1669&lt;31),"Acceptable",AND(Table13[[#This Row],[Gender]]="others",R1669&lt;40),"Obese")</f>
        <v>Athletes</v>
      </c>
      <c r="R1669" s="8">
        <v>11.3</v>
      </c>
      <c r="S1669" s="8">
        <v>2.2000000000000002</v>
      </c>
      <c r="T1669" s="8">
        <v>2</v>
      </c>
      <c r="U1669" s="8">
        <v>3</v>
      </c>
      <c r="V1669" s="8" t="str">
        <f>IF(Table13[[#This Row],[BMI]]&lt;=18.5,"Underweight",IF(Table13[[#This Row],[BMI]]&lt;=24.9,"Normal",IF(Table13[[#This Row],[BMI]]&lt;=29.9,"Overweight",IF(Table13[[#This Row],[BMI]]&lt;=39,"Obese","Severly Obese"))))</f>
        <v>Normal</v>
      </c>
      <c r="W1669" s="18">
        <v>22.23</v>
      </c>
    </row>
    <row r="1670" spans="6:23" x14ac:dyDescent="0.3">
      <c r="F1670" s="17">
        <v>30</v>
      </c>
      <c r="G1670" s="8" t="str">
        <f>IF(Table13[[#This Row],[Age]]&lt;25,"18-24",IF(Table13[[#This Row],[Age]]&lt;35,"25-34",IF(Table13[[#This Row],[Age]]&lt;45,"35-44",IF(Table13[[#This Row],[Age]]&lt;55,"45-54","55-64"))))</f>
        <v>25-34</v>
      </c>
      <c r="H1670" s="8" t="s">
        <v>19</v>
      </c>
      <c r="I1670" s="8">
        <v>61.6</v>
      </c>
      <c r="J1670" s="8">
        <v>1.77</v>
      </c>
      <c r="K1670" s="8">
        <v>170</v>
      </c>
      <c r="L1670" s="8">
        <v>130</v>
      </c>
      <c r="M1670" s="8">
        <v>74</v>
      </c>
      <c r="N1670" s="8">
        <v>2</v>
      </c>
      <c r="O1670" s="8">
        <v>1068</v>
      </c>
      <c r="P1670" s="8" t="s">
        <v>22</v>
      </c>
      <c r="Q1670" s="8" t="str">
        <f>_xlfn.IFS(AND(Table13[[#This Row],[Gender]]="female",R1670&lt;20),"Athletes",AND(Table13[[#This Row],[Gender]]="female",R1670&lt;24),"Fitnesss",AND(Table13[[#This Row],[Gender]]="female",R1670&lt;31),"Acceptable",AND(Table13[[#This Row],[Gender]]="female",R1670&lt;40),"Obese",AND(Table13[[#This Row],[Gender]]="male",R1670&lt;13),"Athletes",AND(Table13[[#This Row],[Gender]]="male",R1670&lt;17),"Fitnesss",AND(Table13[[#This Row],[Gender]]="male",R1670&lt;24.9),"Acceptable",AND(Table13[[#This Row],[Gender]]="male",R1670&lt;40),"Obese",AND(Table13[[#This Row],[Gender]]="others",R1670&lt;20),"Athletes",AND(Table13[[#This Row],[Gender]]="others",R1670&lt;24),"Fitnesss",AND(Table13[[#This Row],[Gender]]="others",R1670&lt;31),"Acceptable",AND(Table13[[#This Row],[Gender]]="others",R1670&lt;40),"Obese")</f>
        <v>Acceptable</v>
      </c>
      <c r="R1670" s="8">
        <v>24.3</v>
      </c>
      <c r="S1670" s="8">
        <v>1.5</v>
      </c>
      <c r="T1670" s="8">
        <v>5</v>
      </c>
      <c r="U1670" s="8">
        <v>2</v>
      </c>
      <c r="V1670" s="8" t="str">
        <f>IF(Table13[[#This Row],[BMI]]&lt;=18.5,"Underweight",IF(Table13[[#This Row],[BMI]]&lt;=24.9,"Normal",IF(Table13[[#This Row],[BMI]]&lt;=29.9,"Overweight",IF(Table13[[#This Row],[BMI]]&lt;=39,"Obese","Severly Obese"))))</f>
        <v>Normal</v>
      </c>
      <c r="W1670" s="18">
        <v>24.78</v>
      </c>
    </row>
    <row r="1671" spans="6:23" x14ac:dyDescent="0.3">
      <c r="F1671" s="17">
        <v>18</v>
      </c>
      <c r="G1671" s="8" t="str">
        <f>IF(Table13[[#This Row],[Age]]&lt;25,"18-24",IF(Table13[[#This Row],[Age]]&lt;35,"25-34",IF(Table13[[#This Row],[Age]]&lt;45,"35-44",IF(Table13[[#This Row],[Age]]&lt;55,"45-54","55-64"))))</f>
        <v>18-24</v>
      </c>
      <c r="H1671" s="8" t="s">
        <v>17</v>
      </c>
      <c r="I1671" s="8">
        <v>44.2</v>
      </c>
      <c r="J1671" s="8">
        <v>1.64</v>
      </c>
      <c r="K1671" s="8">
        <v>171</v>
      </c>
      <c r="L1671" s="8">
        <v>164</v>
      </c>
      <c r="M1671" s="8">
        <v>66</v>
      </c>
      <c r="N1671" s="8">
        <v>1.1399999999999999</v>
      </c>
      <c r="O1671" s="8">
        <v>1083</v>
      </c>
      <c r="P1671" s="8" t="s">
        <v>22</v>
      </c>
      <c r="Q1671" s="8" t="str">
        <f>_xlfn.IFS(AND(Table13[[#This Row],[Gender]]="female",R1671&lt;20),"Athletes",AND(Table13[[#This Row],[Gender]]="female",R1671&lt;24),"Fitnesss",AND(Table13[[#This Row],[Gender]]="female",R1671&lt;31),"Acceptable",AND(Table13[[#This Row],[Gender]]="female",R1671&lt;40),"Obese",AND(Table13[[#This Row],[Gender]]="male",R1671&lt;13),"Athletes",AND(Table13[[#This Row],[Gender]]="male",R1671&lt;17),"Fitnesss",AND(Table13[[#This Row],[Gender]]="male",R1671&lt;24.9),"Acceptable",AND(Table13[[#This Row],[Gender]]="male",R1671&lt;40),"Obese",AND(Table13[[#This Row],[Gender]]="others",R1671&lt;20),"Athletes",AND(Table13[[#This Row],[Gender]]="others",R1671&lt;24),"Fitnesss",AND(Table13[[#This Row],[Gender]]="others",R1671&lt;31),"Acceptable",AND(Table13[[#This Row],[Gender]]="others",R1671&lt;40),"Obese")</f>
        <v>Athletes</v>
      </c>
      <c r="R1671" s="8">
        <v>16.100000000000001</v>
      </c>
      <c r="S1671" s="8">
        <v>2.2000000000000002</v>
      </c>
      <c r="T1671" s="8">
        <v>5</v>
      </c>
      <c r="U1671" s="8">
        <v>2</v>
      </c>
      <c r="V1671" s="8" t="str">
        <f>IF(Table13[[#This Row],[BMI]]&lt;=18.5,"Underweight",IF(Table13[[#This Row],[BMI]]&lt;=24.9,"Normal",IF(Table13[[#This Row],[BMI]]&lt;=29.9,"Overweight",IF(Table13[[#This Row],[BMI]]&lt;=39,"Obese","Severly Obese"))))</f>
        <v>Underweight</v>
      </c>
      <c r="W1671" s="18">
        <v>18.36</v>
      </c>
    </row>
    <row r="1672" spans="6:23" x14ac:dyDescent="0.3">
      <c r="F1672" s="17">
        <v>22</v>
      </c>
      <c r="G1672" s="8" t="str">
        <f>IF(Table13[[#This Row],[Age]]&lt;25,"18-24",IF(Table13[[#This Row],[Age]]&lt;35,"25-34",IF(Table13[[#This Row],[Age]]&lt;45,"35-44",IF(Table13[[#This Row],[Age]]&lt;55,"45-54","55-64"))))</f>
        <v>18-24</v>
      </c>
      <c r="H1672" s="8" t="s">
        <v>19</v>
      </c>
      <c r="I1672" s="8">
        <v>63.7</v>
      </c>
      <c r="J1672" s="8">
        <v>1.85</v>
      </c>
      <c r="K1672" s="8">
        <v>192</v>
      </c>
      <c r="L1672" s="8">
        <v>122</v>
      </c>
      <c r="M1672" s="8">
        <v>53</v>
      </c>
      <c r="N1672" s="8">
        <v>1.06</v>
      </c>
      <c r="O1672" s="8">
        <v>1032</v>
      </c>
      <c r="P1672" s="8" t="s">
        <v>22</v>
      </c>
      <c r="Q1672" s="8" t="str">
        <f>_xlfn.IFS(AND(Table13[[#This Row],[Gender]]="female",R1672&lt;20),"Athletes",AND(Table13[[#This Row],[Gender]]="female",R1672&lt;24),"Fitnesss",AND(Table13[[#This Row],[Gender]]="female",R1672&lt;31),"Acceptable",AND(Table13[[#This Row],[Gender]]="female",R1672&lt;40),"Obese",AND(Table13[[#This Row],[Gender]]="male",R1672&lt;13),"Athletes",AND(Table13[[#This Row],[Gender]]="male",R1672&lt;17),"Fitnesss",AND(Table13[[#This Row],[Gender]]="male",R1672&lt;24.9),"Acceptable",AND(Table13[[#This Row],[Gender]]="male",R1672&lt;40),"Obese",AND(Table13[[#This Row],[Gender]]="others",R1672&lt;20),"Athletes",AND(Table13[[#This Row],[Gender]]="others",R1672&lt;24),"Fitnesss",AND(Table13[[#This Row],[Gender]]="others",R1672&lt;31),"Acceptable",AND(Table13[[#This Row],[Gender]]="others",R1672&lt;40),"Obese")</f>
        <v>Acceptable</v>
      </c>
      <c r="R1672" s="8">
        <v>24.4</v>
      </c>
      <c r="S1672" s="8">
        <v>2.5</v>
      </c>
      <c r="T1672" s="8">
        <v>3</v>
      </c>
      <c r="U1672" s="8">
        <v>3</v>
      </c>
      <c r="V1672" s="8" t="str">
        <f>IF(Table13[[#This Row],[BMI]]&lt;=18.5,"Underweight",IF(Table13[[#This Row],[BMI]]&lt;=24.9,"Normal",IF(Table13[[#This Row],[BMI]]&lt;=29.9,"Overweight",IF(Table13[[#This Row],[BMI]]&lt;=39,"Obese","Severly Obese"))))</f>
        <v>Underweight</v>
      </c>
      <c r="W1672" s="18">
        <v>13.95</v>
      </c>
    </row>
    <row r="1673" spans="6:23" x14ac:dyDescent="0.3">
      <c r="F1673" s="17">
        <v>45</v>
      </c>
      <c r="G1673" s="8" t="str">
        <f>IF(Table13[[#This Row],[Age]]&lt;25,"18-24",IF(Table13[[#This Row],[Age]]&lt;35,"25-34",IF(Table13[[#This Row],[Age]]&lt;45,"35-44",IF(Table13[[#This Row],[Age]]&lt;55,"45-54","55-64"))))</f>
        <v>45-54</v>
      </c>
      <c r="H1673" s="8" t="s">
        <v>19</v>
      </c>
      <c r="I1673" s="8">
        <v>54.4</v>
      </c>
      <c r="J1673" s="8">
        <v>1.55</v>
      </c>
      <c r="K1673" s="8">
        <v>182</v>
      </c>
      <c r="L1673" s="8">
        <v>139</v>
      </c>
      <c r="M1673" s="8">
        <v>74</v>
      </c>
      <c r="N1673" s="8">
        <v>2</v>
      </c>
      <c r="O1673" s="8">
        <v>1179</v>
      </c>
      <c r="P1673" s="8" t="s">
        <v>21</v>
      </c>
      <c r="Q1673" s="8" t="str">
        <f>_xlfn.IFS(AND(Table13[[#This Row],[Gender]]="female",R1673&lt;20),"Athletes",AND(Table13[[#This Row],[Gender]]="female",R1673&lt;24),"Fitnesss",AND(Table13[[#This Row],[Gender]]="female",R1673&lt;31),"Acceptable",AND(Table13[[#This Row],[Gender]]="female",R1673&lt;40),"Obese",AND(Table13[[#This Row],[Gender]]="male",R1673&lt;13),"Athletes",AND(Table13[[#This Row],[Gender]]="male",R1673&lt;17),"Fitnesss",AND(Table13[[#This Row],[Gender]]="male",R1673&lt;24.9),"Acceptable",AND(Table13[[#This Row],[Gender]]="male",R1673&lt;40),"Obese",AND(Table13[[#This Row],[Gender]]="others",R1673&lt;20),"Athletes",AND(Table13[[#This Row],[Gender]]="others",R1673&lt;24),"Fitnesss",AND(Table13[[#This Row],[Gender]]="others",R1673&lt;31),"Acceptable",AND(Table13[[#This Row],[Gender]]="others",R1673&lt;40),"Obese")</f>
        <v>Acceptable</v>
      </c>
      <c r="R1673" s="8">
        <v>24.3</v>
      </c>
      <c r="S1673" s="8">
        <v>3.1</v>
      </c>
      <c r="T1673" s="8">
        <v>5</v>
      </c>
      <c r="U1673" s="8">
        <v>3</v>
      </c>
      <c r="V1673" s="8" t="str">
        <f>IF(Table13[[#This Row],[BMI]]&lt;=18.5,"Underweight",IF(Table13[[#This Row],[BMI]]&lt;=24.9,"Normal",IF(Table13[[#This Row],[BMI]]&lt;=29.9,"Overweight",IF(Table13[[#This Row],[BMI]]&lt;=39,"Obese","Severly Obese"))))</f>
        <v>Underweight</v>
      </c>
      <c r="W1673" s="18">
        <v>12.32</v>
      </c>
    </row>
    <row r="1674" spans="6:23" x14ac:dyDescent="0.3">
      <c r="F1674" s="17">
        <v>43</v>
      </c>
      <c r="G1674" s="8" t="str">
        <f>IF(Table13[[#This Row],[Age]]&lt;25,"18-24",IF(Table13[[#This Row],[Age]]&lt;35,"25-34",IF(Table13[[#This Row],[Age]]&lt;45,"35-44",IF(Table13[[#This Row],[Age]]&lt;55,"45-54","55-64"))))</f>
        <v>35-44</v>
      </c>
      <c r="H1674" s="8" t="s">
        <v>17</v>
      </c>
      <c r="I1674" s="8">
        <v>93.8</v>
      </c>
      <c r="J1674" s="8">
        <v>1.65</v>
      </c>
      <c r="K1674" s="8">
        <v>170</v>
      </c>
      <c r="L1674" s="8">
        <v>162</v>
      </c>
      <c r="M1674" s="8">
        <v>61</v>
      </c>
      <c r="N1674" s="8">
        <v>1.37</v>
      </c>
      <c r="O1674" s="8">
        <v>848</v>
      </c>
      <c r="P1674" s="8" t="s">
        <v>18</v>
      </c>
      <c r="Q1674" s="8" t="str">
        <f>_xlfn.IFS(AND(Table13[[#This Row],[Gender]]="female",R1674&lt;20),"Athletes",AND(Table13[[#This Row],[Gender]]="female",R1674&lt;24),"Fitnesss",AND(Table13[[#This Row],[Gender]]="female",R1674&lt;31),"Acceptable",AND(Table13[[#This Row],[Gender]]="female",R1674&lt;40),"Obese",AND(Table13[[#This Row],[Gender]]="male",R1674&lt;13),"Athletes",AND(Table13[[#This Row],[Gender]]="male",R1674&lt;17),"Fitnesss",AND(Table13[[#This Row],[Gender]]="male",R1674&lt;24.9),"Acceptable",AND(Table13[[#This Row],[Gender]]="male",R1674&lt;40),"Obese",AND(Table13[[#This Row],[Gender]]="others",R1674&lt;20),"Athletes",AND(Table13[[#This Row],[Gender]]="others",R1674&lt;24),"Fitnesss",AND(Table13[[#This Row],[Gender]]="others",R1674&lt;31),"Acceptable",AND(Table13[[#This Row],[Gender]]="others",R1674&lt;40),"Obese")</f>
        <v>Athletes</v>
      </c>
      <c r="R1674" s="8"/>
      <c r="S1674" s="8">
        <v>2.8</v>
      </c>
      <c r="T1674" s="8">
        <v>3</v>
      </c>
      <c r="U1674" s="8">
        <v>1</v>
      </c>
      <c r="V1674" s="8" t="str">
        <f>IF(Table13[[#This Row],[BMI]]&lt;=18.5,"Underweight",IF(Table13[[#This Row],[BMI]]&lt;=24.9,"Normal",IF(Table13[[#This Row],[BMI]]&lt;=29.9,"Overweight",IF(Table13[[#This Row],[BMI]]&lt;=39,"Obese","Severly Obese"))))</f>
        <v>Underweight</v>
      </c>
      <c r="W1674" s="18">
        <v>15.58</v>
      </c>
    </row>
    <row r="1675" spans="6:23" x14ac:dyDescent="0.3">
      <c r="F1675" s="17">
        <v>18</v>
      </c>
      <c r="G1675" s="8" t="str">
        <f>IF(Table13[[#This Row],[Age]]&lt;25,"18-24",IF(Table13[[#This Row],[Age]]&lt;35,"25-34",IF(Table13[[#This Row],[Age]]&lt;45,"35-44",IF(Table13[[#This Row],[Age]]&lt;55,"45-54","55-64"))))</f>
        <v>18-24</v>
      </c>
      <c r="H1675" s="8" t="s">
        <v>17</v>
      </c>
      <c r="I1675" s="8">
        <v>77.7</v>
      </c>
      <c r="J1675" s="8">
        <v>1.55</v>
      </c>
      <c r="K1675" s="8">
        <v>178</v>
      </c>
      <c r="L1675" s="8">
        <v>131</v>
      </c>
      <c r="M1675" s="8">
        <v>67</v>
      </c>
      <c r="N1675" s="8">
        <v>1.4</v>
      </c>
      <c r="O1675" s="8">
        <v>1259</v>
      </c>
      <c r="P1675" s="8" t="s">
        <v>18</v>
      </c>
      <c r="Q1675" s="8" t="str">
        <f>_xlfn.IFS(AND(Table13[[#This Row],[Gender]]="female",R1675&lt;20),"Athletes",AND(Table13[[#This Row],[Gender]]="female",R1675&lt;24),"Fitnesss",AND(Table13[[#This Row],[Gender]]="female",R1675&lt;31),"Acceptable",AND(Table13[[#This Row],[Gender]]="female",R1675&lt;40),"Obese",AND(Table13[[#This Row],[Gender]]="male",R1675&lt;13),"Athletes",AND(Table13[[#This Row],[Gender]]="male",R1675&lt;17),"Fitnesss",AND(Table13[[#This Row],[Gender]]="male",R1675&lt;24.9),"Acceptable",AND(Table13[[#This Row],[Gender]]="male",R1675&lt;40),"Obese",AND(Table13[[#This Row],[Gender]]="others",R1675&lt;20),"Athletes",AND(Table13[[#This Row],[Gender]]="others",R1675&lt;24),"Fitnesss",AND(Table13[[#This Row],[Gender]]="others",R1675&lt;31),"Acceptable",AND(Table13[[#This Row],[Gender]]="others",R1675&lt;40),"Obese")</f>
        <v>Athletes</v>
      </c>
      <c r="R1675" s="8">
        <v>14.8</v>
      </c>
      <c r="S1675" s="8">
        <v>2.4</v>
      </c>
      <c r="T1675" s="8">
        <v>3</v>
      </c>
      <c r="U1675" s="8">
        <v>2</v>
      </c>
      <c r="V1675" s="8" t="str">
        <f>IF(Table13[[#This Row],[BMI]]&lt;=18.5,"Underweight",IF(Table13[[#This Row],[BMI]]&lt;=24.9,"Normal",IF(Table13[[#This Row],[BMI]]&lt;=29.9,"Overweight",IF(Table13[[#This Row],[BMI]]&lt;=39,"Obese","Severly Obese"))))</f>
        <v>Underweight</v>
      </c>
      <c r="W1675" s="18">
        <v>12.32</v>
      </c>
    </row>
    <row r="1676" spans="6:23" x14ac:dyDescent="0.3">
      <c r="F1676" s="17">
        <v>18</v>
      </c>
      <c r="G1676" s="8" t="str">
        <f>IF(Table13[[#This Row],[Age]]&lt;25,"18-24",IF(Table13[[#This Row],[Age]]&lt;35,"25-34",IF(Table13[[#This Row],[Age]]&lt;45,"35-44",IF(Table13[[#This Row],[Age]]&lt;55,"45-54","55-64"))))</f>
        <v>18-24</v>
      </c>
      <c r="H1676" s="8" t="s">
        <v>19</v>
      </c>
      <c r="I1676" s="8">
        <v>57.6</v>
      </c>
      <c r="J1676" s="8">
        <v>1.74</v>
      </c>
      <c r="K1676" s="8">
        <v>172</v>
      </c>
      <c r="L1676" s="8">
        <v>120</v>
      </c>
      <c r="M1676" s="8">
        <v>74</v>
      </c>
      <c r="N1676" s="8">
        <v>1.46</v>
      </c>
      <c r="O1676" s="8">
        <v>635</v>
      </c>
      <c r="P1676" s="8" t="s">
        <v>18</v>
      </c>
      <c r="Q1676" s="8" t="str">
        <f>_xlfn.IFS(AND(Table13[[#This Row],[Gender]]="female",R1676&lt;20),"Athletes",AND(Table13[[#This Row],[Gender]]="female",R1676&lt;24),"Fitnesss",AND(Table13[[#This Row],[Gender]]="female",R1676&lt;31),"Acceptable",AND(Table13[[#This Row],[Gender]]="female",R1676&lt;40),"Obese",AND(Table13[[#This Row],[Gender]]="male",R1676&lt;13),"Athletes",AND(Table13[[#This Row],[Gender]]="male",R1676&lt;17),"Fitnesss",AND(Table13[[#This Row],[Gender]]="male",R1676&lt;24.9),"Acceptable",AND(Table13[[#This Row],[Gender]]="male",R1676&lt;40),"Obese",AND(Table13[[#This Row],[Gender]]="others",R1676&lt;20),"Athletes",AND(Table13[[#This Row],[Gender]]="others",R1676&lt;24),"Fitnesss",AND(Table13[[#This Row],[Gender]]="others",R1676&lt;31),"Acceptable",AND(Table13[[#This Row],[Gender]]="others",R1676&lt;40),"Obese")</f>
        <v>Fitnesss</v>
      </c>
      <c r="R1676" s="8">
        <v>15</v>
      </c>
      <c r="S1676" s="8">
        <v>3.2</v>
      </c>
      <c r="T1676" s="8">
        <v>2</v>
      </c>
      <c r="U1676" s="8">
        <v>3</v>
      </c>
      <c r="V1676" s="8" t="str">
        <f>IF(Table13[[#This Row],[BMI]]&lt;=18.5,"Underweight",IF(Table13[[#This Row],[BMI]]&lt;=24.9,"Normal",IF(Table13[[#This Row],[BMI]]&lt;=29.9,"Overweight",IF(Table13[[#This Row],[BMI]]&lt;=39,"Obese","Severly Obese"))))</f>
        <v>Underweight</v>
      </c>
      <c r="W1676" s="18">
        <v>12.8</v>
      </c>
    </row>
    <row r="1677" spans="6:23" x14ac:dyDescent="0.3">
      <c r="F1677" s="17">
        <v>20</v>
      </c>
      <c r="G1677" s="8" t="str">
        <f>IF(Table13[[#This Row],[Age]]&lt;25,"18-24",IF(Table13[[#This Row],[Age]]&lt;35,"25-34",IF(Table13[[#This Row],[Age]]&lt;45,"35-44",IF(Table13[[#This Row],[Age]]&lt;55,"45-54","55-64"))))</f>
        <v>18-24</v>
      </c>
      <c r="H1677" s="8" t="s">
        <v>19</v>
      </c>
      <c r="I1677" s="8">
        <v>75.599999999999994</v>
      </c>
      <c r="J1677" s="8">
        <v>1.74</v>
      </c>
      <c r="K1677" s="8">
        <v>192</v>
      </c>
      <c r="L1677" s="8">
        <v>128</v>
      </c>
      <c r="M1677" s="8">
        <v>72</v>
      </c>
      <c r="N1677" s="8">
        <v>1.86</v>
      </c>
      <c r="O1677" s="8">
        <v>906</v>
      </c>
      <c r="P1677" s="8" t="s">
        <v>20</v>
      </c>
      <c r="Q1677" s="8" t="str">
        <f>_xlfn.IFS(AND(Table13[[#This Row],[Gender]]="female",R1677&lt;20),"Athletes",AND(Table13[[#This Row],[Gender]]="female",R1677&lt;24),"Fitnesss",AND(Table13[[#This Row],[Gender]]="female",R1677&lt;31),"Acceptable",AND(Table13[[#This Row],[Gender]]="female",R1677&lt;40),"Obese",AND(Table13[[#This Row],[Gender]]="male",R1677&lt;13),"Athletes",AND(Table13[[#This Row],[Gender]]="male",R1677&lt;17),"Fitnesss",AND(Table13[[#This Row],[Gender]]="male",R1677&lt;24.9),"Acceptable",AND(Table13[[#This Row],[Gender]]="male",R1677&lt;40),"Obese",AND(Table13[[#This Row],[Gender]]="others",R1677&lt;20),"Athletes",AND(Table13[[#This Row],[Gender]]="others",R1677&lt;24),"Fitnesss",AND(Table13[[#This Row],[Gender]]="others",R1677&lt;31),"Acceptable",AND(Table13[[#This Row],[Gender]]="others",R1677&lt;40),"Obese")</f>
        <v>Acceptable</v>
      </c>
      <c r="R1677" s="8">
        <v>21.4</v>
      </c>
      <c r="S1677" s="8">
        <v>3.3</v>
      </c>
      <c r="T1677" s="8">
        <v>4</v>
      </c>
      <c r="U1677" s="8">
        <v>2</v>
      </c>
      <c r="V1677" s="8" t="str">
        <f>IF(Table13[[#This Row],[BMI]]&lt;=18.5,"Underweight",IF(Table13[[#This Row],[BMI]]&lt;=24.9,"Normal",IF(Table13[[#This Row],[BMI]]&lt;=29.9,"Overweight",IF(Table13[[#This Row],[BMI]]&lt;=39,"Obese","Severly Obese"))))</f>
        <v>Obese</v>
      </c>
      <c r="W1677" s="18">
        <v>34.729999999999997</v>
      </c>
    </row>
    <row r="1678" spans="6:23" x14ac:dyDescent="0.3">
      <c r="F1678" s="17">
        <v>47</v>
      </c>
      <c r="G1678" s="8" t="str">
        <f>IF(Table13[[#This Row],[Age]]&lt;25,"18-24",IF(Table13[[#This Row],[Age]]&lt;35,"25-34",IF(Table13[[#This Row],[Age]]&lt;45,"35-44",IF(Table13[[#This Row],[Age]]&lt;55,"45-54","55-64"))))</f>
        <v>45-54</v>
      </c>
      <c r="H1678" s="8" t="s">
        <v>19</v>
      </c>
      <c r="I1678" s="8">
        <v>85.5</v>
      </c>
      <c r="J1678" s="8">
        <v>1.84</v>
      </c>
      <c r="K1678" s="8">
        <v>172</v>
      </c>
      <c r="L1678" s="8">
        <v>152</v>
      </c>
      <c r="M1678" s="8">
        <v>68</v>
      </c>
      <c r="N1678" s="8">
        <v>0.98</v>
      </c>
      <c r="O1678" s="8">
        <v>773</v>
      </c>
      <c r="P1678" s="8" t="s">
        <v>20</v>
      </c>
      <c r="Q1678" s="8" t="str">
        <f>_xlfn.IFS(AND(Table13[[#This Row],[Gender]]="female",R1678&lt;20),"Athletes",AND(Table13[[#This Row],[Gender]]="female",R1678&lt;24),"Fitnesss",AND(Table13[[#This Row],[Gender]]="female",R1678&lt;31),"Acceptable",AND(Table13[[#This Row],[Gender]]="female",R1678&lt;40),"Obese",AND(Table13[[#This Row],[Gender]]="male",R1678&lt;13),"Athletes",AND(Table13[[#This Row],[Gender]]="male",R1678&lt;17),"Fitnesss",AND(Table13[[#This Row],[Gender]]="male",R1678&lt;24.9),"Acceptable",AND(Table13[[#This Row],[Gender]]="male",R1678&lt;40),"Obese",AND(Table13[[#This Row],[Gender]]="others",R1678&lt;20),"Athletes",AND(Table13[[#This Row],[Gender]]="others",R1678&lt;24),"Fitnesss",AND(Table13[[#This Row],[Gender]]="others",R1678&lt;31),"Acceptable",AND(Table13[[#This Row],[Gender]]="others",R1678&lt;40),"Obese")</f>
        <v>Acceptable</v>
      </c>
      <c r="R1678" s="8">
        <v>24.1</v>
      </c>
      <c r="S1678" s="8">
        <v>2.6</v>
      </c>
      <c r="T1678" s="8">
        <v>2</v>
      </c>
      <c r="U1678" s="8">
        <v>2</v>
      </c>
      <c r="V1678" s="8" t="str">
        <f>IF(Table13[[#This Row],[BMI]]&lt;=18.5,"Underweight",IF(Table13[[#This Row],[BMI]]&lt;=24.9,"Normal",IF(Table13[[#This Row],[BMI]]&lt;=29.9,"Overweight",IF(Table13[[#This Row],[BMI]]&lt;=39,"Obese","Severly Obese"))))</f>
        <v>Normal</v>
      </c>
      <c r="W1678" s="18">
        <v>19.61</v>
      </c>
    </row>
    <row r="1679" spans="6:23" x14ac:dyDescent="0.3">
      <c r="F1679" s="17">
        <v>25</v>
      </c>
      <c r="G1679" s="8" t="str">
        <f>IF(Table13[[#This Row],[Age]]&lt;25,"18-24",IF(Table13[[#This Row],[Age]]&lt;35,"25-34",IF(Table13[[#This Row],[Age]]&lt;45,"35-44",IF(Table13[[#This Row],[Age]]&lt;55,"45-54","55-64"))))</f>
        <v>25-34</v>
      </c>
      <c r="H1679" s="8" t="s">
        <v>19</v>
      </c>
      <c r="I1679" s="8">
        <v>62.4</v>
      </c>
      <c r="J1679" s="8">
        <v>1.59</v>
      </c>
      <c r="K1679" s="8">
        <v>166</v>
      </c>
      <c r="L1679" s="8">
        <v>151</v>
      </c>
      <c r="M1679" s="8">
        <v>66</v>
      </c>
      <c r="N1679" s="8">
        <v>1.27</v>
      </c>
      <c r="O1679" s="8">
        <v>903</v>
      </c>
      <c r="P1679" s="8" t="s">
        <v>23</v>
      </c>
      <c r="Q1679" s="8" t="str">
        <f>_xlfn.IFS(AND(Table13[[#This Row],[Gender]]="female",R1679&lt;20),"Athletes",AND(Table13[[#This Row],[Gender]]="female",R1679&lt;24),"Fitnesss",AND(Table13[[#This Row],[Gender]]="female",R1679&lt;31),"Acceptable",AND(Table13[[#This Row],[Gender]]="female",R1679&lt;40),"Obese",AND(Table13[[#This Row],[Gender]]="male",R1679&lt;13),"Athletes",AND(Table13[[#This Row],[Gender]]="male",R1679&lt;17),"Fitnesss",AND(Table13[[#This Row],[Gender]]="male",R1679&lt;24.9),"Acceptable",AND(Table13[[#This Row],[Gender]]="male",R1679&lt;40),"Obese",AND(Table13[[#This Row],[Gender]]="others",R1679&lt;20),"Athletes",AND(Table13[[#This Row],[Gender]]="others",R1679&lt;24),"Fitnesss",AND(Table13[[#This Row],[Gender]]="others",R1679&lt;31),"Acceptable",AND(Table13[[#This Row],[Gender]]="others",R1679&lt;40),"Obese")</f>
        <v>Athletes</v>
      </c>
      <c r="R1679" s="8">
        <v>11</v>
      </c>
      <c r="S1679" s="8">
        <v>3</v>
      </c>
      <c r="T1679" s="8">
        <v>4</v>
      </c>
      <c r="U1679" s="8">
        <v>1</v>
      </c>
      <c r="V1679" s="8" t="str">
        <f>IF(Table13[[#This Row],[BMI]]&lt;=18.5,"Underweight",IF(Table13[[#This Row],[BMI]]&lt;=24.9,"Normal",IF(Table13[[#This Row],[BMI]]&lt;=29.9,"Overweight",IF(Table13[[#This Row],[BMI]]&lt;=39,"Obese","Severly Obese"))))</f>
        <v>Obese</v>
      </c>
      <c r="W1679" s="18">
        <v>32.630000000000003</v>
      </c>
    </row>
    <row r="1680" spans="6:23" x14ac:dyDescent="0.3">
      <c r="F1680" s="17">
        <v>31</v>
      </c>
      <c r="G1680" s="8" t="str">
        <f>IF(Table13[[#This Row],[Age]]&lt;25,"18-24",IF(Table13[[#This Row],[Age]]&lt;35,"25-34",IF(Table13[[#This Row],[Age]]&lt;45,"35-44",IF(Table13[[#This Row],[Age]]&lt;55,"45-54","55-64"))))</f>
        <v>25-34</v>
      </c>
      <c r="H1680" s="8" t="s">
        <v>17</v>
      </c>
      <c r="I1680" s="8">
        <v>53.5</v>
      </c>
      <c r="J1680" s="8">
        <v>1.68</v>
      </c>
      <c r="K1680" s="8">
        <v>180</v>
      </c>
      <c r="L1680" s="8">
        <v>155</v>
      </c>
      <c r="M1680" s="8">
        <v>57</v>
      </c>
      <c r="N1680" s="8">
        <v>0.86</v>
      </c>
      <c r="O1680" s="8">
        <v>875</v>
      </c>
      <c r="P1680" s="8" t="s">
        <v>18</v>
      </c>
      <c r="Q1680" s="8" t="str">
        <f>_xlfn.IFS(AND(Table13[[#This Row],[Gender]]="female",R1680&lt;20),"Athletes",AND(Table13[[#This Row],[Gender]]="female",R1680&lt;24),"Fitnesss",AND(Table13[[#This Row],[Gender]]="female",R1680&lt;31),"Acceptable",AND(Table13[[#This Row],[Gender]]="female",R1680&lt;40),"Obese",AND(Table13[[#This Row],[Gender]]="male",R1680&lt;13),"Athletes",AND(Table13[[#This Row],[Gender]]="male",R1680&lt;17),"Fitnesss",AND(Table13[[#This Row],[Gender]]="male",R1680&lt;24.9),"Acceptable",AND(Table13[[#This Row],[Gender]]="male",R1680&lt;40),"Obese",AND(Table13[[#This Row],[Gender]]="others",R1680&lt;20),"Athletes",AND(Table13[[#This Row],[Gender]]="others",R1680&lt;24),"Fitnesss",AND(Table13[[#This Row],[Gender]]="others",R1680&lt;31),"Acceptable",AND(Table13[[#This Row],[Gender]]="others",R1680&lt;40),"Obese")</f>
        <v>Fitnesss</v>
      </c>
      <c r="R1680" s="8">
        <v>22.6</v>
      </c>
      <c r="S1680" s="8">
        <v>3.3</v>
      </c>
      <c r="T1680" s="8">
        <v>2</v>
      </c>
      <c r="U1680" s="8">
        <v>1</v>
      </c>
      <c r="V1680" s="8" t="str">
        <f>IF(Table13[[#This Row],[BMI]]&lt;=18.5,"Underweight",IF(Table13[[#This Row],[BMI]]&lt;=24.9,"Normal",IF(Table13[[#This Row],[BMI]]&lt;=29.9,"Overweight",IF(Table13[[#This Row],[BMI]]&lt;=39,"Obese","Severly Obese"))))</f>
        <v>Normal</v>
      </c>
      <c r="W1680" s="18">
        <v>20.61</v>
      </c>
    </row>
    <row r="1681" spans="6:23" x14ac:dyDescent="0.3">
      <c r="F1681" s="17">
        <v>47</v>
      </c>
      <c r="G1681" s="8" t="str">
        <f>IF(Table13[[#This Row],[Age]]&lt;25,"18-24",IF(Table13[[#This Row],[Age]]&lt;35,"25-34",IF(Table13[[#This Row],[Age]]&lt;45,"35-44",IF(Table13[[#This Row],[Age]]&lt;55,"45-54","55-64"))))</f>
        <v>45-54</v>
      </c>
      <c r="H1681" s="8" t="s">
        <v>19</v>
      </c>
      <c r="I1681" s="8">
        <v>78.8</v>
      </c>
      <c r="J1681" s="8">
        <v>1.82</v>
      </c>
      <c r="K1681" s="8">
        <v>167</v>
      </c>
      <c r="L1681" s="8">
        <v>144</v>
      </c>
      <c r="M1681" s="8">
        <v>66</v>
      </c>
      <c r="N1681" s="8">
        <v>1.66</v>
      </c>
      <c r="O1681" s="8">
        <v>1163</v>
      </c>
      <c r="P1681" s="8" t="s">
        <v>20</v>
      </c>
      <c r="Q1681" s="8" t="str">
        <f>_xlfn.IFS(AND(Table13[[#This Row],[Gender]]="female",R1681&lt;20),"Athletes",AND(Table13[[#This Row],[Gender]]="female",R1681&lt;24),"Fitnesss",AND(Table13[[#This Row],[Gender]]="female",R1681&lt;31),"Acceptable",AND(Table13[[#This Row],[Gender]]="female",R1681&lt;40),"Obese",AND(Table13[[#This Row],[Gender]]="male",R1681&lt;13),"Athletes",AND(Table13[[#This Row],[Gender]]="male",R1681&lt;17),"Fitnesss",AND(Table13[[#This Row],[Gender]]="male",R1681&lt;24.9),"Acceptable",AND(Table13[[#This Row],[Gender]]="male",R1681&lt;40),"Obese",AND(Table13[[#This Row],[Gender]]="others",R1681&lt;20),"Athletes",AND(Table13[[#This Row],[Gender]]="others",R1681&lt;24),"Fitnesss",AND(Table13[[#This Row],[Gender]]="others",R1681&lt;31),"Acceptable",AND(Table13[[#This Row],[Gender]]="others",R1681&lt;40),"Obese")</f>
        <v>Obese</v>
      </c>
      <c r="R1681" s="8">
        <v>31.7</v>
      </c>
      <c r="S1681" s="8">
        <v>2.8</v>
      </c>
      <c r="T1681" s="8">
        <v>4</v>
      </c>
      <c r="U1681" s="8">
        <v>2</v>
      </c>
      <c r="V1681" s="8" t="str">
        <f>IF(Table13[[#This Row],[BMI]]&lt;=18.5,"Underweight",IF(Table13[[#This Row],[BMI]]&lt;=24.9,"Normal",IF(Table13[[#This Row],[BMI]]&lt;=29.9,"Overweight",IF(Table13[[#This Row],[BMI]]&lt;=39,"Obese","Severly Obese"))))</f>
        <v>Underweight</v>
      </c>
      <c r="W1681" s="18">
        <v>15.78</v>
      </c>
    </row>
    <row r="1682" spans="6:23" x14ac:dyDescent="0.3">
      <c r="F1682" s="17">
        <v>20</v>
      </c>
      <c r="G1682" s="8" t="str">
        <f>IF(Table13[[#This Row],[Age]]&lt;25,"18-24",IF(Table13[[#This Row],[Age]]&lt;35,"25-34",IF(Table13[[#This Row],[Age]]&lt;45,"35-44",IF(Table13[[#This Row],[Age]]&lt;55,"45-54","55-64"))))</f>
        <v>18-24</v>
      </c>
      <c r="H1682" s="8" t="s">
        <v>19</v>
      </c>
      <c r="I1682" s="8">
        <v>40</v>
      </c>
      <c r="J1682" s="8">
        <v>1.97</v>
      </c>
      <c r="K1682" s="8">
        <v>173</v>
      </c>
      <c r="L1682" s="8">
        <v>133</v>
      </c>
      <c r="M1682" s="8">
        <v>74</v>
      </c>
      <c r="N1682" s="8">
        <v>2</v>
      </c>
      <c r="O1682" s="8">
        <v>916</v>
      </c>
      <c r="P1682" s="8" t="s">
        <v>20</v>
      </c>
      <c r="Q1682" s="8" t="str">
        <f>_xlfn.IFS(AND(Table13[[#This Row],[Gender]]="female",R1682&lt;20),"Athletes",AND(Table13[[#This Row],[Gender]]="female",R1682&lt;24),"Fitnesss",AND(Table13[[#This Row],[Gender]]="female",R1682&lt;31),"Acceptable",AND(Table13[[#This Row],[Gender]]="female",R1682&lt;40),"Obese",AND(Table13[[#This Row],[Gender]]="male",R1682&lt;13),"Athletes",AND(Table13[[#This Row],[Gender]]="male",R1682&lt;17),"Fitnesss",AND(Table13[[#This Row],[Gender]]="male",R1682&lt;24.9),"Acceptable",AND(Table13[[#This Row],[Gender]]="male",R1682&lt;40),"Obese",AND(Table13[[#This Row],[Gender]]="others",R1682&lt;20),"Athletes",AND(Table13[[#This Row],[Gender]]="others",R1682&lt;24),"Fitnesss",AND(Table13[[#This Row],[Gender]]="others",R1682&lt;31),"Acceptable",AND(Table13[[#This Row],[Gender]]="others",R1682&lt;40),"Obese")</f>
        <v>Acceptable</v>
      </c>
      <c r="R1682" s="8">
        <v>18.8</v>
      </c>
      <c r="S1682" s="8">
        <v>2.2999999999999998</v>
      </c>
      <c r="T1682" s="8">
        <v>2</v>
      </c>
      <c r="U1682" s="8">
        <v>1</v>
      </c>
      <c r="V1682" s="8" t="str">
        <f>IF(Table13[[#This Row],[BMI]]&lt;=18.5,"Underweight",IF(Table13[[#This Row],[BMI]]&lt;=24.9,"Normal",IF(Table13[[#This Row],[BMI]]&lt;=29.9,"Overweight",IF(Table13[[#This Row],[BMI]]&lt;=39,"Obese","Severly Obese"))))</f>
        <v>Underweight</v>
      </c>
      <c r="W1682" s="18">
        <v>13.57</v>
      </c>
    </row>
    <row r="1683" spans="6:23" x14ac:dyDescent="0.3">
      <c r="F1683" s="17">
        <v>56</v>
      </c>
      <c r="G1683" s="8" t="str">
        <f>IF(Table13[[#This Row],[Age]]&lt;25,"18-24",IF(Table13[[#This Row],[Age]]&lt;35,"25-34",IF(Table13[[#This Row],[Age]]&lt;45,"35-44",IF(Table13[[#This Row],[Age]]&lt;55,"45-54","55-64"))))</f>
        <v>55-64</v>
      </c>
      <c r="H1683" s="8" t="s">
        <v>19</v>
      </c>
      <c r="I1683" s="8">
        <v>51.5</v>
      </c>
      <c r="J1683" s="8">
        <v>1.66</v>
      </c>
      <c r="K1683" s="8">
        <v>198</v>
      </c>
      <c r="L1683" s="8">
        <v>167</v>
      </c>
      <c r="M1683" s="8">
        <v>70</v>
      </c>
      <c r="N1683" s="8">
        <v>2</v>
      </c>
      <c r="O1683" s="8">
        <v>843</v>
      </c>
      <c r="P1683" s="8" t="s">
        <v>18</v>
      </c>
      <c r="Q1683" s="8" t="str">
        <f>_xlfn.IFS(AND(Table13[[#This Row],[Gender]]="female",R1683&lt;20),"Athletes",AND(Table13[[#This Row],[Gender]]="female",R1683&lt;24),"Fitnesss",AND(Table13[[#This Row],[Gender]]="female",R1683&lt;31),"Acceptable",AND(Table13[[#This Row],[Gender]]="female",R1683&lt;40),"Obese",AND(Table13[[#This Row],[Gender]]="male",R1683&lt;13),"Athletes",AND(Table13[[#This Row],[Gender]]="male",R1683&lt;17),"Fitnesss",AND(Table13[[#This Row],[Gender]]="male",R1683&lt;24.9),"Acceptable",AND(Table13[[#This Row],[Gender]]="male",R1683&lt;40),"Obese",AND(Table13[[#This Row],[Gender]]="others",R1683&lt;20),"Athletes",AND(Table13[[#This Row],[Gender]]="others",R1683&lt;24),"Fitnesss",AND(Table13[[#This Row],[Gender]]="others",R1683&lt;31),"Acceptable",AND(Table13[[#This Row],[Gender]]="others",R1683&lt;40),"Obese")</f>
        <v>Acceptable</v>
      </c>
      <c r="R1683" s="8">
        <v>24.2</v>
      </c>
      <c r="S1683" s="8">
        <v>2.4</v>
      </c>
      <c r="T1683" s="8">
        <v>3</v>
      </c>
      <c r="U1683" s="8">
        <v>3</v>
      </c>
      <c r="V1683" s="8" t="str">
        <f>IF(Table13[[#This Row],[BMI]]&lt;=18.5,"Underweight",IF(Table13[[#This Row],[BMI]]&lt;=24.9,"Normal",IF(Table13[[#This Row],[BMI]]&lt;=29.9,"Overweight",IF(Table13[[#This Row],[BMI]]&lt;=39,"Obese","Severly Obese"))))</f>
        <v>Overweight</v>
      </c>
      <c r="W1683" s="18">
        <v>25.65</v>
      </c>
    </row>
    <row r="1684" spans="6:23" x14ac:dyDescent="0.3">
      <c r="F1684" s="17">
        <v>24</v>
      </c>
      <c r="G1684" s="8" t="str">
        <f>IF(Table13[[#This Row],[Age]]&lt;25,"18-24",IF(Table13[[#This Row],[Age]]&lt;35,"25-34",IF(Table13[[#This Row],[Age]]&lt;45,"35-44",IF(Table13[[#This Row],[Age]]&lt;55,"45-54","55-64"))))</f>
        <v>18-24</v>
      </c>
      <c r="H1684" s="8" t="s">
        <v>19</v>
      </c>
      <c r="I1684" s="8">
        <v>80.900000000000006</v>
      </c>
      <c r="J1684" s="8">
        <v>1.74</v>
      </c>
      <c r="K1684" s="8">
        <v>181</v>
      </c>
      <c r="L1684" s="8">
        <v>128</v>
      </c>
      <c r="M1684" s="8">
        <v>61</v>
      </c>
      <c r="N1684" s="8">
        <v>1.19</v>
      </c>
      <c r="O1684" s="8">
        <v>1705</v>
      </c>
      <c r="P1684" s="8" t="s">
        <v>21</v>
      </c>
      <c r="Q1684" s="8" t="str">
        <f>_xlfn.IFS(AND(Table13[[#This Row],[Gender]]="female",R1684&lt;20),"Athletes",AND(Table13[[#This Row],[Gender]]="female",R1684&lt;24),"Fitnesss",AND(Table13[[#This Row],[Gender]]="female",R1684&lt;31),"Acceptable",AND(Table13[[#This Row],[Gender]]="female",R1684&lt;40),"Obese",AND(Table13[[#This Row],[Gender]]="male",R1684&lt;13),"Athletes",AND(Table13[[#This Row],[Gender]]="male",R1684&lt;17),"Fitnesss",AND(Table13[[#This Row],[Gender]]="male",R1684&lt;24.9),"Acceptable",AND(Table13[[#This Row],[Gender]]="male",R1684&lt;40),"Obese",AND(Table13[[#This Row],[Gender]]="others",R1684&lt;20),"Athletes",AND(Table13[[#This Row],[Gender]]="others",R1684&lt;24),"Fitnesss",AND(Table13[[#This Row],[Gender]]="others",R1684&lt;31),"Acceptable",AND(Table13[[#This Row],[Gender]]="others",R1684&lt;40),"Obese")</f>
        <v>Athletes</v>
      </c>
      <c r="R1684" s="8">
        <v>10</v>
      </c>
      <c r="S1684" s="8">
        <v>2.7</v>
      </c>
      <c r="T1684" s="8">
        <v>4</v>
      </c>
      <c r="U1684" s="8">
        <v>1</v>
      </c>
      <c r="V1684" s="8" t="str">
        <f>IF(Table13[[#This Row],[BMI]]&lt;=18.5,"Underweight",IF(Table13[[#This Row],[BMI]]&lt;=24.9,"Normal",IF(Table13[[#This Row],[BMI]]&lt;=29.9,"Overweight",IF(Table13[[#This Row],[BMI]]&lt;=39,"Obese","Severly Obese"))))</f>
        <v>Underweight</v>
      </c>
      <c r="W1684" s="18">
        <v>12.32</v>
      </c>
    </row>
    <row r="1685" spans="6:23" x14ac:dyDescent="0.3">
      <c r="F1685" s="17">
        <v>29</v>
      </c>
      <c r="G1685" s="8" t="str">
        <f>IF(Table13[[#This Row],[Age]]&lt;25,"18-24",IF(Table13[[#This Row],[Age]]&lt;35,"25-34",IF(Table13[[#This Row],[Age]]&lt;45,"35-44",IF(Table13[[#This Row],[Age]]&lt;55,"45-54","55-64"))))</f>
        <v>25-34</v>
      </c>
      <c r="H1685" s="8" t="s">
        <v>17</v>
      </c>
      <c r="I1685" s="8">
        <v>85.3</v>
      </c>
      <c r="J1685" s="8">
        <v>1.68</v>
      </c>
      <c r="K1685" s="8">
        <v>161</v>
      </c>
      <c r="L1685" s="8">
        <v>133</v>
      </c>
      <c r="M1685" s="8">
        <v>74</v>
      </c>
      <c r="N1685" s="8">
        <v>1.45</v>
      </c>
      <c r="O1685" s="8">
        <v>1269</v>
      </c>
      <c r="P1685" s="8" t="s">
        <v>20</v>
      </c>
      <c r="Q1685" s="8" t="str">
        <f>_xlfn.IFS(AND(Table13[[#This Row],[Gender]]="female",R1685&lt;20),"Athletes",AND(Table13[[#This Row],[Gender]]="female",R1685&lt;24),"Fitnesss",AND(Table13[[#This Row],[Gender]]="female",R1685&lt;31),"Acceptable",AND(Table13[[#This Row],[Gender]]="female",R1685&lt;40),"Obese",AND(Table13[[#This Row],[Gender]]="male",R1685&lt;13),"Athletes",AND(Table13[[#This Row],[Gender]]="male",R1685&lt;17),"Fitnesss",AND(Table13[[#This Row],[Gender]]="male",R1685&lt;24.9),"Acceptable",AND(Table13[[#This Row],[Gender]]="male",R1685&lt;40),"Obese",AND(Table13[[#This Row],[Gender]]="others",R1685&lt;20),"Athletes",AND(Table13[[#This Row],[Gender]]="others",R1685&lt;24),"Fitnesss",AND(Table13[[#This Row],[Gender]]="others",R1685&lt;31),"Acceptable",AND(Table13[[#This Row],[Gender]]="others",R1685&lt;40),"Obese")</f>
        <v>Acceptable</v>
      </c>
      <c r="R1685" s="8">
        <v>26.1</v>
      </c>
      <c r="S1685" s="8">
        <v>2.5</v>
      </c>
      <c r="T1685" s="8">
        <v>4</v>
      </c>
      <c r="U1685" s="8">
        <v>3</v>
      </c>
      <c r="V1685" s="8" t="str">
        <f>IF(Table13[[#This Row],[BMI]]&lt;=18.5,"Underweight",IF(Table13[[#This Row],[BMI]]&lt;=24.9,"Normal",IF(Table13[[#This Row],[BMI]]&lt;=29.9,"Overweight",IF(Table13[[#This Row],[BMI]]&lt;=39,"Obese","Severly Obese"))))</f>
        <v>Underweight</v>
      </c>
      <c r="W1685" s="18">
        <v>15.99</v>
      </c>
    </row>
    <row r="1686" spans="6:23" x14ac:dyDescent="0.3">
      <c r="F1686" s="17">
        <v>18</v>
      </c>
      <c r="G1686" s="8" t="str">
        <f>IF(Table13[[#This Row],[Age]]&lt;25,"18-24",IF(Table13[[#This Row],[Age]]&lt;35,"25-34",IF(Table13[[#This Row],[Age]]&lt;45,"35-44",IF(Table13[[#This Row],[Age]]&lt;55,"45-54","55-64"))))</f>
        <v>18-24</v>
      </c>
      <c r="H1686" s="8" t="s">
        <v>17</v>
      </c>
      <c r="I1686" s="8">
        <v>47.8</v>
      </c>
      <c r="J1686" s="8">
        <v>1.73</v>
      </c>
      <c r="K1686" s="8">
        <v>162</v>
      </c>
      <c r="L1686" s="8">
        <v>136</v>
      </c>
      <c r="M1686" s="8">
        <v>56</v>
      </c>
      <c r="N1686" s="8">
        <v>1.42</v>
      </c>
      <c r="O1686" s="8">
        <v>562</v>
      </c>
      <c r="P1686" s="8" t="s">
        <v>20</v>
      </c>
      <c r="Q1686" s="8" t="str">
        <f>_xlfn.IFS(AND(Table13[[#This Row],[Gender]]="female",R1686&lt;20),"Athletes",AND(Table13[[#This Row],[Gender]]="female",R1686&lt;24),"Fitnesss",AND(Table13[[#This Row],[Gender]]="female",R1686&lt;31),"Acceptable",AND(Table13[[#This Row],[Gender]]="female",R1686&lt;40),"Obese",AND(Table13[[#This Row],[Gender]]="male",R1686&lt;13),"Athletes",AND(Table13[[#This Row],[Gender]]="male",R1686&lt;17),"Fitnesss",AND(Table13[[#This Row],[Gender]]="male",R1686&lt;24.9),"Acceptable",AND(Table13[[#This Row],[Gender]]="male",R1686&lt;40),"Obese",AND(Table13[[#This Row],[Gender]]="others",R1686&lt;20),"Athletes",AND(Table13[[#This Row],[Gender]]="others",R1686&lt;24),"Fitnesss",AND(Table13[[#This Row],[Gender]]="others",R1686&lt;31),"Acceptable",AND(Table13[[#This Row],[Gender]]="others",R1686&lt;40),"Obese")</f>
        <v>Fitnesss</v>
      </c>
      <c r="R1686" s="8">
        <v>23.9</v>
      </c>
      <c r="S1686" s="8">
        <v>3.4</v>
      </c>
      <c r="T1686" s="8">
        <v>3</v>
      </c>
      <c r="U1686" s="8">
        <v>1</v>
      </c>
      <c r="V1686" s="8" t="str">
        <f>IF(Table13[[#This Row],[BMI]]&lt;=18.5,"Underweight",IF(Table13[[#This Row],[BMI]]&lt;=24.9,"Normal",IF(Table13[[#This Row],[BMI]]&lt;=29.9,"Overweight",IF(Table13[[#This Row],[BMI]]&lt;=39,"Obese","Severly Obese"))))</f>
        <v>Underweight</v>
      </c>
      <c r="W1686" s="18">
        <v>14.48</v>
      </c>
    </row>
    <row r="1687" spans="6:23" x14ac:dyDescent="0.3">
      <c r="F1687" s="17">
        <v>36</v>
      </c>
      <c r="G1687" s="8" t="str">
        <f>IF(Table13[[#This Row],[Age]]&lt;25,"18-24",IF(Table13[[#This Row],[Age]]&lt;35,"25-34",IF(Table13[[#This Row],[Age]]&lt;45,"35-44",IF(Table13[[#This Row],[Age]]&lt;55,"45-54","55-64"))))</f>
        <v>35-44</v>
      </c>
      <c r="H1687" s="8" t="s">
        <v>17</v>
      </c>
      <c r="I1687" s="8">
        <v>87.9</v>
      </c>
      <c r="J1687" s="8">
        <v>1.54</v>
      </c>
      <c r="K1687" s="8">
        <v>177</v>
      </c>
      <c r="L1687" s="8">
        <v>129</v>
      </c>
      <c r="M1687" s="8">
        <v>58</v>
      </c>
      <c r="N1687" s="8">
        <v>1.93</v>
      </c>
      <c r="O1687" s="8">
        <v>1010</v>
      </c>
      <c r="P1687" s="8" t="s">
        <v>20</v>
      </c>
      <c r="Q1687" s="8" t="str">
        <f>_xlfn.IFS(AND(Table13[[#This Row],[Gender]]="female",R1687&lt;20),"Athletes",AND(Table13[[#This Row],[Gender]]="female",R1687&lt;24),"Fitnesss",AND(Table13[[#This Row],[Gender]]="female",R1687&lt;31),"Acceptable",AND(Table13[[#This Row],[Gender]]="female",R1687&lt;40),"Obese",AND(Table13[[#This Row],[Gender]]="male",R1687&lt;13),"Athletes",AND(Table13[[#This Row],[Gender]]="male",R1687&lt;17),"Fitnesss",AND(Table13[[#This Row],[Gender]]="male",R1687&lt;24.9),"Acceptable",AND(Table13[[#This Row],[Gender]]="male",R1687&lt;40),"Obese",AND(Table13[[#This Row],[Gender]]="others",R1687&lt;20),"Athletes",AND(Table13[[#This Row],[Gender]]="others",R1687&lt;24),"Fitnesss",AND(Table13[[#This Row],[Gender]]="others",R1687&lt;31),"Acceptable",AND(Table13[[#This Row],[Gender]]="others",R1687&lt;40),"Obese")</f>
        <v>Fitnesss</v>
      </c>
      <c r="R1687" s="8">
        <v>21.1</v>
      </c>
      <c r="S1687" s="8">
        <v>3.3</v>
      </c>
      <c r="T1687" s="8">
        <v>3</v>
      </c>
      <c r="U1687" s="8">
        <v>1</v>
      </c>
      <c r="V1687" s="8" t="str">
        <f>IF(Table13[[#This Row],[BMI]]&lt;=18.5,"Underweight",IF(Table13[[#This Row],[BMI]]&lt;=24.9,"Normal",IF(Table13[[#This Row],[BMI]]&lt;=29.9,"Overweight",IF(Table13[[#This Row],[BMI]]&lt;=39,"Obese","Severly Obese"))))</f>
        <v>Overweight</v>
      </c>
      <c r="W1687" s="18">
        <v>29.54</v>
      </c>
    </row>
    <row r="1688" spans="6:23" x14ac:dyDescent="0.3">
      <c r="F1688" s="17">
        <v>49</v>
      </c>
      <c r="G1688" s="8" t="str">
        <f>IF(Table13[[#This Row],[Age]]&lt;25,"18-24",IF(Table13[[#This Row],[Age]]&lt;35,"25-34",IF(Table13[[#This Row],[Age]]&lt;45,"35-44",IF(Table13[[#This Row],[Age]]&lt;55,"45-54","55-64"))))</f>
        <v>45-54</v>
      </c>
      <c r="H1688" s="8" t="s">
        <v>17</v>
      </c>
      <c r="I1688" s="8">
        <v>43.6</v>
      </c>
      <c r="J1688" s="8">
        <v>1.68</v>
      </c>
      <c r="K1688" s="8">
        <v>170</v>
      </c>
      <c r="L1688" s="8">
        <v>124</v>
      </c>
      <c r="M1688" s="8">
        <v>73</v>
      </c>
      <c r="N1688" s="8">
        <v>0.94</v>
      </c>
      <c r="O1688" s="8">
        <v>739</v>
      </c>
      <c r="P1688" s="8" t="s">
        <v>22</v>
      </c>
      <c r="Q1688" s="8" t="str">
        <f>_xlfn.IFS(AND(Table13[[#This Row],[Gender]]="female",R1688&lt;20),"Athletes",AND(Table13[[#This Row],[Gender]]="female",R1688&lt;24),"Fitnesss",AND(Table13[[#This Row],[Gender]]="female",R1688&lt;31),"Acceptable",AND(Table13[[#This Row],[Gender]]="female",R1688&lt;40),"Obese",AND(Table13[[#This Row],[Gender]]="male",R1688&lt;13),"Athletes",AND(Table13[[#This Row],[Gender]]="male",R1688&lt;17),"Fitnesss",AND(Table13[[#This Row],[Gender]]="male",R1688&lt;24.9),"Acceptable",AND(Table13[[#This Row],[Gender]]="male",R1688&lt;40),"Obese",AND(Table13[[#This Row],[Gender]]="others",R1688&lt;20),"Athletes",AND(Table13[[#This Row],[Gender]]="others",R1688&lt;24),"Fitnesss",AND(Table13[[#This Row],[Gender]]="others",R1688&lt;31),"Acceptable",AND(Table13[[#This Row],[Gender]]="others",R1688&lt;40),"Obese")</f>
        <v>Acceptable</v>
      </c>
      <c r="R1688" s="8">
        <v>27.6</v>
      </c>
      <c r="S1688" s="8">
        <v>3.5</v>
      </c>
      <c r="T1688" s="8">
        <v>4</v>
      </c>
      <c r="U1688" s="8">
        <v>2</v>
      </c>
      <c r="V1688" s="8" t="str">
        <f>IF(Table13[[#This Row],[BMI]]&lt;=18.5,"Underweight",IF(Table13[[#This Row],[BMI]]&lt;=24.9,"Normal",IF(Table13[[#This Row],[BMI]]&lt;=29.9,"Overweight",IF(Table13[[#This Row],[BMI]]&lt;=39,"Obese","Severly Obese"))))</f>
        <v>Obese</v>
      </c>
      <c r="W1688" s="18">
        <v>30.46</v>
      </c>
    </row>
    <row r="1689" spans="6:23" x14ac:dyDescent="0.3">
      <c r="F1689" s="17">
        <v>40</v>
      </c>
      <c r="G1689" s="8" t="str">
        <f>IF(Table13[[#This Row],[Age]]&lt;25,"18-24",IF(Table13[[#This Row],[Age]]&lt;35,"25-34",IF(Table13[[#This Row],[Age]]&lt;45,"35-44",IF(Table13[[#This Row],[Age]]&lt;55,"45-54","55-64"))))</f>
        <v>35-44</v>
      </c>
      <c r="H1689" s="8" t="s">
        <v>17</v>
      </c>
      <c r="I1689" s="8">
        <v>55.7</v>
      </c>
      <c r="J1689" s="8">
        <v>1.6</v>
      </c>
      <c r="K1689" s="8">
        <v>184</v>
      </c>
      <c r="L1689" s="8">
        <v>133</v>
      </c>
      <c r="M1689" s="8">
        <v>72</v>
      </c>
      <c r="N1689" s="8">
        <v>1.4</v>
      </c>
      <c r="O1689" s="8">
        <v>749</v>
      </c>
      <c r="P1689" s="8" t="s">
        <v>22</v>
      </c>
      <c r="Q1689" s="8" t="str">
        <f>_xlfn.IFS(AND(Table13[[#This Row],[Gender]]="female",R1689&lt;20),"Athletes",AND(Table13[[#This Row],[Gender]]="female",R1689&lt;24),"Fitnesss",AND(Table13[[#This Row],[Gender]]="female",R1689&lt;31),"Acceptable",AND(Table13[[#This Row],[Gender]]="female",R1689&lt;40),"Obese",AND(Table13[[#This Row],[Gender]]="male",R1689&lt;13),"Athletes",AND(Table13[[#This Row],[Gender]]="male",R1689&lt;17),"Fitnesss",AND(Table13[[#This Row],[Gender]]="male",R1689&lt;24.9),"Acceptable",AND(Table13[[#This Row],[Gender]]="male",R1689&lt;40),"Obese",AND(Table13[[#This Row],[Gender]]="others",R1689&lt;20),"Athletes",AND(Table13[[#This Row],[Gender]]="others",R1689&lt;24),"Fitnesss",AND(Table13[[#This Row],[Gender]]="others",R1689&lt;31),"Acceptable",AND(Table13[[#This Row],[Gender]]="others",R1689&lt;40),"Obese")</f>
        <v>Fitnesss</v>
      </c>
      <c r="R1689" s="8">
        <v>23.7</v>
      </c>
      <c r="S1689" s="8">
        <v>2.6</v>
      </c>
      <c r="T1689" s="8">
        <v>4</v>
      </c>
      <c r="U1689" s="8">
        <v>2</v>
      </c>
      <c r="V1689" s="8" t="str">
        <f>IF(Table13[[#This Row],[BMI]]&lt;=18.5,"Underweight",IF(Table13[[#This Row],[BMI]]&lt;=24.9,"Normal",IF(Table13[[#This Row],[BMI]]&lt;=29.9,"Overweight",IF(Table13[[#This Row],[BMI]]&lt;=39,"Obese","Severly Obese"))))</f>
        <v>Normal</v>
      </c>
      <c r="W1689" s="18">
        <v>24.88</v>
      </c>
    </row>
    <row r="1690" spans="6:23" x14ac:dyDescent="0.3">
      <c r="F1690" s="17">
        <v>20</v>
      </c>
      <c r="G1690" s="8" t="str">
        <f>IF(Table13[[#This Row],[Age]]&lt;25,"18-24",IF(Table13[[#This Row],[Age]]&lt;35,"25-34",IF(Table13[[#This Row],[Age]]&lt;45,"35-44",IF(Table13[[#This Row],[Age]]&lt;55,"45-54","55-64"))))</f>
        <v>18-24</v>
      </c>
      <c r="H1690" s="8" t="s">
        <v>17</v>
      </c>
      <c r="I1690" s="8">
        <v>73.5</v>
      </c>
      <c r="J1690" s="8">
        <v>1.87</v>
      </c>
      <c r="K1690" s="8">
        <v>167</v>
      </c>
      <c r="L1690" s="8">
        <v>145</v>
      </c>
      <c r="M1690" s="8">
        <v>68</v>
      </c>
      <c r="N1690" s="8">
        <v>2</v>
      </c>
      <c r="O1690" s="8">
        <v>1338</v>
      </c>
      <c r="P1690" s="8" t="s">
        <v>21</v>
      </c>
      <c r="Q1690" s="8" t="str">
        <f>_xlfn.IFS(AND(Table13[[#This Row],[Gender]]="female",R1690&lt;20),"Athletes",AND(Table13[[#This Row],[Gender]]="female",R1690&lt;24),"Fitnesss",AND(Table13[[#This Row],[Gender]]="female",R1690&lt;31),"Acceptable",AND(Table13[[#This Row],[Gender]]="female",R1690&lt;40),"Obese",AND(Table13[[#This Row],[Gender]]="male",R1690&lt;13),"Athletes",AND(Table13[[#This Row],[Gender]]="male",R1690&lt;17),"Fitnesss",AND(Table13[[#This Row],[Gender]]="male",R1690&lt;24.9),"Acceptable",AND(Table13[[#This Row],[Gender]]="male",R1690&lt;40),"Obese",AND(Table13[[#This Row],[Gender]]="others",R1690&lt;20),"Athletes",AND(Table13[[#This Row],[Gender]]="others",R1690&lt;24),"Fitnesss",AND(Table13[[#This Row],[Gender]]="others",R1690&lt;31),"Acceptable",AND(Table13[[#This Row],[Gender]]="others",R1690&lt;40),"Obese")</f>
        <v>Fitnesss</v>
      </c>
      <c r="R1690" s="8">
        <v>21.9</v>
      </c>
      <c r="S1690" s="8">
        <v>3.5</v>
      </c>
      <c r="T1690" s="8">
        <v>3</v>
      </c>
      <c r="U1690" s="8"/>
      <c r="V1690" s="8" t="str">
        <f>IF(Table13[[#This Row],[BMI]]&lt;=18.5,"Underweight",IF(Table13[[#This Row],[BMI]]&lt;=24.9,"Normal",IF(Table13[[#This Row],[BMI]]&lt;=29.9,"Overweight",IF(Table13[[#This Row],[BMI]]&lt;=39,"Obese","Severly Obese"))))</f>
        <v>Normal</v>
      </c>
      <c r="W1690" s="18">
        <v>22.35</v>
      </c>
    </row>
    <row r="1691" spans="6:23" x14ac:dyDescent="0.3">
      <c r="F1691" s="17">
        <v>31</v>
      </c>
      <c r="G1691" s="8" t="str">
        <f>IF(Table13[[#This Row],[Age]]&lt;25,"18-24",IF(Table13[[#This Row],[Age]]&lt;35,"25-34",IF(Table13[[#This Row],[Age]]&lt;45,"35-44",IF(Table13[[#This Row],[Age]]&lt;55,"45-54","55-64"))))</f>
        <v>25-34</v>
      </c>
      <c r="H1691" s="8" t="s">
        <v>17</v>
      </c>
      <c r="I1691" s="8">
        <v>52.7</v>
      </c>
      <c r="J1691" s="8">
        <v>1.65</v>
      </c>
      <c r="K1691" s="8">
        <v>199</v>
      </c>
      <c r="L1691" s="8">
        <v>138</v>
      </c>
      <c r="M1691" s="8">
        <v>74</v>
      </c>
      <c r="N1691" s="8">
        <v>1.92</v>
      </c>
      <c r="O1691" s="8">
        <v>1102</v>
      </c>
      <c r="P1691" s="8" t="s">
        <v>21</v>
      </c>
      <c r="Q1691" s="8" t="str">
        <f>_xlfn.IFS(AND(Table13[[#This Row],[Gender]]="female",R1691&lt;20),"Athletes",AND(Table13[[#This Row],[Gender]]="female",R1691&lt;24),"Fitnesss",AND(Table13[[#This Row],[Gender]]="female",R1691&lt;31),"Acceptable",AND(Table13[[#This Row],[Gender]]="female",R1691&lt;40),"Obese",AND(Table13[[#This Row],[Gender]]="male",R1691&lt;13),"Athletes",AND(Table13[[#This Row],[Gender]]="male",R1691&lt;17),"Fitnesss",AND(Table13[[#This Row],[Gender]]="male",R1691&lt;24.9),"Acceptable",AND(Table13[[#This Row],[Gender]]="male",R1691&lt;40),"Obese",AND(Table13[[#This Row],[Gender]]="others",R1691&lt;20),"Athletes",AND(Table13[[#This Row],[Gender]]="others",R1691&lt;24),"Fitnesss",AND(Table13[[#This Row],[Gender]]="others",R1691&lt;31),"Acceptable",AND(Table13[[#This Row],[Gender]]="others",R1691&lt;40),"Obese")</f>
        <v>Acceptable</v>
      </c>
      <c r="R1691" s="8">
        <v>24</v>
      </c>
      <c r="S1691" s="8">
        <v>3.3</v>
      </c>
      <c r="T1691" s="8">
        <v>2</v>
      </c>
      <c r="U1691" s="8">
        <v>3</v>
      </c>
      <c r="V1691" s="8" t="str">
        <f>IF(Table13[[#This Row],[BMI]]&lt;=18.5,"Underweight",IF(Table13[[#This Row],[BMI]]&lt;=24.9,"Normal",IF(Table13[[#This Row],[BMI]]&lt;=29.9,"Overweight",IF(Table13[[#This Row],[BMI]]&lt;=39,"Obese","Severly Obese"))))</f>
        <v>Underweight</v>
      </c>
      <c r="W1691" s="18">
        <v>18.38</v>
      </c>
    </row>
    <row r="1692" spans="6:23" x14ac:dyDescent="0.3">
      <c r="F1692" s="17">
        <v>47</v>
      </c>
      <c r="G1692" s="8" t="str">
        <f>IF(Table13[[#This Row],[Age]]&lt;25,"18-24",IF(Table13[[#This Row],[Age]]&lt;35,"25-34",IF(Table13[[#This Row],[Age]]&lt;45,"35-44",IF(Table13[[#This Row],[Age]]&lt;55,"45-54","55-64"))))</f>
        <v>45-54</v>
      </c>
      <c r="H1692" s="8" t="s">
        <v>17</v>
      </c>
      <c r="I1692" s="8">
        <v>87.1</v>
      </c>
      <c r="J1692" s="8">
        <v>1.7</v>
      </c>
      <c r="K1692" s="8">
        <v>174</v>
      </c>
      <c r="L1692" s="8">
        <v>160</v>
      </c>
      <c r="M1692" s="8">
        <v>63</v>
      </c>
      <c r="N1692" s="8">
        <v>1.4</v>
      </c>
      <c r="O1692" s="8">
        <v>562</v>
      </c>
      <c r="P1692" s="8" t="s">
        <v>21</v>
      </c>
      <c r="Q1692" s="8" t="str">
        <f>_xlfn.IFS(AND(Table13[[#This Row],[Gender]]="female",R1692&lt;20),"Athletes",AND(Table13[[#This Row],[Gender]]="female",R1692&lt;24),"Fitnesss",AND(Table13[[#This Row],[Gender]]="female",R1692&lt;31),"Acceptable",AND(Table13[[#This Row],[Gender]]="female",R1692&lt;40),"Obese",AND(Table13[[#This Row],[Gender]]="male",R1692&lt;13),"Athletes",AND(Table13[[#This Row],[Gender]]="male",R1692&lt;17),"Fitnesss",AND(Table13[[#This Row],[Gender]]="male",R1692&lt;24.9),"Acceptable",AND(Table13[[#This Row],[Gender]]="male",R1692&lt;40),"Obese",AND(Table13[[#This Row],[Gender]]="others",R1692&lt;20),"Athletes",AND(Table13[[#This Row],[Gender]]="others",R1692&lt;24),"Fitnesss",AND(Table13[[#This Row],[Gender]]="others",R1692&lt;31),"Acceptable",AND(Table13[[#This Row],[Gender]]="others",R1692&lt;40),"Obese")</f>
        <v>Acceptable</v>
      </c>
      <c r="R1692" s="8">
        <v>26</v>
      </c>
      <c r="S1692" s="8">
        <v>3.7</v>
      </c>
      <c r="T1692" s="8">
        <v>5</v>
      </c>
      <c r="U1692" s="8">
        <v>1</v>
      </c>
      <c r="V1692" s="8" t="str">
        <f>IF(Table13[[#This Row],[BMI]]&lt;=18.5,"Underweight",IF(Table13[[#This Row],[BMI]]&lt;=24.9,"Normal",IF(Table13[[#This Row],[BMI]]&lt;=29.9,"Overweight",IF(Table13[[#This Row],[BMI]]&lt;=39,"Obese","Severly Obese"))))</f>
        <v>Overweight</v>
      </c>
      <c r="W1692" s="18">
        <v>26.61</v>
      </c>
    </row>
    <row r="1693" spans="6:23" x14ac:dyDescent="0.3">
      <c r="F1693" s="17">
        <v>47</v>
      </c>
      <c r="G1693" s="8" t="str">
        <f>IF(Table13[[#This Row],[Age]]&lt;25,"18-24",IF(Table13[[#This Row],[Age]]&lt;35,"25-34",IF(Table13[[#This Row],[Age]]&lt;45,"35-44",IF(Table13[[#This Row],[Age]]&lt;55,"45-54","55-64"))))</f>
        <v>45-54</v>
      </c>
      <c r="H1693" s="8" t="s">
        <v>23</v>
      </c>
      <c r="I1693" s="8">
        <v>71.5</v>
      </c>
      <c r="J1693" s="8">
        <v>1.79</v>
      </c>
      <c r="K1693" s="8">
        <v>162</v>
      </c>
      <c r="L1693" s="8">
        <v>169</v>
      </c>
      <c r="M1693" s="8">
        <v>65</v>
      </c>
      <c r="N1693" s="8">
        <v>1.84</v>
      </c>
      <c r="O1693" s="8">
        <v>822</v>
      </c>
      <c r="P1693" s="8" t="s">
        <v>21</v>
      </c>
      <c r="Q1693" s="8" t="str">
        <f>_xlfn.IFS(AND(Table13[[#This Row],[Gender]]="female",R1693&lt;20),"Athletes",AND(Table13[[#This Row],[Gender]]="female",R1693&lt;24),"Fitnesss",AND(Table13[[#This Row],[Gender]]="female",R1693&lt;31),"Acceptable",AND(Table13[[#This Row],[Gender]]="female",R1693&lt;40),"Obese",AND(Table13[[#This Row],[Gender]]="male",R1693&lt;13),"Athletes",AND(Table13[[#This Row],[Gender]]="male",R1693&lt;17),"Fitnesss",AND(Table13[[#This Row],[Gender]]="male",R1693&lt;24.9),"Acceptable",AND(Table13[[#This Row],[Gender]]="male",R1693&lt;40),"Obese",AND(Table13[[#This Row],[Gender]]="others",R1693&lt;20),"Athletes",AND(Table13[[#This Row],[Gender]]="others",R1693&lt;24),"Fitnesss",AND(Table13[[#This Row],[Gender]]="others",R1693&lt;31),"Acceptable",AND(Table13[[#This Row],[Gender]]="others",R1693&lt;40),"Obese")</f>
        <v>Acceptable</v>
      </c>
      <c r="R1693" s="8">
        <v>29.1</v>
      </c>
      <c r="S1693" s="8">
        <v>2.2999999999999998</v>
      </c>
      <c r="T1693" s="8">
        <v>5</v>
      </c>
      <c r="U1693" s="8">
        <v>2</v>
      </c>
      <c r="V1693" s="8" t="str">
        <f>IF(Table13[[#This Row],[BMI]]&lt;=18.5,"Underweight",IF(Table13[[#This Row],[BMI]]&lt;=24.9,"Normal",IF(Table13[[#This Row],[BMI]]&lt;=29.9,"Overweight",IF(Table13[[#This Row],[BMI]]&lt;=39,"Obese","Severly Obese"))))</f>
        <v>Overweight</v>
      </c>
      <c r="W1693" s="18">
        <v>25.83</v>
      </c>
    </row>
    <row r="1694" spans="6:23" x14ac:dyDescent="0.3">
      <c r="F1694" s="17">
        <v>48</v>
      </c>
      <c r="G1694" s="8" t="str">
        <f>IF(Table13[[#This Row],[Age]]&lt;25,"18-24",IF(Table13[[#This Row],[Age]]&lt;35,"25-34",IF(Table13[[#This Row],[Age]]&lt;45,"35-44",IF(Table13[[#This Row],[Age]]&lt;55,"45-54","55-64"))))</f>
        <v>45-54</v>
      </c>
      <c r="H1694" s="8" t="s">
        <v>17</v>
      </c>
      <c r="I1694" s="8">
        <v>57.3</v>
      </c>
      <c r="J1694" s="8">
        <v>1.9</v>
      </c>
      <c r="K1694" s="8">
        <v>172</v>
      </c>
      <c r="L1694" s="8"/>
      <c r="M1694" s="8">
        <v>55</v>
      </c>
      <c r="N1694" s="8">
        <v>1.62</v>
      </c>
      <c r="O1694" s="8">
        <v>877</v>
      </c>
      <c r="P1694" s="8" t="s">
        <v>22</v>
      </c>
      <c r="Q1694" s="8" t="str">
        <f>_xlfn.IFS(AND(Table13[[#This Row],[Gender]]="female",R1694&lt;20),"Athletes",AND(Table13[[#This Row],[Gender]]="female",R1694&lt;24),"Fitnesss",AND(Table13[[#This Row],[Gender]]="female",R1694&lt;31),"Acceptable",AND(Table13[[#This Row],[Gender]]="female",R1694&lt;40),"Obese",AND(Table13[[#This Row],[Gender]]="male",R1694&lt;13),"Athletes",AND(Table13[[#This Row],[Gender]]="male",R1694&lt;17),"Fitnesss",AND(Table13[[#This Row],[Gender]]="male",R1694&lt;24.9),"Acceptable",AND(Table13[[#This Row],[Gender]]="male",R1694&lt;40),"Obese",AND(Table13[[#This Row],[Gender]]="others",R1694&lt;20),"Athletes",AND(Table13[[#This Row],[Gender]]="others",R1694&lt;24),"Fitnesss",AND(Table13[[#This Row],[Gender]]="others",R1694&lt;31),"Acceptable",AND(Table13[[#This Row],[Gender]]="others",R1694&lt;40),"Obese")</f>
        <v>Athletes</v>
      </c>
      <c r="R1694" s="8">
        <v>10</v>
      </c>
      <c r="S1694" s="8">
        <v>2.8</v>
      </c>
      <c r="T1694" s="8">
        <v>2</v>
      </c>
      <c r="U1694" s="8">
        <v>2</v>
      </c>
      <c r="V1694" s="8" t="str">
        <f>IF(Table13[[#This Row],[BMI]]&lt;=18.5,"Underweight",IF(Table13[[#This Row],[BMI]]&lt;=24.9,"Normal",IF(Table13[[#This Row],[BMI]]&lt;=29.9,"Overweight",IF(Table13[[#This Row],[BMI]]&lt;=39,"Obese","Severly Obese"))))</f>
        <v>Obese</v>
      </c>
      <c r="W1694" s="18">
        <v>38.130000000000003</v>
      </c>
    </row>
    <row r="1695" spans="6:23" x14ac:dyDescent="0.3">
      <c r="F1695" s="17">
        <v>54</v>
      </c>
      <c r="G1695" s="8" t="str">
        <f>IF(Table13[[#This Row],[Age]]&lt;25,"18-24",IF(Table13[[#This Row],[Age]]&lt;35,"25-34",IF(Table13[[#This Row],[Age]]&lt;45,"35-44",IF(Table13[[#This Row],[Age]]&lt;55,"45-54","55-64"))))</f>
        <v>45-54</v>
      </c>
      <c r="H1695" s="8" t="s">
        <v>23</v>
      </c>
      <c r="I1695" s="8">
        <v>40</v>
      </c>
      <c r="J1695" s="8">
        <v>1.75</v>
      </c>
      <c r="K1695" s="8">
        <v>174</v>
      </c>
      <c r="L1695" s="8">
        <v>166</v>
      </c>
      <c r="M1695" s="8">
        <v>66</v>
      </c>
      <c r="N1695" s="8">
        <v>1.58</v>
      </c>
      <c r="O1695" s="8">
        <v>409</v>
      </c>
      <c r="P1695" s="8" t="s">
        <v>20</v>
      </c>
      <c r="Q1695" s="8" t="str">
        <f>_xlfn.IFS(AND(Table13[[#This Row],[Gender]]="female",R1695&lt;20),"Athletes",AND(Table13[[#This Row],[Gender]]="female",R1695&lt;24),"Fitnesss",AND(Table13[[#This Row],[Gender]]="female",R1695&lt;31),"Acceptable",AND(Table13[[#This Row],[Gender]]="female",R1695&lt;40),"Obese",AND(Table13[[#This Row],[Gender]]="male",R1695&lt;13),"Athletes",AND(Table13[[#This Row],[Gender]]="male",R1695&lt;17),"Fitnesss",AND(Table13[[#This Row],[Gender]]="male",R1695&lt;24.9),"Acceptable",AND(Table13[[#This Row],[Gender]]="male",R1695&lt;40),"Obese",AND(Table13[[#This Row],[Gender]]="others",R1695&lt;20),"Athletes",AND(Table13[[#This Row],[Gender]]="others",R1695&lt;24),"Fitnesss",AND(Table13[[#This Row],[Gender]]="others",R1695&lt;31),"Acceptable",AND(Table13[[#This Row],[Gender]]="others",R1695&lt;40),"Obese")</f>
        <v>Acceptable</v>
      </c>
      <c r="R1695" s="8">
        <v>27.9</v>
      </c>
      <c r="S1695" s="8">
        <v>3.5</v>
      </c>
      <c r="T1695" s="8">
        <v>5</v>
      </c>
      <c r="U1695" s="8">
        <v>2</v>
      </c>
      <c r="V1695" s="8" t="str">
        <f>IF(Table13[[#This Row],[BMI]]&lt;=18.5,"Underweight",IF(Table13[[#This Row],[BMI]]&lt;=24.9,"Normal",IF(Table13[[#This Row],[BMI]]&lt;=29.9,"Overweight",IF(Table13[[#This Row],[BMI]]&lt;=39,"Obese","Severly Obese"))))</f>
        <v>Underweight</v>
      </c>
      <c r="W1695" s="18">
        <v>17.72</v>
      </c>
    </row>
    <row r="1696" spans="6:23" x14ac:dyDescent="0.3">
      <c r="F1696" s="17">
        <v>44</v>
      </c>
      <c r="G1696" s="8" t="str">
        <f>IF(Table13[[#This Row],[Age]]&lt;25,"18-24",IF(Table13[[#This Row],[Age]]&lt;35,"25-34",IF(Table13[[#This Row],[Age]]&lt;45,"35-44",IF(Table13[[#This Row],[Age]]&lt;55,"45-54","55-64"))))</f>
        <v>35-44</v>
      </c>
      <c r="H1696" s="8" t="s">
        <v>19</v>
      </c>
      <c r="I1696" s="8">
        <v>94.4</v>
      </c>
      <c r="J1696" s="8">
        <v>1.82</v>
      </c>
      <c r="K1696" s="8">
        <v>182</v>
      </c>
      <c r="L1696" s="8">
        <v>140</v>
      </c>
      <c r="M1696" s="8">
        <v>57</v>
      </c>
      <c r="N1696" s="8">
        <v>1.38</v>
      </c>
      <c r="O1696" s="8">
        <v>1369</v>
      </c>
      <c r="P1696" s="8" t="s">
        <v>21</v>
      </c>
      <c r="Q1696" s="8" t="str">
        <f>_xlfn.IFS(AND(Table13[[#This Row],[Gender]]="female",R1696&lt;20),"Athletes",AND(Table13[[#This Row],[Gender]]="female",R1696&lt;24),"Fitnesss",AND(Table13[[#This Row],[Gender]]="female",R1696&lt;31),"Acceptable",AND(Table13[[#This Row],[Gender]]="female",R1696&lt;40),"Obese",AND(Table13[[#This Row],[Gender]]="male",R1696&lt;13),"Athletes",AND(Table13[[#This Row],[Gender]]="male",R1696&lt;17),"Fitnesss",AND(Table13[[#This Row],[Gender]]="male",R1696&lt;24.9),"Acceptable",AND(Table13[[#This Row],[Gender]]="male",R1696&lt;40),"Obese",AND(Table13[[#This Row],[Gender]]="others",R1696&lt;20),"Athletes",AND(Table13[[#This Row],[Gender]]="others",R1696&lt;24),"Fitnesss",AND(Table13[[#This Row],[Gender]]="others",R1696&lt;31),"Acceptable",AND(Table13[[#This Row],[Gender]]="others",R1696&lt;40),"Obese")</f>
        <v>Acceptable</v>
      </c>
      <c r="R1696" s="8">
        <v>20.7</v>
      </c>
      <c r="S1696" s="8">
        <v>3.2</v>
      </c>
      <c r="T1696" s="8">
        <v>3</v>
      </c>
      <c r="U1696" s="8">
        <v>1</v>
      </c>
      <c r="V1696" s="8" t="str">
        <f>IF(Table13[[#This Row],[BMI]]&lt;=18.5,"Underweight",IF(Table13[[#This Row],[BMI]]&lt;=24.9,"Normal",IF(Table13[[#This Row],[BMI]]&lt;=29.9,"Overweight",IF(Table13[[#This Row],[BMI]]&lt;=39,"Obese","Severly Obese"))))</f>
        <v>Normal</v>
      </c>
      <c r="W1696" s="18">
        <v>22.79</v>
      </c>
    </row>
    <row r="1697" spans="6:23" x14ac:dyDescent="0.3">
      <c r="F1697" s="17">
        <v>46</v>
      </c>
      <c r="G1697" s="8" t="str">
        <f>IF(Table13[[#This Row],[Age]]&lt;25,"18-24",IF(Table13[[#This Row],[Age]]&lt;35,"25-34",IF(Table13[[#This Row],[Age]]&lt;45,"35-44",IF(Table13[[#This Row],[Age]]&lt;55,"45-54","55-64"))))</f>
        <v>45-54</v>
      </c>
      <c r="H1697" s="8" t="s">
        <v>19</v>
      </c>
      <c r="I1697" s="8">
        <v>44.9</v>
      </c>
      <c r="J1697" s="8">
        <v>1.93</v>
      </c>
      <c r="K1697" s="8">
        <v>177</v>
      </c>
      <c r="L1697" s="8">
        <v>154</v>
      </c>
      <c r="M1697" s="8">
        <v>58</v>
      </c>
      <c r="N1697" s="8">
        <v>2</v>
      </c>
      <c r="O1697" s="8">
        <v>1434</v>
      </c>
      <c r="P1697" s="8" t="s">
        <v>21</v>
      </c>
      <c r="Q1697" s="8" t="str">
        <f>_xlfn.IFS(AND(Table13[[#This Row],[Gender]]="female",R1697&lt;20),"Athletes",AND(Table13[[#This Row],[Gender]]="female",R1697&lt;24),"Fitnesss",AND(Table13[[#This Row],[Gender]]="female",R1697&lt;31),"Acceptable",AND(Table13[[#This Row],[Gender]]="female",R1697&lt;40),"Obese",AND(Table13[[#This Row],[Gender]]="male",R1697&lt;13),"Athletes",AND(Table13[[#This Row],[Gender]]="male",R1697&lt;17),"Fitnesss",AND(Table13[[#This Row],[Gender]]="male",R1697&lt;24.9),"Acceptable",AND(Table13[[#This Row],[Gender]]="male",R1697&lt;40),"Obese",AND(Table13[[#This Row],[Gender]]="others",R1697&lt;20),"Athletes",AND(Table13[[#This Row],[Gender]]="others",R1697&lt;24),"Fitnesss",AND(Table13[[#This Row],[Gender]]="others",R1697&lt;31),"Acceptable",AND(Table13[[#This Row],[Gender]]="others",R1697&lt;40),"Obese")</f>
        <v>Obese</v>
      </c>
      <c r="R1697" s="8">
        <v>31.4</v>
      </c>
      <c r="S1697" s="8">
        <v>3.5</v>
      </c>
      <c r="T1697" s="8">
        <v>4</v>
      </c>
      <c r="U1697" s="8">
        <v>2</v>
      </c>
      <c r="V1697" s="8" t="str">
        <f>IF(Table13[[#This Row],[BMI]]&lt;=18.5,"Underweight",IF(Table13[[#This Row],[BMI]]&lt;=24.9,"Normal",IF(Table13[[#This Row],[BMI]]&lt;=29.9,"Overweight",IF(Table13[[#This Row],[BMI]]&lt;=39,"Obese","Severly Obese"))))</f>
        <v>Underweight</v>
      </c>
      <c r="W1697" s="18">
        <v>12.32</v>
      </c>
    </row>
    <row r="1698" spans="6:23" x14ac:dyDescent="0.3">
      <c r="F1698" s="17">
        <v>55</v>
      </c>
      <c r="G1698" s="8" t="str">
        <f>IF(Table13[[#This Row],[Age]]&lt;25,"18-24",IF(Table13[[#This Row],[Age]]&lt;35,"25-34",IF(Table13[[#This Row],[Age]]&lt;45,"35-44",IF(Table13[[#This Row],[Age]]&lt;55,"45-54","55-64"))))</f>
        <v>55-64</v>
      </c>
      <c r="H1698" s="8" t="s">
        <v>19</v>
      </c>
      <c r="I1698" s="8">
        <v>61.9</v>
      </c>
      <c r="J1698" s="8">
        <v>1.74</v>
      </c>
      <c r="K1698" s="8">
        <v>163</v>
      </c>
      <c r="L1698" s="8">
        <v>140</v>
      </c>
      <c r="M1698" s="8">
        <v>73</v>
      </c>
      <c r="N1698" s="8">
        <v>0.97</v>
      </c>
      <c r="O1698" s="8">
        <v>598</v>
      </c>
      <c r="P1698" s="8" t="s">
        <v>18</v>
      </c>
      <c r="Q1698" s="8" t="str">
        <f>_xlfn.IFS(AND(Table13[[#This Row],[Gender]]="female",R1698&lt;20),"Athletes",AND(Table13[[#This Row],[Gender]]="female",R1698&lt;24),"Fitnesss",AND(Table13[[#This Row],[Gender]]="female",R1698&lt;31),"Acceptable",AND(Table13[[#This Row],[Gender]]="female",R1698&lt;40),"Obese",AND(Table13[[#This Row],[Gender]]="male",R1698&lt;13),"Athletes",AND(Table13[[#This Row],[Gender]]="male",R1698&lt;17),"Fitnesss",AND(Table13[[#This Row],[Gender]]="male",R1698&lt;24.9),"Acceptable",AND(Table13[[#This Row],[Gender]]="male",R1698&lt;40),"Obese",AND(Table13[[#This Row],[Gender]]="others",R1698&lt;20),"Athletes",AND(Table13[[#This Row],[Gender]]="others",R1698&lt;24),"Fitnesss",AND(Table13[[#This Row],[Gender]]="others",R1698&lt;31),"Acceptable",AND(Table13[[#This Row],[Gender]]="others",R1698&lt;40),"Obese")</f>
        <v>Acceptable</v>
      </c>
      <c r="R1698" s="8">
        <v>23.6</v>
      </c>
      <c r="S1698" s="8">
        <v>3.1</v>
      </c>
      <c r="T1698" s="8">
        <v>2</v>
      </c>
      <c r="U1698" s="8">
        <v>1</v>
      </c>
      <c r="V1698" s="8" t="str">
        <f>IF(Table13[[#This Row],[BMI]]&lt;=18.5,"Underweight",IF(Table13[[#This Row],[BMI]]&lt;=24.9,"Normal",IF(Table13[[#This Row],[BMI]]&lt;=29.9,"Overweight",IF(Table13[[#This Row],[BMI]]&lt;=39,"Obese","Severly Obese"))))</f>
        <v>Overweight</v>
      </c>
      <c r="W1698" s="18">
        <v>27.13</v>
      </c>
    </row>
    <row r="1699" spans="6:23" x14ac:dyDescent="0.3">
      <c r="F1699" s="17">
        <v>24</v>
      </c>
      <c r="G1699" s="8" t="str">
        <f>IF(Table13[[#This Row],[Age]]&lt;25,"18-24",IF(Table13[[#This Row],[Age]]&lt;35,"25-34",IF(Table13[[#This Row],[Age]]&lt;45,"35-44",IF(Table13[[#This Row],[Age]]&lt;55,"45-54","55-64"))))</f>
        <v>18-24</v>
      </c>
      <c r="H1699" s="8" t="s">
        <v>19</v>
      </c>
      <c r="I1699" s="8">
        <v>83.4</v>
      </c>
      <c r="J1699" s="8">
        <v>1.7</v>
      </c>
      <c r="K1699" s="8">
        <v>162</v>
      </c>
      <c r="L1699" s="8">
        <v>169</v>
      </c>
      <c r="M1699" s="8">
        <v>51</v>
      </c>
      <c r="N1699" s="8">
        <v>1.87</v>
      </c>
      <c r="O1699" s="8">
        <v>879</v>
      </c>
      <c r="P1699" s="8" t="s">
        <v>22</v>
      </c>
      <c r="Q1699" s="8" t="str">
        <f>_xlfn.IFS(AND(Table13[[#This Row],[Gender]]="female",R1699&lt;20),"Athletes",AND(Table13[[#This Row],[Gender]]="female",R1699&lt;24),"Fitnesss",AND(Table13[[#This Row],[Gender]]="female",R1699&lt;31),"Acceptable",AND(Table13[[#This Row],[Gender]]="female",R1699&lt;40),"Obese",AND(Table13[[#This Row],[Gender]]="male",R1699&lt;13),"Athletes",AND(Table13[[#This Row],[Gender]]="male",R1699&lt;17),"Fitnesss",AND(Table13[[#This Row],[Gender]]="male",R1699&lt;24.9),"Acceptable",AND(Table13[[#This Row],[Gender]]="male",R1699&lt;40),"Obese",AND(Table13[[#This Row],[Gender]]="others",R1699&lt;20),"Athletes",AND(Table13[[#This Row],[Gender]]="others",R1699&lt;24),"Fitnesss",AND(Table13[[#This Row],[Gender]]="others",R1699&lt;31),"Acceptable",AND(Table13[[#This Row],[Gender]]="others",R1699&lt;40),"Obese")</f>
        <v>Obese</v>
      </c>
      <c r="R1699" s="8">
        <v>26.4</v>
      </c>
      <c r="S1699" s="8">
        <v>3.3</v>
      </c>
      <c r="T1699" s="8">
        <v>4</v>
      </c>
      <c r="U1699" s="8">
        <v>1</v>
      </c>
      <c r="V1699" s="8" t="str">
        <f>IF(Table13[[#This Row],[BMI]]&lt;=18.5,"Underweight",IF(Table13[[#This Row],[BMI]]&lt;=24.9,"Normal",IF(Table13[[#This Row],[BMI]]&lt;=29.9,"Overweight",IF(Table13[[#This Row],[BMI]]&lt;=39,"Obese","Severly Obese"))))</f>
        <v>Normal</v>
      </c>
      <c r="W1699" s="18">
        <v>21.68</v>
      </c>
    </row>
    <row r="1700" spans="6:23" x14ac:dyDescent="0.3">
      <c r="F1700" s="17">
        <v>18</v>
      </c>
      <c r="G1700" s="8" t="str">
        <f>IF(Table13[[#This Row],[Age]]&lt;25,"18-24",IF(Table13[[#This Row],[Age]]&lt;35,"25-34",IF(Table13[[#This Row],[Age]]&lt;45,"35-44",IF(Table13[[#This Row],[Age]]&lt;55,"45-54","55-64"))))</f>
        <v>18-24</v>
      </c>
      <c r="H1700" s="8" t="s">
        <v>17</v>
      </c>
      <c r="I1700" s="8">
        <v>83.6</v>
      </c>
      <c r="J1700" s="8">
        <v>1.84</v>
      </c>
      <c r="K1700" s="8">
        <v>186</v>
      </c>
      <c r="L1700" s="8">
        <v>137</v>
      </c>
      <c r="M1700" s="8">
        <v>73</v>
      </c>
      <c r="N1700" s="8">
        <v>1.33</v>
      </c>
      <c r="O1700" s="8">
        <v>1338</v>
      </c>
      <c r="P1700" s="8" t="s">
        <v>18</v>
      </c>
      <c r="Q1700" s="8" t="str">
        <f>_xlfn.IFS(AND(Table13[[#This Row],[Gender]]="female",R1700&lt;20),"Athletes",AND(Table13[[#This Row],[Gender]]="female",R1700&lt;24),"Fitnesss",AND(Table13[[#This Row],[Gender]]="female",R1700&lt;31),"Acceptable",AND(Table13[[#This Row],[Gender]]="female",R1700&lt;40),"Obese",AND(Table13[[#This Row],[Gender]]="male",R1700&lt;13),"Athletes",AND(Table13[[#This Row],[Gender]]="male",R1700&lt;17),"Fitnesss",AND(Table13[[#This Row],[Gender]]="male",R1700&lt;24.9),"Acceptable",AND(Table13[[#This Row],[Gender]]="male",R1700&lt;40),"Obese",AND(Table13[[#This Row],[Gender]]="others",R1700&lt;20),"Athletes",AND(Table13[[#This Row],[Gender]]="others",R1700&lt;24),"Fitnesss",AND(Table13[[#This Row],[Gender]]="others",R1700&lt;31),"Acceptable",AND(Table13[[#This Row],[Gender]]="others",R1700&lt;40),"Obese")</f>
        <v>Obese</v>
      </c>
      <c r="R1700" s="8">
        <v>35</v>
      </c>
      <c r="S1700" s="8">
        <v>2.6</v>
      </c>
      <c r="T1700" s="8">
        <v>2</v>
      </c>
      <c r="U1700" s="8">
        <v>2</v>
      </c>
      <c r="V1700" s="8" t="str">
        <f>IF(Table13[[#This Row],[BMI]]&lt;=18.5,"Underweight",IF(Table13[[#This Row],[BMI]]&lt;=24.9,"Normal",IF(Table13[[#This Row],[BMI]]&lt;=29.9,"Overweight",IF(Table13[[#This Row],[BMI]]&lt;=39,"Obese","Severly Obese"))))</f>
        <v>Obese</v>
      </c>
      <c r="W1700" s="18">
        <v>30.41</v>
      </c>
    </row>
    <row r="1701" spans="6:23" x14ac:dyDescent="0.3">
      <c r="F1701" s="17">
        <v>18</v>
      </c>
      <c r="G1701" s="8" t="str">
        <f>IF(Table13[[#This Row],[Age]]&lt;25,"18-24",IF(Table13[[#This Row],[Age]]&lt;35,"25-34",IF(Table13[[#This Row],[Age]]&lt;45,"35-44",IF(Table13[[#This Row],[Age]]&lt;55,"45-54","55-64"))))</f>
        <v>18-24</v>
      </c>
      <c r="H1701" s="8" t="s">
        <v>19</v>
      </c>
      <c r="I1701" s="8">
        <v>87.3</v>
      </c>
      <c r="J1701" s="8">
        <v>1.71</v>
      </c>
      <c r="K1701" s="8">
        <v>199</v>
      </c>
      <c r="L1701" s="8">
        <v>145</v>
      </c>
      <c r="M1701" s="8">
        <v>65</v>
      </c>
      <c r="N1701" s="8">
        <v>1.1599999999999999</v>
      </c>
      <c r="O1701" s="8">
        <v>1783</v>
      </c>
      <c r="P1701" s="8" t="s">
        <v>20</v>
      </c>
      <c r="Q1701" s="8" t="str">
        <f>_xlfn.IFS(AND(Table13[[#This Row],[Gender]]="female",R1701&lt;20),"Athletes",AND(Table13[[#This Row],[Gender]]="female",R1701&lt;24),"Fitnesss",AND(Table13[[#This Row],[Gender]]="female",R1701&lt;31),"Acceptable",AND(Table13[[#This Row],[Gender]]="female",R1701&lt;40),"Obese",AND(Table13[[#This Row],[Gender]]="male",R1701&lt;13),"Athletes",AND(Table13[[#This Row],[Gender]]="male",R1701&lt;17),"Fitnesss",AND(Table13[[#This Row],[Gender]]="male",R1701&lt;24.9),"Acceptable",AND(Table13[[#This Row],[Gender]]="male",R1701&lt;40),"Obese",AND(Table13[[#This Row],[Gender]]="others",R1701&lt;20),"Athletes",AND(Table13[[#This Row],[Gender]]="others",R1701&lt;24),"Fitnesss",AND(Table13[[#This Row],[Gender]]="others",R1701&lt;31),"Acceptable",AND(Table13[[#This Row],[Gender]]="others",R1701&lt;40),"Obese")</f>
        <v>Obese</v>
      </c>
      <c r="R1701" s="8">
        <v>30</v>
      </c>
      <c r="S1701" s="8">
        <v>3.3</v>
      </c>
      <c r="T1701" s="8">
        <v>3</v>
      </c>
      <c r="U1701" s="8">
        <v>3</v>
      </c>
      <c r="V1701" s="8" t="str">
        <f>IF(Table13[[#This Row],[BMI]]&lt;=18.5,"Underweight",IF(Table13[[#This Row],[BMI]]&lt;=24.9,"Normal",IF(Table13[[#This Row],[BMI]]&lt;=29.9,"Overweight",IF(Table13[[#This Row],[BMI]]&lt;=39,"Obese","Severly Obese"))))</f>
        <v>Underweight</v>
      </c>
      <c r="W1701" s="18">
        <v>12.32</v>
      </c>
    </row>
    <row r="1702" spans="6:23" x14ac:dyDescent="0.3">
      <c r="F1702" s="17">
        <v>18</v>
      </c>
      <c r="G1702" s="8" t="str">
        <f>IF(Table13[[#This Row],[Age]]&lt;25,"18-24",IF(Table13[[#This Row],[Age]]&lt;35,"25-34",IF(Table13[[#This Row],[Age]]&lt;45,"35-44",IF(Table13[[#This Row],[Age]]&lt;55,"45-54","55-64"))))</f>
        <v>18-24</v>
      </c>
      <c r="H1702" s="8" t="s">
        <v>17</v>
      </c>
      <c r="I1702" s="8">
        <v>48.6</v>
      </c>
      <c r="J1702" s="8">
        <v>1.72</v>
      </c>
      <c r="K1702" s="8">
        <v>180</v>
      </c>
      <c r="L1702" s="8">
        <v>136</v>
      </c>
      <c r="M1702" s="8">
        <v>72</v>
      </c>
      <c r="N1702" s="8">
        <v>1.38</v>
      </c>
      <c r="O1702" s="8">
        <v>1185</v>
      </c>
      <c r="P1702" s="8" t="s">
        <v>18</v>
      </c>
      <c r="Q1702" s="8" t="str">
        <f>_xlfn.IFS(AND(Table13[[#This Row],[Gender]]="female",R1702&lt;20),"Athletes",AND(Table13[[#This Row],[Gender]]="female",R1702&lt;24),"Fitnesss",AND(Table13[[#This Row],[Gender]]="female",R1702&lt;31),"Acceptable",AND(Table13[[#This Row],[Gender]]="female",R1702&lt;40),"Obese",AND(Table13[[#This Row],[Gender]]="male",R1702&lt;13),"Athletes",AND(Table13[[#This Row],[Gender]]="male",R1702&lt;17),"Fitnesss",AND(Table13[[#This Row],[Gender]]="male",R1702&lt;24.9),"Acceptable",AND(Table13[[#This Row],[Gender]]="male",R1702&lt;40),"Obese",AND(Table13[[#This Row],[Gender]]="others",R1702&lt;20),"Athletes",AND(Table13[[#This Row],[Gender]]="others",R1702&lt;24),"Fitnesss",AND(Table13[[#This Row],[Gender]]="others",R1702&lt;31),"Acceptable",AND(Table13[[#This Row],[Gender]]="others",R1702&lt;40),"Obese")</f>
        <v>Fitnesss</v>
      </c>
      <c r="R1702" s="8">
        <v>23.5</v>
      </c>
      <c r="S1702" s="8">
        <v>1.8</v>
      </c>
      <c r="T1702" s="8"/>
      <c r="U1702" s="8">
        <v>2</v>
      </c>
      <c r="V1702" s="8" t="str">
        <f>IF(Table13[[#This Row],[BMI]]&lt;=18.5,"Underweight",IF(Table13[[#This Row],[BMI]]&lt;=24.9,"Normal",IF(Table13[[#This Row],[BMI]]&lt;=29.9,"Overweight",IF(Table13[[#This Row],[BMI]]&lt;=39,"Obese","Severly Obese"))))</f>
        <v>Normal</v>
      </c>
      <c r="W1702" s="18">
        <v>21.68</v>
      </c>
    </row>
    <row r="1703" spans="6:23" x14ac:dyDescent="0.3">
      <c r="F1703" s="17">
        <v>18</v>
      </c>
      <c r="G1703" s="8" t="str">
        <f>IF(Table13[[#This Row],[Age]]&lt;25,"18-24",IF(Table13[[#This Row],[Age]]&lt;35,"25-34",IF(Table13[[#This Row],[Age]]&lt;45,"35-44",IF(Table13[[#This Row],[Age]]&lt;55,"45-54","55-64"))))</f>
        <v>18-24</v>
      </c>
      <c r="H1703" s="8" t="s">
        <v>17</v>
      </c>
      <c r="I1703" s="8">
        <v>80.7</v>
      </c>
      <c r="J1703" s="8">
        <v>2</v>
      </c>
      <c r="K1703" s="8">
        <v>184</v>
      </c>
      <c r="L1703" s="8">
        <v>142</v>
      </c>
      <c r="M1703" s="8">
        <v>74</v>
      </c>
      <c r="N1703" s="8">
        <v>0.72</v>
      </c>
      <c r="O1703" s="8">
        <v>1221</v>
      </c>
      <c r="P1703" s="8" t="s">
        <v>22</v>
      </c>
      <c r="Q1703" s="8" t="str">
        <f>_xlfn.IFS(AND(Table13[[#This Row],[Gender]]="female",R1703&lt;20),"Athletes",AND(Table13[[#This Row],[Gender]]="female",R1703&lt;24),"Fitnesss",AND(Table13[[#This Row],[Gender]]="female",R1703&lt;31),"Acceptable",AND(Table13[[#This Row],[Gender]]="female",R1703&lt;40),"Obese",AND(Table13[[#This Row],[Gender]]="male",R1703&lt;13),"Athletes",AND(Table13[[#This Row],[Gender]]="male",R1703&lt;17),"Fitnesss",AND(Table13[[#This Row],[Gender]]="male",R1703&lt;24.9),"Acceptable",AND(Table13[[#This Row],[Gender]]="male",R1703&lt;40),"Obese",AND(Table13[[#This Row],[Gender]]="others",R1703&lt;20),"Athletes",AND(Table13[[#This Row],[Gender]]="others",R1703&lt;24),"Fitnesss",AND(Table13[[#This Row],[Gender]]="others",R1703&lt;31),"Acceptable",AND(Table13[[#This Row],[Gender]]="others",R1703&lt;40),"Obese")</f>
        <v>Acceptable</v>
      </c>
      <c r="R1703" s="8">
        <v>25.6</v>
      </c>
      <c r="S1703" s="8">
        <v>1.9</v>
      </c>
      <c r="T1703" s="8">
        <v>2</v>
      </c>
      <c r="U1703" s="8">
        <v>2</v>
      </c>
      <c r="V1703" s="8" t="str">
        <f>IF(Table13[[#This Row],[BMI]]&lt;=18.5,"Underweight",IF(Table13[[#This Row],[BMI]]&lt;=24.9,"Normal",IF(Table13[[#This Row],[BMI]]&lt;=29.9,"Overweight",IF(Table13[[#This Row],[BMI]]&lt;=39,"Obese","Severly Obese"))))</f>
        <v>Underweight</v>
      </c>
      <c r="W1703" s="18">
        <v>18.28</v>
      </c>
    </row>
    <row r="1704" spans="6:23" x14ac:dyDescent="0.3">
      <c r="F1704" s="17">
        <v>33</v>
      </c>
      <c r="G1704" s="8" t="str">
        <f>IF(Table13[[#This Row],[Age]]&lt;25,"18-24",IF(Table13[[#This Row],[Age]]&lt;35,"25-34",IF(Table13[[#This Row],[Age]]&lt;45,"35-44",IF(Table13[[#This Row],[Age]]&lt;55,"45-54","55-64"))))</f>
        <v>25-34</v>
      </c>
      <c r="H1704" s="8" t="s">
        <v>17</v>
      </c>
      <c r="I1704" s="8">
        <v>62.6</v>
      </c>
      <c r="J1704" s="8">
        <v>1.71</v>
      </c>
      <c r="K1704" s="8">
        <v>192</v>
      </c>
      <c r="L1704" s="8">
        <v>158</v>
      </c>
      <c r="M1704" s="8">
        <v>57</v>
      </c>
      <c r="N1704" s="8">
        <v>1.99</v>
      </c>
      <c r="O1704" s="8">
        <v>1081</v>
      </c>
      <c r="P1704" s="8" t="s">
        <v>22</v>
      </c>
      <c r="Q1704" s="8" t="str">
        <f>_xlfn.IFS(AND(Table13[[#This Row],[Gender]]="female",R1704&lt;20),"Athletes",AND(Table13[[#This Row],[Gender]]="female",R1704&lt;24),"Fitnesss",AND(Table13[[#This Row],[Gender]]="female",R1704&lt;31),"Acceptable",AND(Table13[[#This Row],[Gender]]="female",R1704&lt;40),"Obese",AND(Table13[[#This Row],[Gender]]="male",R1704&lt;13),"Athletes",AND(Table13[[#This Row],[Gender]]="male",R1704&lt;17),"Fitnesss",AND(Table13[[#This Row],[Gender]]="male",R1704&lt;24.9),"Acceptable",AND(Table13[[#This Row],[Gender]]="male",R1704&lt;40),"Obese",AND(Table13[[#This Row],[Gender]]="others",R1704&lt;20),"Athletes",AND(Table13[[#This Row],[Gender]]="others",R1704&lt;24),"Fitnesss",AND(Table13[[#This Row],[Gender]]="others",R1704&lt;31),"Acceptable",AND(Table13[[#This Row],[Gender]]="others",R1704&lt;40),"Obese")</f>
        <v>Obese</v>
      </c>
      <c r="R1704" s="8">
        <v>31.3</v>
      </c>
      <c r="S1704" s="8">
        <v>3.5</v>
      </c>
      <c r="T1704" s="8">
        <v>2</v>
      </c>
      <c r="U1704" s="8">
        <v>2</v>
      </c>
      <c r="V1704" s="8" t="str">
        <f>IF(Table13[[#This Row],[BMI]]&lt;=18.5,"Underweight",IF(Table13[[#This Row],[BMI]]&lt;=24.9,"Normal",IF(Table13[[#This Row],[BMI]]&lt;=29.9,"Overweight",IF(Table13[[#This Row],[BMI]]&lt;=39,"Obese","Severly Obese"))))</f>
        <v>Obese</v>
      </c>
      <c r="W1704" s="18">
        <v>31.79</v>
      </c>
    </row>
    <row r="1705" spans="6:23" x14ac:dyDescent="0.3">
      <c r="F1705" s="17">
        <v>19</v>
      </c>
      <c r="G1705" s="8" t="str">
        <f>IF(Table13[[#This Row],[Age]]&lt;25,"18-24",IF(Table13[[#This Row],[Age]]&lt;35,"25-34",IF(Table13[[#This Row],[Age]]&lt;45,"35-44",IF(Table13[[#This Row],[Age]]&lt;55,"45-54","55-64"))))</f>
        <v>18-24</v>
      </c>
      <c r="H1705" s="8" t="s">
        <v>19</v>
      </c>
      <c r="I1705" s="8">
        <v>41.9</v>
      </c>
      <c r="J1705" s="8">
        <v>1.69</v>
      </c>
      <c r="K1705" s="8">
        <v>176</v>
      </c>
      <c r="L1705" s="8">
        <v>138</v>
      </c>
      <c r="M1705" s="8">
        <v>74</v>
      </c>
      <c r="N1705" s="8">
        <v>1.89</v>
      </c>
      <c r="O1705" s="8">
        <v>1010</v>
      </c>
      <c r="P1705" s="8" t="s">
        <v>22</v>
      </c>
      <c r="Q1705" s="8" t="str">
        <f>_xlfn.IFS(AND(Table13[[#This Row],[Gender]]="female",R1705&lt;20),"Athletes",AND(Table13[[#This Row],[Gender]]="female",R1705&lt;24),"Fitnesss",AND(Table13[[#This Row],[Gender]]="female",R1705&lt;31),"Acceptable",AND(Table13[[#This Row],[Gender]]="female",R1705&lt;40),"Obese",AND(Table13[[#This Row],[Gender]]="male",R1705&lt;13),"Athletes",AND(Table13[[#This Row],[Gender]]="male",R1705&lt;17),"Fitnesss",AND(Table13[[#This Row],[Gender]]="male",R1705&lt;24.9),"Acceptable",AND(Table13[[#This Row],[Gender]]="male",R1705&lt;40),"Obese",AND(Table13[[#This Row],[Gender]]="others",R1705&lt;20),"Athletes",AND(Table13[[#This Row],[Gender]]="others",R1705&lt;24),"Fitnesss",AND(Table13[[#This Row],[Gender]]="others",R1705&lt;31),"Acceptable",AND(Table13[[#This Row],[Gender]]="others",R1705&lt;40),"Obese")</f>
        <v>Obese</v>
      </c>
      <c r="R1705" s="8">
        <v>27.9</v>
      </c>
      <c r="S1705" s="8">
        <v>2.6</v>
      </c>
      <c r="T1705" s="8">
        <v>2</v>
      </c>
      <c r="U1705" s="8">
        <v>2</v>
      </c>
      <c r="V1705" s="8" t="str">
        <f>IF(Table13[[#This Row],[BMI]]&lt;=18.5,"Underweight",IF(Table13[[#This Row],[BMI]]&lt;=24.9,"Normal",IF(Table13[[#This Row],[BMI]]&lt;=29.9,"Overweight",IF(Table13[[#This Row],[BMI]]&lt;=39,"Obese","Severly Obese"))))</f>
        <v>Underweight</v>
      </c>
      <c r="W1705" s="18">
        <v>17.97</v>
      </c>
    </row>
    <row r="1706" spans="6:23" x14ac:dyDescent="0.3">
      <c r="F1706" s="17">
        <v>58</v>
      </c>
      <c r="G1706" s="8" t="str">
        <f>IF(Table13[[#This Row],[Age]]&lt;25,"18-24",IF(Table13[[#This Row],[Age]]&lt;35,"25-34",IF(Table13[[#This Row],[Age]]&lt;45,"35-44",IF(Table13[[#This Row],[Age]]&lt;55,"45-54","55-64"))))</f>
        <v>55-64</v>
      </c>
      <c r="H1706" s="8" t="s">
        <v>19</v>
      </c>
      <c r="I1706" s="8">
        <v>47.6</v>
      </c>
      <c r="J1706" s="8">
        <v>1.84</v>
      </c>
      <c r="K1706" s="8">
        <v>182</v>
      </c>
      <c r="L1706" s="8">
        <v>155</v>
      </c>
      <c r="M1706" s="8">
        <v>66</v>
      </c>
      <c r="N1706" s="8">
        <v>1.59</v>
      </c>
      <c r="O1706" s="8">
        <v>635</v>
      </c>
      <c r="P1706" s="8" t="s">
        <v>22</v>
      </c>
      <c r="Q1706" s="8" t="str">
        <f>_xlfn.IFS(AND(Table13[[#This Row],[Gender]]="female",R1706&lt;20),"Athletes",AND(Table13[[#This Row],[Gender]]="female",R1706&lt;24),"Fitnesss",AND(Table13[[#This Row],[Gender]]="female",R1706&lt;31),"Acceptable",AND(Table13[[#This Row],[Gender]]="female",R1706&lt;40),"Obese",AND(Table13[[#This Row],[Gender]]="male",R1706&lt;13),"Athletes",AND(Table13[[#This Row],[Gender]]="male",R1706&lt;17),"Fitnesss",AND(Table13[[#This Row],[Gender]]="male",R1706&lt;24.9),"Acceptable",AND(Table13[[#This Row],[Gender]]="male",R1706&lt;40),"Obese",AND(Table13[[#This Row],[Gender]]="others",R1706&lt;20),"Athletes",AND(Table13[[#This Row],[Gender]]="others",R1706&lt;24),"Fitnesss",AND(Table13[[#This Row],[Gender]]="others",R1706&lt;31),"Acceptable",AND(Table13[[#This Row],[Gender]]="others",R1706&lt;40),"Obese")</f>
        <v>Athletes</v>
      </c>
      <c r="R1706" s="8">
        <v>11.2</v>
      </c>
      <c r="S1706" s="8">
        <v>2.6</v>
      </c>
      <c r="T1706" s="8">
        <v>4</v>
      </c>
      <c r="U1706" s="8">
        <v>3</v>
      </c>
      <c r="V1706" s="8" t="str">
        <f>IF(Table13[[#This Row],[BMI]]&lt;=18.5,"Underweight",IF(Table13[[#This Row],[BMI]]&lt;=24.9,"Normal",IF(Table13[[#This Row],[BMI]]&lt;=29.9,"Overweight",IF(Table13[[#This Row],[BMI]]&lt;=39,"Obese","Severly Obese"))))</f>
        <v>Underweight</v>
      </c>
      <c r="W1706" s="18">
        <v>13.65</v>
      </c>
    </row>
    <row r="1707" spans="6:23" x14ac:dyDescent="0.3">
      <c r="F1707" s="17">
        <v>18</v>
      </c>
      <c r="G1707" s="8" t="str">
        <f>IF(Table13[[#This Row],[Age]]&lt;25,"18-24",IF(Table13[[#This Row],[Age]]&lt;35,"25-34",IF(Table13[[#This Row],[Age]]&lt;45,"35-44",IF(Table13[[#This Row],[Age]]&lt;55,"45-54","55-64"))))</f>
        <v>18-24</v>
      </c>
      <c r="H1707" s="8" t="s">
        <v>17</v>
      </c>
      <c r="I1707" s="8">
        <v>129.9</v>
      </c>
      <c r="J1707" s="8">
        <v>1.76</v>
      </c>
      <c r="K1707" s="8">
        <v>168</v>
      </c>
      <c r="L1707" s="8">
        <v>135</v>
      </c>
      <c r="M1707" s="8">
        <v>50</v>
      </c>
      <c r="N1707" s="8">
        <v>1.3</v>
      </c>
      <c r="O1707" s="8">
        <v>1208</v>
      </c>
      <c r="P1707" s="8" t="s">
        <v>21</v>
      </c>
      <c r="Q1707" s="8" t="str">
        <f>_xlfn.IFS(AND(Table13[[#This Row],[Gender]]="female",R1707&lt;20),"Athletes",AND(Table13[[#This Row],[Gender]]="female",R1707&lt;24),"Fitnesss",AND(Table13[[#This Row],[Gender]]="female",R1707&lt;31),"Acceptable",AND(Table13[[#This Row],[Gender]]="female",R1707&lt;40),"Obese",AND(Table13[[#This Row],[Gender]]="male",R1707&lt;13),"Athletes",AND(Table13[[#This Row],[Gender]]="male",R1707&lt;17),"Fitnesss",AND(Table13[[#This Row],[Gender]]="male",R1707&lt;24.9),"Acceptable",AND(Table13[[#This Row],[Gender]]="male",R1707&lt;40),"Obese",AND(Table13[[#This Row],[Gender]]="others",R1707&lt;20),"Athletes",AND(Table13[[#This Row],[Gender]]="others",R1707&lt;24),"Fitnesss",AND(Table13[[#This Row],[Gender]]="others",R1707&lt;31),"Acceptable",AND(Table13[[#This Row],[Gender]]="others",R1707&lt;40),"Obese")</f>
        <v>Acceptable</v>
      </c>
      <c r="R1707" s="8">
        <v>25.1</v>
      </c>
      <c r="S1707" s="8">
        <v>2</v>
      </c>
      <c r="T1707" s="8">
        <v>3</v>
      </c>
      <c r="U1707" s="8">
        <v>2</v>
      </c>
      <c r="V1707" s="8" t="str">
        <f>IF(Table13[[#This Row],[BMI]]&lt;=18.5,"Underweight",IF(Table13[[#This Row],[BMI]]&lt;=24.9,"Normal",IF(Table13[[#This Row],[BMI]]&lt;=29.9,"Overweight",IF(Table13[[#This Row],[BMI]]&lt;=39,"Obese","Severly Obese"))))</f>
        <v>Underweight</v>
      </c>
      <c r="W1707" s="18">
        <v>13.89</v>
      </c>
    </row>
    <row r="1708" spans="6:23" x14ac:dyDescent="0.3">
      <c r="F1708" s="17">
        <v>58</v>
      </c>
      <c r="G1708" s="8" t="str">
        <f>IF(Table13[[#This Row],[Age]]&lt;25,"18-24",IF(Table13[[#This Row],[Age]]&lt;35,"25-34",IF(Table13[[#This Row],[Age]]&lt;45,"35-44",IF(Table13[[#This Row],[Age]]&lt;55,"45-54","55-64"))))</f>
        <v>55-64</v>
      </c>
      <c r="H1708" s="8" t="s">
        <v>17</v>
      </c>
      <c r="I1708" s="8">
        <v>73.3</v>
      </c>
      <c r="J1708" s="8">
        <v>1.69</v>
      </c>
      <c r="K1708" s="8">
        <v>180</v>
      </c>
      <c r="L1708" s="8">
        <v>156</v>
      </c>
      <c r="M1708" s="8">
        <v>72</v>
      </c>
      <c r="N1708" s="8">
        <v>1.6</v>
      </c>
      <c r="O1708" s="8">
        <v>1350</v>
      </c>
      <c r="P1708" s="8" t="s">
        <v>22</v>
      </c>
      <c r="Q1708" s="8" t="str">
        <f>_xlfn.IFS(AND(Table13[[#This Row],[Gender]]="female",R1708&lt;20),"Athletes",AND(Table13[[#This Row],[Gender]]="female",R1708&lt;24),"Fitnesss",AND(Table13[[#This Row],[Gender]]="female",R1708&lt;31),"Acceptable",AND(Table13[[#This Row],[Gender]]="female",R1708&lt;40),"Obese",AND(Table13[[#This Row],[Gender]]="male",R1708&lt;13),"Athletes",AND(Table13[[#This Row],[Gender]]="male",R1708&lt;17),"Fitnesss",AND(Table13[[#This Row],[Gender]]="male",R1708&lt;24.9),"Acceptable",AND(Table13[[#This Row],[Gender]]="male",R1708&lt;40),"Obese",AND(Table13[[#This Row],[Gender]]="others",R1708&lt;20),"Athletes",AND(Table13[[#This Row],[Gender]]="others",R1708&lt;24),"Fitnesss",AND(Table13[[#This Row],[Gender]]="others",R1708&lt;31),"Acceptable",AND(Table13[[#This Row],[Gender]]="others",R1708&lt;40),"Obese")</f>
        <v>Acceptable</v>
      </c>
      <c r="R1708" s="8">
        <v>25.4</v>
      </c>
      <c r="S1708" s="8">
        <v>3</v>
      </c>
      <c r="T1708" s="8">
        <v>4</v>
      </c>
      <c r="U1708" s="8">
        <v>1</v>
      </c>
      <c r="V1708" s="8" t="str">
        <f>IF(Table13[[#This Row],[BMI]]&lt;=18.5,"Underweight",IF(Table13[[#This Row],[BMI]]&lt;=24.9,"Normal",IF(Table13[[#This Row],[BMI]]&lt;=29.9,"Overweight",IF(Table13[[#This Row],[BMI]]&lt;=39,"Obese","Severly Obese"))))</f>
        <v>Obese</v>
      </c>
      <c r="W1708" s="18">
        <v>38.450000000000003</v>
      </c>
    </row>
    <row r="1709" spans="6:23" x14ac:dyDescent="0.3">
      <c r="F1709" s="17">
        <v>47</v>
      </c>
      <c r="G1709" s="8" t="str">
        <f>IF(Table13[[#This Row],[Age]]&lt;25,"18-24",IF(Table13[[#This Row],[Age]]&lt;35,"25-34",IF(Table13[[#This Row],[Age]]&lt;45,"35-44",IF(Table13[[#This Row],[Age]]&lt;55,"45-54","55-64"))))</f>
        <v>45-54</v>
      </c>
      <c r="H1709" s="8" t="s">
        <v>19</v>
      </c>
      <c r="I1709" s="8">
        <v>45.4</v>
      </c>
      <c r="J1709" s="8">
        <v>1.81</v>
      </c>
      <c r="K1709" s="8">
        <v>189</v>
      </c>
      <c r="L1709" s="8">
        <v>128</v>
      </c>
      <c r="M1709" s="8">
        <v>55</v>
      </c>
      <c r="N1709" s="8">
        <v>1.01</v>
      </c>
      <c r="O1709" s="8">
        <v>662</v>
      </c>
      <c r="P1709" s="8" t="s">
        <v>18</v>
      </c>
      <c r="Q1709" s="8" t="str">
        <f>_xlfn.IFS(AND(Table13[[#This Row],[Gender]]="female",R1709&lt;20),"Athletes",AND(Table13[[#This Row],[Gender]]="female",R1709&lt;24),"Fitnesss",AND(Table13[[#This Row],[Gender]]="female",R1709&lt;31),"Acceptable",AND(Table13[[#This Row],[Gender]]="female",R1709&lt;40),"Obese",AND(Table13[[#This Row],[Gender]]="male",R1709&lt;13),"Athletes",AND(Table13[[#This Row],[Gender]]="male",R1709&lt;17),"Fitnesss",AND(Table13[[#This Row],[Gender]]="male",R1709&lt;24.9),"Acceptable",AND(Table13[[#This Row],[Gender]]="male",R1709&lt;40),"Obese",AND(Table13[[#This Row],[Gender]]="others",R1709&lt;20),"Athletes",AND(Table13[[#This Row],[Gender]]="others",R1709&lt;24),"Fitnesss",AND(Table13[[#This Row],[Gender]]="others",R1709&lt;31),"Acceptable",AND(Table13[[#This Row],[Gender]]="others",R1709&lt;40),"Obese")</f>
        <v>Obese</v>
      </c>
      <c r="R1709" s="8">
        <v>28.6</v>
      </c>
      <c r="S1709" s="8">
        <v>3.6</v>
      </c>
      <c r="T1709" s="8">
        <v>4</v>
      </c>
      <c r="U1709" s="8">
        <v>1</v>
      </c>
      <c r="V1709" s="8" t="str">
        <f>IF(Table13[[#This Row],[BMI]]&lt;=18.5,"Underweight",IF(Table13[[#This Row],[BMI]]&lt;=24.9,"Normal",IF(Table13[[#This Row],[BMI]]&lt;=29.9,"Overweight",IF(Table13[[#This Row],[BMI]]&lt;=39,"Obese","Severly Obese"))))</f>
        <v>Overweight</v>
      </c>
      <c r="W1709" s="18">
        <v>29.15</v>
      </c>
    </row>
    <row r="1710" spans="6:23" x14ac:dyDescent="0.3">
      <c r="F1710" s="17">
        <v>47</v>
      </c>
      <c r="G1710" s="8" t="str">
        <f>IF(Table13[[#This Row],[Age]]&lt;25,"18-24",IF(Table13[[#This Row],[Age]]&lt;35,"25-34",IF(Table13[[#This Row],[Age]]&lt;45,"35-44",IF(Table13[[#This Row],[Age]]&lt;55,"45-54","55-64"))))</f>
        <v>45-54</v>
      </c>
      <c r="H1710" s="8" t="s">
        <v>19</v>
      </c>
      <c r="I1710" s="8">
        <v>50.6</v>
      </c>
      <c r="J1710" s="8">
        <v>1.65</v>
      </c>
      <c r="K1710" s="8">
        <v>192</v>
      </c>
      <c r="L1710" s="8">
        <v>169</v>
      </c>
      <c r="M1710" s="8">
        <v>63</v>
      </c>
      <c r="N1710" s="8">
        <v>1.36</v>
      </c>
      <c r="O1710" s="8">
        <v>594</v>
      </c>
      <c r="P1710" s="8" t="s">
        <v>18</v>
      </c>
      <c r="Q1710" s="8" t="str">
        <f>_xlfn.IFS(AND(Table13[[#This Row],[Gender]]="female",R1710&lt;20),"Athletes",AND(Table13[[#This Row],[Gender]]="female",R1710&lt;24),"Fitnesss",AND(Table13[[#This Row],[Gender]]="female",R1710&lt;31),"Acceptable",AND(Table13[[#This Row],[Gender]]="female",R1710&lt;40),"Obese",AND(Table13[[#This Row],[Gender]]="male",R1710&lt;13),"Athletes",AND(Table13[[#This Row],[Gender]]="male",R1710&lt;17),"Fitnesss",AND(Table13[[#This Row],[Gender]]="male",R1710&lt;24.9),"Acceptable",AND(Table13[[#This Row],[Gender]]="male",R1710&lt;40),"Obese",AND(Table13[[#This Row],[Gender]]="others",R1710&lt;20),"Athletes",AND(Table13[[#This Row],[Gender]]="others",R1710&lt;24),"Fitnesss",AND(Table13[[#This Row],[Gender]]="others",R1710&lt;31),"Acceptable",AND(Table13[[#This Row],[Gender]]="others",R1710&lt;40),"Obese")</f>
        <v>Obese</v>
      </c>
      <c r="R1710" s="8">
        <v>25.5</v>
      </c>
      <c r="S1710" s="8">
        <v>2.2000000000000002</v>
      </c>
      <c r="T1710" s="8">
        <v>5</v>
      </c>
      <c r="U1710" s="8">
        <v>2</v>
      </c>
      <c r="V1710" s="8" t="str">
        <f>IF(Table13[[#This Row],[BMI]]&lt;=18.5,"Underweight",IF(Table13[[#This Row],[BMI]]&lt;=24.9,"Normal",IF(Table13[[#This Row],[BMI]]&lt;=29.9,"Overweight",IF(Table13[[#This Row],[BMI]]&lt;=39,"Obese","Severly Obese"))))</f>
        <v>Overweight</v>
      </c>
      <c r="W1710" s="18">
        <v>28.24</v>
      </c>
    </row>
    <row r="1711" spans="6:23" x14ac:dyDescent="0.3">
      <c r="F1711" s="17">
        <v>56</v>
      </c>
      <c r="G1711" s="8" t="str">
        <f>IF(Table13[[#This Row],[Age]]&lt;25,"18-24",IF(Table13[[#This Row],[Age]]&lt;35,"25-34",IF(Table13[[#This Row],[Age]]&lt;45,"35-44",IF(Table13[[#This Row],[Age]]&lt;55,"45-54","55-64"))))</f>
        <v>55-64</v>
      </c>
      <c r="H1711" s="8" t="s">
        <v>19</v>
      </c>
      <c r="I1711" s="8">
        <v>54</v>
      </c>
      <c r="J1711" s="8">
        <v>1.92</v>
      </c>
      <c r="K1711" s="8">
        <v>190</v>
      </c>
      <c r="L1711" s="8">
        <v>129</v>
      </c>
      <c r="M1711" s="8">
        <v>73</v>
      </c>
      <c r="N1711" s="8">
        <v>0.61</v>
      </c>
      <c r="O1711" s="8">
        <v>985</v>
      </c>
      <c r="P1711" s="8" t="s">
        <v>21</v>
      </c>
      <c r="Q1711" s="8" t="str">
        <f>_xlfn.IFS(AND(Table13[[#This Row],[Gender]]="female",R1711&lt;20),"Athletes",AND(Table13[[#This Row],[Gender]]="female",R1711&lt;24),"Fitnesss",AND(Table13[[#This Row],[Gender]]="female",R1711&lt;31),"Acceptable",AND(Table13[[#This Row],[Gender]]="female",R1711&lt;40),"Obese",AND(Table13[[#This Row],[Gender]]="male",R1711&lt;13),"Athletes",AND(Table13[[#This Row],[Gender]]="male",R1711&lt;17),"Fitnesss",AND(Table13[[#This Row],[Gender]]="male",R1711&lt;24.9),"Acceptable",AND(Table13[[#This Row],[Gender]]="male",R1711&lt;40),"Obese",AND(Table13[[#This Row],[Gender]]="others",R1711&lt;20),"Athletes",AND(Table13[[#This Row],[Gender]]="others",R1711&lt;24),"Fitnesss",AND(Table13[[#This Row],[Gender]]="others",R1711&lt;31),"Acceptable",AND(Table13[[#This Row],[Gender]]="others",R1711&lt;40),"Obese")</f>
        <v>Acceptable</v>
      </c>
      <c r="R1711" s="8">
        <v>21.6</v>
      </c>
      <c r="S1711" s="8">
        <v>2.5</v>
      </c>
      <c r="T1711" s="8">
        <v>3</v>
      </c>
      <c r="U1711" s="8">
        <v>2</v>
      </c>
      <c r="V1711" s="8" t="str">
        <f>IF(Table13[[#This Row],[BMI]]&lt;=18.5,"Underweight",IF(Table13[[#This Row],[BMI]]&lt;=24.9,"Normal",IF(Table13[[#This Row],[BMI]]&lt;=29.9,"Overweight",IF(Table13[[#This Row],[BMI]]&lt;=39,"Obese","Severly Obese"))))</f>
        <v>Underweight</v>
      </c>
      <c r="W1711" s="18">
        <v>12.32</v>
      </c>
    </row>
    <row r="1712" spans="6:23" x14ac:dyDescent="0.3">
      <c r="F1712" s="17">
        <v>34</v>
      </c>
      <c r="G1712" s="8" t="str">
        <f>IF(Table13[[#This Row],[Age]]&lt;25,"18-24",IF(Table13[[#This Row],[Age]]&lt;35,"25-34",IF(Table13[[#This Row],[Age]]&lt;45,"35-44",IF(Table13[[#This Row],[Age]]&lt;55,"45-54","55-64"))))</f>
        <v>25-34</v>
      </c>
      <c r="H1712" s="8" t="s">
        <v>17</v>
      </c>
      <c r="I1712" s="8">
        <v>73.099999999999994</v>
      </c>
      <c r="J1712" s="8">
        <v>1.73</v>
      </c>
      <c r="K1712" s="8">
        <v>166</v>
      </c>
      <c r="L1712" s="8">
        <v>161</v>
      </c>
      <c r="M1712" s="8">
        <v>69</v>
      </c>
      <c r="N1712" s="8">
        <v>1.64</v>
      </c>
      <c r="O1712" s="8">
        <v>765</v>
      </c>
      <c r="P1712" s="8" t="s">
        <v>22</v>
      </c>
      <c r="Q1712" s="8" t="str">
        <f>_xlfn.IFS(AND(Table13[[#This Row],[Gender]]="female",R1712&lt;20),"Athletes",AND(Table13[[#This Row],[Gender]]="female",R1712&lt;24),"Fitnesss",AND(Table13[[#This Row],[Gender]]="female",R1712&lt;31),"Acceptable",AND(Table13[[#This Row],[Gender]]="female",R1712&lt;40),"Obese",AND(Table13[[#This Row],[Gender]]="male",R1712&lt;13),"Athletes",AND(Table13[[#This Row],[Gender]]="male",R1712&lt;17),"Fitnesss",AND(Table13[[#This Row],[Gender]]="male",R1712&lt;24.9),"Acceptable",AND(Table13[[#This Row],[Gender]]="male",R1712&lt;40),"Obese",AND(Table13[[#This Row],[Gender]]="others",R1712&lt;20),"Athletes",AND(Table13[[#This Row],[Gender]]="others",R1712&lt;24),"Fitnesss",AND(Table13[[#This Row],[Gender]]="others",R1712&lt;31),"Acceptable",AND(Table13[[#This Row],[Gender]]="others",R1712&lt;40),"Obese")</f>
        <v>Acceptable</v>
      </c>
      <c r="R1712" s="8">
        <v>27</v>
      </c>
      <c r="S1712" s="8">
        <v>3.3</v>
      </c>
      <c r="T1712" s="8">
        <v>4</v>
      </c>
      <c r="U1712" s="8">
        <v>2</v>
      </c>
      <c r="V1712" s="8" t="str">
        <f>IF(Table13[[#This Row],[BMI]]&lt;=18.5,"Underweight",IF(Table13[[#This Row],[BMI]]&lt;=24.9,"Normal",IF(Table13[[#This Row],[BMI]]&lt;=29.9,"Overweight",IF(Table13[[#This Row],[BMI]]&lt;=39,"Obese","Severly Obese"))))</f>
        <v>Normal</v>
      </c>
      <c r="W1712" s="18">
        <v>21.47</v>
      </c>
    </row>
    <row r="1713" spans="6:23" x14ac:dyDescent="0.3">
      <c r="F1713" s="17">
        <v>36</v>
      </c>
      <c r="G1713" s="8" t="str">
        <f>IF(Table13[[#This Row],[Age]]&lt;25,"18-24",IF(Table13[[#This Row],[Age]]&lt;35,"25-34",IF(Table13[[#This Row],[Age]]&lt;45,"35-44",IF(Table13[[#This Row],[Age]]&lt;55,"45-54","55-64"))))</f>
        <v>35-44</v>
      </c>
      <c r="H1713" s="8" t="s">
        <v>19</v>
      </c>
      <c r="I1713" s="8">
        <v>47.2</v>
      </c>
      <c r="J1713" s="8">
        <v>1.83</v>
      </c>
      <c r="K1713" s="8"/>
      <c r="L1713" s="8">
        <v>146</v>
      </c>
      <c r="M1713" s="8">
        <v>54</v>
      </c>
      <c r="N1713" s="8">
        <v>1.3</v>
      </c>
      <c r="O1713" s="8">
        <v>775</v>
      </c>
      <c r="P1713" s="8" t="s">
        <v>21</v>
      </c>
      <c r="Q1713" s="8" t="str">
        <f>_xlfn.IFS(AND(Table13[[#This Row],[Gender]]="female",R1713&lt;20),"Athletes",AND(Table13[[#This Row],[Gender]]="female",R1713&lt;24),"Fitnesss",AND(Table13[[#This Row],[Gender]]="female",R1713&lt;31),"Acceptable",AND(Table13[[#This Row],[Gender]]="female",R1713&lt;40),"Obese",AND(Table13[[#This Row],[Gender]]="male",R1713&lt;13),"Athletes",AND(Table13[[#This Row],[Gender]]="male",R1713&lt;17),"Fitnesss",AND(Table13[[#This Row],[Gender]]="male",R1713&lt;24.9),"Acceptable",AND(Table13[[#This Row],[Gender]]="male",R1713&lt;40),"Obese",AND(Table13[[#This Row],[Gender]]="others",R1713&lt;20),"Athletes",AND(Table13[[#This Row],[Gender]]="others",R1713&lt;24),"Fitnesss",AND(Table13[[#This Row],[Gender]]="others",R1713&lt;31),"Acceptable",AND(Table13[[#This Row],[Gender]]="others",R1713&lt;40),"Obese")</f>
        <v>Obese</v>
      </c>
      <c r="R1713" s="8">
        <v>29.9</v>
      </c>
      <c r="S1713" s="8">
        <v>3.4</v>
      </c>
      <c r="T1713" s="8">
        <v>4</v>
      </c>
      <c r="U1713" s="8">
        <v>1</v>
      </c>
      <c r="V1713" s="8" t="str">
        <f>IF(Table13[[#This Row],[BMI]]&lt;=18.5,"Underweight",IF(Table13[[#This Row],[BMI]]&lt;=24.9,"Normal",IF(Table13[[#This Row],[BMI]]&lt;=29.9,"Overweight",IF(Table13[[#This Row],[BMI]]&lt;=39,"Obese","Severly Obese"))))</f>
        <v>Underweight</v>
      </c>
      <c r="W1713" s="18">
        <v>13.01</v>
      </c>
    </row>
    <row r="1714" spans="6:23" x14ac:dyDescent="0.3">
      <c r="F1714" s="17">
        <v>21</v>
      </c>
      <c r="G1714" s="8" t="str">
        <f>IF(Table13[[#This Row],[Age]]&lt;25,"18-24",IF(Table13[[#This Row],[Age]]&lt;35,"25-34",IF(Table13[[#This Row],[Age]]&lt;45,"35-44",IF(Table13[[#This Row],[Age]]&lt;55,"45-54","55-64"))))</f>
        <v>18-24</v>
      </c>
      <c r="H1714" s="8" t="s">
        <v>17</v>
      </c>
      <c r="I1714" s="8">
        <v>48.7</v>
      </c>
      <c r="J1714" s="8"/>
      <c r="K1714" s="8">
        <v>198</v>
      </c>
      <c r="L1714" s="8">
        <v>162</v>
      </c>
      <c r="M1714" s="8">
        <v>56</v>
      </c>
      <c r="N1714" s="8">
        <v>1.06</v>
      </c>
      <c r="O1714" s="8">
        <v>1503</v>
      </c>
      <c r="P1714" s="8" t="s">
        <v>21</v>
      </c>
      <c r="Q1714" s="8" t="str">
        <f>_xlfn.IFS(AND(Table13[[#This Row],[Gender]]="female",R1714&lt;20),"Athletes",AND(Table13[[#This Row],[Gender]]="female",R1714&lt;24),"Fitnesss",AND(Table13[[#This Row],[Gender]]="female",R1714&lt;31),"Acceptable",AND(Table13[[#This Row],[Gender]]="female",R1714&lt;40),"Obese",AND(Table13[[#This Row],[Gender]]="male",R1714&lt;13),"Athletes",AND(Table13[[#This Row],[Gender]]="male",R1714&lt;17),"Fitnesss",AND(Table13[[#This Row],[Gender]]="male",R1714&lt;24.9),"Acceptable",AND(Table13[[#This Row],[Gender]]="male",R1714&lt;40),"Obese",AND(Table13[[#This Row],[Gender]]="others",R1714&lt;20),"Athletes",AND(Table13[[#This Row],[Gender]]="others",R1714&lt;24),"Fitnesss",AND(Table13[[#This Row],[Gender]]="others",R1714&lt;31),"Acceptable",AND(Table13[[#This Row],[Gender]]="others",R1714&lt;40),"Obese")</f>
        <v>Athletes</v>
      </c>
      <c r="R1714" s="8">
        <v>10.1</v>
      </c>
      <c r="S1714" s="8">
        <v>3.4</v>
      </c>
      <c r="T1714" s="8">
        <v>2</v>
      </c>
      <c r="U1714" s="8">
        <v>2</v>
      </c>
      <c r="V1714" s="8" t="str">
        <f>IF(Table13[[#This Row],[BMI]]&lt;=18.5,"Underweight",IF(Table13[[#This Row],[BMI]]&lt;=24.9,"Normal",IF(Table13[[#This Row],[BMI]]&lt;=29.9,"Overweight",IF(Table13[[#This Row],[BMI]]&lt;=39,"Obese","Severly Obese"))))</f>
        <v>Normal</v>
      </c>
      <c r="W1714" s="18">
        <v>23.7</v>
      </c>
    </row>
    <row r="1715" spans="6:23" x14ac:dyDescent="0.3">
      <c r="F1715" s="17">
        <v>29</v>
      </c>
      <c r="G1715" s="8" t="str">
        <f>IF(Table13[[#This Row],[Age]]&lt;25,"18-24",IF(Table13[[#This Row],[Age]]&lt;35,"25-34",IF(Table13[[#This Row],[Age]]&lt;45,"35-44",IF(Table13[[#This Row],[Age]]&lt;55,"45-54","55-64"))))</f>
        <v>25-34</v>
      </c>
      <c r="H1715" s="8" t="s">
        <v>17</v>
      </c>
      <c r="I1715" s="8">
        <v>66.099999999999994</v>
      </c>
      <c r="J1715" s="8">
        <v>1.63</v>
      </c>
      <c r="K1715" s="8">
        <v>181</v>
      </c>
      <c r="L1715" s="8">
        <v>169</v>
      </c>
      <c r="M1715" s="8">
        <v>71</v>
      </c>
      <c r="N1715" s="8">
        <v>1.48</v>
      </c>
      <c r="O1715" s="8">
        <v>666</v>
      </c>
      <c r="P1715" s="8" t="s">
        <v>21</v>
      </c>
      <c r="Q1715" s="8" t="str">
        <f>_xlfn.IFS(AND(Table13[[#This Row],[Gender]]="female",R1715&lt;20),"Athletes",AND(Table13[[#This Row],[Gender]]="female",R1715&lt;24),"Fitnesss",AND(Table13[[#This Row],[Gender]]="female",R1715&lt;31),"Acceptable",AND(Table13[[#This Row],[Gender]]="female",R1715&lt;40),"Obese",AND(Table13[[#This Row],[Gender]]="male",R1715&lt;13),"Athletes",AND(Table13[[#This Row],[Gender]]="male",R1715&lt;17),"Fitnesss",AND(Table13[[#This Row],[Gender]]="male",R1715&lt;24.9),"Acceptable",AND(Table13[[#This Row],[Gender]]="male",R1715&lt;40),"Obese",AND(Table13[[#This Row],[Gender]]="others",R1715&lt;20),"Athletes",AND(Table13[[#This Row],[Gender]]="others",R1715&lt;24),"Fitnesss",AND(Table13[[#This Row],[Gender]]="others",R1715&lt;31),"Acceptable",AND(Table13[[#This Row],[Gender]]="others",R1715&lt;40),"Obese")</f>
        <v>Acceptable</v>
      </c>
      <c r="R1715" s="8">
        <v>30.6</v>
      </c>
      <c r="S1715" s="8">
        <v>1.6</v>
      </c>
      <c r="T1715" s="8">
        <v>5</v>
      </c>
      <c r="U1715" s="8">
        <v>1</v>
      </c>
      <c r="V1715" s="8" t="str">
        <f>IF(Table13[[#This Row],[BMI]]&lt;=18.5,"Underweight",IF(Table13[[#This Row],[BMI]]&lt;=24.9,"Normal",IF(Table13[[#This Row],[BMI]]&lt;=29.9,"Overweight",IF(Table13[[#This Row],[BMI]]&lt;=39,"Obese","Severly Obese"))))</f>
        <v>Underweight</v>
      </c>
      <c r="W1715" s="18">
        <v>17.149999999999999</v>
      </c>
    </row>
    <row r="1716" spans="6:23" x14ac:dyDescent="0.3">
      <c r="F1716" s="17">
        <v>18</v>
      </c>
      <c r="G1716" s="8" t="str">
        <f>IF(Table13[[#This Row],[Age]]&lt;25,"18-24",IF(Table13[[#This Row],[Age]]&lt;35,"25-34",IF(Table13[[#This Row],[Age]]&lt;45,"35-44",IF(Table13[[#This Row],[Age]]&lt;55,"45-54","55-64"))))</f>
        <v>18-24</v>
      </c>
      <c r="H1716" s="8" t="s">
        <v>19</v>
      </c>
      <c r="I1716" s="8">
        <v>59</v>
      </c>
      <c r="J1716" s="8">
        <v>1.78</v>
      </c>
      <c r="K1716" s="8">
        <v>173</v>
      </c>
      <c r="L1716" s="8">
        <v>169</v>
      </c>
      <c r="M1716" s="8">
        <v>51</v>
      </c>
      <c r="N1716" s="8">
        <v>1.07</v>
      </c>
      <c r="O1716" s="8">
        <v>904</v>
      </c>
      <c r="P1716" s="8" t="s">
        <v>18</v>
      </c>
      <c r="Q1716" s="8" t="str">
        <f>_xlfn.IFS(AND(Table13[[#This Row],[Gender]]="female",R1716&lt;20),"Athletes",AND(Table13[[#This Row],[Gender]]="female",R1716&lt;24),"Fitnesss",AND(Table13[[#This Row],[Gender]]="female",R1716&lt;31),"Acceptable",AND(Table13[[#This Row],[Gender]]="female",R1716&lt;40),"Obese",AND(Table13[[#This Row],[Gender]]="male",R1716&lt;13),"Athletes",AND(Table13[[#This Row],[Gender]]="male",R1716&lt;17),"Fitnesss",AND(Table13[[#This Row],[Gender]]="male",R1716&lt;24.9),"Acceptable",AND(Table13[[#This Row],[Gender]]="male",R1716&lt;40),"Obese",AND(Table13[[#This Row],[Gender]]="others",R1716&lt;20),"Athletes",AND(Table13[[#This Row],[Gender]]="others",R1716&lt;24),"Fitnesss",AND(Table13[[#This Row],[Gender]]="others",R1716&lt;31),"Acceptable",AND(Table13[[#This Row],[Gender]]="others",R1716&lt;40),"Obese")</f>
        <v>Acceptable</v>
      </c>
      <c r="R1716" s="8">
        <v>18.899999999999999</v>
      </c>
      <c r="S1716" s="8">
        <v>3.2</v>
      </c>
      <c r="T1716" s="8">
        <v>2</v>
      </c>
      <c r="U1716" s="8">
        <v>3</v>
      </c>
      <c r="V1716" s="8" t="str">
        <f>IF(Table13[[#This Row],[BMI]]&lt;=18.5,"Underweight",IF(Table13[[#This Row],[BMI]]&lt;=24.9,"Normal",IF(Table13[[#This Row],[BMI]]&lt;=29.9,"Overweight",IF(Table13[[#This Row],[BMI]]&lt;=39,"Obese","Severly Obese"))))</f>
        <v>Underweight</v>
      </c>
      <c r="W1716" s="18">
        <v>12.32</v>
      </c>
    </row>
    <row r="1717" spans="6:23" x14ac:dyDescent="0.3">
      <c r="F1717" s="17">
        <v>33</v>
      </c>
      <c r="G1717" s="8" t="str">
        <f>IF(Table13[[#This Row],[Age]]&lt;25,"18-24",IF(Table13[[#This Row],[Age]]&lt;35,"25-34",IF(Table13[[#This Row],[Age]]&lt;45,"35-44",IF(Table13[[#This Row],[Age]]&lt;55,"45-54","55-64"))))</f>
        <v>25-34</v>
      </c>
      <c r="H1717" s="8" t="s">
        <v>17</v>
      </c>
      <c r="I1717" s="8">
        <v>94.2</v>
      </c>
      <c r="J1717" s="8">
        <v>1.86</v>
      </c>
      <c r="K1717" s="8">
        <v>172</v>
      </c>
      <c r="L1717" s="8">
        <v>148</v>
      </c>
      <c r="M1717" s="8">
        <v>61</v>
      </c>
      <c r="N1717" s="8">
        <v>1.34</v>
      </c>
      <c r="O1717" s="8">
        <v>685</v>
      </c>
      <c r="P1717" s="8" t="s">
        <v>20</v>
      </c>
      <c r="Q1717" s="8" t="str">
        <f>_xlfn.IFS(AND(Table13[[#This Row],[Gender]]="female",R1717&lt;20),"Athletes",AND(Table13[[#This Row],[Gender]]="female",R1717&lt;24),"Fitnesss",AND(Table13[[#This Row],[Gender]]="female",R1717&lt;31),"Acceptable",AND(Table13[[#This Row],[Gender]]="female",R1717&lt;40),"Obese",AND(Table13[[#This Row],[Gender]]="male",R1717&lt;13),"Athletes",AND(Table13[[#This Row],[Gender]]="male",R1717&lt;17),"Fitnesss",AND(Table13[[#This Row],[Gender]]="male",R1717&lt;24.9),"Acceptable",AND(Table13[[#This Row],[Gender]]="male",R1717&lt;40),"Obese",AND(Table13[[#This Row],[Gender]]="others",R1717&lt;20),"Athletes",AND(Table13[[#This Row],[Gender]]="others",R1717&lt;24),"Fitnesss",AND(Table13[[#This Row],[Gender]]="others",R1717&lt;31),"Acceptable",AND(Table13[[#This Row],[Gender]]="others",R1717&lt;40),"Obese")</f>
        <v>Acceptable</v>
      </c>
      <c r="R1717" s="8">
        <v>28.9</v>
      </c>
      <c r="S1717" s="8">
        <v>1.8</v>
      </c>
      <c r="T1717" s="8">
        <v>3</v>
      </c>
      <c r="U1717" s="8">
        <v>1</v>
      </c>
      <c r="V1717" s="8" t="str">
        <f>IF(Table13[[#This Row],[BMI]]&lt;=18.5,"Underweight",IF(Table13[[#This Row],[BMI]]&lt;=24.9,"Normal",IF(Table13[[#This Row],[BMI]]&lt;=29.9,"Overweight",IF(Table13[[#This Row],[BMI]]&lt;=39,"Obese","Severly Obese"))))</f>
        <v>Normal</v>
      </c>
      <c r="W1717" s="18">
        <v>22.89</v>
      </c>
    </row>
    <row r="1718" spans="6:23" x14ac:dyDescent="0.3">
      <c r="F1718" s="17">
        <v>38</v>
      </c>
      <c r="G1718" s="8" t="str">
        <f>IF(Table13[[#This Row],[Age]]&lt;25,"18-24",IF(Table13[[#This Row],[Age]]&lt;35,"25-34",IF(Table13[[#This Row],[Age]]&lt;45,"35-44",IF(Table13[[#This Row],[Age]]&lt;55,"45-54","55-64"))))</f>
        <v>35-44</v>
      </c>
      <c r="H1718" s="8" t="s">
        <v>19</v>
      </c>
      <c r="I1718" s="8">
        <v>40</v>
      </c>
      <c r="J1718" s="8">
        <v>1.86</v>
      </c>
      <c r="K1718" s="8">
        <v>187</v>
      </c>
      <c r="L1718" s="8">
        <v>126</v>
      </c>
      <c r="M1718" s="8">
        <v>71</v>
      </c>
      <c r="N1718" s="8">
        <v>1.6</v>
      </c>
      <c r="O1718" s="8">
        <v>1059</v>
      </c>
      <c r="P1718" s="8" t="s">
        <v>20</v>
      </c>
      <c r="Q1718" s="8" t="str">
        <f>_xlfn.IFS(AND(Table13[[#This Row],[Gender]]="female",R1718&lt;20),"Athletes",AND(Table13[[#This Row],[Gender]]="female",R1718&lt;24),"Fitnesss",AND(Table13[[#This Row],[Gender]]="female",R1718&lt;31),"Acceptable",AND(Table13[[#This Row],[Gender]]="female",R1718&lt;40),"Obese",AND(Table13[[#This Row],[Gender]]="male",R1718&lt;13),"Athletes",AND(Table13[[#This Row],[Gender]]="male",R1718&lt;17),"Fitnesss",AND(Table13[[#This Row],[Gender]]="male",R1718&lt;24.9),"Acceptable",AND(Table13[[#This Row],[Gender]]="male",R1718&lt;40),"Obese",AND(Table13[[#This Row],[Gender]]="others",R1718&lt;20),"Athletes",AND(Table13[[#This Row],[Gender]]="others",R1718&lt;24),"Fitnesss",AND(Table13[[#This Row],[Gender]]="others",R1718&lt;31),"Acceptable",AND(Table13[[#This Row],[Gender]]="others",R1718&lt;40),"Obese")</f>
        <v>Fitnesss</v>
      </c>
      <c r="R1718" s="8">
        <v>14.7</v>
      </c>
      <c r="S1718" s="8">
        <v>3</v>
      </c>
      <c r="T1718" s="8">
        <v>2</v>
      </c>
      <c r="U1718" s="8">
        <v>2</v>
      </c>
      <c r="V1718" s="8" t="str">
        <f>IF(Table13[[#This Row],[BMI]]&lt;=18.5,"Underweight",IF(Table13[[#This Row],[BMI]]&lt;=24.9,"Normal",IF(Table13[[#This Row],[BMI]]&lt;=29.9,"Overweight",IF(Table13[[#This Row],[BMI]]&lt;=39,"Obese","Severly Obese"))))</f>
        <v>Underweight</v>
      </c>
      <c r="W1718" s="18">
        <v>12.32</v>
      </c>
    </row>
    <row r="1719" spans="6:23" x14ac:dyDescent="0.3">
      <c r="F1719" s="17">
        <v>18</v>
      </c>
      <c r="G1719" s="8" t="str">
        <f>IF(Table13[[#This Row],[Age]]&lt;25,"18-24",IF(Table13[[#This Row],[Age]]&lt;35,"25-34",IF(Table13[[#This Row],[Age]]&lt;45,"35-44",IF(Table13[[#This Row],[Age]]&lt;55,"45-54","55-64"))))</f>
        <v>18-24</v>
      </c>
      <c r="H1719" s="8" t="s">
        <v>17</v>
      </c>
      <c r="I1719" s="8">
        <v>73.599999999999994</v>
      </c>
      <c r="J1719" s="8">
        <v>1.53</v>
      </c>
      <c r="K1719" s="8">
        <v>186</v>
      </c>
      <c r="L1719" s="8">
        <v>128</v>
      </c>
      <c r="M1719" s="8">
        <v>50</v>
      </c>
      <c r="N1719" s="8">
        <v>1.46</v>
      </c>
      <c r="O1719" s="8">
        <v>1222</v>
      </c>
      <c r="P1719" s="8" t="s">
        <v>20</v>
      </c>
      <c r="Q1719" s="8" t="str">
        <f>_xlfn.IFS(AND(Table13[[#This Row],[Gender]]="female",R1719&lt;20),"Athletes",AND(Table13[[#This Row],[Gender]]="female",R1719&lt;24),"Fitnesss",AND(Table13[[#This Row],[Gender]]="female",R1719&lt;31),"Acceptable",AND(Table13[[#This Row],[Gender]]="female",R1719&lt;40),"Obese",AND(Table13[[#This Row],[Gender]]="male",R1719&lt;13),"Athletes",AND(Table13[[#This Row],[Gender]]="male",R1719&lt;17),"Fitnesss",AND(Table13[[#This Row],[Gender]]="male",R1719&lt;24.9),"Acceptable",AND(Table13[[#This Row],[Gender]]="male",R1719&lt;40),"Obese",AND(Table13[[#This Row],[Gender]]="others",R1719&lt;20),"Athletes",AND(Table13[[#This Row],[Gender]]="others",R1719&lt;24),"Fitnesss",AND(Table13[[#This Row],[Gender]]="others",R1719&lt;31),"Acceptable",AND(Table13[[#This Row],[Gender]]="others",R1719&lt;40),"Obese")</f>
        <v>Acceptable</v>
      </c>
      <c r="R1719" s="8">
        <v>25.2</v>
      </c>
      <c r="S1719" s="8">
        <v>2.2999999999999998</v>
      </c>
      <c r="T1719" s="8">
        <v>3</v>
      </c>
      <c r="U1719" s="8">
        <v>1</v>
      </c>
      <c r="V1719" s="8" t="str">
        <f>IF(Table13[[#This Row],[BMI]]&lt;=18.5,"Underweight",IF(Table13[[#This Row],[BMI]]&lt;=24.9,"Normal",IF(Table13[[#This Row],[BMI]]&lt;=29.9,"Overweight",IF(Table13[[#This Row],[BMI]]&lt;=39,"Obese","Severly Obese"))))</f>
        <v>Underweight</v>
      </c>
      <c r="W1719" s="18">
        <v>14.92</v>
      </c>
    </row>
    <row r="1720" spans="6:23" x14ac:dyDescent="0.3">
      <c r="F1720" s="17">
        <v>50</v>
      </c>
      <c r="G1720" s="8" t="str">
        <f>IF(Table13[[#This Row],[Age]]&lt;25,"18-24",IF(Table13[[#This Row],[Age]]&lt;35,"25-34",IF(Table13[[#This Row],[Age]]&lt;45,"35-44",IF(Table13[[#This Row],[Age]]&lt;55,"45-54","55-64"))))</f>
        <v>45-54</v>
      </c>
      <c r="H1720" s="8" t="s">
        <v>19</v>
      </c>
      <c r="I1720" s="8">
        <v>69.099999999999994</v>
      </c>
      <c r="J1720" s="8">
        <v>1.88</v>
      </c>
      <c r="K1720" s="8"/>
      <c r="L1720" s="8">
        <v>131</v>
      </c>
      <c r="M1720" s="8">
        <v>55</v>
      </c>
      <c r="N1720" s="8">
        <v>0.99</v>
      </c>
      <c r="O1720" s="8">
        <v>777</v>
      </c>
      <c r="P1720" s="8" t="s">
        <v>22</v>
      </c>
      <c r="Q1720" s="8" t="str">
        <f>_xlfn.IFS(AND(Table13[[#This Row],[Gender]]="female",R1720&lt;20),"Athletes",AND(Table13[[#This Row],[Gender]]="female",R1720&lt;24),"Fitnesss",AND(Table13[[#This Row],[Gender]]="female",R1720&lt;31),"Acceptable",AND(Table13[[#This Row],[Gender]]="female",R1720&lt;40),"Obese",AND(Table13[[#This Row],[Gender]]="male",R1720&lt;13),"Athletes",AND(Table13[[#This Row],[Gender]]="male",R1720&lt;17),"Fitnesss",AND(Table13[[#This Row],[Gender]]="male",R1720&lt;24.9),"Acceptable",AND(Table13[[#This Row],[Gender]]="male",R1720&lt;40),"Obese",AND(Table13[[#This Row],[Gender]]="others",R1720&lt;20),"Athletes",AND(Table13[[#This Row],[Gender]]="others",R1720&lt;24),"Fitnesss",AND(Table13[[#This Row],[Gender]]="others",R1720&lt;31),"Acceptable",AND(Table13[[#This Row],[Gender]]="others",R1720&lt;40),"Obese")</f>
        <v>Acceptable</v>
      </c>
      <c r="R1720" s="8">
        <v>19.899999999999999</v>
      </c>
      <c r="S1720" s="8">
        <v>3.7</v>
      </c>
      <c r="T1720" s="8">
        <v>3</v>
      </c>
      <c r="U1720" s="8">
        <v>1</v>
      </c>
      <c r="V1720" s="8" t="str">
        <f>IF(Table13[[#This Row],[BMI]]&lt;=18.5,"Underweight",IF(Table13[[#This Row],[BMI]]&lt;=24.9,"Normal",IF(Table13[[#This Row],[BMI]]&lt;=29.9,"Overweight",IF(Table13[[#This Row],[BMI]]&lt;=39,"Obese","Severly Obese"))))</f>
        <v>Underweight</v>
      </c>
      <c r="W1720" s="18">
        <v>17.62</v>
      </c>
    </row>
    <row r="1721" spans="6:23" x14ac:dyDescent="0.3">
      <c r="F1721" s="17">
        <v>31</v>
      </c>
      <c r="G1721" s="8" t="str">
        <f>IF(Table13[[#This Row],[Age]]&lt;25,"18-24",IF(Table13[[#This Row],[Age]]&lt;35,"25-34",IF(Table13[[#This Row],[Age]]&lt;45,"35-44",IF(Table13[[#This Row],[Age]]&lt;55,"45-54","55-64"))))</f>
        <v>25-34</v>
      </c>
      <c r="H1721" s="8" t="s">
        <v>17</v>
      </c>
      <c r="I1721" s="8">
        <v>60.2</v>
      </c>
      <c r="J1721" s="8">
        <v>1.75</v>
      </c>
      <c r="K1721" s="8">
        <v>166</v>
      </c>
      <c r="L1721" s="8">
        <v>155</v>
      </c>
      <c r="M1721" s="8">
        <v>57</v>
      </c>
      <c r="N1721" s="8">
        <v>0.92</v>
      </c>
      <c r="O1721" s="8">
        <v>819</v>
      </c>
      <c r="P1721" s="8" t="s">
        <v>20</v>
      </c>
      <c r="Q1721" s="8" t="str">
        <f>_xlfn.IFS(AND(Table13[[#This Row],[Gender]]="female",R1721&lt;20),"Athletes",AND(Table13[[#This Row],[Gender]]="female",R1721&lt;24),"Fitnesss",AND(Table13[[#This Row],[Gender]]="female",R1721&lt;31),"Acceptable",AND(Table13[[#This Row],[Gender]]="female",R1721&lt;40),"Obese",AND(Table13[[#This Row],[Gender]]="male",R1721&lt;13),"Athletes",AND(Table13[[#This Row],[Gender]]="male",R1721&lt;17),"Fitnesss",AND(Table13[[#This Row],[Gender]]="male",R1721&lt;24.9),"Acceptable",AND(Table13[[#This Row],[Gender]]="male",R1721&lt;40),"Obese",AND(Table13[[#This Row],[Gender]]="others",R1721&lt;20),"Athletes",AND(Table13[[#This Row],[Gender]]="others",R1721&lt;24),"Fitnesss",AND(Table13[[#This Row],[Gender]]="others",R1721&lt;31),"Acceptable",AND(Table13[[#This Row],[Gender]]="others",R1721&lt;40),"Obese")</f>
        <v>Athletes</v>
      </c>
      <c r="R1721" s="8">
        <v>10</v>
      </c>
      <c r="S1721" s="8">
        <v>3.2</v>
      </c>
      <c r="T1721" s="8">
        <v>5</v>
      </c>
      <c r="U1721" s="8">
        <v>1</v>
      </c>
      <c r="V1721" s="8" t="str">
        <f>IF(Table13[[#This Row],[BMI]]&lt;=18.5,"Underweight",IF(Table13[[#This Row],[BMI]]&lt;=24.9,"Normal",IF(Table13[[#This Row],[BMI]]&lt;=29.9,"Overweight",IF(Table13[[#This Row],[BMI]]&lt;=39,"Obese","Severly Obese"))))</f>
        <v>Underweight</v>
      </c>
      <c r="W1721" s="18">
        <v>12.32</v>
      </c>
    </row>
    <row r="1722" spans="6:23" x14ac:dyDescent="0.3">
      <c r="F1722" s="17">
        <v>40</v>
      </c>
      <c r="G1722" s="8" t="str">
        <f>IF(Table13[[#This Row],[Age]]&lt;25,"18-24",IF(Table13[[#This Row],[Age]]&lt;35,"25-34",IF(Table13[[#This Row],[Age]]&lt;45,"35-44",IF(Table13[[#This Row],[Age]]&lt;55,"45-54","55-64"))))</f>
        <v>35-44</v>
      </c>
      <c r="H1722" s="8" t="s">
        <v>19</v>
      </c>
      <c r="I1722" s="8">
        <v>73.8</v>
      </c>
      <c r="J1722" s="8">
        <v>1.85</v>
      </c>
      <c r="K1722" s="8">
        <v>185</v>
      </c>
      <c r="L1722" s="8">
        <v>165</v>
      </c>
      <c r="M1722" s="8">
        <v>59</v>
      </c>
      <c r="N1722" s="8">
        <v>1.99</v>
      </c>
      <c r="O1722" s="8">
        <v>1485</v>
      </c>
      <c r="P1722" s="8" t="s">
        <v>23</v>
      </c>
      <c r="Q1722" s="8" t="str">
        <f>_xlfn.IFS(AND(Table13[[#This Row],[Gender]]="female",R1722&lt;20),"Athletes",AND(Table13[[#This Row],[Gender]]="female",R1722&lt;24),"Fitnesss",AND(Table13[[#This Row],[Gender]]="female",R1722&lt;31),"Acceptable",AND(Table13[[#This Row],[Gender]]="female",R1722&lt;40),"Obese",AND(Table13[[#This Row],[Gender]]="male",R1722&lt;13),"Athletes",AND(Table13[[#This Row],[Gender]]="male",R1722&lt;17),"Fitnesss",AND(Table13[[#This Row],[Gender]]="male",R1722&lt;24.9),"Acceptable",AND(Table13[[#This Row],[Gender]]="male",R1722&lt;40),"Obese",AND(Table13[[#This Row],[Gender]]="others",R1722&lt;20),"Athletes",AND(Table13[[#This Row],[Gender]]="others",R1722&lt;24),"Fitnesss",AND(Table13[[#This Row],[Gender]]="others",R1722&lt;31),"Acceptable",AND(Table13[[#This Row],[Gender]]="others",R1722&lt;40),"Obese")</f>
        <v>Obese</v>
      </c>
      <c r="R1722" s="8">
        <v>27.9</v>
      </c>
      <c r="S1722" s="8">
        <v>2</v>
      </c>
      <c r="T1722" s="8">
        <v>4</v>
      </c>
      <c r="U1722" s="8">
        <v>1</v>
      </c>
      <c r="V1722" s="8" t="str">
        <f>IF(Table13[[#This Row],[BMI]]&lt;=18.5,"Underweight",IF(Table13[[#This Row],[BMI]]&lt;=24.9,"Normal",IF(Table13[[#This Row],[BMI]]&lt;=29.9,"Overweight",IF(Table13[[#This Row],[BMI]]&lt;=39,"Obese","Severly Obese"))))</f>
        <v>Normal</v>
      </c>
      <c r="W1722" s="18">
        <v>22.4</v>
      </c>
    </row>
    <row r="1723" spans="6:23" x14ac:dyDescent="0.3">
      <c r="F1723" s="17">
        <v>18</v>
      </c>
      <c r="G1723" s="8" t="str">
        <f>IF(Table13[[#This Row],[Age]]&lt;25,"18-24",IF(Table13[[#This Row],[Age]]&lt;35,"25-34",IF(Table13[[#This Row],[Age]]&lt;45,"35-44",IF(Table13[[#This Row],[Age]]&lt;55,"45-54","55-64"))))</f>
        <v>18-24</v>
      </c>
      <c r="H1723" s="8" t="s">
        <v>19</v>
      </c>
      <c r="I1723" s="8">
        <v>72.8</v>
      </c>
      <c r="J1723" s="8">
        <v>1.84</v>
      </c>
      <c r="K1723" s="8">
        <v>174</v>
      </c>
      <c r="L1723" s="8">
        <v>152</v>
      </c>
      <c r="M1723" s="8">
        <v>62</v>
      </c>
      <c r="N1723" s="8">
        <v>1.32</v>
      </c>
      <c r="O1723" s="8">
        <v>730</v>
      </c>
      <c r="P1723" s="8" t="s">
        <v>20</v>
      </c>
      <c r="Q1723" s="8" t="str">
        <f>_xlfn.IFS(AND(Table13[[#This Row],[Gender]]="female",R1723&lt;20),"Athletes",AND(Table13[[#This Row],[Gender]]="female",R1723&lt;24),"Fitnesss",AND(Table13[[#This Row],[Gender]]="female",R1723&lt;31),"Acceptable",AND(Table13[[#This Row],[Gender]]="female",R1723&lt;40),"Obese",AND(Table13[[#This Row],[Gender]]="male",R1723&lt;13),"Athletes",AND(Table13[[#This Row],[Gender]]="male",R1723&lt;17),"Fitnesss",AND(Table13[[#This Row],[Gender]]="male",R1723&lt;24.9),"Acceptable",AND(Table13[[#This Row],[Gender]]="male",R1723&lt;40),"Obese",AND(Table13[[#This Row],[Gender]]="others",R1723&lt;20),"Athletes",AND(Table13[[#This Row],[Gender]]="others",R1723&lt;24),"Fitnesss",AND(Table13[[#This Row],[Gender]]="others",R1723&lt;31),"Acceptable",AND(Table13[[#This Row],[Gender]]="others",R1723&lt;40),"Obese")</f>
        <v>Acceptable</v>
      </c>
      <c r="R1723" s="8">
        <v>23.5</v>
      </c>
      <c r="S1723" s="8">
        <v>2.1</v>
      </c>
      <c r="T1723" s="8">
        <v>2</v>
      </c>
      <c r="U1723" s="8">
        <v>3</v>
      </c>
      <c r="V1723" s="8" t="str">
        <f>IF(Table13[[#This Row],[BMI]]&lt;=18.5,"Underweight",IF(Table13[[#This Row],[BMI]]&lt;=24.9,"Normal",IF(Table13[[#This Row],[BMI]]&lt;=29.9,"Overweight",IF(Table13[[#This Row],[BMI]]&lt;=39,"Obese","Severly Obese"))))</f>
        <v>Underweight</v>
      </c>
      <c r="W1723" s="18">
        <v>12.32</v>
      </c>
    </row>
    <row r="1724" spans="6:23" x14ac:dyDescent="0.3">
      <c r="F1724" s="17">
        <v>33</v>
      </c>
      <c r="G1724" s="8" t="str">
        <f>IF(Table13[[#This Row],[Age]]&lt;25,"18-24",IF(Table13[[#This Row],[Age]]&lt;35,"25-34",IF(Table13[[#This Row],[Age]]&lt;45,"35-44",IF(Table13[[#This Row],[Age]]&lt;55,"45-54","55-64"))))</f>
        <v>25-34</v>
      </c>
      <c r="H1724" s="8" t="s">
        <v>17</v>
      </c>
      <c r="I1724" s="8">
        <v>40</v>
      </c>
      <c r="J1724" s="8">
        <v>1.63</v>
      </c>
      <c r="K1724" s="8">
        <v>165</v>
      </c>
      <c r="L1724" s="8">
        <v>159</v>
      </c>
      <c r="M1724" s="8">
        <v>74</v>
      </c>
      <c r="N1724" s="8">
        <v>2</v>
      </c>
      <c r="O1724" s="8">
        <v>935</v>
      </c>
      <c r="P1724" s="8" t="s">
        <v>22</v>
      </c>
      <c r="Q1724" s="8" t="str">
        <f>_xlfn.IFS(AND(Table13[[#This Row],[Gender]]="female",R1724&lt;20),"Athletes",AND(Table13[[#This Row],[Gender]]="female",R1724&lt;24),"Fitnesss",AND(Table13[[#This Row],[Gender]]="female",R1724&lt;31),"Acceptable",AND(Table13[[#This Row],[Gender]]="female",R1724&lt;40),"Obese",AND(Table13[[#This Row],[Gender]]="male",R1724&lt;13),"Athletes",AND(Table13[[#This Row],[Gender]]="male",R1724&lt;17),"Fitnesss",AND(Table13[[#This Row],[Gender]]="male",R1724&lt;24.9),"Acceptable",AND(Table13[[#This Row],[Gender]]="male",R1724&lt;40),"Obese",AND(Table13[[#This Row],[Gender]]="others",R1724&lt;20),"Athletes",AND(Table13[[#This Row],[Gender]]="others",R1724&lt;24),"Fitnesss",AND(Table13[[#This Row],[Gender]]="others",R1724&lt;31),"Acceptable",AND(Table13[[#This Row],[Gender]]="others",R1724&lt;40),"Obese")</f>
        <v>Acceptable</v>
      </c>
      <c r="R1724" s="8">
        <v>28.2</v>
      </c>
      <c r="S1724" s="8">
        <v>1.6</v>
      </c>
      <c r="T1724" s="8">
        <v>2</v>
      </c>
      <c r="U1724" s="8">
        <v>3</v>
      </c>
      <c r="V1724" s="8" t="str">
        <f>IF(Table13[[#This Row],[BMI]]&lt;=18.5,"Underweight",IF(Table13[[#This Row],[BMI]]&lt;=24.9,"Normal",IF(Table13[[#This Row],[BMI]]&lt;=29.9,"Overweight",IF(Table13[[#This Row],[BMI]]&lt;=39,"Obese","Severly Obese"))))</f>
        <v>Underweight</v>
      </c>
      <c r="W1724" s="18">
        <v>12.98</v>
      </c>
    </row>
    <row r="1725" spans="6:23" x14ac:dyDescent="0.3">
      <c r="F1725" s="17">
        <v>33</v>
      </c>
      <c r="G1725" s="8" t="str">
        <f>IF(Table13[[#This Row],[Age]]&lt;25,"18-24",IF(Table13[[#This Row],[Age]]&lt;35,"25-34",IF(Table13[[#This Row],[Age]]&lt;45,"35-44",IF(Table13[[#This Row],[Age]]&lt;55,"45-54","55-64"))))</f>
        <v>25-34</v>
      </c>
      <c r="H1725" s="8" t="s">
        <v>17</v>
      </c>
      <c r="I1725" s="8">
        <v>99.6</v>
      </c>
      <c r="J1725" s="8">
        <v>1.72</v>
      </c>
      <c r="K1725" s="8">
        <v>164</v>
      </c>
      <c r="L1725" s="8">
        <v>169</v>
      </c>
      <c r="M1725" s="8">
        <v>70</v>
      </c>
      <c r="N1725" s="8">
        <v>1.41</v>
      </c>
      <c r="O1725" s="8">
        <v>962</v>
      </c>
      <c r="P1725" s="8" t="s">
        <v>21</v>
      </c>
      <c r="Q1725" s="8" t="str">
        <f>_xlfn.IFS(AND(Table13[[#This Row],[Gender]]="female",R1725&lt;20),"Athletes",AND(Table13[[#This Row],[Gender]]="female",R1725&lt;24),"Fitnesss",AND(Table13[[#This Row],[Gender]]="female",R1725&lt;31),"Acceptable",AND(Table13[[#This Row],[Gender]]="female",R1725&lt;40),"Obese",AND(Table13[[#This Row],[Gender]]="male",R1725&lt;13),"Athletes",AND(Table13[[#This Row],[Gender]]="male",R1725&lt;17),"Fitnesss",AND(Table13[[#This Row],[Gender]]="male",R1725&lt;24.9),"Acceptable",AND(Table13[[#This Row],[Gender]]="male",R1725&lt;40),"Obese",AND(Table13[[#This Row],[Gender]]="others",R1725&lt;20),"Athletes",AND(Table13[[#This Row],[Gender]]="others",R1725&lt;24),"Fitnesss",AND(Table13[[#This Row],[Gender]]="others",R1725&lt;31),"Acceptable",AND(Table13[[#This Row],[Gender]]="others",R1725&lt;40),"Obese")</f>
        <v>Fitnesss</v>
      </c>
      <c r="R1725" s="8">
        <v>23.6</v>
      </c>
      <c r="S1725" s="8">
        <v>3.7</v>
      </c>
      <c r="T1725" s="8">
        <v>5</v>
      </c>
      <c r="U1725" s="8">
        <v>2</v>
      </c>
      <c r="V1725" s="8" t="str">
        <f>IF(Table13[[#This Row],[BMI]]&lt;=18.5,"Underweight",IF(Table13[[#This Row],[BMI]]&lt;=24.9,"Normal",IF(Table13[[#This Row],[BMI]]&lt;=29.9,"Overweight",IF(Table13[[#This Row],[BMI]]&lt;=39,"Obese","Severly Obese"))))</f>
        <v>Overweight</v>
      </c>
      <c r="W1725" s="18">
        <v>28.7</v>
      </c>
    </row>
    <row r="1726" spans="6:23" x14ac:dyDescent="0.3">
      <c r="F1726" s="17">
        <v>48</v>
      </c>
      <c r="G1726" s="8" t="str">
        <f>IF(Table13[[#This Row],[Age]]&lt;25,"18-24",IF(Table13[[#This Row],[Age]]&lt;35,"25-34",IF(Table13[[#This Row],[Age]]&lt;45,"35-44",IF(Table13[[#This Row],[Age]]&lt;55,"45-54","55-64"))))</f>
        <v>45-54</v>
      </c>
      <c r="H1726" s="8" t="s">
        <v>19</v>
      </c>
      <c r="I1726" s="8">
        <v>71.5</v>
      </c>
      <c r="J1726" s="8">
        <v>1.71</v>
      </c>
      <c r="K1726" s="8">
        <v>183</v>
      </c>
      <c r="L1726" s="8">
        <v>151</v>
      </c>
      <c r="M1726" s="8">
        <v>62</v>
      </c>
      <c r="N1726" s="8">
        <v>1.05</v>
      </c>
      <c r="O1726" s="8"/>
      <c r="P1726" s="8" t="s">
        <v>18</v>
      </c>
      <c r="Q1726" s="8" t="str">
        <f>_xlfn.IFS(AND(Table13[[#This Row],[Gender]]="female",R1726&lt;20),"Athletes",AND(Table13[[#This Row],[Gender]]="female",R1726&lt;24),"Fitnesss",AND(Table13[[#This Row],[Gender]]="female",R1726&lt;31),"Acceptable",AND(Table13[[#This Row],[Gender]]="female",R1726&lt;40),"Obese",AND(Table13[[#This Row],[Gender]]="male",R1726&lt;13),"Athletes",AND(Table13[[#This Row],[Gender]]="male",R1726&lt;17),"Fitnesss",AND(Table13[[#This Row],[Gender]]="male",R1726&lt;24.9),"Acceptable",AND(Table13[[#This Row],[Gender]]="male",R1726&lt;40),"Obese",AND(Table13[[#This Row],[Gender]]="others",R1726&lt;20),"Athletes",AND(Table13[[#This Row],[Gender]]="others",R1726&lt;24),"Fitnesss",AND(Table13[[#This Row],[Gender]]="others",R1726&lt;31),"Acceptable",AND(Table13[[#This Row],[Gender]]="others",R1726&lt;40),"Obese")</f>
        <v>Acceptable</v>
      </c>
      <c r="R1726" s="8">
        <v>22</v>
      </c>
      <c r="S1726" s="8">
        <v>2.7</v>
      </c>
      <c r="T1726" s="8">
        <v>4</v>
      </c>
      <c r="U1726" s="8">
        <v>3</v>
      </c>
      <c r="V1726" s="8" t="str">
        <f>IF(Table13[[#This Row],[BMI]]&lt;=18.5,"Underweight",IF(Table13[[#This Row],[BMI]]&lt;=24.9,"Normal",IF(Table13[[#This Row],[BMI]]&lt;=29.9,"Overweight",IF(Table13[[#This Row],[BMI]]&lt;=39,"Obese","Severly Obese"))))</f>
        <v>Normal</v>
      </c>
      <c r="W1726" s="18">
        <v>20.39</v>
      </c>
    </row>
    <row r="1727" spans="6:23" x14ac:dyDescent="0.3">
      <c r="F1727" s="17">
        <v>55</v>
      </c>
      <c r="G1727" s="8" t="str">
        <f>IF(Table13[[#This Row],[Age]]&lt;25,"18-24",IF(Table13[[#This Row],[Age]]&lt;35,"25-34",IF(Table13[[#This Row],[Age]]&lt;45,"35-44",IF(Table13[[#This Row],[Age]]&lt;55,"45-54","55-64"))))</f>
        <v>55-64</v>
      </c>
      <c r="H1727" s="8" t="s">
        <v>19</v>
      </c>
      <c r="I1727" s="8">
        <v>64.400000000000006</v>
      </c>
      <c r="J1727" s="8">
        <v>1.76</v>
      </c>
      <c r="K1727" s="8">
        <v>163</v>
      </c>
      <c r="L1727" s="8">
        <v>144</v>
      </c>
      <c r="M1727" s="8">
        <v>74</v>
      </c>
      <c r="N1727" s="8">
        <v>1.48</v>
      </c>
      <c r="O1727" s="8">
        <v>717</v>
      </c>
      <c r="P1727" s="8" t="s">
        <v>20</v>
      </c>
      <c r="Q1727" s="8" t="str">
        <f>_xlfn.IFS(AND(Table13[[#This Row],[Gender]]="female",R1727&lt;20),"Athletes",AND(Table13[[#This Row],[Gender]]="female",R1727&lt;24),"Fitnesss",AND(Table13[[#This Row],[Gender]]="female",R1727&lt;31),"Acceptable",AND(Table13[[#This Row],[Gender]]="female",R1727&lt;40),"Obese",AND(Table13[[#This Row],[Gender]]="male",R1727&lt;13),"Athletes",AND(Table13[[#This Row],[Gender]]="male",R1727&lt;17),"Fitnesss",AND(Table13[[#This Row],[Gender]]="male",R1727&lt;24.9),"Acceptable",AND(Table13[[#This Row],[Gender]]="male",R1727&lt;40),"Obese",AND(Table13[[#This Row],[Gender]]="others",R1727&lt;20),"Athletes",AND(Table13[[#This Row],[Gender]]="others",R1727&lt;24),"Fitnesss",AND(Table13[[#This Row],[Gender]]="others",R1727&lt;31),"Acceptable",AND(Table13[[#This Row],[Gender]]="others",R1727&lt;40),"Obese")</f>
        <v>Obese</v>
      </c>
      <c r="R1727" s="8">
        <v>26.7</v>
      </c>
      <c r="S1727" s="8">
        <v>1.7</v>
      </c>
      <c r="T1727" s="8">
        <v>2</v>
      </c>
      <c r="U1727" s="8">
        <v>3</v>
      </c>
      <c r="V1727" s="8" t="str">
        <f>IF(Table13[[#This Row],[BMI]]&lt;=18.5,"Underweight",IF(Table13[[#This Row],[BMI]]&lt;=24.9,"Normal",IF(Table13[[#This Row],[BMI]]&lt;=29.9,"Overweight",IF(Table13[[#This Row],[BMI]]&lt;=39,"Obese","Severly Obese"))))</f>
        <v>Normal</v>
      </c>
      <c r="W1727" s="18">
        <v>21.26</v>
      </c>
    </row>
    <row r="1728" spans="6:23" x14ac:dyDescent="0.3">
      <c r="F1728" s="17">
        <v>50</v>
      </c>
      <c r="G1728" s="8" t="str">
        <f>IF(Table13[[#This Row],[Age]]&lt;25,"18-24",IF(Table13[[#This Row],[Age]]&lt;35,"25-34",IF(Table13[[#This Row],[Age]]&lt;45,"35-44",IF(Table13[[#This Row],[Age]]&lt;55,"45-54","55-64"))))</f>
        <v>45-54</v>
      </c>
      <c r="H1728" s="8" t="s">
        <v>17</v>
      </c>
      <c r="I1728" s="8">
        <v>56.4</v>
      </c>
      <c r="J1728" s="8">
        <v>1.67</v>
      </c>
      <c r="K1728" s="8">
        <v>193</v>
      </c>
      <c r="L1728" s="8">
        <v>128</v>
      </c>
      <c r="M1728" s="8">
        <v>59</v>
      </c>
      <c r="N1728" s="8">
        <v>1.9</v>
      </c>
      <c r="O1728" s="8">
        <v>1190</v>
      </c>
      <c r="P1728" s="8" t="s">
        <v>21</v>
      </c>
      <c r="Q1728" s="8" t="str">
        <f>_xlfn.IFS(AND(Table13[[#This Row],[Gender]]="female",R1728&lt;20),"Athletes",AND(Table13[[#This Row],[Gender]]="female",R1728&lt;24),"Fitnesss",AND(Table13[[#This Row],[Gender]]="female",R1728&lt;31),"Acceptable",AND(Table13[[#This Row],[Gender]]="female",R1728&lt;40),"Obese",AND(Table13[[#This Row],[Gender]]="male",R1728&lt;13),"Athletes",AND(Table13[[#This Row],[Gender]]="male",R1728&lt;17),"Fitnesss",AND(Table13[[#This Row],[Gender]]="male",R1728&lt;24.9),"Acceptable",AND(Table13[[#This Row],[Gender]]="male",R1728&lt;40),"Obese",AND(Table13[[#This Row],[Gender]]="others",R1728&lt;20),"Athletes",AND(Table13[[#This Row],[Gender]]="others",R1728&lt;24),"Fitnesss",AND(Table13[[#This Row],[Gender]]="others",R1728&lt;31),"Acceptable",AND(Table13[[#This Row],[Gender]]="others",R1728&lt;40),"Obese")</f>
        <v>Athletes</v>
      </c>
      <c r="R1728" s="8">
        <v>17.5</v>
      </c>
      <c r="S1728" s="8">
        <v>3.7</v>
      </c>
      <c r="T1728" s="8">
        <v>2</v>
      </c>
      <c r="U1728" s="8">
        <v>2</v>
      </c>
      <c r="V1728" s="8" t="str">
        <f>IF(Table13[[#This Row],[BMI]]&lt;=18.5,"Underweight",IF(Table13[[#This Row],[BMI]]&lt;=24.9,"Normal",IF(Table13[[#This Row],[BMI]]&lt;=29.9,"Overweight",IF(Table13[[#This Row],[BMI]]&lt;=39,"Obese","Severly Obese"))))</f>
        <v>Underweight</v>
      </c>
      <c r="W1728" s="18">
        <v>12.32</v>
      </c>
    </row>
    <row r="1729" spans="6:23" x14ac:dyDescent="0.3">
      <c r="F1729" s="17">
        <v>21</v>
      </c>
      <c r="G1729" s="8" t="str">
        <f>IF(Table13[[#This Row],[Age]]&lt;25,"18-24",IF(Table13[[#This Row],[Age]]&lt;35,"25-34",IF(Table13[[#This Row],[Age]]&lt;45,"35-44",IF(Table13[[#This Row],[Age]]&lt;55,"45-54","55-64"))))</f>
        <v>18-24</v>
      </c>
      <c r="H1729" s="8" t="s">
        <v>19</v>
      </c>
      <c r="I1729" s="8">
        <v>45.2</v>
      </c>
      <c r="J1729" s="8">
        <v>1.73</v>
      </c>
      <c r="K1729" s="8">
        <v>198</v>
      </c>
      <c r="L1729" s="8">
        <v>156</v>
      </c>
      <c r="M1729" s="8">
        <v>59</v>
      </c>
      <c r="N1729" s="8">
        <v>1.07</v>
      </c>
      <c r="O1729" s="8">
        <v>1562</v>
      </c>
      <c r="P1729" s="8" t="s">
        <v>20</v>
      </c>
      <c r="Q1729" s="8" t="str">
        <f>_xlfn.IFS(AND(Table13[[#This Row],[Gender]]="female",R1729&lt;20),"Athletes",AND(Table13[[#This Row],[Gender]]="female",R1729&lt;24),"Fitnesss",AND(Table13[[#This Row],[Gender]]="female",R1729&lt;31),"Acceptable",AND(Table13[[#This Row],[Gender]]="female",R1729&lt;40),"Obese",AND(Table13[[#This Row],[Gender]]="male",R1729&lt;13),"Athletes",AND(Table13[[#This Row],[Gender]]="male",R1729&lt;17),"Fitnesss",AND(Table13[[#This Row],[Gender]]="male",R1729&lt;24.9),"Acceptable",AND(Table13[[#This Row],[Gender]]="male",R1729&lt;40),"Obese",AND(Table13[[#This Row],[Gender]]="others",R1729&lt;20),"Athletes",AND(Table13[[#This Row],[Gender]]="others",R1729&lt;24),"Fitnesss",AND(Table13[[#This Row],[Gender]]="others",R1729&lt;31),"Acceptable",AND(Table13[[#This Row],[Gender]]="others",R1729&lt;40),"Obese")</f>
        <v>Acceptable</v>
      </c>
      <c r="R1729" s="8">
        <v>24.2</v>
      </c>
      <c r="S1729" s="8">
        <v>2.8</v>
      </c>
      <c r="T1729" s="8">
        <v>4</v>
      </c>
      <c r="U1729" s="8">
        <v>2</v>
      </c>
      <c r="V1729" s="8" t="str">
        <f>IF(Table13[[#This Row],[BMI]]&lt;=18.5,"Underweight",IF(Table13[[#This Row],[BMI]]&lt;=24.9,"Normal",IF(Table13[[#This Row],[BMI]]&lt;=29.9,"Overweight",IF(Table13[[#This Row],[BMI]]&lt;=39,"Obese","Severly Obese"))))</f>
        <v>Normal</v>
      </c>
      <c r="W1729" s="18">
        <v>22.25</v>
      </c>
    </row>
    <row r="1730" spans="6:23" x14ac:dyDescent="0.3">
      <c r="F1730" s="17">
        <v>49</v>
      </c>
      <c r="G1730" s="8" t="str">
        <f>IF(Table13[[#This Row],[Age]]&lt;25,"18-24",IF(Table13[[#This Row],[Age]]&lt;35,"25-34",IF(Table13[[#This Row],[Age]]&lt;45,"35-44",IF(Table13[[#This Row],[Age]]&lt;55,"45-54","55-64"))))</f>
        <v>45-54</v>
      </c>
      <c r="H1730" s="8" t="s">
        <v>17</v>
      </c>
      <c r="I1730" s="8">
        <v>86</v>
      </c>
      <c r="J1730" s="8">
        <v>1.5</v>
      </c>
      <c r="K1730" s="8">
        <v>192</v>
      </c>
      <c r="L1730" s="8">
        <v>127</v>
      </c>
      <c r="M1730" s="8">
        <v>65</v>
      </c>
      <c r="N1730" s="8">
        <v>1.79</v>
      </c>
      <c r="O1730" s="8">
        <v>636</v>
      </c>
      <c r="P1730" s="8" t="s">
        <v>21</v>
      </c>
      <c r="Q1730" s="8" t="str">
        <f>_xlfn.IFS(AND(Table13[[#This Row],[Gender]]="female",R1730&lt;20),"Athletes",AND(Table13[[#This Row],[Gender]]="female",R1730&lt;24),"Fitnesss",AND(Table13[[#This Row],[Gender]]="female",R1730&lt;31),"Acceptable",AND(Table13[[#This Row],[Gender]]="female",R1730&lt;40),"Obese",AND(Table13[[#This Row],[Gender]]="male",R1730&lt;13),"Athletes",AND(Table13[[#This Row],[Gender]]="male",R1730&lt;17),"Fitnesss",AND(Table13[[#This Row],[Gender]]="male",R1730&lt;24.9),"Acceptable",AND(Table13[[#This Row],[Gender]]="male",R1730&lt;40),"Obese",AND(Table13[[#This Row],[Gender]]="others",R1730&lt;20),"Athletes",AND(Table13[[#This Row],[Gender]]="others",R1730&lt;24),"Fitnesss",AND(Table13[[#This Row],[Gender]]="others",R1730&lt;31),"Acceptable",AND(Table13[[#This Row],[Gender]]="others",R1730&lt;40),"Obese")</f>
        <v>Fitnesss</v>
      </c>
      <c r="R1730" s="8">
        <v>22.1</v>
      </c>
      <c r="S1730" s="8">
        <v>1.8</v>
      </c>
      <c r="T1730" s="8">
        <v>4</v>
      </c>
      <c r="U1730" s="8">
        <v>3</v>
      </c>
      <c r="V1730" s="8" t="str">
        <f>IF(Table13[[#This Row],[BMI]]&lt;=18.5,"Underweight",IF(Table13[[#This Row],[BMI]]&lt;=24.9,"Normal",IF(Table13[[#This Row],[BMI]]&lt;=29.9,"Overweight",IF(Table13[[#This Row],[BMI]]&lt;=39,"Obese","Severly Obese"))))</f>
        <v>Underweight</v>
      </c>
      <c r="W1730" s="18"/>
    </row>
    <row r="1731" spans="6:23" x14ac:dyDescent="0.3">
      <c r="F1731" s="17">
        <v>49</v>
      </c>
      <c r="G1731" s="8" t="str">
        <f>IF(Table13[[#This Row],[Age]]&lt;25,"18-24",IF(Table13[[#This Row],[Age]]&lt;35,"25-34",IF(Table13[[#This Row],[Age]]&lt;45,"35-44",IF(Table13[[#This Row],[Age]]&lt;55,"45-54","55-64"))))</f>
        <v>45-54</v>
      </c>
      <c r="H1731" s="8" t="s">
        <v>23</v>
      </c>
      <c r="I1731" s="8">
        <v>70</v>
      </c>
      <c r="J1731" s="8">
        <v>1.64</v>
      </c>
      <c r="K1731" s="8">
        <v>182</v>
      </c>
      <c r="L1731" s="8">
        <v>134</v>
      </c>
      <c r="M1731" s="8">
        <v>71</v>
      </c>
      <c r="N1731" s="8">
        <v>1.5</v>
      </c>
      <c r="O1731" s="8">
        <v>1132</v>
      </c>
      <c r="P1731" s="8" t="s">
        <v>20</v>
      </c>
      <c r="Q1731" s="8" t="str">
        <f>_xlfn.IFS(AND(Table13[[#This Row],[Gender]]="female",R1731&lt;20),"Athletes",AND(Table13[[#This Row],[Gender]]="female",R1731&lt;24),"Fitnesss",AND(Table13[[#This Row],[Gender]]="female",R1731&lt;31),"Acceptable",AND(Table13[[#This Row],[Gender]]="female",R1731&lt;40),"Obese",AND(Table13[[#This Row],[Gender]]="male",R1731&lt;13),"Athletes",AND(Table13[[#This Row],[Gender]]="male",R1731&lt;17),"Fitnesss",AND(Table13[[#This Row],[Gender]]="male",R1731&lt;24.9),"Acceptable",AND(Table13[[#This Row],[Gender]]="male",R1731&lt;40),"Obese",AND(Table13[[#This Row],[Gender]]="others",R1731&lt;20),"Athletes",AND(Table13[[#This Row],[Gender]]="others",R1731&lt;24),"Fitnesss",AND(Table13[[#This Row],[Gender]]="others",R1731&lt;31),"Acceptable",AND(Table13[[#This Row],[Gender]]="others",R1731&lt;40),"Obese")</f>
        <v>Acceptable</v>
      </c>
      <c r="R1731" s="8">
        <v>29.2</v>
      </c>
      <c r="S1731" s="8"/>
      <c r="T1731" s="8">
        <v>4</v>
      </c>
      <c r="U1731" s="8">
        <v>3</v>
      </c>
      <c r="V1731" s="8" t="str">
        <f>IF(Table13[[#This Row],[BMI]]&lt;=18.5,"Underweight",IF(Table13[[#This Row],[BMI]]&lt;=24.9,"Normal",IF(Table13[[#This Row],[BMI]]&lt;=29.9,"Overweight",IF(Table13[[#This Row],[BMI]]&lt;=39,"Obese","Severly Obese"))))</f>
        <v>Underweight</v>
      </c>
      <c r="W1731" s="18">
        <v>18.38</v>
      </c>
    </row>
    <row r="1732" spans="6:23" x14ac:dyDescent="0.3">
      <c r="F1732" s="17">
        <v>33</v>
      </c>
      <c r="G1732" s="8" t="str">
        <f>IF(Table13[[#This Row],[Age]]&lt;25,"18-24",IF(Table13[[#This Row],[Age]]&lt;35,"25-34",IF(Table13[[#This Row],[Age]]&lt;45,"35-44",IF(Table13[[#This Row],[Age]]&lt;55,"45-54","55-64"))))</f>
        <v>25-34</v>
      </c>
      <c r="H1732" s="8" t="s">
        <v>17</v>
      </c>
      <c r="I1732" s="8">
        <v>60.7</v>
      </c>
      <c r="J1732" s="8">
        <v>2</v>
      </c>
      <c r="K1732" s="8">
        <v>188</v>
      </c>
      <c r="L1732" s="8">
        <v>169</v>
      </c>
      <c r="M1732" s="8">
        <v>74</v>
      </c>
      <c r="N1732" s="8">
        <v>1.42</v>
      </c>
      <c r="O1732" s="8">
        <v>705</v>
      </c>
      <c r="P1732" s="8" t="s">
        <v>20</v>
      </c>
      <c r="Q1732" s="8" t="str">
        <f>_xlfn.IFS(AND(Table13[[#This Row],[Gender]]="female",R1732&lt;20),"Athletes",AND(Table13[[#This Row],[Gender]]="female",R1732&lt;24),"Fitnesss",AND(Table13[[#This Row],[Gender]]="female",R1732&lt;31),"Acceptable",AND(Table13[[#This Row],[Gender]]="female",R1732&lt;40),"Obese",AND(Table13[[#This Row],[Gender]]="male",R1732&lt;13),"Athletes",AND(Table13[[#This Row],[Gender]]="male",R1732&lt;17),"Fitnesss",AND(Table13[[#This Row],[Gender]]="male",R1732&lt;24.9),"Acceptable",AND(Table13[[#This Row],[Gender]]="male",R1732&lt;40),"Obese",AND(Table13[[#This Row],[Gender]]="others",R1732&lt;20),"Athletes",AND(Table13[[#This Row],[Gender]]="others",R1732&lt;24),"Fitnesss",AND(Table13[[#This Row],[Gender]]="others",R1732&lt;31),"Acceptable",AND(Table13[[#This Row],[Gender]]="others",R1732&lt;40),"Obese")</f>
        <v>Fitnesss</v>
      </c>
      <c r="R1732" s="8">
        <v>23.3</v>
      </c>
      <c r="S1732" s="8">
        <v>3.2</v>
      </c>
      <c r="T1732" s="8">
        <v>4</v>
      </c>
      <c r="U1732" s="8">
        <v>2</v>
      </c>
      <c r="V1732" s="8" t="str">
        <f>IF(Table13[[#This Row],[BMI]]&lt;=18.5,"Underweight",IF(Table13[[#This Row],[BMI]]&lt;=24.9,"Normal",IF(Table13[[#This Row],[BMI]]&lt;=29.9,"Overweight",IF(Table13[[#This Row],[BMI]]&lt;=39,"Obese","Severly Obese"))))</f>
        <v>Normal</v>
      </c>
      <c r="W1732" s="18">
        <v>21.91</v>
      </c>
    </row>
    <row r="1733" spans="6:23" x14ac:dyDescent="0.3">
      <c r="F1733" s="17">
        <v>42</v>
      </c>
      <c r="G1733" s="8" t="str">
        <f>IF(Table13[[#This Row],[Age]]&lt;25,"18-24",IF(Table13[[#This Row],[Age]]&lt;35,"25-34",IF(Table13[[#This Row],[Age]]&lt;45,"35-44",IF(Table13[[#This Row],[Age]]&lt;55,"45-54","55-64"))))</f>
        <v>35-44</v>
      </c>
      <c r="H1733" s="8" t="s">
        <v>19</v>
      </c>
      <c r="I1733" s="8">
        <v>53.6</v>
      </c>
      <c r="J1733" s="8">
        <v>1.86</v>
      </c>
      <c r="K1733" s="8">
        <v>199</v>
      </c>
      <c r="L1733" s="8">
        <v>167</v>
      </c>
      <c r="M1733" s="8">
        <v>62</v>
      </c>
      <c r="N1733" s="8">
        <v>2</v>
      </c>
      <c r="O1733" s="8">
        <v>1096</v>
      </c>
      <c r="P1733" s="8" t="s">
        <v>18</v>
      </c>
      <c r="Q1733" s="8" t="str">
        <f>_xlfn.IFS(AND(Table13[[#This Row],[Gender]]="female",R1733&lt;20),"Athletes",AND(Table13[[#This Row],[Gender]]="female",R1733&lt;24),"Fitnesss",AND(Table13[[#This Row],[Gender]]="female",R1733&lt;31),"Acceptable",AND(Table13[[#This Row],[Gender]]="female",R1733&lt;40),"Obese",AND(Table13[[#This Row],[Gender]]="male",R1733&lt;13),"Athletes",AND(Table13[[#This Row],[Gender]]="male",R1733&lt;17),"Fitnesss",AND(Table13[[#This Row],[Gender]]="male",R1733&lt;24.9),"Acceptable",AND(Table13[[#This Row],[Gender]]="male",R1733&lt;40),"Obese",AND(Table13[[#This Row],[Gender]]="others",R1733&lt;20),"Athletes",AND(Table13[[#This Row],[Gender]]="others",R1733&lt;24),"Fitnesss",AND(Table13[[#This Row],[Gender]]="others",R1733&lt;31),"Acceptable",AND(Table13[[#This Row],[Gender]]="others",R1733&lt;40),"Obese")</f>
        <v>Acceptable</v>
      </c>
      <c r="R1733" s="8">
        <v>21.9</v>
      </c>
      <c r="S1733" s="8">
        <v>3.4</v>
      </c>
      <c r="T1733" s="8">
        <v>3</v>
      </c>
      <c r="U1733" s="8">
        <v>1</v>
      </c>
      <c r="V1733" s="8" t="str">
        <f>IF(Table13[[#This Row],[BMI]]&lt;=18.5,"Underweight",IF(Table13[[#This Row],[BMI]]&lt;=24.9,"Normal",IF(Table13[[#This Row],[BMI]]&lt;=29.9,"Overweight",IF(Table13[[#This Row],[BMI]]&lt;=39,"Obese","Severly Obese"))))</f>
        <v>Normal</v>
      </c>
      <c r="W1733" s="18">
        <v>20.71</v>
      </c>
    </row>
    <row r="1734" spans="6:23" x14ac:dyDescent="0.3">
      <c r="F1734" s="17">
        <v>35</v>
      </c>
      <c r="G1734" s="8" t="str">
        <f>IF(Table13[[#This Row],[Age]]&lt;25,"18-24",IF(Table13[[#This Row],[Age]]&lt;35,"25-34",IF(Table13[[#This Row],[Age]]&lt;45,"35-44",IF(Table13[[#This Row],[Age]]&lt;55,"45-54","55-64"))))</f>
        <v>35-44</v>
      </c>
      <c r="H1734" s="8" t="s">
        <v>17</v>
      </c>
      <c r="I1734" s="8">
        <v>64.3</v>
      </c>
      <c r="J1734" s="8">
        <v>1.79</v>
      </c>
      <c r="K1734" s="8">
        <v>188</v>
      </c>
      <c r="L1734" s="8">
        <v>148</v>
      </c>
      <c r="M1734" s="8">
        <v>62</v>
      </c>
      <c r="N1734" s="8">
        <v>1.63</v>
      </c>
      <c r="O1734" s="8">
        <v>1192</v>
      </c>
      <c r="P1734" s="8" t="s">
        <v>21</v>
      </c>
      <c r="Q1734" s="8" t="str">
        <f>_xlfn.IFS(AND(Table13[[#This Row],[Gender]]="female",R1734&lt;20),"Athletes",AND(Table13[[#This Row],[Gender]]="female",R1734&lt;24),"Fitnesss",AND(Table13[[#This Row],[Gender]]="female",R1734&lt;31),"Acceptable",AND(Table13[[#This Row],[Gender]]="female",R1734&lt;40),"Obese",AND(Table13[[#This Row],[Gender]]="male",R1734&lt;13),"Athletes",AND(Table13[[#This Row],[Gender]]="male",R1734&lt;17),"Fitnesss",AND(Table13[[#This Row],[Gender]]="male",R1734&lt;24.9),"Acceptable",AND(Table13[[#This Row],[Gender]]="male",R1734&lt;40),"Obese",AND(Table13[[#This Row],[Gender]]="others",R1734&lt;20),"Athletes",AND(Table13[[#This Row],[Gender]]="others",R1734&lt;24),"Fitnesss",AND(Table13[[#This Row],[Gender]]="others",R1734&lt;31),"Acceptable",AND(Table13[[#This Row],[Gender]]="others",R1734&lt;40),"Obese")</f>
        <v>Athletes</v>
      </c>
      <c r="R1734" s="8">
        <v>16.3</v>
      </c>
      <c r="S1734" s="8">
        <v>2.2000000000000002</v>
      </c>
      <c r="T1734" s="8">
        <v>5</v>
      </c>
      <c r="U1734" s="8">
        <v>2</v>
      </c>
      <c r="V1734" s="8" t="str">
        <f>IF(Table13[[#This Row],[BMI]]&lt;=18.5,"Underweight",IF(Table13[[#This Row],[BMI]]&lt;=24.9,"Normal",IF(Table13[[#This Row],[BMI]]&lt;=29.9,"Overweight",IF(Table13[[#This Row],[BMI]]&lt;=39,"Obese","Severly Obese"))))</f>
        <v>Underweight</v>
      </c>
      <c r="W1734" s="18">
        <v>13.91</v>
      </c>
    </row>
    <row r="1735" spans="6:23" x14ac:dyDescent="0.3">
      <c r="F1735" s="17">
        <v>18</v>
      </c>
      <c r="G1735" s="8" t="str">
        <f>IF(Table13[[#This Row],[Age]]&lt;25,"18-24",IF(Table13[[#This Row],[Age]]&lt;35,"25-34",IF(Table13[[#This Row],[Age]]&lt;45,"35-44",IF(Table13[[#This Row],[Age]]&lt;55,"45-54","55-64"))))</f>
        <v>18-24</v>
      </c>
      <c r="H1735" s="8" t="s">
        <v>19</v>
      </c>
      <c r="I1735" s="8">
        <v>78</v>
      </c>
      <c r="J1735" s="8">
        <v>1.51</v>
      </c>
      <c r="K1735" s="8">
        <v>182</v>
      </c>
      <c r="L1735" s="8">
        <v>169</v>
      </c>
      <c r="M1735" s="8">
        <v>64</v>
      </c>
      <c r="N1735" s="8">
        <v>1.06</v>
      </c>
      <c r="O1735" s="8">
        <v>990</v>
      </c>
      <c r="P1735" s="8" t="s">
        <v>18</v>
      </c>
      <c r="Q1735" s="8" t="str">
        <f>_xlfn.IFS(AND(Table13[[#This Row],[Gender]]="female",R1735&lt;20),"Athletes",AND(Table13[[#This Row],[Gender]]="female",R1735&lt;24),"Fitnesss",AND(Table13[[#This Row],[Gender]]="female",R1735&lt;31),"Acceptable",AND(Table13[[#This Row],[Gender]]="female",R1735&lt;40),"Obese",AND(Table13[[#This Row],[Gender]]="male",R1735&lt;13),"Athletes",AND(Table13[[#This Row],[Gender]]="male",R1735&lt;17),"Fitnesss",AND(Table13[[#This Row],[Gender]]="male",R1735&lt;24.9),"Acceptable",AND(Table13[[#This Row],[Gender]]="male",R1735&lt;40),"Obese",AND(Table13[[#This Row],[Gender]]="others",R1735&lt;20),"Athletes",AND(Table13[[#This Row],[Gender]]="others",R1735&lt;24),"Fitnesss",AND(Table13[[#This Row],[Gender]]="others",R1735&lt;31),"Acceptable",AND(Table13[[#This Row],[Gender]]="others",R1735&lt;40),"Obese")</f>
        <v>Obese</v>
      </c>
      <c r="R1735" s="8">
        <v>31.4</v>
      </c>
      <c r="S1735" s="8">
        <v>3.1</v>
      </c>
      <c r="T1735" s="8">
        <v>3</v>
      </c>
      <c r="U1735" s="8">
        <v>2</v>
      </c>
      <c r="V1735" s="8" t="str">
        <f>IF(Table13[[#This Row],[BMI]]&lt;=18.5,"Underweight",IF(Table13[[#This Row],[BMI]]&lt;=24.9,"Normal",IF(Table13[[#This Row],[BMI]]&lt;=29.9,"Overweight",IF(Table13[[#This Row],[BMI]]&lt;=39,"Obese","Severly Obese"))))</f>
        <v>Underweight</v>
      </c>
      <c r="W1735" s="18">
        <v>12.32</v>
      </c>
    </row>
    <row r="1736" spans="6:23" x14ac:dyDescent="0.3">
      <c r="F1736" s="17">
        <v>46</v>
      </c>
      <c r="G1736" s="8" t="str">
        <f>IF(Table13[[#This Row],[Age]]&lt;25,"18-24",IF(Table13[[#This Row],[Age]]&lt;35,"25-34",IF(Table13[[#This Row],[Age]]&lt;45,"35-44",IF(Table13[[#This Row],[Age]]&lt;55,"45-54","55-64"))))</f>
        <v>45-54</v>
      </c>
      <c r="H1736" s="8" t="s">
        <v>19</v>
      </c>
      <c r="I1736" s="8">
        <v>50.2</v>
      </c>
      <c r="J1736" s="8">
        <v>1.8</v>
      </c>
      <c r="K1736" s="8">
        <v>193</v>
      </c>
      <c r="L1736" s="8">
        <v>132</v>
      </c>
      <c r="M1736" s="8">
        <v>74</v>
      </c>
      <c r="N1736" s="8">
        <v>1.21</v>
      </c>
      <c r="O1736" s="8">
        <v>893</v>
      </c>
      <c r="P1736" s="8" t="s">
        <v>21</v>
      </c>
      <c r="Q1736" s="8" t="str">
        <f>_xlfn.IFS(AND(Table13[[#This Row],[Gender]]="female",R1736&lt;20),"Athletes",AND(Table13[[#This Row],[Gender]]="female",R1736&lt;24),"Fitnesss",AND(Table13[[#This Row],[Gender]]="female",R1736&lt;31),"Acceptable",AND(Table13[[#This Row],[Gender]]="female",R1736&lt;40),"Obese",AND(Table13[[#This Row],[Gender]]="male",R1736&lt;13),"Athletes",AND(Table13[[#This Row],[Gender]]="male",R1736&lt;17),"Fitnesss",AND(Table13[[#This Row],[Gender]]="male",R1736&lt;24.9),"Acceptable",AND(Table13[[#This Row],[Gender]]="male",R1736&lt;40),"Obese",AND(Table13[[#This Row],[Gender]]="others",R1736&lt;20),"Athletes",AND(Table13[[#This Row],[Gender]]="others",R1736&lt;24),"Fitnesss",AND(Table13[[#This Row],[Gender]]="others",R1736&lt;31),"Acceptable",AND(Table13[[#This Row],[Gender]]="others",R1736&lt;40),"Obese")</f>
        <v>Obese</v>
      </c>
      <c r="R1736" s="8">
        <v>28.4</v>
      </c>
      <c r="S1736" s="8">
        <v>3.4</v>
      </c>
      <c r="T1736" s="8">
        <v>3</v>
      </c>
      <c r="U1736" s="8">
        <v>3</v>
      </c>
      <c r="V1736" s="8" t="str">
        <f>IF(Table13[[#This Row],[BMI]]&lt;=18.5,"Underweight",IF(Table13[[#This Row],[BMI]]&lt;=24.9,"Normal",IF(Table13[[#This Row],[BMI]]&lt;=29.9,"Overweight",IF(Table13[[#This Row],[BMI]]&lt;=39,"Obese","Severly Obese"))))</f>
        <v>Underweight</v>
      </c>
      <c r="W1736" s="18">
        <v>15.85</v>
      </c>
    </row>
    <row r="1737" spans="6:23" x14ac:dyDescent="0.3">
      <c r="F1737" s="17">
        <v>29</v>
      </c>
      <c r="G1737" s="8" t="str">
        <f>IF(Table13[[#This Row],[Age]]&lt;25,"18-24",IF(Table13[[#This Row],[Age]]&lt;35,"25-34",IF(Table13[[#This Row],[Age]]&lt;45,"35-44",IF(Table13[[#This Row],[Age]]&lt;55,"45-54","55-64"))))</f>
        <v>25-34</v>
      </c>
      <c r="H1737" s="8" t="s">
        <v>17</v>
      </c>
      <c r="I1737" s="8">
        <v>57</v>
      </c>
      <c r="J1737" s="8">
        <v>1.62</v>
      </c>
      <c r="K1737" s="8">
        <v>188</v>
      </c>
      <c r="L1737" s="8">
        <v>126</v>
      </c>
      <c r="M1737" s="8">
        <v>70</v>
      </c>
      <c r="N1737" s="8">
        <v>2</v>
      </c>
      <c r="O1737" s="8">
        <v>998</v>
      </c>
      <c r="P1737" s="8" t="s">
        <v>22</v>
      </c>
      <c r="Q1737" s="8" t="str">
        <f>_xlfn.IFS(AND(Table13[[#This Row],[Gender]]="female",R1737&lt;20),"Athletes",AND(Table13[[#This Row],[Gender]]="female",R1737&lt;24),"Fitnesss",AND(Table13[[#This Row],[Gender]]="female",R1737&lt;31),"Acceptable",AND(Table13[[#This Row],[Gender]]="female",R1737&lt;40),"Obese",AND(Table13[[#This Row],[Gender]]="male",R1737&lt;13),"Athletes",AND(Table13[[#This Row],[Gender]]="male",R1737&lt;17),"Fitnesss",AND(Table13[[#This Row],[Gender]]="male",R1737&lt;24.9),"Acceptable",AND(Table13[[#This Row],[Gender]]="male",R1737&lt;40),"Obese",AND(Table13[[#This Row],[Gender]]="others",R1737&lt;20),"Athletes",AND(Table13[[#This Row],[Gender]]="others",R1737&lt;24),"Fitnesss",AND(Table13[[#This Row],[Gender]]="others",R1737&lt;31),"Acceptable",AND(Table13[[#This Row],[Gender]]="others",R1737&lt;40),"Obese")</f>
        <v>Athletes</v>
      </c>
      <c r="R1737" s="8">
        <v>17.899999999999999</v>
      </c>
      <c r="S1737" s="8">
        <v>3.4</v>
      </c>
      <c r="T1737" s="8">
        <v>4</v>
      </c>
      <c r="U1737" s="8">
        <v>1</v>
      </c>
      <c r="V1737" s="8" t="str">
        <f>IF(Table13[[#This Row],[BMI]]&lt;=18.5,"Underweight",IF(Table13[[#This Row],[BMI]]&lt;=24.9,"Normal",IF(Table13[[#This Row],[BMI]]&lt;=29.9,"Overweight",IF(Table13[[#This Row],[BMI]]&lt;=39,"Obese","Severly Obese"))))</f>
        <v>Underweight</v>
      </c>
      <c r="W1737" s="18">
        <v>13.32</v>
      </c>
    </row>
    <row r="1738" spans="6:23" x14ac:dyDescent="0.3">
      <c r="F1738" s="17">
        <v>50</v>
      </c>
      <c r="G1738" s="8" t="str">
        <f>IF(Table13[[#This Row],[Age]]&lt;25,"18-24",IF(Table13[[#This Row],[Age]]&lt;35,"25-34",IF(Table13[[#This Row],[Age]]&lt;45,"35-44",IF(Table13[[#This Row],[Age]]&lt;55,"45-54","55-64"))))</f>
        <v>45-54</v>
      </c>
      <c r="H1738" s="8" t="s">
        <v>19</v>
      </c>
      <c r="I1738" s="8">
        <v>87.6</v>
      </c>
      <c r="J1738" s="8">
        <v>1.67</v>
      </c>
      <c r="K1738" s="8">
        <v>172</v>
      </c>
      <c r="L1738" s="8">
        <v>156</v>
      </c>
      <c r="M1738" s="8">
        <v>74</v>
      </c>
      <c r="N1738" s="8">
        <v>0.97</v>
      </c>
      <c r="O1738" s="8">
        <v>1005</v>
      </c>
      <c r="P1738" s="8" t="s">
        <v>23</v>
      </c>
      <c r="Q1738" s="8" t="str">
        <f>_xlfn.IFS(AND(Table13[[#This Row],[Gender]]="female",R1738&lt;20),"Athletes",AND(Table13[[#This Row],[Gender]]="female",R1738&lt;24),"Fitnesss",AND(Table13[[#This Row],[Gender]]="female",R1738&lt;31),"Acceptable",AND(Table13[[#This Row],[Gender]]="female",R1738&lt;40),"Obese",AND(Table13[[#This Row],[Gender]]="male",R1738&lt;13),"Athletes",AND(Table13[[#This Row],[Gender]]="male",R1738&lt;17),"Fitnesss",AND(Table13[[#This Row],[Gender]]="male",R1738&lt;24.9),"Acceptable",AND(Table13[[#This Row],[Gender]]="male",R1738&lt;40),"Obese",AND(Table13[[#This Row],[Gender]]="others",R1738&lt;20),"Athletes",AND(Table13[[#This Row],[Gender]]="others",R1738&lt;24),"Fitnesss",AND(Table13[[#This Row],[Gender]]="others",R1738&lt;31),"Acceptable",AND(Table13[[#This Row],[Gender]]="others",R1738&lt;40),"Obese")</f>
        <v>Acceptable</v>
      </c>
      <c r="R1738" s="8">
        <v>23</v>
      </c>
      <c r="S1738" s="8">
        <v>2</v>
      </c>
      <c r="T1738" s="8">
        <v>4</v>
      </c>
      <c r="U1738" s="8">
        <v>2</v>
      </c>
      <c r="V1738" s="8" t="str">
        <f>IF(Table13[[#This Row],[BMI]]&lt;=18.5,"Underweight",IF(Table13[[#This Row],[BMI]]&lt;=24.9,"Normal",IF(Table13[[#This Row],[BMI]]&lt;=29.9,"Overweight",IF(Table13[[#This Row],[BMI]]&lt;=39,"Obese","Severly Obese"))))</f>
        <v>Normal</v>
      </c>
      <c r="W1738" s="18">
        <v>23.76</v>
      </c>
    </row>
    <row r="1739" spans="6:23" x14ac:dyDescent="0.3">
      <c r="F1739" s="17">
        <v>20</v>
      </c>
      <c r="G1739" s="8" t="str">
        <f>IF(Table13[[#This Row],[Age]]&lt;25,"18-24",IF(Table13[[#This Row],[Age]]&lt;35,"25-34",IF(Table13[[#This Row],[Age]]&lt;45,"35-44",IF(Table13[[#This Row],[Age]]&lt;55,"45-54","55-64"))))</f>
        <v>18-24</v>
      </c>
      <c r="H1739" s="8" t="s">
        <v>17</v>
      </c>
      <c r="I1739" s="8">
        <v>86</v>
      </c>
      <c r="J1739" s="8">
        <v>1.69</v>
      </c>
      <c r="K1739" s="8">
        <v>183</v>
      </c>
      <c r="L1739" s="8">
        <v>136</v>
      </c>
      <c r="M1739" s="8">
        <v>58</v>
      </c>
      <c r="N1739" s="8">
        <v>1.1599999999999999</v>
      </c>
      <c r="O1739" s="8">
        <v>861</v>
      </c>
      <c r="P1739" s="8" t="s">
        <v>18</v>
      </c>
      <c r="Q1739" s="8" t="str">
        <f>_xlfn.IFS(AND(Table13[[#This Row],[Gender]]="female",R1739&lt;20),"Athletes",AND(Table13[[#This Row],[Gender]]="female",R1739&lt;24),"Fitnesss",AND(Table13[[#This Row],[Gender]]="female",R1739&lt;31),"Acceptable",AND(Table13[[#This Row],[Gender]]="female",R1739&lt;40),"Obese",AND(Table13[[#This Row],[Gender]]="male",R1739&lt;13),"Athletes",AND(Table13[[#This Row],[Gender]]="male",R1739&lt;17),"Fitnesss",AND(Table13[[#This Row],[Gender]]="male",R1739&lt;24.9),"Acceptable",AND(Table13[[#This Row],[Gender]]="male",R1739&lt;40),"Obese",AND(Table13[[#This Row],[Gender]]="others",R1739&lt;20),"Athletes",AND(Table13[[#This Row],[Gender]]="others",R1739&lt;24),"Fitnesss",AND(Table13[[#This Row],[Gender]]="others",R1739&lt;31),"Acceptable",AND(Table13[[#This Row],[Gender]]="others",R1739&lt;40),"Obese")</f>
        <v>Fitnesss</v>
      </c>
      <c r="R1739" s="8">
        <v>23.3</v>
      </c>
      <c r="S1739" s="8">
        <v>3.6</v>
      </c>
      <c r="T1739" s="8">
        <v>5</v>
      </c>
      <c r="U1739" s="8"/>
      <c r="V1739" s="8" t="str">
        <f>IF(Table13[[#This Row],[BMI]]&lt;=18.5,"Underweight",IF(Table13[[#This Row],[BMI]]&lt;=24.9,"Normal",IF(Table13[[#This Row],[BMI]]&lt;=29.9,"Overweight",IF(Table13[[#This Row],[BMI]]&lt;=39,"Obese","Severly Obese"))))</f>
        <v>Overweight</v>
      </c>
      <c r="W1739" s="18">
        <v>28.85</v>
      </c>
    </row>
    <row r="1740" spans="6:23" x14ac:dyDescent="0.3">
      <c r="F1740" s="17">
        <v>28</v>
      </c>
      <c r="G1740" s="8" t="str">
        <f>IF(Table13[[#This Row],[Age]]&lt;25,"18-24",IF(Table13[[#This Row],[Age]]&lt;35,"25-34",IF(Table13[[#This Row],[Age]]&lt;45,"35-44",IF(Table13[[#This Row],[Age]]&lt;55,"45-54","55-64"))))</f>
        <v>25-34</v>
      </c>
      <c r="H1740" s="8" t="s">
        <v>17</v>
      </c>
      <c r="I1740" s="8">
        <v>43.3</v>
      </c>
      <c r="J1740" s="8">
        <v>1.78</v>
      </c>
      <c r="K1740" s="8">
        <v>193</v>
      </c>
      <c r="L1740" s="8">
        <v>128</v>
      </c>
      <c r="M1740" s="8">
        <v>72</v>
      </c>
      <c r="N1740" s="8">
        <v>1.27</v>
      </c>
      <c r="O1740" s="8">
        <v>1479</v>
      </c>
      <c r="P1740" s="8" t="s">
        <v>21</v>
      </c>
      <c r="Q1740" s="8" t="str">
        <f>_xlfn.IFS(AND(Table13[[#This Row],[Gender]]="female",R1740&lt;20),"Athletes",AND(Table13[[#This Row],[Gender]]="female",R1740&lt;24),"Fitnesss",AND(Table13[[#This Row],[Gender]]="female",R1740&lt;31),"Acceptable",AND(Table13[[#This Row],[Gender]]="female",R1740&lt;40),"Obese",AND(Table13[[#This Row],[Gender]]="male",R1740&lt;13),"Athletes",AND(Table13[[#This Row],[Gender]]="male",R1740&lt;17),"Fitnesss",AND(Table13[[#This Row],[Gender]]="male",R1740&lt;24.9),"Acceptable",AND(Table13[[#This Row],[Gender]]="male",R1740&lt;40),"Obese",AND(Table13[[#This Row],[Gender]]="others",R1740&lt;20),"Athletes",AND(Table13[[#This Row],[Gender]]="others",R1740&lt;24),"Fitnesss",AND(Table13[[#This Row],[Gender]]="others",R1740&lt;31),"Acceptable",AND(Table13[[#This Row],[Gender]]="others",R1740&lt;40),"Obese")</f>
        <v>Acceptable</v>
      </c>
      <c r="R1740" s="8">
        <v>26.3</v>
      </c>
      <c r="S1740" s="8">
        <v>3.4</v>
      </c>
      <c r="T1740" s="8">
        <v>3</v>
      </c>
      <c r="U1740" s="8">
        <v>1</v>
      </c>
      <c r="V1740" s="8" t="str">
        <f>IF(Table13[[#This Row],[BMI]]&lt;=18.5,"Underweight",IF(Table13[[#This Row],[BMI]]&lt;=24.9,"Normal",IF(Table13[[#This Row],[BMI]]&lt;=29.9,"Overweight",IF(Table13[[#This Row],[BMI]]&lt;=39,"Obese","Severly Obese"))))</f>
        <v>Obese</v>
      </c>
      <c r="W1740" s="18">
        <v>31.04</v>
      </c>
    </row>
    <row r="1741" spans="6:23" x14ac:dyDescent="0.3">
      <c r="F1741" s="17">
        <v>18</v>
      </c>
      <c r="G1741" s="8" t="str">
        <f>IF(Table13[[#This Row],[Age]]&lt;25,"18-24",IF(Table13[[#This Row],[Age]]&lt;35,"25-34",IF(Table13[[#This Row],[Age]]&lt;45,"35-44",IF(Table13[[#This Row],[Age]]&lt;55,"45-54","55-64"))))</f>
        <v>18-24</v>
      </c>
      <c r="H1741" s="8" t="s">
        <v>19</v>
      </c>
      <c r="I1741" s="8">
        <v>65.900000000000006</v>
      </c>
      <c r="J1741" s="8">
        <v>1.78</v>
      </c>
      <c r="K1741" s="8">
        <v>170</v>
      </c>
      <c r="L1741" s="8">
        <v>135</v>
      </c>
      <c r="M1741" s="8">
        <v>69</v>
      </c>
      <c r="N1741" s="8">
        <v>2</v>
      </c>
      <c r="O1741" s="8">
        <v>1734</v>
      </c>
      <c r="P1741" s="8" t="s">
        <v>22</v>
      </c>
      <c r="Q1741" s="8" t="str">
        <f>_xlfn.IFS(AND(Table13[[#This Row],[Gender]]="female",R1741&lt;20),"Athletes",AND(Table13[[#This Row],[Gender]]="female",R1741&lt;24),"Fitnesss",AND(Table13[[#This Row],[Gender]]="female",R1741&lt;31),"Acceptable",AND(Table13[[#This Row],[Gender]]="female",R1741&lt;40),"Obese",AND(Table13[[#This Row],[Gender]]="male",R1741&lt;13),"Athletes",AND(Table13[[#This Row],[Gender]]="male",R1741&lt;17),"Fitnesss",AND(Table13[[#This Row],[Gender]]="male",R1741&lt;24.9),"Acceptable",AND(Table13[[#This Row],[Gender]]="male",R1741&lt;40),"Obese",AND(Table13[[#This Row],[Gender]]="others",R1741&lt;20),"Athletes",AND(Table13[[#This Row],[Gender]]="others",R1741&lt;24),"Fitnesss",AND(Table13[[#This Row],[Gender]]="others",R1741&lt;31),"Acceptable",AND(Table13[[#This Row],[Gender]]="others",R1741&lt;40),"Obese")</f>
        <v>Acceptable</v>
      </c>
      <c r="R1741" s="8">
        <v>23.9</v>
      </c>
      <c r="S1741" s="8">
        <v>3.1</v>
      </c>
      <c r="T1741" s="8">
        <v>3</v>
      </c>
      <c r="U1741" s="8">
        <v>1</v>
      </c>
      <c r="V1741" s="8" t="str">
        <f>IF(Table13[[#This Row],[BMI]]&lt;=18.5,"Underweight",IF(Table13[[#This Row],[BMI]]&lt;=24.9,"Normal",IF(Table13[[#This Row],[BMI]]&lt;=29.9,"Overweight",IF(Table13[[#This Row],[BMI]]&lt;=39,"Obese","Severly Obese"))))</f>
        <v>Normal</v>
      </c>
      <c r="W1741" s="18">
        <v>24.81</v>
      </c>
    </row>
    <row r="1742" spans="6:23" x14ac:dyDescent="0.3">
      <c r="F1742" s="17">
        <v>18</v>
      </c>
      <c r="G1742" s="8" t="str">
        <f>IF(Table13[[#This Row],[Age]]&lt;25,"18-24",IF(Table13[[#This Row],[Age]]&lt;35,"25-34",IF(Table13[[#This Row],[Age]]&lt;45,"35-44",IF(Table13[[#This Row],[Age]]&lt;55,"45-54","55-64"))))</f>
        <v>18-24</v>
      </c>
      <c r="H1742" s="8" t="s">
        <v>17</v>
      </c>
      <c r="I1742" s="8">
        <v>61</v>
      </c>
      <c r="J1742" s="8">
        <v>1.51</v>
      </c>
      <c r="K1742" s="8">
        <v>173</v>
      </c>
      <c r="L1742" s="8">
        <v>146</v>
      </c>
      <c r="M1742" s="8">
        <v>58</v>
      </c>
      <c r="N1742" s="8">
        <v>2</v>
      </c>
      <c r="O1742" s="8">
        <v>1403</v>
      </c>
      <c r="P1742" s="8" t="s">
        <v>20</v>
      </c>
      <c r="Q1742" s="8" t="str">
        <f>_xlfn.IFS(AND(Table13[[#This Row],[Gender]]="female",R1742&lt;20),"Athletes",AND(Table13[[#This Row],[Gender]]="female",R1742&lt;24),"Fitnesss",AND(Table13[[#This Row],[Gender]]="female",R1742&lt;31),"Acceptable",AND(Table13[[#This Row],[Gender]]="female",R1742&lt;40),"Obese",AND(Table13[[#This Row],[Gender]]="male",R1742&lt;13),"Athletes",AND(Table13[[#This Row],[Gender]]="male",R1742&lt;17),"Fitnesss",AND(Table13[[#This Row],[Gender]]="male",R1742&lt;24.9),"Acceptable",AND(Table13[[#This Row],[Gender]]="male",R1742&lt;40),"Obese",AND(Table13[[#This Row],[Gender]]="others",R1742&lt;20),"Athletes",AND(Table13[[#This Row],[Gender]]="others",R1742&lt;24),"Fitnesss",AND(Table13[[#This Row],[Gender]]="others",R1742&lt;31),"Acceptable",AND(Table13[[#This Row],[Gender]]="others",R1742&lt;40),"Obese")</f>
        <v>Fitnesss</v>
      </c>
      <c r="R1742" s="8">
        <v>21.7</v>
      </c>
      <c r="S1742" s="8">
        <v>2.1</v>
      </c>
      <c r="T1742" s="8">
        <v>2</v>
      </c>
      <c r="U1742" s="8">
        <v>2</v>
      </c>
      <c r="V1742" s="8" t="str">
        <f>IF(Table13[[#This Row],[BMI]]&lt;=18.5,"Underweight",IF(Table13[[#This Row],[BMI]]&lt;=24.9,"Normal",IF(Table13[[#This Row],[BMI]]&lt;=29.9,"Overweight",IF(Table13[[#This Row],[BMI]]&lt;=39,"Obese","Severly Obese"))))</f>
        <v>Underweight</v>
      </c>
      <c r="W1742" s="18">
        <v>12.32</v>
      </c>
    </row>
    <row r="1743" spans="6:23" x14ac:dyDescent="0.3">
      <c r="F1743" s="17">
        <v>22</v>
      </c>
      <c r="G1743" s="8" t="str">
        <f>IF(Table13[[#This Row],[Age]]&lt;25,"18-24",IF(Table13[[#This Row],[Age]]&lt;35,"25-34",IF(Table13[[#This Row],[Age]]&lt;45,"35-44",IF(Table13[[#This Row],[Age]]&lt;55,"45-54","55-64"))))</f>
        <v>18-24</v>
      </c>
      <c r="H1743" s="8" t="s">
        <v>19</v>
      </c>
      <c r="I1743" s="8">
        <v>71</v>
      </c>
      <c r="J1743" s="8">
        <v>1.72</v>
      </c>
      <c r="K1743" s="8">
        <v>192</v>
      </c>
      <c r="L1743" s="8">
        <v>128</v>
      </c>
      <c r="M1743" s="8">
        <v>59</v>
      </c>
      <c r="N1743" s="8">
        <v>1.44</v>
      </c>
      <c r="O1743" s="8">
        <v>1436</v>
      </c>
      <c r="P1743" s="8" t="s">
        <v>20</v>
      </c>
      <c r="Q1743" s="8" t="str">
        <f>_xlfn.IFS(AND(Table13[[#This Row],[Gender]]="female",R1743&lt;20),"Athletes",AND(Table13[[#This Row],[Gender]]="female",R1743&lt;24),"Fitnesss",AND(Table13[[#This Row],[Gender]]="female",R1743&lt;31),"Acceptable",AND(Table13[[#This Row],[Gender]]="female",R1743&lt;40),"Obese",AND(Table13[[#This Row],[Gender]]="male",R1743&lt;13),"Athletes",AND(Table13[[#This Row],[Gender]]="male",R1743&lt;17),"Fitnesss",AND(Table13[[#This Row],[Gender]]="male",R1743&lt;24.9),"Acceptable",AND(Table13[[#This Row],[Gender]]="male",R1743&lt;40),"Obese",AND(Table13[[#This Row],[Gender]]="others",R1743&lt;20),"Athletes",AND(Table13[[#This Row],[Gender]]="others",R1743&lt;24),"Fitnesss",AND(Table13[[#This Row],[Gender]]="others",R1743&lt;31),"Acceptable",AND(Table13[[#This Row],[Gender]]="others",R1743&lt;40),"Obese")</f>
        <v>Obese</v>
      </c>
      <c r="R1743" s="8">
        <v>28.5</v>
      </c>
      <c r="S1743" s="8">
        <v>3.2</v>
      </c>
      <c r="T1743" s="8">
        <v>3</v>
      </c>
      <c r="U1743" s="8">
        <v>2</v>
      </c>
      <c r="V1743" s="8" t="str">
        <f>IF(Table13[[#This Row],[BMI]]&lt;=18.5,"Underweight",IF(Table13[[#This Row],[BMI]]&lt;=24.9,"Normal",IF(Table13[[#This Row],[BMI]]&lt;=29.9,"Overweight",IF(Table13[[#This Row],[BMI]]&lt;=39,"Obese","Severly Obese"))))</f>
        <v>Underweight</v>
      </c>
      <c r="W1743" s="18">
        <v>17.82</v>
      </c>
    </row>
    <row r="1744" spans="6:23" x14ac:dyDescent="0.3">
      <c r="F1744" s="17">
        <v>44</v>
      </c>
      <c r="G1744" s="8" t="str">
        <f>IF(Table13[[#This Row],[Age]]&lt;25,"18-24",IF(Table13[[#This Row],[Age]]&lt;35,"25-34",IF(Table13[[#This Row],[Age]]&lt;45,"35-44",IF(Table13[[#This Row],[Age]]&lt;55,"45-54","55-64"))))</f>
        <v>35-44</v>
      </c>
      <c r="H1744" s="8" t="s">
        <v>19</v>
      </c>
      <c r="I1744" s="8">
        <v>56.7</v>
      </c>
      <c r="J1744" s="8">
        <v>1.77</v>
      </c>
      <c r="K1744" s="8">
        <v>194</v>
      </c>
      <c r="L1744" s="8">
        <v>161</v>
      </c>
      <c r="M1744" s="8">
        <v>68</v>
      </c>
      <c r="N1744" s="8">
        <v>1.47</v>
      </c>
      <c r="O1744" s="8"/>
      <c r="P1744" s="8" t="s">
        <v>18</v>
      </c>
      <c r="Q1744" s="8" t="str">
        <f>_xlfn.IFS(AND(Table13[[#This Row],[Gender]]="female",R1744&lt;20),"Athletes",AND(Table13[[#This Row],[Gender]]="female",R1744&lt;24),"Fitnesss",AND(Table13[[#This Row],[Gender]]="female",R1744&lt;31),"Acceptable",AND(Table13[[#This Row],[Gender]]="female",R1744&lt;40),"Obese",AND(Table13[[#This Row],[Gender]]="male",R1744&lt;13),"Athletes",AND(Table13[[#This Row],[Gender]]="male",R1744&lt;17),"Fitnesss",AND(Table13[[#This Row],[Gender]]="male",R1744&lt;24.9),"Acceptable",AND(Table13[[#This Row],[Gender]]="male",R1744&lt;40),"Obese",AND(Table13[[#This Row],[Gender]]="others",R1744&lt;20),"Athletes",AND(Table13[[#This Row],[Gender]]="others",R1744&lt;24),"Fitnesss",AND(Table13[[#This Row],[Gender]]="others",R1744&lt;31),"Acceptable",AND(Table13[[#This Row],[Gender]]="others",R1744&lt;40),"Obese")</f>
        <v>Obese</v>
      </c>
      <c r="R1744" s="8">
        <v>28</v>
      </c>
      <c r="S1744" s="8">
        <v>3.5</v>
      </c>
      <c r="T1744" s="8">
        <v>2</v>
      </c>
      <c r="U1744" s="8">
        <v>3</v>
      </c>
      <c r="V1744" s="8" t="str">
        <f>IF(Table13[[#This Row],[BMI]]&lt;=18.5,"Underweight",IF(Table13[[#This Row],[BMI]]&lt;=24.9,"Normal",IF(Table13[[#This Row],[BMI]]&lt;=29.9,"Overweight",IF(Table13[[#This Row],[BMI]]&lt;=39,"Obese","Severly Obese"))))</f>
        <v>Normal</v>
      </c>
      <c r="W1744" s="18">
        <v>19.97</v>
      </c>
    </row>
    <row r="1745" spans="6:23" x14ac:dyDescent="0.3">
      <c r="F1745" s="17">
        <v>42</v>
      </c>
      <c r="G1745" s="8" t="str">
        <f>IF(Table13[[#This Row],[Age]]&lt;25,"18-24",IF(Table13[[#This Row],[Age]]&lt;35,"25-34",IF(Table13[[#This Row],[Age]]&lt;45,"35-44",IF(Table13[[#This Row],[Age]]&lt;55,"45-54","55-64"))))</f>
        <v>35-44</v>
      </c>
      <c r="H1745" s="8" t="s">
        <v>17</v>
      </c>
      <c r="I1745" s="8">
        <v>57.3</v>
      </c>
      <c r="J1745" s="8">
        <v>1.76</v>
      </c>
      <c r="K1745" s="8">
        <v>174</v>
      </c>
      <c r="L1745" s="8">
        <v>131</v>
      </c>
      <c r="M1745" s="8">
        <v>74</v>
      </c>
      <c r="N1745" s="8">
        <v>1.1299999999999999</v>
      </c>
      <c r="O1745" s="8">
        <v>841</v>
      </c>
      <c r="P1745" s="8" t="s">
        <v>22</v>
      </c>
      <c r="Q1745" s="8" t="str">
        <f>_xlfn.IFS(AND(Table13[[#This Row],[Gender]]="female",R1745&lt;20),"Athletes",AND(Table13[[#This Row],[Gender]]="female",R1745&lt;24),"Fitnesss",AND(Table13[[#This Row],[Gender]]="female",R1745&lt;31),"Acceptable",AND(Table13[[#This Row],[Gender]]="female",R1745&lt;40),"Obese",AND(Table13[[#This Row],[Gender]]="male",R1745&lt;13),"Athletes",AND(Table13[[#This Row],[Gender]]="male",R1745&lt;17),"Fitnesss",AND(Table13[[#This Row],[Gender]]="male",R1745&lt;24.9),"Acceptable",AND(Table13[[#This Row],[Gender]]="male",R1745&lt;40),"Obese",AND(Table13[[#This Row],[Gender]]="others",R1745&lt;20),"Athletes",AND(Table13[[#This Row],[Gender]]="others",R1745&lt;24),"Fitnesss",AND(Table13[[#This Row],[Gender]]="others",R1745&lt;31),"Acceptable",AND(Table13[[#This Row],[Gender]]="others",R1745&lt;40),"Obese")</f>
        <v>Fitnesss</v>
      </c>
      <c r="R1745" s="8">
        <v>22.1</v>
      </c>
      <c r="S1745" s="8">
        <v>1.9</v>
      </c>
      <c r="T1745" s="8">
        <v>4</v>
      </c>
      <c r="U1745" s="8">
        <v>3</v>
      </c>
      <c r="V1745" s="8" t="str">
        <f>IF(Table13[[#This Row],[BMI]]&lt;=18.5,"Underweight",IF(Table13[[#This Row],[BMI]]&lt;=24.9,"Normal",IF(Table13[[#This Row],[BMI]]&lt;=29.9,"Overweight",IF(Table13[[#This Row],[BMI]]&lt;=39,"Obese","Severly Obese"))))</f>
        <v>Underweight</v>
      </c>
      <c r="W1745" s="18">
        <v>12.46</v>
      </c>
    </row>
    <row r="1746" spans="6:23" x14ac:dyDescent="0.3">
      <c r="F1746" s="17">
        <v>26</v>
      </c>
      <c r="G1746" s="8" t="str">
        <f>IF(Table13[[#This Row],[Age]]&lt;25,"18-24",IF(Table13[[#This Row],[Age]]&lt;35,"25-34",IF(Table13[[#This Row],[Age]]&lt;45,"35-44",IF(Table13[[#This Row],[Age]]&lt;55,"45-54","55-64"))))</f>
        <v>25-34</v>
      </c>
      <c r="H1746" s="8" t="s">
        <v>19</v>
      </c>
      <c r="I1746" s="8">
        <v>95.2</v>
      </c>
      <c r="J1746" s="8">
        <v>1.68</v>
      </c>
      <c r="K1746" s="8">
        <v>163</v>
      </c>
      <c r="L1746" s="8">
        <v>142</v>
      </c>
      <c r="M1746" s="8">
        <v>68</v>
      </c>
      <c r="N1746" s="8">
        <v>0.71</v>
      </c>
      <c r="O1746" s="8">
        <v>1196</v>
      </c>
      <c r="P1746" s="8" t="s">
        <v>18</v>
      </c>
      <c r="Q1746" s="8" t="str">
        <f>_xlfn.IFS(AND(Table13[[#This Row],[Gender]]="female",R1746&lt;20),"Athletes",AND(Table13[[#This Row],[Gender]]="female",R1746&lt;24),"Fitnesss",AND(Table13[[#This Row],[Gender]]="female",R1746&lt;31),"Acceptable",AND(Table13[[#This Row],[Gender]]="female",R1746&lt;40),"Obese",AND(Table13[[#This Row],[Gender]]="male",R1746&lt;13),"Athletes",AND(Table13[[#This Row],[Gender]]="male",R1746&lt;17),"Fitnesss",AND(Table13[[#This Row],[Gender]]="male",R1746&lt;24.9),"Acceptable",AND(Table13[[#This Row],[Gender]]="male",R1746&lt;40),"Obese",AND(Table13[[#This Row],[Gender]]="others",R1746&lt;20),"Athletes",AND(Table13[[#This Row],[Gender]]="others",R1746&lt;24),"Fitnesss",AND(Table13[[#This Row],[Gender]]="others",R1746&lt;31),"Acceptable",AND(Table13[[#This Row],[Gender]]="others",R1746&lt;40),"Obese")</f>
        <v>Acceptable</v>
      </c>
      <c r="R1746" s="8">
        <v>24.2</v>
      </c>
      <c r="S1746" s="8">
        <v>3.7</v>
      </c>
      <c r="T1746" s="8">
        <v>4</v>
      </c>
      <c r="U1746" s="8">
        <v>2</v>
      </c>
      <c r="V1746" s="8" t="str">
        <f>IF(Table13[[#This Row],[BMI]]&lt;=18.5,"Underweight",IF(Table13[[#This Row],[BMI]]&lt;=24.9,"Normal",IF(Table13[[#This Row],[BMI]]&lt;=29.9,"Overweight",IF(Table13[[#This Row],[BMI]]&lt;=39,"Obese","Severly Obese"))))</f>
        <v>Normal</v>
      </c>
      <c r="W1746" s="18">
        <v>19.46</v>
      </c>
    </row>
    <row r="1747" spans="6:23" x14ac:dyDescent="0.3">
      <c r="F1747" s="17">
        <v>38</v>
      </c>
      <c r="G1747" s="8" t="str">
        <f>IF(Table13[[#This Row],[Age]]&lt;25,"18-24",IF(Table13[[#This Row],[Age]]&lt;35,"25-34",IF(Table13[[#This Row],[Age]]&lt;45,"35-44",IF(Table13[[#This Row],[Age]]&lt;55,"45-54","55-64"))))</f>
        <v>35-44</v>
      </c>
      <c r="H1747" s="8" t="s">
        <v>19</v>
      </c>
      <c r="I1747" s="8">
        <v>71.7</v>
      </c>
      <c r="J1747" s="8">
        <v>1.71</v>
      </c>
      <c r="K1747" s="8">
        <v>187</v>
      </c>
      <c r="L1747" s="8"/>
      <c r="M1747" s="8">
        <v>74</v>
      </c>
      <c r="N1747" s="8">
        <v>1.39</v>
      </c>
      <c r="O1747" s="8">
        <v>542</v>
      </c>
      <c r="P1747" s="8" t="s">
        <v>22</v>
      </c>
      <c r="Q1747" s="8" t="str">
        <f>_xlfn.IFS(AND(Table13[[#This Row],[Gender]]="female",R1747&lt;20),"Athletes",AND(Table13[[#This Row],[Gender]]="female",R1747&lt;24),"Fitnesss",AND(Table13[[#This Row],[Gender]]="female",R1747&lt;31),"Acceptable",AND(Table13[[#This Row],[Gender]]="female",R1747&lt;40),"Obese",AND(Table13[[#This Row],[Gender]]="male",R1747&lt;13),"Athletes",AND(Table13[[#This Row],[Gender]]="male",R1747&lt;17),"Fitnesss",AND(Table13[[#This Row],[Gender]]="male",R1747&lt;24.9),"Acceptable",AND(Table13[[#This Row],[Gender]]="male",R1747&lt;40),"Obese",AND(Table13[[#This Row],[Gender]]="others",R1747&lt;20),"Athletes",AND(Table13[[#This Row],[Gender]]="others",R1747&lt;24),"Fitnesss",AND(Table13[[#This Row],[Gender]]="others",R1747&lt;31),"Acceptable",AND(Table13[[#This Row],[Gender]]="others",R1747&lt;40),"Obese")</f>
        <v>Obese</v>
      </c>
      <c r="R1747" s="8">
        <v>26.5</v>
      </c>
      <c r="S1747" s="8">
        <v>3.1</v>
      </c>
      <c r="T1747" s="8">
        <v>3</v>
      </c>
      <c r="U1747" s="8">
        <v>1</v>
      </c>
      <c r="V1747" s="8" t="str">
        <f>IF(Table13[[#This Row],[BMI]]&lt;=18.5,"Underweight",IF(Table13[[#This Row],[BMI]]&lt;=24.9,"Normal",IF(Table13[[#This Row],[BMI]]&lt;=29.9,"Overweight",IF(Table13[[#This Row],[BMI]]&lt;=39,"Obese","Severly Obese"))))</f>
        <v>Underweight</v>
      </c>
      <c r="W1747" s="18">
        <v>12.32</v>
      </c>
    </row>
    <row r="1748" spans="6:23" x14ac:dyDescent="0.3">
      <c r="F1748" s="17">
        <v>49</v>
      </c>
      <c r="G1748" s="8" t="str">
        <f>IF(Table13[[#This Row],[Age]]&lt;25,"18-24",IF(Table13[[#This Row],[Age]]&lt;35,"25-34",IF(Table13[[#This Row],[Age]]&lt;45,"35-44",IF(Table13[[#This Row],[Age]]&lt;55,"45-54","55-64"))))</f>
        <v>45-54</v>
      </c>
      <c r="H1748" s="8" t="s">
        <v>17</v>
      </c>
      <c r="I1748" s="8">
        <v>68.8</v>
      </c>
      <c r="J1748" s="8">
        <v>1.66</v>
      </c>
      <c r="K1748" s="8">
        <v>190</v>
      </c>
      <c r="L1748" s="8">
        <v>137</v>
      </c>
      <c r="M1748" s="8">
        <v>63</v>
      </c>
      <c r="N1748" s="8">
        <v>2</v>
      </c>
      <c r="O1748" s="8">
        <v>1023</v>
      </c>
      <c r="P1748" s="8" t="s">
        <v>22</v>
      </c>
      <c r="Q1748" s="8" t="str">
        <f>_xlfn.IFS(AND(Table13[[#This Row],[Gender]]="female",R1748&lt;20),"Athletes",AND(Table13[[#This Row],[Gender]]="female",R1748&lt;24),"Fitnesss",AND(Table13[[#This Row],[Gender]]="female",R1748&lt;31),"Acceptable",AND(Table13[[#This Row],[Gender]]="female",R1748&lt;40),"Obese",AND(Table13[[#This Row],[Gender]]="male",R1748&lt;13),"Athletes",AND(Table13[[#This Row],[Gender]]="male",R1748&lt;17),"Fitnesss",AND(Table13[[#This Row],[Gender]]="male",R1748&lt;24.9),"Acceptable",AND(Table13[[#This Row],[Gender]]="male",R1748&lt;40),"Obese",AND(Table13[[#This Row],[Gender]]="others",R1748&lt;20),"Athletes",AND(Table13[[#This Row],[Gender]]="others",R1748&lt;24),"Fitnesss",AND(Table13[[#This Row],[Gender]]="others",R1748&lt;31),"Acceptable",AND(Table13[[#This Row],[Gender]]="others",R1748&lt;40),"Obese")</f>
        <v>Acceptable</v>
      </c>
      <c r="R1748" s="8">
        <v>26.2</v>
      </c>
      <c r="S1748" s="8">
        <v>2.6</v>
      </c>
      <c r="T1748" s="8">
        <v>2</v>
      </c>
      <c r="U1748" s="8">
        <v>1</v>
      </c>
      <c r="V1748" s="8" t="str">
        <f>IF(Table13[[#This Row],[BMI]]&lt;=18.5,"Underweight",IF(Table13[[#This Row],[BMI]]&lt;=24.9,"Normal",IF(Table13[[#This Row],[BMI]]&lt;=29.9,"Overweight",IF(Table13[[#This Row],[BMI]]&lt;=39,"Obese","Severly Obese"))))</f>
        <v>Underweight</v>
      </c>
      <c r="W1748" s="18">
        <v>15.5</v>
      </c>
    </row>
    <row r="1749" spans="6:23" x14ac:dyDescent="0.3">
      <c r="F1749" s="17">
        <v>43</v>
      </c>
      <c r="G1749" s="8" t="str">
        <f>IF(Table13[[#This Row],[Age]]&lt;25,"18-24",IF(Table13[[#This Row],[Age]]&lt;35,"25-34",IF(Table13[[#This Row],[Age]]&lt;45,"35-44",IF(Table13[[#This Row],[Age]]&lt;55,"45-54","55-64"))))</f>
        <v>35-44</v>
      </c>
      <c r="H1749" s="8" t="s">
        <v>17</v>
      </c>
      <c r="I1749" s="8">
        <v>69.7</v>
      </c>
      <c r="J1749" s="8">
        <v>1.75</v>
      </c>
      <c r="K1749" s="8">
        <v>193</v>
      </c>
      <c r="L1749" s="8">
        <v>162</v>
      </c>
      <c r="M1749" s="8">
        <v>53</v>
      </c>
      <c r="N1749" s="8">
        <v>0.52</v>
      </c>
      <c r="O1749" s="8">
        <v>1262</v>
      </c>
      <c r="P1749" s="8" t="s">
        <v>20</v>
      </c>
      <c r="Q1749" s="8" t="str">
        <f>_xlfn.IFS(AND(Table13[[#This Row],[Gender]]="female",R1749&lt;20),"Athletes",AND(Table13[[#This Row],[Gender]]="female",R1749&lt;24),"Fitnesss",AND(Table13[[#This Row],[Gender]]="female",R1749&lt;31),"Acceptable",AND(Table13[[#This Row],[Gender]]="female",R1749&lt;40),"Obese",AND(Table13[[#This Row],[Gender]]="male",R1749&lt;13),"Athletes",AND(Table13[[#This Row],[Gender]]="male",R1749&lt;17),"Fitnesss",AND(Table13[[#This Row],[Gender]]="male",R1749&lt;24.9),"Acceptable",AND(Table13[[#This Row],[Gender]]="male",R1749&lt;40),"Obese",AND(Table13[[#This Row],[Gender]]="others",R1749&lt;20),"Athletes",AND(Table13[[#This Row],[Gender]]="others",R1749&lt;24),"Fitnesss",AND(Table13[[#This Row],[Gender]]="others",R1749&lt;31),"Acceptable",AND(Table13[[#This Row],[Gender]]="others",R1749&lt;40),"Obese")</f>
        <v>Acceptable</v>
      </c>
      <c r="R1749" s="8">
        <v>26.1</v>
      </c>
      <c r="S1749" s="8">
        <v>1.5</v>
      </c>
      <c r="T1749" s="8">
        <v>3</v>
      </c>
      <c r="U1749" s="8">
        <v>2</v>
      </c>
      <c r="V1749" s="8" t="str">
        <f>IF(Table13[[#This Row],[BMI]]&lt;=18.5,"Underweight",IF(Table13[[#This Row],[BMI]]&lt;=24.9,"Normal",IF(Table13[[#This Row],[BMI]]&lt;=29.9,"Overweight",IF(Table13[[#This Row],[BMI]]&lt;=39,"Obese","Severly Obese"))))</f>
        <v>Normal</v>
      </c>
      <c r="W1749" s="18">
        <v>22.68</v>
      </c>
    </row>
    <row r="1750" spans="6:23" x14ac:dyDescent="0.3">
      <c r="F1750" s="17">
        <v>34</v>
      </c>
      <c r="G1750" s="8" t="str">
        <f>IF(Table13[[#This Row],[Age]]&lt;25,"18-24",IF(Table13[[#This Row],[Age]]&lt;35,"25-34",IF(Table13[[#This Row],[Age]]&lt;45,"35-44",IF(Table13[[#This Row],[Age]]&lt;55,"45-54","55-64"))))</f>
        <v>25-34</v>
      </c>
      <c r="H1750" s="8" t="s">
        <v>17</v>
      </c>
      <c r="I1750" s="8">
        <v>102.9</v>
      </c>
      <c r="J1750" s="8">
        <v>1.64</v>
      </c>
      <c r="K1750" s="8">
        <v>188</v>
      </c>
      <c r="L1750" s="8">
        <v>124</v>
      </c>
      <c r="M1750" s="8">
        <v>74</v>
      </c>
      <c r="N1750" s="8">
        <v>1.24</v>
      </c>
      <c r="O1750" s="8">
        <v>700</v>
      </c>
      <c r="P1750" s="8" t="s">
        <v>18</v>
      </c>
      <c r="Q1750" s="8" t="str">
        <f>_xlfn.IFS(AND(Table13[[#This Row],[Gender]]="female",R1750&lt;20),"Athletes",AND(Table13[[#This Row],[Gender]]="female",R1750&lt;24),"Fitnesss",AND(Table13[[#This Row],[Gender]]="female",R1750&lt;31),"Acceptable",AND(Table13[[#This Row],[Gender]]="female",R1750&lt;40),"Obese",AND(Table13[[#This Row],[Gender]]="male",R1750&lt;13),"Athletes",AND(Table13[[#This Row],[Gender]]="male",R1750&lt;17),"Fitnesss",AND(Table13[[#This Row],[Gender]]="male",R1750&lt;24.9),"Acceptable",AND(Table13[[#This Row],[Gender]]="male",R1750&lt;40),"Obese",AND(Table13[[#This Row],[Gender]]="others",R1750&lt;20),"Athletes",AND(Table13[[#This Row],[Gender]]="others",R1750&lt;24),"Fitnesss",AND(Table13[[#This Row],[Gender]]="others",R1750&lt;31),"Acceptable",AND(Table13[[#This Row],[Gender]]="others",R1750&lt;40),"Obese")</f>
        <v>Acceptable</v>
      </c>
      <c r="R1750" s="8">
        <v>24.2</v>
      </c>
      <c r="S1750" s="8">
        <v>3.3</v>
      </c>
      <c r="T1750" s="8">
        <v>4</v>
      </c>
      <c r="U1750" s="8">
        <v>1</v>
      </c>
      <c r="V1750" s="8" t="str">
        <f>IF(Table13[[#This Row],[BMI]]&lt;=18.5,"Underweight",IF(Table13[[#This Row],[BMI]]&lt;=24.9,"Normal",IF(Table13[[#This Row],[BMI]]&lt;=29.9,"Overweight",IF(Table13[[#This Row],[BMI]]&lt;=39,"Obese","Severly Obese"))))</f>
        <v>Underweight</v>
      </c>
      <c r="W1750" s="18">
        <v>14.76</v>
      </c>
    </row>
    <row r="1751" spans="6:23" x14ac:dyDescent="0.3">
      <c r="F1751" s="17">
        <v>23</v>
      </c>
      <c r="G1751" s="8" t="str">
        <f>IF(Table13[[#This Row],[Age]]&lt;25,"18-24",IF(Table13[[#This Row],[Age]]&lt;35,"25-34",IF(Table13[[#This Row],[Age]]&lt;45,"35-44",IF(Table13[[#This Row],[Age]]&lt;55,"45-54","55-64"))))</f>
        <v>18-24</v>
      </c>
      <c r="H1751" s="8" t="s">
        <v>17</v>
      </c>
      <c r="I1751" s="8">
        <v>90.5</v>
      </c>
      <c r="J1751" s="8">
        <v>1.5</v>
      </c>
      <c r="K1751" s="8">
        <v>182</v>
      </c>
      <c r="L1751" s="8">
        <v>148</v>
      </c>
      <c r="M1751" s="8">
        <v>67</v>
      </c>
      <c r="N1751" s="8">
        <v>1.1599999999999999</v>
      </c>
      <c r="O1751" s="8">
        <v>1204</v>
      </c>
      <c r="P1751" s="8" t="s">
        <v>18</v>
      </c>
      <c r="Q1751" s="8" t="str">
        <f>_xlfn.IFS(AND(Table13[[#This Row],[Gender]]="female",R1751&lt;20),"Athletes",AND(Table13[[#This Row],[Gender]]="female",R1751&lt;24),"Fitnesss",AND(Table13[[#This Row],[Gender]]="female",R1751&lt;31),"Acceptable",AND(Table13[[#This Row],[Gender]]="female",R1751&lt;40),"Obese",AND(Table13[[#This Row],[Gender]]="male",R1751&lt;13),"Athletes",AND(Table13[[#This Row],[Gender]]="male",R1751&lt;17),"Fitnesss",AND(Table13[[#This Row],[Gender]]="male",R1751&lt;24.9),"Acceptable",AND(Table13[[#This Row],[Gender]]="male",R1751&lt;40),"Obese",AND(Table13[[#This Row],[Gender]]="others",R1751&lt;20),"Athletes",AND(Table13[[#This Row],[Gender]]="others",R1751&lt;24),"Fitnesss",AND(Table13[[#This Row],[Gender]]="others",R1751&lt;31),"Acceptable",AND(Table13[[#This Row],[Gender]]="others",R1751&lt;40),"Obese")</f>
        <v>Fitnesss</v>
      </c>
      <c r="R1751" s="8">
        <v>23.3</v>
      </c>
      <c r="S1751" s="8">
        <v>2.8</v>
      </c>
      <c r="T1751" s="8">
        <v>2</v>
      </c>
      <c r="U1751" s="8">
        <v>2</v>
      </c>
      <c r="V1751" s="8" t="str">
        <f>IF(Table13[[#This Row],[BMI]]&lt;=18.5,"Underweight",IF(Table13[[#This Row],[BMI]]&lt;=24.9,"Normal",IF(Table13[[#This Row],[BMI]]&lt;=29.9,"Overweight",IF(Table13[[#This Row],[BMI]]&lt;=39,"Obese","Severly Obese"))))</f>
        <v>Underweight</v>
      </c>
      <c r="W1751" s="18">
        <v>15.69</v>
      </c>
    </row>
    <row r="1752" spans="6:23" x14ac:dyDescent="0.3">
      <c r="F1752" s="17">
        <v>29</v>
      </c>
      <c r="G1752" s="8" t="str">
        <f>IF(Table13[[#This Row],[Age]]&lt;25,"18-24",IF(Table13[[#This Row],[Age]]&lt;35,"25-34",IF(Table13[[#This Row],[Age]]&lt;45,"35-44",IF(Table13[[#This Row],[Age]]&lt;55,"45-54","55-64"))))</f>
        <v>25-34</v>
      </c>
      <c r="H1752" s="8" t="s">
        <v>17</v>
      </c>
      <c r="I1752" s="8">
        <v>40</v>
      </c>
      <c r="J1752" s="8">
        <v>1.72</v>
      </c>
      <c r="K1752" s="8">
        <v>194</v>
      </c>
      <c r="L1752" s="8">
        <v>127</v>
      </c>
      <c r="M1752" s="8">
        <v>68</v>
      </c>
      <c r="N1752" s="8">
        <v>1.51</v>
      </c>
      <c r="O1752" s="8">
        <v>1005</v>
      </c>
      <c r="P1752" s="8" t="s">
        <v>21</v>
      </c>
      <c r="Q1752" s="8" t="str">
        <f>_xlfn.IFS(AND(Table13[[#This Row],[Gender]]="female",R1752&lt;20),"Athletes",AND(Table13[[#This Row],[Gender]]="female",R1752&lt;24),"Fitnesss",AND(Table13[[#This Row],[Gender]]="female",R1752&lt;31),"Acceptable",AND(Table13[[#This Row],[Gender]]="female",R1752&lt;40),"Obese",AND(Table13[[#This Row],[Gender]]="male",R1752&lt;13),"Athletes",AND(Table13[[#This Row],[Gender]]="male",R1752&lt;17),"Fitnesss",AND(Table13[[#This Row],[Gender]]="male",R1752&lt;24.9),"Acceptable",AND(Table13[[#This Row],[Gender]]="male",R1752&lt;40),"Obese",AND(Table13[[#This Row],[Gender]]="others",R1752&lt;20),"Athletes",AND(Table13[[#This Row],[Gender]]="others",R1752&lt;24),"Fitnesss",AND(Table13[[#This Row],[Gender]]="others",R1752&lt;31),"Acceptable",AND(Table13[[#This Row],[Gender]]="others",R1752&lt;40),"Obese")</f>
        <v>Acceptable</v>
      </c>
      <c r="R1752" s="8">
        <v>27.1</v>
      </c>
      <c r="S1752" s="8">
        <v>2.1</v>
      </c>
      <c r="T1752" s="8">
        <v>2</v>
      </c>
      <c r="U1752" s="8">
        <v>1</v>
      </c>
      <c r="V1752" s="8" t="str">
        <f>IF(Table13[[#This Row],[BMI]]&lt;=18.5,"Underweight",IF(Table13[[#This Row],[BMI]]&lt;=24.9,"Normal",IF(Table13[[#This Row],[BMI]]&lt;=29.9,"Overweight",IF(Table13[[#This Row],[BMI]]&lt;=39,"Obese","Severly Obese"))))</f>
        <v>Normal</v>
      </c>
      <c r="W1752" s="18">
        <v>21.98</v>
      </c>
    </row>
    <row r="1753" spans="6:23" x14ac:dyDescent="0.3">
      <c r="F1753" s="17">
        <v>31</v>
      </c>
      <c r="G1753" s="8" t="str">
        <f>IF(Table13[[#This Row],[Age]]&lt;25,"18-24",IF(Table13[[#This Row],[Age]]&lt;35,"25-34",IF(Table13[[#This Row],[Age]]&lt;45,"35-44",IF(Table13[[#This Row],[Age]]&lt;55,"45-54","55-64"))))</f>
        <v>25-34</v>
      </c>
      <c r="H1753" s="8" t="s">
        <v>19</v>
      </c>
      <c r="I1753" s="8">
        <v>81.900000000000006</v>
      </c>
      <c r="J1753" s="8">
        <v>1.63</v>
      </c>
      <c r="K1753" s="8">
        <v>168</v>
      </c>
      <c r="L1753" s="8">
        <v>126</v>
      </c>
      <c r="M1753" s="8">
        <v>56</v>
      </c>
      <c r="N1753" s="8">
        <v>1.17</v>
      </c>
      <c r="O1753" s="8">
        <v>760</v>
      </c>
      <c r="P1753" s="8" t="s">
        <v>20</v>
      </c>
      <c r="Q1753" s="8" t="str">
        <f>_xlfn.IFS(AND(Table13[[#This Row],[Gender]]="female",R1753&lt;20),"Athletes",AND(Table13[[#This Row],[Gender]]="female",R1753&lt;24),"Fitnesss",AND(Table13[[#This Row],[Gender]]="female",R1753&lt;31),"Acceptable",AND(Table13[[#This Row],[Gender]]="female",R1753&lt;40),"Obese",AND(Table13[[#This Row],[Gender]]="male",R1753&lt;13),"Athletes",AND(Table13[[#This Row],[Gender]]="male",R1753&lt;17),"Fitnesss",AND(Table13[[#This Row],[Gender]]="male",R1753&lt;24.9),"Acceptable",AND(Table13[[#This Row],[Gender]]="male",R1753&lt;40),"Obese",AND(Table13[[#This Row],[Gender]]="others",R1753&lt;20),"Athletes",AND(Table13[[#This Row],[Gender]]="others",R1753&lt;24),"Fitnesss",AND(Table13[[#This Row],[Gender]]="others",R1753&lt;31),"Acceptable",AND(Table13[[#This Row],[Gender]]="others",R1753&lt;40),"Obese")</f>
        <v>Acceptable</v>
      </c>
      <c r="R1753" s="8">
        <v>23.1</v>
      </c>
      <c r="S1753" s="8">
        <v>2.1</v>
      </c>
      <c r="T1753" s="8">
        <v>4</v>
      </c>
      <c r="U1753" s="8">
        <v>2</v>
      </c>
      <c r="V1753" s="8" t="str">
        <f>IF(Table13[[#This Row],[BMI]]&lt;=18.5,"Underweight",IF(Table13[[#This Row],[BMI]]&lt;=24.9,"Normal",IF(Table13[[#This Row],[BMI]]&lt;=29.9,"Overweight",IF(Table13[[#This Row],[BMI]]&lt;=39,"Obese","Severly Obese"))))</f>
        <v>Underweight</v>
      </c>
      <c r="W1753" s="18">
        <v>12.32</v>
      </c>
    </row>
    <row r="1754" spans="6:23" x14ac:dyDescent="0.3">
      <c r="F1754" s="17">
        <v>38</v>
      </c>
      <c r="G1754" s="8" t="str">
        <f>IF(Table13[[#This Row],[Age]]&lt;25,"18-24",IF(Table13[[#This Row],[Age]]&lt;35,"25-34",IF(Table13[[#This Row],[Age]]&lt;45,"35-44",IF(Table13[[#This Row],[Age]]&lt;55,"45-54","55-64"))))</f>
        <v>35-44</v>
      </c>
      <c r="H1754" s="8" t="s">
        <v>19</v>
      </c>
      <c r="I1754" s="8">
        <v>99.6</v>
      </c>
      <c r="J1754" s="8">
        <v>1.6</v>
      </c>
      <c r="K1754" s="8">
        <v>173</v>
      </c>
      <c r="L1754" s="8">
        <v>132</v>
      </c>
      <c r="M1754" s="8">
        <v>56</v>
      </c>
      <c r="N1754" s="8">
        <v>1.01</v>
      </c>
      <c r="O1754" s="8">
        <v>1128</v>
      </c>
      <c r="P1754" s="8" t="s">
        <v>18</v>
      </c>
      <c r="Q1754" s="8" t="str">
        <f>_xlfn.IFS(AND(Table13[[#This Row],[Gender]]="female",R1754&lt;20),"Athletes",AND(Table13[[#This Row],[Gender]]="female",R1754&lt;24),"Fitnesss",AND(Table13[[#This Row],[Gender]]="female",R1754&lt;31),"Acceptable",AND(Table13[[#This Row],[Gender]]="female",R1754&lt;40),"Obese",AND(Table13[[#This Row],[Gender]]="male",R1754&lt;13),"Athletes",AND(Table13[[#This Row],[Gender]]="male",R1754&lt;17),"Fitnesss",AND(Table13[[#This Row],[Gender]]="male",R1754&lt;24.9),"Acceptable",AND(Table13[[#This Row],[Gender]]="male",R1754&lt;40),"Obese",AND(Table13[[#This Row],[Gender]]="others",R1754&lt;20),"Athletes",AND(Table13[[#This Row],[Gender]]="others",R1754&lt;24),"Fitnesss",AND(Table13[[#This Row],[Gender]]="others",R1754&lt;31),"Acceptable",AND(Table13[[#This Row],[Gender]]="others",R1754&lt;40),"Obese")</f>
        <v>Obese</v>
      </c>
      <c r="R1754" s="8">
        <v>30.6</v>
      </c>
      <c r="S1754" s="8">
        <v>3.4</v>
      </c>
      <c r="T1754" s="8">
        <v>2</v>
      </c>
      <c r="U1754" s="8">
        <v>2</v>
      </c>
      <c r="V1754" s="8" t="str">
        <f>IF(Table13[[#This Row],[BMI]]&lt;=18.5,"Underweight",IF(Table13[[#This Row],[BMI]]&lt;=24.9,"Normal",IF(Table13[[#This Row],[BMI]]&lt;=29.9,"Overweight",IF(Table13[[#This Row],[BMI]]&lt;=39,"Obese","Severly Obese"))))</f>
        <v>Underweight</v>
      </c>
      <c r="W1754" s="18">
        <v>16.920000000000002</v>
      </c>
    </row>
    <row r="1755" spans="6:23" x14ac:dyDescent="0.3">
      <c r="F1755" s="17">
        <v>18</v>
      </c>
      <c r="G1755" s="8" t="str">
        <f>IF(Table13[[#This Row],[Age]]&lt;25,"18-24",IF(Table13[[#This Row],[Age]]&lt;35,"25-34",IF(Table13[[#This Row],[Age]]&lt;45,"35-44",IF(Table13[[#This Row],[Age]]&lt;55,"45-54","55-64"))))</f>
        <v>18-24</v>
      </c>
      <c r="H1755" s="8" t="s">
        <v>17</v>
      </c>
      <c r="I1755" s="8">
        <v>65.7</v>
      </c>
      <c r="J1755" s="8">
        <v>1.72</v>
      </c>
      <c r="K1755" s="8">
        <v>180</v>
      </c>
      <c r="L1755" s="8">
        <v>169</v>
      </c>
      <c r="M1755" s="8">
        <v>56</v>
      </c>
      <c r="N1755" s="8">
        <v>2</v>
      </c>
      <c r="O1755" s="8">
        <v>1005</v>
      </c>
      <c r="P1755" s="8" t="s">
        <v>21</v>
      </c>
      <c r="Q1755" s="8" t="str">
        <f>_xlfn.IFS(AND(Table13[[#This Row],[Gender]]="female",R1755&lt;20),"Athletes",AND(Table13[[#This Row],[Gender]]="female",R1755&lt;24),"Fitnesss",AND(Table13[[#This Row],[Gender]]="female",R1755&lt;31),"Acceptable",AND(Table13[[#This Row],[Gender]]="female",R1755&lt;40),"Obese",AND(Table13[[#This Row],[Gender]]="male",R1755&lt;13),"Athletes",AND(Table13[[#This Row],[Gender]]="male",R1755&lt;17),"Fitnesss",AND(Table13[[#This Row],[Gender]]="male",R1755&lt;24.9),"Acceptable",AND(Table13[[#This Row],[Gender]]="male",R1755&lt;40),"Obese",AND(Table13[[#This Row],[Gender]]="others",R1755&lt;20),"Athletes",AND(Table13[[#This Row],[Gender]]="others",R1755&lt;24),"Fitnesss",AND(Table13[[#This Row],[Gender]]="others",R1755&lt;31),"Acceptable",AND(Table13[[#This Row],[Gender]]="others",R1755&lt;40),"Obese")</f>
        <v>Acceptable</v>
      </c>
      <c r="R1755" s="8">
        <v>27</v>
      </c>
      <c r="S1755" s="8">
        <v>3</v>
      </c>
      <c r="T1755" s="8">
        <v>3</v>
      </c>
      <c r="U1755" s="8">
        <v>2</v>
      </c>
      <c r="V1755" s="8" t="str">
        <f>IF(Table13[[#This Row],[BMI]]&lt;=18.5,"Underweight",IF(Table13[[#This Row],[BMI]]&lt;=24.9,"Normal",IF(Table13[[#This Row],[BMI]]&lt;=29.9,"Overweight",IF(Table13[[#This Row],[BMI]]&lt;=39,"Obese","Severly Obese"))))</f>
        <v>Normal</v>
      </c>
      <c r="W1755" s="18">
        <v>21.61</v>
      </c>
    </row>
    <row r="1756" spans="6:23" x14ac:dyDescent="0.3">
      <c r="F1756" s="17">
        <v>18</v>
      </c>
      <c r="G1756" s="8" t="str">
        <f>IF(Table13[[#This Row],[Age]]&lt;25,"18-24",IF(Table13[[#This Row],[Age]]&lt;35,"25-34",IF(Table13[[#This Row],[Age]]&lt;45,"35-44",IF(Table13[[#This Row],[Age]]&lt;55,"45-54","55-64"))))</f>
        <v>18-24</v>
      </c>
      <c r="H1756" s="8" t="s">
        <v>19</v>
      </c>
      <c r="I1756" s="8"/>
      <c r="J1756" s="8">
        <v>1.84</v>
      </c>
      <c r="K1756" s="8">
        <v>179</v>
      </c>
      <c r="L1756" s="8">
        <v>136</v>
      </c>
      <c r="M1756" s="8">
        <v>74</v>
      </c>
      <c r="N1756" s="8">
        <v>1.52</v>
      </c>
      <c r="O1756" s="8">
        <v>1256</v>
      </c>
      <c r="P1756" s="8" t="s">
        <v>18</v>
      </c>
      <c r="Q1756" s="8" t="str">
        <f>_xlfn.IFS(AND(Table13[[#This Row],[Gender]]="female",R1756&lt;20),"Athletes",AND(Table13[[#This Row],[Gender]]="female",R1756&lt;24),"Fitnesss",AND(Table13[[#This Row],[Gender]]="female",R1756&lt;31),"Acceptable",AND(Table13[[#This Row],[Gender]]="female",R1756&lt;40),"Obese",AND(Table13[[#This Row],[Gender]]="male",R1756&lt;13),"Athletes",AND(Table13[[#This Row],[Gender]]="male",R1756&lt;17),"Fitnesss",AND(Table13[[#This Row],[Gender]]="male",R1756&lt;24.9),"Acceptable",AND(Table13[[#This Row],[Gender]]="male",R1756&lt;40),"Obese",AND(Table13[[#This Row],[Gender]]="others",R1756&lt;20),"Athletes",AND(Table13[[#This Row],[Gender]]="others",R1756&lt;24),"Fitnesss",AND(Table13[[#This Row],[Gender]]="others",R1756&lt;31),"Acceptable",AND(Table13[[#This Row],[Gender]]="others",R1756&lt;40),"Obese")</f>
        <v>Acceptable</v>
      </c>
      <c r="R1756" s="8">
        <v>22.5</v>
      </c>
      <c r="S1756" s="8">
        <v>3.4</v>
      </c>
      <c r="T1756" s="8">
        <v>2</v>
      </c>
      <c r="U1756" s="8">
        <v>2</v>
      </c>
      <c r="V1756" s="8" t="str">
        <f>IF(Table13[[#This Row],[BMI]]&lt;=18.5,"Underweight",IF(Table13[[#This Row],[BMI]]&lt;=24.9,"Normal",IF(Table13[[#This Row],[BMI]]&lt;=29.9,"Overweight",IF(Table13[[#This Row],[BMI]]&lt;=39,"Obese","Severly Obese"))))</f>
        <v>Normal</v>
      </c>
      <c r="W1756" s="18">
        <v>18.899999999999999</v>
      </c>
    </row>
    <row r="1757" spans="6:23" x14ac:dyDescent="0.3">
      <c r="F1757" s="17">
        <v>41</v>
      </c>
      <c r="G1757" s="8" t="str">
        <f>IF(Table13[[#This Row],[Age]]&lt;25,"18-24",IF(Table13[[#This Row],[Age]]&lt;35,"25-34",IF(Table13[[#This Row],[Age]]&lt;45,"35-44",IF(Table13[[#This Row],[Age]]&lt;55,"45-54","55-64"))))</f>
        <v>35-44</v>
      </c>
      <c r="H1757" s="8" t="s">
        <v>17</v>
      </c>
      <c r="I1757" s="8">
        <v>85.7</v>
      </c>
      <c r="J1757" s="8">
        <v>1.66</v>
      </c>
      <c r="K1757" s="8">
        <v>170</v>
      </c>
      <c r="L1757" s="8">
        <v>134</v>
      </c>
      <c r="M1757" s="8">
        <v>74</v>
      </c>
      <c r="N1757" s="8">
        <v>1.69</v>
      </c>
      <c r="O1757" s="8">
        <v>475</v>
      </c>
      <c r="P1757" s="8" t="s">
        <v>22</v>
      </c>
      <c r="Q1757" s="8" t="str">
        <f>_xlfn.IFS(AND(Table13[[#This Row],[Gender]]="female",R1757&lt;20),"Athletes",AND(Table13[[#This Row],[Gender]]="female",R1757&lt;24),"Fitnesss",AND(Table13[[#This Row],[Gender]]="female",R1757&lt;31),"Acceptable",AND(Table13[[#This Row],[Gender]]="female",R1757&lt;40),"Obese",AND(Table13[[#This Row],[Gender]]="male",R1757&lt;13),"Athletes",AND(Table13[[#This Row],[Gender]]="male",R1757&lt;17),"Fitnesss",AND(Table13[[#This Row],[Gender]]="male",R1757&lt;24.9),"Acceptable",AND(Table13[[#This Row],[Gender]]="male",R1757&lt;40),"Obese",AND(Table13[[#This Row],[Gender]]="others",R1757&lt;20),"Athletes",AND(Table13[[#This Row],[Gender]]="others",R1757&lt;24),"Fitnesss",AND(Table13[[#This Row],[Gender]]="others",R1757&lt;31),"Acceptable",AND(Table13[[#This Row],[Gender]]="others",R1757&lt;40),"Obese")</f>
        <v>Athletes</v>
      </c>
      <c r="R1757" s="8">
        <v>11.1</v>
      </c>
      <c r="S1757" s="8">
        <v>1.5</v>
      </c>
      <c r="T1757" s="8">
        <v>4</v>
      </c>
      <c r="U1757" s="8">
        <v>1</v>
      </c>
      <c r="V1757" s="8" t="str">
        <f>IF(Table13[[#This Row],[BMI]]&lt;=18.5,"Underweight",IF(Table13[[#This Row],[BMI]]&lt;=24.9,"Normal",IF(Table13[[#This Row],[BMI]]&lt;=29.9,"Overweight",IF(Table13[[#This Row],[BMI]]&lt;=39,"Obese","Severly Obese"))))</f>
        <v>Underweight</v>
      </c>
      <c r="W1757" s="18">
        <v>17.329999999999998</v>
      </c>
    </row>
    <row r="1758" spans="6:23" x14ac:dyDescent="0.3">
      <c r="F1758" s="17">
        <v>29</v>
      </c>
      <c r="G1758" s="8" t="str">
        <f>IF(Table13[[#This Row],[Age]]&lt;25,"18-24",IF(Table13[[#This Row],[Age]]&lt;35,"25-34",IF(Table13[[#This Row],[Age]]&lt;45,"35-44",IF(Table13[[#This Row],[Age]]&lt;55,"45-54","55-64"))))</f>
        <v>25-34</v>
      </c>
      <c r="H1758" s="8" t="s">
        <v>19</v>
      </c>
      <c r="I1758" s="8">
        <v>62</v>
      </c>
      <c r="J1758" s="8">
        <v>1.74</v>
      </c>
      <c r="K1758" s="8">
        <v>181</v>
      </c>
      <c r="L1758" s="8">
        <v>158</v>
      </c>
      <c r="M1758" s="8">
        <v>53</v>
      </c>
      <c r="N1758" s="8">
        <v>1.1499999999999999</v>
      </c>
      <c r="O1758" s="8">
        <v>549</v>
      </c>
      <c r="P1758" s="8" t="s">
        <v>22</v>
      </c>
      <c r="Q1758" s="8" t="str">
        <f>_xlfn.IFS(AND(Table13[[#This Row],[Gender]]="female",R1758&lt;20),"Athletes",AND(Table13[[#This Row],[Gender]]="female",R1758&lt;24),"Fitnesss",AND(Table13[[#This Row],[Gender]]="female",R1758&lt;31),"Acceptable",AND(Table13[[#This Row],[Gender]]="female",R1758&lt;40),"Obese",AND(Table13[[#This Row],[Gender]]="male",R1758&lt;13),"Athletes",AND(Table13[[#This Row],[Gender]]="male",R1758&lt;17),"Fitnesss",AND(Table13[[#This Row],[Gender]]="male",R1758&lt;24.9),"Acceptable",AND(Table13[[#This Row],[Gender]]="male",R1758&lt;40),"Obese",AND(Table13[[#This Row],[Gender]]="others",R1758&lt;20),"Athletes",AND(Table13[[#This Row],[Gender]]="others",R1758&lt;24),"Fitnesss",AND(Table13[[#This Row],[Gender]]="others",R1758&lt;31),"Acceptable",AND(Table13[[#This Row],[Gender]]="others",R1758&lt;40),"Obese")</f>
        <v>Acceptable</v>
      </c>
      <c r="R1758" s="8">
        <v>22.5</v>
      </c>
      <c r="S1758" s="8">
        <v>2.2000000000000002</v>
      </c>
      <c r="T1758" s="8"/>
      <c r="U1758" s="8"/>
      <c r="V1758" s="8" t="str">
        <f>IF(Table13[[#This Row],[BMI]]&lt;=18.5,"Underweight",IF(Table13[[#This Row],[BMI]]&lt;=24.9,"Normal",IF(Table13[[#This Row],[BMI]]&lt;=29.9,"Overweight",IF(Table13[[#This Row],[BMI]]&lt;=39,"Obese","Severly Obese"))))</f>
        <v>Underweight</v>
      </c>
      <c r="W1758" s="18">
        <v>16.32</v>
      </c>
    </row>
    <row r="1759" spans="6:23" x14ac:dyDescent="0.3">
      <c r="F1759" s="17">
        <v>45</v>
      </c>
      <c r="G1759" s="8" t="str">
        <f>IF(Table13[[#This Row],[Age]]&lt;25,"18-24",IF(Table13[[#This Row],[Age]]&lt;35,"25-34",IF(Table13[[#This Row],[Age]]&lt;45,"35-44",IF(Table13[[#This Row],[Age]]&lt;55,"45-54","55-64"))))</f>
        <v>45-54</v>
      </c>
      <c r="H1759" s="8" t="s">
        <v>19</v>
      </c>
      <c r="I1759" s="8">
        <v>70.900000000000006</v>
      </c>
      <c r="J1759" s="8">
        <v>2</v>
      </c>
      <c r="K1759" s="8">
        <v>198</v>
      </c>
      <c r="L1759" s="8">
        <v>128</v>
      </c>
      <c r="M1759" s="8">
        <v>73</v>
      </c>
      <c r="N1759" s="8">
        <v>1.19</v>
      </c>
      <c r="O1759" s="8">
        <v>1064</v>
      </c>
      <c r="P1759" s="8" t="s">
        <v>21</v>
      </c>
      <c r="Q1759" s="8" t="str">
        <f>_xlfn.IFS(AND(Table13[[#This Row],[Gender]]="female",R1759&lt;20),"Athletes",AND(Table13[[#This Row],[Gender]]="female",R1759&lt;24),"Fitnesss",AND(Table13[[#This Row],[Gender]]="female",R1759&lt;31),"Acceptable",AND(Table13[[#This Row],[Gender]]="female",R1759&lt;40),"Obese",AND(Table13[[#This Row],[Gender]]="male",R1759&lt;13),"Athletes",AND(Table13[[#This Row],[Gender]]="male",R1759&lt;17),"Fitnesss",AND(Table13[[#This Row],[Gender]]="male",R1759&lt;24.9),"Acceptable",AND(Table13[[#This Row],[Gender]]="male",R1759&lt;40),"Obese",AND(Table13[[#This Row],[Gender]]="others",R1759&lt;20),"Athletes",AND(Table13[[#This Row],[Gender]]="others",R1759&lt;24),"Fitnesss",AND(Table13[[#This Row],[Gender]]="others",R1759&lt;31),"Acceptable",AND(Table13[[#This Row],[Gender]]="others",R1759&lt;40),"Obese")</f>
        <v>Obese</v>
      </c>
      <c r="R1759" s="8">
        <v>27.8</v>
      </c>
      <c r="S1759" s="8">
        <v>1.5</v>
      </c>
      <c r="T1759" s="8">
        <v>3</v>
      </c>
      <c r="U1759" s="8">
        <v>1</v>
      </c>
      <c r="V1759" s="8" t="str">
        <f>IF(Table13[[#This Row],[BMI]]&lt;=18.5,"Underweight",IF(Table13[[#This Row],[BMI]]&lt;=24.9,"Normal",IF(Table13[[#This Row],[BMI]]&lt;=29.9,"Overweight",IF(Table13[[#This Row],[BMI]]&lt;=39,"Obese","Severly Obese"))))</f>
        <v>Overweight</v>
      </c>
      <c r="W1759" s="18">
        <v>27.46</v>
      </c>
    </row>
    <row r="1760" spans="6:23" x14ac:dyDescent="0.3">
      <c r="F1760" s="17">
        <v>49</v>
      </c>
      <c r="G1760" s="8" t="str">
        <f>IF(Table13[[#This Row],[Age]]&lt;25,"18-24",IF(Table13[[#This Row],[Age]]&lt;35,"25-34",IF(Table13[[#This Row],[Age]]&lt;45,"35-44",IF(Table13[[#This Row],[Age]]&lt;55,"45-54","55-64"))))</f>
        <v>45-54</v>
      </c>
      <c r="H1760" s="8" t="s">
        <v>17</v>
      </c>
      <c r="I1760" s="8">
        <v>59.2</v>
      </c>
      <c r="J1760" s="8">
        <v>1.55</v>
      </c>
      <c r="K1760" s="8">
        <v>185</v>
      </c>
      <c r="L1760" s="8">
        <v>169</v>
      </c>
      <c r="M1760" s="8">
        <v>63</v>
      </c>
      <c r="N1760" s="8">
        <v>1.32</v>
      </c>
      <c r="O1760" s="8">
        <v>1169</v>
      </c>
      <c r="P1760" s="8" t="s">
        <v>22</v>
      </c>
      <c r="Q1760" s="8" t="str">
        <f>_xlfn.IFS(AND(Table13[[#This Row],[Gender]]="female",R1760&lt;20),"Athletes",AND(Table13[[#This Row],[Gender]]="female",R1760&lt;24),"Fitnesss",AND(Table13[[#This Row],[Gender]]="female",R1760&lt;31),"Acceptable",AND(Table13[[#This Row],[Gender]]="female",R1760&lt;40),"Obese",AND(Table13[[#This Row],[Gender]]="male",R1760&lt;13),"Athletes",AND(Table13[[#This Row],[Gender]]="male",R1760&lt;17),"Fitnesss",AND(Table13[[#This Row],[Gender]]="male",R1760&lt;24.9),"Acceptable",AND(Table13[[#This Row],[Gender]]="male",R1760&lt;40),"Obese",AND(Table13[[#This Row],[Gender]]="others",R1760&lt;20),"Athletes",AND(Table13[[#This Row],[Gender]]="others",R1760&lt;24),"Fitnesss",AND(Table13[[#This Row],[Gender]]="others",R1760&lt;31),"Acceptable",AND(Table13[[#This Row],[Gender]]="others",R1760&lt;40),"Obese")</f>
        <v>Acceptable</v>
      </c>
      <c r="R1760" s="8">
        <v>25.1</v>
      </c>
      <c r="S1760" s="8">
        <v>1.7</v>
      </c>
      <c r="T1760" s="8">
        <v>4</v>
      </c>
      <c r="U1760" s="8">
        <v>1</v>
      </c>
      <c r="V1760" s="8" t="str">
        <f>IF(Table13[[#This Row],[BMI]]&lt;=18.5,"Underweight",IF(Table13[[#This Row],[BMI]]&lt;=24.9,"Normal",IF(Table13[[#This Row],[BMI]]&lt;=29.9,"Overweight",IF(Table13[[#This Row],[BMI]]&lt;=39,"Obese","Severly Obese"))))</f>
        <v>Overweight</v>
      </c>
      <c r="W1760" s="18">
        <v>27.18</v>
      </c>
    </row>
    <row r="1761" spans="6:23" x14ac:dyDescent="0.3">
      <c r="F1761" s="17">
        <v>29</v>
      </c>
      <c r="G1761" s="8" t="str">
        <f>IF(Table13[[#This Row],[Age]]&lt;25,"18-24",IF(Table13[[#This Row],[Age]]&lt;35,"25-34",IF(Table13[[#This Row],[Age]]&lt;45,"35-44",IF(Table13[[#This Row],[Age]]&lt;55,"45-54","55-64"))))</f>
        <v>25-34</v>
      </c>
      <c r="H1761" s="8" t="s">
        <v>19</v>
      </c>
      <c r="I1761" s="8">
        <v>83.7</v>
      </c>
      <c r="J1761" s="8">
        <v>1.8</v>
      </c>
      <c r="K1761" s="8">
        <v>190</v>
      </c>
      <c r="L1761" s="8">
        <v>149</v>
      </c>
      <c r="M1761" s="8">
        <v>74</v>
      </c>
      <c r="N1761" s="8">
        <v>1.43</v>
      </c>
      <c r="O1761" s="8">
        <v>1157</v>
      </c>
      <c r="P1761" s="8" t="s">
        <v>20</v>
      </c>
      <c r="Q1761" s="8" t="str">
        <f>_xlfn.IFS(AND(Table13[[#This Row],[Gender]]="female",R1761&lt;20),"Athletes",AND(Table13[[#This Row],[Gender]]="female",R1761&lt;24),"Fitnesss",AND(Table13[[#This Row],[Gender]]="female",R1761&lt;31),"Acceptable",AND(Table13[[#This Row],[Gender]]="female",R1761&lt;40),"Obese",AND(Table13[[#This Row],[Gender]]="male",R1761&lt;13),"Athletes",AND(Table13[[#This Row],[Gender]]="male",R1761&lt;17),"Fitnesss",AND(Table13[[#This Row],[Gender]]="male",R1761&lt;24.9),"Acceptable",AND(Table13[[#This Row],[Gender]]="male",R1761&lt;40),"Obese",AND(Table13[[#This Row],[Gender]]="others",R1761&lt;20),"Athletes",AND(Table13[[#This Row],[Gender]]="others",R1761&lt;24),"Fitnesss",AND(Table13[[#This Row],[Gender]]="others",R1761&lt;31),"Acceptable",AND(Table13[[#This Row],[Gender]]="others",R1761&lt;40),"Obese")</f>
        <v>Fitnesss</v>
      </c>
      <c r="R1761" s="8">
        <v>16</v>
      </c>
      <c r="S1761" s="8">
        <v>3.5</v>
      </c>
      <c r="T1761" s="8"/>
      <c r="U1761" s="8">
        <v>1</v>
      </c>
      <c r="V1761" s="8" t="str">
        <f>IF(Table13[[#This Row],[BMI]]&lt;=18.5,"Underweight",IF(Table13[[#This Row],[BMI]]&lt;=24.9,"Normal",IF(Table13[[#This Row],[BMI]]&lt;=29.9,"Overweight",IF(Table13[[#This Row],[BMI]]&lt;=39,"Obese","Severly Obese"))))</f>
        <v>Underweight</v>
      </c>
      <c r="W1761" s="18">
        <v>13.59</v>
      </c>
    </row>
    <row r="1762" spans="6:23" x14ac:dyDescent="0.3">
      <c r="F1762" s="17">
        <v>55</v>
      </c>
      <c r="G1762" s="8" t="str">
        <f>IF(Table13[[#This Row],[Age]]&lt;25,"18-24",IF(Table13[[#This Row],[Age]]&lt;35,"25-34",IF(Table13[[#This Row],[Age]]&lt;45,"35-44",IF(Table13[[#This Row],[Age]]&lt;55,"45-54","55-64"))))</f>
        <v>55-64</v>
      </c>
      <c r="H1762" s="8" t="s">
        <v>17</v>
      </c>
      <c r="I1762" s="8">
        <v>53.8</v>
      </c>
      <c r="J1762" s="8">
        <v>1.52</v>
      </c>
      <c r="K1762" s="8">
        <v>191</v>
      </c>
      <c r="L1762" s="8">
        <v>136</v>
      </c>
      <c r="M1762" s="8">
        <v>55</v>
      </c>
      <c r="N1762" s="8">
        <v>1.17</v>
      </c>
      <c r="O1762" s="8">
        <v>1102</v>
      </c>
      <c r="P1762" s="8" t="s">
        <v>21</v>
      </c>
      <c r="Q1762" s="8" t="str">
        <f>_xlfn.IFS(AND(Table13[[#This Row],[Gender]]="female",R1762&lt;20),"Athletes",AND(Table13[[#This Row],[Gender]]="female",R1762&lt;24),"Fitnesss",AND(Table13[[#This Row],[Gender]]="female",R1762&lt;31),"Acceptable",AND(Table13[[#This Row],[Gender]]="female",R1762&lt;40),"Obese",AND(Table13[[#This Row],[Gender]]="male",R1762&lt;13),"Athletes",AND(Table13[[#This Row],[Gender]]="male",R1762&lt;17),"Fitnesss",AND(Table13[[#This Row],[Gender]]="male",R1762&lt;24.9),"Acceptable",AND(Table13[[#This Row],[Gender]]="male",R1762&lt;40),"Obese",AND(Table13[[#This Row],[Gender]]="others",R1762&lt;20),"Athletes",AND(Table13[[#This Row],[Gender]]="others",R1762&lt;24),"Fitnesss",AND(Table13[[#This Row],[Gender]]="others",R1762&lt;31),"Acceptable",AND(Table13[[#This Row],[Gender]]="others",R1762&lt;40),"Obese")</f>
        <v>Fitnesss</v>
      </c>
      <c r="R1762" s="8">
        <v>20.399999999999999</v>
      </c>
      <c r="S1762" s="8">
        <v>3.6</v>
      </c>
      <c r="T1762" s="8">
        <v>3</v>
      </c>
      <c r="U1762" s="8">
        <v>2</v>
      </c>
      <c r="V1762" s="8" t="str">
        <f>IF(Table13[[#This Row],[BMI]]&lt;=18.5,"Underweight",IF(Table13[[#This Row],[BMI]]&lt;=24.9,"Normal",IF(Table13[[#This Row],[BMI]]&lt;=29.9,"Overweight",IF(Table13[[#This Row],[BMI]]&lt;=39,"Obese","Severly Obese"))))</f>
        <v>Normal</v>
      </c>
      <c r="W1762" s="18">
        <v>23.84</v>
      </c>
    </row>
    <row r="1763" spans="6:23" x14ac:dyDescent="0.3">
      <c r="F1763" s="17">
        <v>18</v>
      </c>
      <c r="G1763" s="8" t="str">
        <f>IF(Table13[[#This Row],[Age]]&lt;25,"18-24",IF(Table13[[#This Row],[Age]]&lt;35,"25-34",IF(Table13[[#This Row],[Age]]&lt;45,"35-44",IF(Table13[[#This Row],[Age]]&lt;55,"45-54","55-64"))))</f>
        <v>18-24</v>
      </c>
      <c r="H1763" s="8" t="s">
        <v>17</v>
      </c>
      <c r="I1763" s="8">
        <v>68.099999999999994</v>
      </c>
      <c r="J1763" s="8">
        <v>1.66</v>
      </c>
      <c r="K1763" s="8">
        <v>160</v>
      </c>
      <c r="L1763" s="8">
        <v>120</v>
      </c>
      <c r="M1763" s="8">
        <v>65</v>
      </c>
      <c r="N1763" s="8">
        <v>1.43</v>
      </c>
      <c r="O1763" s="8">
        <v>1343</v>
      </c>
      <c r="P1763" s="8" t="s">
        <v>20</v>
      </c>
      <c r="Q1763" s="8" t="str">
        <f>_xlfn.IFS(AND(Table13[[#This Row],[Gender]]="female",R1763&lt;20),"Athletes",AND(Table13[[#This Row],[Gender]]="female",R1763&lt;24),"Fitnesss",AND(Table13[[#This Row],[Gender]]="female",R1763&lt;31),"Acceptable",AND(Table13[[#This Row],[Gender]]="female",R1763&lt;40),"Obese",AND(Table13[[#This Row],[Gender]]="male",R1763&lt;13),"Athletes",AND(Table13[[#This Row],[Gender]]="male",R1763&lt;17),"Fitnesss",AND(Table13[[#This Row],[Gender]]="male",R1763&lt;24.9),"Acceptable",AND(Table13[[#This Row],[Gender]]="male",R1763&lt;40),"Obese",AND(Table13[[#This Row],[Gender]]="others",R1763&lt;20),"Athletes",AND(Table13[[#This Row],[Gender]]="others",R1763&lt;24),"Fitnesss",AND(Table13[[#This Row],[Gender]]="others",R1763&lt;31),"Acceptable",AND(Table13[[#This Row],[Gender]]="others",R1763&lt;40),"Obese")</f>
        <v>Acceptable</v>
      </c>
      <c r="R1763" s="8">
        <v>27.2</v>
      </c>
      <c r="S1763" s="8">
        <v>3.3</v>
      </c>
      <c r="T1763" s="8">
        <v>4</v>
      </c>
      <c r="U1763" s="8">
        <v>1</v>
      </c>
      <c r="V1763" s="8" t="str">
        <f>IF(Table13[[#This Row],[BMI]]&lt;=18.5,"Underweight",IF(Table13[[#This Row],[BMI]]&lt;=24.9,"Normal",IF(Table13[[#This Row],[BMI]]&lt;=29.9,"Overweight",IF(Table13[[#This Row],[BMI]]&lt;=39,"Obese","Severly Obese"))))</f>
        <v>Overweight</v>
      </c>
      <c r="W1763" s="18">
        <v>25.77</v>
      </c>
    </row>
    <row r="1764" spans="6:23" x14ac:dyDescent="0.3">
      <c r="F1764" s="17">
        <v>41</v>
      </c>
      <c r="G1764" s="8" t="str">
        <f>IF(Table13[[#This Row],[Age]]&lt;25,"18-24",IF(Table13[[#This Row],[Age]]&lt;35,"25-34",IF(Table13[[#This Row],[Age]]&lt;45,"35-44",IF(Table13[[#This Row],[Age]]&lt;55,"45-54","55-64"))))</f>
        <v>35-44</v>
      </c>
      <c r="H1764" s="8" t="s">
        <v>17</v>
      </c>
      <c r="I1764" s="8">
        <v>105.1</v>
      </c>
      <c r="J1764" s="8">
        <v>1.67</v>
      </c>
      <c r="K1764" s="8">
        <v>194</v>
      </c>
      <c r="L1764" s="8">
        <v>127</v>
      </c>
      <c r="M1764" s="8">
        <v>68</v>
      </c>
      <c r="N1764" s="8">
        <v>1.3</v>
      </c>
      <c r="O1764" s="8">
        <v>1068</v>
      </c>
      <c r="P1764" s="8" t="s">
        <v>18</v>
      </c>
      <c r="Q1764" s="8" t="str">
        <f>_xlfn.IFS(AND(Table13[[#This Row],[Gender]]="female",R1764&lt;20),"Athletes",AND(Table13[[#This Row],[Gender]]="female",R1764&lt;24),"Fitnesss",AND(Table13[[#This Row],[Gender]]="female",R1764&lt;31),"Acceptable",AND(Table13[[#This Row],[Gender]]="female",R1764&lt;40),"Obese",AND(Table13[[#This Row],[Gender]]="male",R1764&lt;13),"Athletes",AND(Table13[[#This Row],[Gender]]="male",R1764&lt;17),"Fitnesss",AND(Table13[[#This Row],[Gender]]="male",R1764&lt;24.9),"Acceptable",AND(Table13[[#This Row],[Gender]]="male",R1764&lt;40),"Obese",AND(Table13[[#This Row],[Gender]]="others",R1764&lt;20),"Athletes",AND(Table13[[#This Row],[Gender]]="others",R1764&lt;24),"Fitnesss",AND(Table13[[#This Row],[Gender]]="others",R1764&lt;31),"Acceptable",AND(Table13[[#This Row],[Gender]]="others",R1764&lt;40),"Obese")</f>
        <v>Acceptable</v>
      </c>
      <c r="R1764" s="8">
        <v>30.6</v>
      </c>
      <c r="S1764" s="8">
        <v>3.5</v>
      </c>
      <c r="T1764" s="8">
        <v>3</v>
      </c>
      <c r="U1764" s="8">
        <v>3</v>
      </c>
      <c r="V1764" s="8" t="str">
        <f>IF(Table13[[#This Row],[BMI]]&lt;=18.5,"Underweight",IF(Table13[[#This Row],[BMI]]&lt;=24.9,"Normal",IF(Table13[[#This Row],[BMI]]&lt;=29.9,"Overweight",IF(Table13[[#This Row],[BMI]]&lt;=39,"Obese","Severly Obese"))))</f>
        <v>Underweight</v>
      </c>
      <c r="W1764" s="18">
        <v>17.649999999999999</v>
      </c>
    </row>
    <row r="1765" spans="6:23" x14ac:dyDescent="0.3">
      <c r="F1765" s="17">
        <v>24</v>
      </c>
      <c r="G1765" s="8" t="str">
        <f>IF(Table13[[#This Row],[Age]]&lt;25,"18-24",IF(Table13[[#This Row],[Age]]&lt;35,"25-34",IF(Table13[[#This Row],[Age]]&lt;45,"35-44",IF(Table13[[#This Row],[Age]]&lt;55,"45-54","55-64"))))</f>
        <v>18-24</v>
      </c>
      <c r="H1765" s="8" t="s">
        <v>23</v>
      </c>
      <c r="I1765" s="8">
        <v>45.5</v>
      </c>
      <c r="J1765" s="8">
        <v>2</v>
      </c>
      <c r="K1765" s="8">
        <v>169</v>
      </c>
      <c r="L1765" s="8">
        <v>164</v>
      </c>
      <c r="M1765" s="8">
        <v>60</v>
      </c>
      <c r="N1765" s="8">
        <v>1.82</v>
      </c>
      <c r="O1765" s="8">
        <v>1297</v>
      </c>
      <c r="P1765" s="8" t="s">
        <v>21</v>
      </c>
      <c r="Q1765" s="8" t="str">
        <f>_xlfn.IFS(AND(Table13[[#This Row],[Gender]]="female",R1765&lt;20),"Athletes",AND(Table13[[#This Row],[Gender]]="female",R1765&lt;24),"Fitnesss",AND(Table13[[#This Row],[Gender]]="female",R1765&lt;31),"Acceptable",AND(Table13[[#This Row],[Gender]]="female",R1765&lt;40),"Obese",AND(Table13[[#This Row],[Gender]]="male",R1765&lt;13),"Athletes",AND(Table13[[#This Row],[Gender]]="male",R1765&lt;17),"Fitnesss",AND(Table13[[#This Row],[Gender]]="male",R1765&lt;24.9),"Acceptable",AND(Table13[[#This Row],[Gender]]="male",R1765&lt;40),"Obese",AND(Table13[[#This Row],[Gender]]="others",R1765&lt;20),"Athletes",AND(Table13[[#This Row],[Gender]]="others",R1765&lt;24),"Fitnesss",AND(Table13[[#This Row],[Gender]]="others",R1765&lt;31),"Acceptable",AND(Table13[[#This Row],[Gender]]="others",R1765&lt;40),"Obese")</f>
        <v>Acceptable</v>
      </c>
      <c r="R1765" s="8">
        <v>24.9</v>
      </c>
      <c r="S1765" s="8">
        <v>2.2000000000000002</v>
      </c>
      <c r="T1765" s="8">
        <v>3</v>
      </c>
      <c r="U1765" s="8">
        <v>1</v>
      </c>
      <c r="V1765" s="8" t="str">
        <f>IF(Table13[[#This Row],[BMI]]&lt;=18.5,"Underweight",IF(Table13[[#This Row],[BMI]]&lt;=24.9,"Normal",IF(Table13[[#This Row],[BMI]]&lt;=29.9,"Overweight",IF(Table13[[#This Row],[BMI]]&lt;=39,"Obese","Severly Obese"))))</f>
        <v>Underweight</v>
      </c>
      <c r="W1765" s="18">
        <v>17.600000000000001</v>
      </c>
    </row>
    <row r="1766" spans="6:23" x14ac:dyDescent="0.3">
      <c r="F1766" s="17">
        <v>51</v>
      </c>
      <c r="G1766" s="8" t="str">
        <f>IF(Table13[[#This Row],[Age]]&lt;25,"18-24",IF(Table13[[#This Row],[Age]]&lt;35,"25-34",IF(Table13[[#This Row],[Age]]&lt;45,"35-44",IF(Table13[[#This Row],[Age]]&lt;55,"45-54","55-64"))))</f>
        <v>45-54</v>
      </c>
      <c r="H1766" s="8" t="s">
        <v>19</v>
      </c>
      <c r="I1766" s="8">
        <v>58.8</v>
      </c>
      <c r="J1766" s="8">
        <v>1.63</v>
      </c>
      <c r="K1766" s="8">
        <v>188</v>
      </c>
      <c r="L1766" s="8">
        <v>155</v>
      </c>
      <c r="M1766" s="8">
        <v>59</v>
      </c>
      <c r="N1766" s="8">
        <v>1.1000000000000001</v>
      </c>
      <c r="O1766" s="8">
        <v>897</v>
      </c>
      <c r="P1766" s="8" t="s">
        <v>20</v>
      </c>
      <c r="Q1766" s="8" t="str">
        <f>_xlfn.IFS(AND(Table13[[#This Row],[Gender]]="female",R1766&lt;20),"Athletes",AND(Table13[[#This Row],[Gender]]="female",R1766&lt;24),"Fitnesss",AND(Table13[[#This Row],[Gender]]="female",R1766&lt;31),"Acceptable",AND(Table13[[#This Row],[Gender]]="female",R1766&lt;40),"Obese",AND(Table13[[#This Row],[Gender]]="male",R1766&lt;13),"Athletes",AND(Table13[[#This Row],[Gender]]="male",R1766&lt;17),"Fitnesss",AND(Table13[[#This Row],[Gender]]="male",R1766&lt;24.9),"Acceptable",AND(Table13[[#This Row],[Gender]]="male",R1766&lt;40),"Obese",AND(Table13[[#This Row],[Gender]]="others",R1766&lt;20),"Athletes",AND(Table13[[#This Row],[Gender]]="others",R1766&lt;24),"Fitnesss",AND(Table13[[#This Row],[Gender]]="others",R1766&lt;31),"Acceptable",AND(Table13[[#This Row],[Gender]]="others",R1766&lt;40),"Obese")</f>
        <v>Acceptable</v>
      </c>
      <c r="R1766" s="8">
        <v>24.7</v>
      </c>
      <c r="S1766" s="8">
        <v>3.3</v>
      </c>
      <c r="T1766" s="8">
        <v>2</v>
      </c>
      <c r="U1766" s="8">
        <v>1</v>
      </c>
      <c r="V1766" s="8" t="str">
        <f>IF(Table13[[#This Row],[BMI]]&lt;=18.5,"Underweight",IF(Table13[[#This Row],[BMI]]&lt;=24.9,"Normal",IF(Table13[[#This Row],[BMI]]&lt;=29.9,"Overweight",IF(Table13[[#This Row],[BMI]]&lt;=39,"Obese","Severly Obese"))))</f>
        <v>Normal</v>
      </c>
      <c r="W1766" s="18">
        <v>21.73</v>
      </c>
    </row>
    <row r="1767" spans="6:23" x14ac:dyDescent="0.3">
      <c r="F1767" s="17">
        <v>20</v>
      </c>
      <c r="G1767" s="8" t="str">
        <f>IF(Table13[[#This Row],[Age]]&lt;25,"18-24",IF(Table13[[#This Row],[Age]]&lt;35,"25-34",IF(Table13[[#This Row],[Age]]&lt;45,"35-44",IF(Table13[[#This Row],[Age]]&lt;55,"45-54","55-64"))))</f>
        <v>18-24</v>
      </c>
      <c r="H1767" s="8" t="s">
        <v>19</v>
      </c>
      <c r="I1767" s="8">
        <v>52.9</v>
      </c>
      <c r="J1767" s="8">
        <v>1.8</v>
      </c>
      <c r="K1767" s="8">
        <v>163</v>
      </c>
      <c r="L1767" s="8">
        <v>159</v>
      </c>
      <c r="M1767" s="8">
        <v>57</v>
      </c>
      <c r="N1767" s="8">
        <v>1.45</v>
      </c>
      <c r="O1767" s="8">
        <v>1117</v>
      </c>
      <c r="P1767" s="8" t="s">
        <v>18</v>
      </c>
      <c r="Q1767" s="8" t="str">
        <f>_xlfn.IFS(AND(Table13[[#This Row],[Gender]]="female",R1767&lt;20),"Athletes",AND(Table13[[#This Row],[Gender]]="female",R1767&lt;24),"Fitnesss",AND(Table13[[#This Row],[Gender]]="female",R1767&lt;31),"Acceptable",AND(Table13[[#This Row],[Gender]]="female",R1767&lt;40),"Obese",AND(Table13[[#This Row],[Gender]]="male",R1767&lt;13),"Athletes",AND(Table13[[#This Row],[Gender]]="male",R1767&lt;17),"Fitnesss",AND(Table13[[#This Row],[Gender]]="male",R1767&lt;24.9),"Acceptable",AND(Table13[[#This Row],[Gender]]="male",R1767&lt;40),"Obese",AND(Table13[[#This Row],[Gender]]="others",R1767&lt;20),"Athletes",AND(Table13[[#This Row],[Gender]]="others",R1767&lt;24),"Fitnesss",AND(Table13[[#This Row],[Gender]]="others",R1767&lt;31),"Acceptable",AND(Table13[[#This Row],[Gender]]="others",R1767&lt;40),"Obese")</f>
        <v>Obese</v>
      </c>
      <c r="R1767" s="8">
        <v>27.1</v>
      </c>
      <c r="S1767" s="8">
        <v>3.3</v>
      </c>
      <c r="T1767" s="8">
        <v>3</v>
      </c>
      <c r="U1767" s="8">
        <v>1</v>
      </c>
      <c r="V1767" s="8" t="str">
        <f>IF(Table13[[#This Row],[BMI]]&lt;=18.5,"Underweight",IF(Table13[[#This Row],[BMI]]&lt;=24.9,"Normal",IF(Table13[[#This Row],[BMI]]&lt;=29.9,"Overweight",IF(Table13[[#This Row],[BMI]]&lt;=39,"Obese","Severly Obese"))))</f>
        <v>Overweight</v>
      </c>
      <c r="W1767" s="18">
        <v>27.72</v>
      </c>
    </row>
    <row r="1768" spans="6:23" x14ac:dyDescent="0.3">
      <c r="F1768" s="17">
        <v>43</v>
      </c>
      <c r="G1768" s="8" t="str">
        <f>IF(Table13[[#This Row],[Age]]&lt;25,"18-24",IF(Table13[[#This Row],[Age]]&lt;35,"25-34",IF(Table13[[#This Row],[Age]]&lt;45,"35-44",IF(Table13[[#This Row],[Age]]&lt;55,"45-54","55-64"))))</f>
        <v>35-44</v>
      </c>
      <c r="H1768" s="8" t="s">
        <v>17</v>
      </c>
      <c r="I1768" s="8">
        <v>57.1</v>
      </c>
      <c r="J1768" s="8">
        <v>1.96</v>
      </c>
      <c r="K1768" s="8">
        <v>196</v>
      </c>
      <c r="L1768" s="8">
        <v>149</v>
      </c>
      <c r="M1768" s="8">
        <v>51</v>
      </c>
      <c r="N1768" s="8">
        <v>1.88</v>
      </c>
      <c r="O1768" s="8">
        <v>858</v>
      </c>
      <c r="P1768" s="8" t="s">
        <v>20</v>
      </c>
      <c r="Q1768" s="8" t="str">
        <f>_xlfn.IFS(AND(Table13[[#This Row],[Gender]]="female",R1768&lt;20),"Athletes",AND(Table13[[#This Row],[Gender]]="female",R1768&lt;24),"Fitnesss",AND(Table13[[#This Row],[Gender]]="female",R1768&lt;31),"Acceptable",AND(Table13[[#This Row],[Gender]]="female",R1768&lt;40),"Obese",AND(Table13[[#This Row],[Gender]]="male",R1768&lt;13),"Athletes",AND(Table13[[#This Row],[Gender]]="male",R1768&lt;17),"Fitnesss",AND(Table13[[#This Row],[Gender]]="male",R1768&lt;24.9),"Acceptable",AND(Table13[[#This Row],[Gender]]="male",R1768&lt;40),"Obese",AND(Table13[[#This Row],[Gender]]="others",R1768&lt;20),"Athletes",AND(Table13[[#This Row],[Gender]]="others",R1768&lt;24),"Fitnesss",AND(Table13[[#This Row],[Gender]]="others",R1768&lt;31),"Acceptable",AND(Table13[[#This Row],[Gender]]="others",R1768&lt;40),"Obese")</f>
        <v>Acceptable</v>
      </c>
      <c r="R1768" s="8">
        <v>29.9</v>
      </c>
      <c r="S1768" s="8">
        <v>3.2</v>
      </c>
      <c r="T1768" s="8">
        <v>5</v>
      </c>
      <c r="U1768" s="8"/>
      <c r="V1768" s="8" t="str">
        <f>IF(Table13[[#This Row],[BMI]]&lt;=18.5,"Underweight",IF(Table13[[#This Row],[BMI]]&lt;=24.9,"Normal",IF(Table13[[#This Row],[BMI]]&lt;=29.9,"Overweight",IF(Table13[[#This Row],[BMI]]&lt;=39,"Obese","Severly Obese"))))</f>
        <v>Underweight</v>
      </c>
      <c r="W1768" s="18">
        <v>13.07</v>
      </c>
    </row>
    <row r="1769" spans="6:23" x14ac:dyDescent="0.3">
      <c r="F1769" s="17">
        <v>23</v>
      </c>
      <c r="G1769" s="8" t="str">
        <f>IF(Table13[[#This Row],[Age]]&lt;25,"18-24",IF(Table13[[#This Row],[Age]]&lt;35,"25-34",IF(Table13[[#This Row],[Age]]&lt;45,"35-44",IF(Table13[[#This Row],[Age]]&lt;55,"45-54","55-64"))))</f>
        <v>18-24</v>
      </c>
      <c r="H1769" s="8" t="s">
        <v>19</v>
      </c>
      <c r="I1769" s="8">
        <v>68.599999999999994</v>
      </c>
      <c r="J1769" s="8">
        <v>1.8</v>
      </c>
      <c r="K1769" s="8">
        <v>196</v>
      </c>
      <c r="L1769" s="8">
        <v>138</v>
      </c>
      <c r="M1769" s="8">
        <v>65</v>
      </c>
      <c r="N1769" s="8">
        <v>1.08</v>
      </c>
      <c r="O1769" s="8">
        <v>578</v>
      </c>
      <c r="P1769" s="8" t="s">
        <v>18</v>
      </c>
      <c r="Q1769" s="8" t="str">
        <f>_xlfn.IFS(AND(Table13[[#This Row],[Gender]]="female",R1769&lt;20),"Athletes",AND(Table13[[#This Row],[Gender]]="female",R1769&lt;24),"Fitnesss",AND(Table13[[#This Row],[Gender]]="female",R1769&lt;31),"Acceptable",AND(Table13[[#This Row],[Gender]]="female",R1769&lt;40),"Obese",AND(Table13[[#This Row],[Gender]]="male",R1769&lt;13),"Athletes",AND(Table13[[#This Row],[Gender]]="male",R1769&lt;17),"Fitnesss",AND(Table13[[#This Row],[Gender]]="male",R1769&lt;24.9),"Acceptable",AND(Table13[[#This Row],[Gender]]="male",R1769&lt;40),"Obese",AND(Table13[[#This Row],[Gender]]="others",R1769&lt;20),"Athletes",AND(Table13[[#This Row],[Gender]]="others",R1769&lt;24),"Fitnesss",AND(Table13[[#This Row],[Gender]]="others",R1769&lt;31),"Acceptable",AND(Table13[[#This Row],[Gender]]="others",R1769&lt;40),"Obese")</f>
        <v>Fitnesss</v>
      </c>
      <c r="R1769" s="8">
        <v>16.8</v>
      </c>
      <c r="S1769" s="8">
        <v>2.6</v>
      </c>
      <c r="T1769" s="8">
        <v>2</v>
      </c>
      <c r="U1769" s="8">
        <v>1</v>
      </c>
      <c r="V1769" s="8" t="str">
        <f>IF(Table13[[#This Row],[BMI]]&lt;=18.5,"Underweight",IF(Table13[[#This Row],[BMI]]&lt;=24.9,"Normal",IF(Table13[[#This Row],[BMI]]&lt;=29.9,"Overweight",IF(Table13[[#This Row],[BMI]]&lt;=39,"Obese","Severly Obese"))))</f>
        <v>Normal</v>
      </c>
      <c r="W1769" s="18">
        <v>21.41</v>
      </c>
    </row>
    <row r="1770" spans="6:23" x14ac:dyDescent="0.3">
      <c r="F1770" s="17">
        <v>39</v>
      </c>
      <c r="G1770" s="8" t="str">
        <f>IF(Table13[[#This Row],[Age]]&lt;25,"18-24",IF(Table13[[#This Row],[Age]]&lt;35,"25-34",IF(Table13[[#This Row],[Age]]&lt;45,"35-44",IF(Table13[[#This Row],[Age]]&lt;55,"45-54","55-64"))))</f>
        <v>35-44</v>
      </c>
      <c r="H1770" s="8" t="s">
        <v>19</v>
      </c>
      <c r="I1770" s="8">
        <v>76.2</v>
      </c>
      <c r="J1770" s="8">
        <v>1.77</v>
      </c>
      <c r="K1770" s="8">
        <v>164</v>
      </c>
      <c r="L1770" s="8">
        <v>169</v>
      </c>
      <c r="M1770" s="8">
        <v>74</v>
      </c>
      <c r="N1770" s="8">
        <v>2</v>
      </c>
      <c r="O1770" s="8">
        <v>1196</v>
      </c>
      <c r="P1770" s="8" t="s">
        <v>21</v>
      </c>
      <c r="Q1770" s="8" t="str">
        <f>_xlfn.IFS(AND(Table13[[#This Row],[Gender]]="female",R1770&lt;20),"Athletes",AND(Table13[[#This Row],[Gender]]="female",R1770&lt;24),"Fitnesss",AND(Table13[[#This Row],[Gender]]="female",R1770&lt;31),"Acceptable",AND(Table13[[#This Row],[Gender]]="female",R1770&lt;40),"Obese",AND(Table13[[#This Row],[Gender]]="male",R1770&lt;13),"Athletes",AND(Table13[[#This Row],[Gender]]="male",R1770&lt;17),"Fitnesss",AND(Table13[[#This Row],[Gender]]="male",R1770&lt;24.9),"Acceptable",AND(Table13[[#This Row],[Gender]]="male",R1770&lt;40),"Obese",AND(Table13[[#This Row],[Gender]]="others",R1770&lt;20),"Athletes",AND(Table13[[#This Row],[Gender]]="others",R1770&lt;24),"Fitnesss",AND(Table13[[#This Row],[Gender]]="others",R1770&lt;31),"Acceptable",AND(Table13[[#This Row],[Gender]]="others",R1770&lt;40),"Obese")</f>
        <v>Obese</v>
      </c>
      <c r="R1770" s="8">
        <v>28.7</v>
      </c>
      <c r="S1770" s="8">
        <v>3.3</v>
      </c>
      <c r="T1770" s="8">
        <v>2</v>
      </c>
      <c r="U1770" s="8">
        <v>1</v>
      </c>
      <c r="V1770" s="8" t="str">
        <f>IF(Table13[[#This Row],[BMI]]&lt;=18.5,"Underweight",IF(Table13[[#This Row],[BMI]]&lt;=24.9,"Normal",IF(Table13[[#This Row],[BMI]]&lt;=29.9,"Overweight",IF(Table13[[#This Row],[BMI]]&lt;=39,"Obese","Severly Obese"))))</f>
        <v>Underweight</v>
      </c>
      <c r="W1770" s="18">
        <v>17.38</v>
      </c>
    </row>
    <row r="1771" spans="6:23" x14ac:dyDescent="0.3">
      <c r="F1771" s="17">
        <v>47</v>
      </c>
      <c r="G1771" s="8" t="str">
        <f>IF(Table13[[#This Row],[Age]]&lt;25,"18-24",IF(Table13[[#This Row],[Age]]&lt;35,"25-34",IF(Table13[[#This Row],[Age]]&lt;45,"35-44",IF(Table13[[#This Row],[Age]]&lt;55,"45-54","55-64"))))</f>
        <v>45-54</v>
      </c>
      <c r="H1771" s="8" t="s">
        <v>19</v>
      </c>
      <c r="I1771" s="8">
        <v>68.2</v>
      </c>
      <c r="J1771" s="8">
        <v>1.58</v>
      </c>
      <c r="K1771" s="8">
        <v>164</v>
      </c>
      <c r="L1771" s="8">
        <v>140</v>
      </c>
      <c r="M1771" s="8">
        <v>72</v>
      </c>
      <c r="N1771" s="8">
        <v>1</v>
      </c>
      <c r="O1771" s="8">
        <v>1316</v>
      </c>
      <c r="P1771" s="8" t="s">
        <v>21</v>
      </c>
      <c r="Q1771" s="8" t="str">
        <f>_xlfn.IFS(AND(Table13[[#This Row],[Gender]]="female",R1771&lt;20),"Athletes",AND(Table13[[#This Row],[Gender]]="female",R1771&lt;24),"Fitnesss",AND(Table13[[#This Row],[Gender]]="female",R1771&lt;31),"Acceptable",AND(Table13[[#This Row],[Gender]]="female",R1771&lt;40),"Obese",AND(Table13[[#This Row],[Gender]]="male",R1771&lt;13),"Athletes",AND(Table13[[#This Row],[Gender]]="male",R1771&lt;17),"Fitnesss",AND(Table13[[#This Row],[Gender]]="male",R1771&lt;24.9),"Acceptable",AND(Table13[[#This Row],[Gender]]="male",R1771&lt;40),"Obese",AND(Table13[[#This Row],[Gender]]="others",R1771&lt;20),"Athletes",AND(Table13[[#This Row],[Gender]]="others",R1771&lt;24),"Fitnesss",AND(Table13[[#This Row],[Gender]]="others",R1771&lt;31),"Acceptable",AND(Table13[[#This Row],[Gender]]="others",R1771&lt;40),"Obese")</f>
        <v>Obese</v>
      </c>
      <c r="R1771" s="8">
        <v>28.1</v>
      </c>
      <c r="S1771" s="8">
        <v>2.6</v>
      </c>
      <c r="T1771" s="8">
        <v>2</v>
      </c>
      <c r="U1771" s="8">
        <v>3</v>
      </c>
      <c r="V1771" s="8" t="str">
        <f>IF(Table13[[#This Row],[BMI]]&lt;=18.5,"Underweight",IF(Table13[[#This Row],[BMI]]&lt;=24.9,"Normal",IF(Table13[[#This Row],[BMI]]&lt;=29.9,"Overweight",IF(Table13[[#This Row],[BMI]]&lt;=39,"Obese","Severly Obese"))))</f>
        <v>Underweight</v>
      </c>
      <c r="W1771" s="18">
        <v>16.350000000000001</v>
      </c>
    </row>
    <row r="1772" spans="6:23" x14ac:dyDescent="0.3">
      <c r="F1772" s="17">
        <v>18</v>
      </c>
      <c r="G1772" s="8" t="str">
        <f>IF(Table13[[#This Row],[Age]]&lt;25,"18-24",IF(Table13[[#This Row],[Age]]&lt;35,"25-34",IF(Table13[[#This Row],[Age]]&lt;45,"35-44",IF(Table13[[#This Row],[Age]]&lt;55,"45-54","55-64"))))</f>
        <v>18-24</v>
      </c>
      <c r="H1772" s="8" t="s">
        <v>19</v>
      </c>
      <c r="I1772" s="8">
        <v>40</v>
      </c>
      <c r="J1772" s="8">
        <v>1.64</v>
      </c>
      <c r="K1772" s="8">
        <v>160</v>
      </c>
      <c r="L1772" s="8">
        <v>152</v>
      </c>
      <c r="M1772" s="8">
        <v>56</v>
      </c>
      <c r="N1772" s="8">
        <v>1.2</v>
      </c>
      <c r="O1772" s="8">
        <v>1317</v>
      </c>
      <c r="P1772" s="8" t="s">
        <v>20</v>
      </c>
      <c r="Q1772" s="8" t="str">
        <f>_xlfn.IFS(AND(Table13[[#This Row],[Gender]]="female",R1772&lt;20),"Athletes",AND(Table13[[#This Row],[Gender]]="female",R1772&lt;24),"Fitnesss",AND(Table13[[#This Row],[Gender]]="female",R1772&lt;31),"Acceptable",AND(Table13[[#This Row],[Gender]]="female",R1772&lt;40),"Obese",AND(Table13[[#This Row],[Gender]]="male",R1772&lt;13),"Athletes",AND(Table13[[#This Row],[Gender]]="male",R1772&lt;17),"Fitnesss",AND(Table13[[#This Row],[Gender]]="male",R1772&lt;24.9),"Acceptable",AND(Table13[[#This Row],[Gender]]="male",R1772&lt;40),"Obese",AND(Table13[[#This Row],[Gender]]="others",R1772&lt;20),"Athletes",AND(Table13[[#This Row],[Gender]]="others",R1772&lt;24),"Fitnesss",AND(Table13[[#This Row],[Gender]]="others",R1772&lt;31),"Acceptable",AND(Table13[[#This Row],[Gender]]="others",R1772&lt;40),"Obese")</f>
        <v>Acceptable</v>
      </c>
      <c r="R1772" s="8">
        <v>19.2</v>
      </c>
      <c r="S1772" s="8">
        <v>1.8</v>
      </c>
      <c r="T1772" s="8">
        <v>3</v>
      </c>
      <c r="U1772" s="8">
        <v>1</v>
      </c>
      <c r="V1772" s="8" t="str">
        <f>IF(Table13[[#This Row],[BMI]]&lt;=18.5,"Underweight",IF(Table13[[#This Row],[BMI]]&lt;=24.9,"Normal",IF(Table13[[#This Row],[BMI]]&lt;=29.9,"Overweight",IF(Table13[[#This Row],[BMI]]&lt;=39,"Obese","Severly Obese"))))</f>
        <v>Overweight</v>
      </c>
      <c r="W1772" s="18">
        <v>28.02</v>
      </c>
    </row>
    <row r="1773" spans="6:23" x14ac:dyDescent="0.3">
      <c r="F1773" s="17">
        <v>28</v>
      </c>
      <c r="G1773" s="8" t="str">
        <f>IF(Table13[[#This Row],[Age]]&lt;25,"18-24",IF(Table13[[#This Row],[Age]]&lt;35,"25-34",IF(Table13[[#This Row],[Age]]&lt;45,"35-44",IF(Table13[[#This Row],[Age]]&lt;55,"45-54","55-64"))))</f>
        <v>25-34</v>
      </c>
      <c r="H1773" s="8" t="s">
        <v>19</v>
      </c>
      <c r="I1773" s="8">
        <v>82.4</v>
      </c>
      <c r="J1773" s="8">
        <v>1.57</v>
      </c>
      <c r="K1773" s="8">
        <v>171</v>
      </c>
      <c r="L1773" s="8">
        <v>169</v>
      </c>
      <c r="M1773" s="8">
        <v>55</v>
      </c>
      <c r="N1773" s="8">
        <v>1.07</v>
      </c>
      <c r="O1773" s="8">
        <v>1218</v>
      </c>
      <c r="P1773" s="8" t="s">
        <v>21</v>
      </c>
      <c r="Q1773" s="8" t="str">
        <f>_xlfn.IFS(AND(Table13[[#This Row],[Gender]]="female",R1773&lt;20),"Athletes",AND(Table13[[#This Row],[Gender]]="female",R1773&lt;24),"Fitnesss",AND(Table13[[#This Row],[Gender]]="female",R1773&lt;31),"Acceptable",AND(Table13[[#This Row],[Gender]]="female",R1773&lt;40),"Obese",AND(Table13[[#This Row],[Gender]]="male",R1773&lt;13),"Athletes",AND(Table13[[#This Row],[Gender]]="male",R1773&lt;17),"Fitnesss",AND(Table13[[#This Row],[Gender]]="male",R1773&lt;24.9),"Acceptable",AND(Table13[[#This Row],[Gender]]="male",R1773&lt;40),"Obese",AND(Table13[[#This Row],[Gender]]="others",R1773&lt;20),"Athletes",AND(Table13[[#This Row],[Gender]]="others",R1773&lt;24),"Fitnesss",AND(Table13[[#This Row],[Gender]]="others",R1773&lt;31),"Acceptable",AND(Table13[[#This Row],[Gender]]="others",R1773&lt;40),"Obese")</f>
        <v>Obese</v>
      </c>
      <c r="R1773" s="8">
        <v>31</v>
      </c>
      <c r="S1773" s="8">
        <v>2.5</v>
      </c>
      <c r="T1773" s="8">
        <v>4</v>
      </c>
      <c r="U1773" s="8"/>
      <c r="V1773" s="8" t="str">
        <f>IF(Table13[[#This Row],[BMI]]&lt;=18.5,"Underweight",IF(Table13[[#This Row],[BMI]]&lt;=24.9,"Normal",IF(Table13[[#This Row],[BMI]]&lt;=29.9,"Overweight",IF(Table13[[#This Row],[BMI]]&lt;=39,"Obese","Severly Obese"))))</f>
        <v>Underweight</v>
      </c>
      <c r="W1773" s="18">
        <v>12.47</v>
      </c>
    </row>
    <row r="1774" spans="6:23" x14ac:dyDescent="0.3">
      <c r="F1774" s="17">
        <v>29</v>
      </c>
      <c r="G1774" s="8" t="str">
        <f>IF(Table13[[#This Row],[Age]]&lt;25,"18-24",IF(Table13[[#This Row],[Age]]&lt;35,"25-34",IF(Table13[[#This Row],[Age]]&lt;45,"35-44",IF(Table13[[#This Row],[Age]]&lt;55,"45-54","55-64"))))</f>
        <v>25-34</v>
      </c>
      <c r="H1774" s="8" t="s">
        <v>19</v>
      </c>
      <c r="I1774" s="8">
        <v>46.8</v>
      </c>
      <c r="J1774" s="8">
        <v>1.7</v>
      </c>
      <c r="K1774" s="8">
        <v>195</v>
      </c>
      <c r="L1774" s="8">
        <v>153</v>
      </c>
      <c r="M1774" s="8">
        <v>59</v>
      </c>
      <c r="N1774" s="8">
        <v>1.33</v>
      </c>
      <c r="O1774" s="8">
        <v>1178</v>
      </c>
      <c r="P1774" s="8" t="s">
        <v>20</v>
      </c>
      <c r="Q1774" s="8" t="str">
        <f>_xlfn.IFS(AND(Table13[[#This Row],[Gender]]="female",R1774&lt;20),"Athletes",AND(Table13[[#This Row],[Gender]]="female",R1774&lt;24),"Fitnesss",AND(Table13[[#This Row],[Gender]]="female",R1774&lt;31),"Acceptable",AND(Table13[[#This Row],[Gender]]="female",R1774&lt;40),"Obese",AND(Table13[[#This Row],[Gender]]="male",R1774&lt;13),"Athletes",AND(Table13[[#This Row],[Gender]]="male",R1774&lt;17),"Fitnesss",AND(Table13[[#This Row],[Gender]]="male",R1774&lt;24.9),"Acceptable",AND(Table13[[#This Row],[Gender]]="male",R1774&lt;40),"Obese",AND(Table13[[#This Row],[Gender]]="others",R1774&lt;20),"Athletes",AND(Table13[[#This Row],[Gender]]="others",R1774&lt;24),"Fitnesss",AND(Table13[[#This Row],[Gender]]="others",R1774&lt;31),"Acceptable",AND(Table13[[#This Row],[Gender]]="others",R1774&lt;40),"Obese")</f>
        <v>Acceptable</v>
      </c>
      <c r="R1774" s="8">
        <v>24.7</v>
      </c>
      <c r="S1774" s="8">
        <v>3.4</v>
      </c>
      <c r="T1774" s="8">
        <v>3</v>
      </c>
      <c r="U1774" s="8">
        <v>2</v>
      </c>
      <c r="V1774" s="8" t="str">
        <f>IF(Table13[[#This Row],[BMI]]&lt;=18.5,"Underweight",IF(Table13[[#This Row],[BMI]]&lt;=24.9,"Normal",IF(Table13[[#This Row],[BMI]]&lt;=29.9,"Overweight",IF(Table13[[#This Row],[BMI]]&lt;=39,"Obese","Severly Obese"))))</f>
        <v>Overweight</v>
      </c>
      <c r="W1774" s="18">
        <v>26.27</v>
      </c>
    </row>
    <row r="1775" spans="6:23" x14ac:dyDescent="0.3">
      <c r="F1775" s="17">
        <v>21</v>
      </c>
      <c r="G1775" s="8" t="str">
        <f>IF(Table13[[#This Row],[Age]]&lt;25,"18-24",IF(Table13[[#This Row],[Age]]&lt;35,"25-34",IF(Table13[[#This Row],[Age]]&lt;45,"35-44",IF(Table13[[#This Row],[Age]]&lt;55,"45-54","55-64"))))</f>
        <v>18-24</v>
      </c>
      <c r="H1775" s="8" t="s">
        <v>19</v>
      </c>
      <c r="I1775" s="8">
        <v>62.2</v>
      </c>
      <c r="J1775" s="8">
        <v>1.71</v>
      </c>
      <c r="K1775" s="8">
        <v>190</v>
      </c>
      <c r="L1775" s="8">
        <v>142</v>
      </c>
      <c r="M1775" s="8">
        <v>58</v>
      </c>
      <c r="N1775" s="8">
        <v>2</v>
      </c>
      <c r="O1775" s="8">
        <v>1757</v>
      </c>
      <c r="P1775" s="8" t="s">
        <v>22</v>
      </c>
      <c r="Q1775" s="8" t="str">
        <f>_xlfn.IFS(AND(Table13[[#This Row],[Gender]]="female",R1775&lt;20),"Athletes",AND(Table13[[#This Row],[Gender]]="female",R1775&lt;24),"Fitnesss",AND(Table13[[#This Row],[Gender]]="female",R1775&lt;31),"Acceptable",AND(Table13[[#This Row],[Gender]]="female",R1775&lt;40),"Obese",AND(Table13[[#This Row],[Gender]]="male",R1775&lt;13),"Athletes",AND(Table13[[#This Row],[Gender]]="male",R1775&lt;17),"Fitnesss",AND(Table13[[#This Row],[Gender]]="male",R1775&lt;24.9),"Acceptable",AND(Table13[[#This Row],[Gender]]="male",R1775&lt;40),"Obese",AND(Table13[[#This Row],[Gender]]="others",R1775&lt;20),"Athletes",AND(Table13[[#This Row],[Gender]]="others",R1775&lt;24),"Fitnesss",AND(Table13[[#This Row],[Gender]]="others",R1775&lt;31),"Acceptable",AND(Table13[[#This Row],[Gender]]="others",R1775&lt;40),"Obese")</f>
        <v>Acceptable</v>
      </c>
      <c r="R1775" s="8">
        <v>18.5</v>
      </c>
      <c r="S1775" s="8">
        <v>3.1</v>
      </c>
      <c r="T1775" s="8"/>
      <c r="U1775" s="8">
        <v>2</v>
      </c>
      <c r="V1775" s="8" t="str">
        <f>IF(Table13[[#This Row],[BMI]]&lt;=18.5,"Underweight",IF(Table13[[#This Row],[BMI]]&lt;=24.9,"Normal",IF(Table13[[#This Row],[BMI]]&lt;=29.9,"Overweight",IF(Table13[[#This Row],[BMI]]&lt;=39,"Obese","Severly Obese"))))</f>
        <v>Underweight</v>
      </c>
      <c r="W1775" s="18">
        <v>16.059999999999999</v>
      </c>
    </row>
    <row r="1776" spans="6:23" x14ac:dyDescent="0.3">
      <c r="F1776" s="17">
        <v>33</v>
      </c>
      <c r="G1776" s="8" t="str">
        <f>IF(Table13[[#This Row],[Age]]&lt;25,"18-24",IF(Table13[[#This Row],[Age]]&lt;35,"25-34",IF(Table13[[#This Row],[Age]]&lt;45,"35-44",IF(Table13[[#This Row],[Age]]&lt;55,"45-54","55-64"))))</f>
        <v>25-34</v>
      </c>
      <c r="H1776" s="8" t="s">
        <v>19</v>
      </c>
      <c r="I1776" s="8">
        <v>58.1</v>
      </c>
      <c r="J1776" s="8">
        <v>1.65</v>
      </c>
      <c r="K1776" s="8">
        <v>168</v>
      </c>
      <c r="L1776" s="8">
        <v>130</v>
      </c>
      <c r="M1776" s="8">
        <v>60</v>
      </c>
      <c r="N1776" s="8">
        <v>1.18</v>
      </c>
      <c r="O1776" s="8">
        <v>850</v>
      </c>
      <c r="P1776" s="8" t="s">
        <v>18</v>
      </c>
      <c r="Q1776" s="8" t="str">
        <f>_xlfn.IFS(AND(Table13[[#This Row],[Gender]]="female",R1776&lt;20),"Athletes",AND(Table13[[#This Row],[Gender]]="female",R1776&lt;24),"Fitnesss",AND(Table13[[#This Row],[Gender]]="female",R1776&lt;31),"Acceptable",AND(Table13[[#This Row],[Gender]]="female",R1776&lt;40),"Obese",AND(Table13[[#This Row],[Gender]]="male",R1776&lt;13),"Athletes",AND(Table13[[#This Row],[Gender]]="male",R1776&lt;17),"Fitnesss",AND(Table13[[#This Row],[Gender]]="male",R1776&lt;24.9),"Acceptable",AND(Table13[[#This Row],[Gender]]="male",R1776&lt;40),"Obese",AND(Table13[[#This Row],[Gender]]="others",R1776&lt;20),"Athletes",AND(Table13[[#This Row],[Gender]]="others",R1776&lt;24),"Fitnesss",AND(Table13[[#This Row],[Gender]]="others",R1776&lt;31),"Acceptable",AND(Table13[[#This Row],[Gender]]="others",R1776&lt;40),"Obese")</f>
        <v>Acceptable</v>
      </c>
      <c r="R1776" s="8">
        <v>22.4</v>
      </c>
      <c r="S1776" s="8">
        <v>3.1</v>
      </c>
      <c r="T1776" s="8">
        <v>3</v>
      </c>
      <c r="U1776" s="8">
        <v>2</v>
      </c>
      <c r="V1776" s="8" t="str">
        <f>IF(Table13[[#This Row],[BMI]]&lt;=18.5,"Underweight",IF(Table13[[#This Row],[BMI]]&lt;=24.9,"Normal",IF(Table13[[#This Row],[BMI]]&lt;=29.9,"Overweight",IF(Table13[[#This Row],[BMI]]&lt;=39,"Obese","Severly Obese"))))</f>
        <v>Underweight</v>
      </c>
      <c r="W1776" s="18">
        <v>12.32</v>
      </c>
    </row>
    <row r="1777" spans="6:23" x14ac:dyDescent="0.3">
      <c r="F1777" s="17">
        <v>18</v>
      </c>
      <c r="G1777" s="8" t="str">
        <f>IF(Table13[[#This Row],[Age]]&lt;25,"18-24",IF(Table13[[#This Row],[Age]]&lt;35,"25-34",IF(Table13[[#This Row],[Age]]&lt;45,"35-44",IF(Table13[[#This Row],[Age]]&lt;55,"45-54","55-64"))))</f>
        <v>18-24</v>
      </c>
      <c r="H1777" s="8" t="s">
        <v>17</v>
      </c>
      <c r="I1777" s="8">
        <v>82.7</v>
      </c>
      <c r="J1777" s="8">
        <v>1.79</v>
      </c>
      <c r="K1777" s="8">
        <v>191</v>
      </c>
      <c r="L1777" s="8">
        <v>124</v>
      </c>
      <c r="M1777" s="8">
        <v>18</v>
      </c>
      <c r="N1777" s="8">
        <v>1.1499999999999999</v>
      </c>
      <c r="O1777" s="8">
        <v>823</v>
      </c>
      <c r="P1777" s="8" t="s">
        <v>21</v>
      </c>
      <c r="Q1777" s="8" t="str">
        <f>_xlfn.IFS(AND(Table13[[#This Row],[Gender]]="female",R1777&lt;20),"Athletes",AND(Table13[[#This Row],[Gender]]="female",R1777&lt;24),"Fitnesss",AND(Table13[[#This Row],[Gender]]="female",R1777&lt;31),"Acceptable",AND(Table13[[#This Row],[Gender]]="female",R1777&lt;40),"Obese",AND(Table13[[#This Row],[Gender]]="male",R1777&lt;13),"Athletes",AND(Table13[[#This Row],[Gender]]="male",R1777&lt;17),"Fitnesss",AND(Table13[[#This Row],[Gender]]="male",R1777&lt;24.9),"Acceptable",AND(Table13[[#This Row],[Gender]]="male",R1777&lt;40),"Obese",AND(Table13[[#This Row],[Gender]]="others",R1777&lt;20),"Athletes",AND(Table13[[#This Row],[Gender]]="others",R1777&lt;24),"Fitnesss",AND(Table13[[#This Row],[Gender]]="others",R1777&lt;31),"Acceptable",AND(Table13[[#This Row],[Gender]]="others",R1777&lt;40),"Obese")</f>
        <v>Obese</v>
      </c>
      <c r="R1777" s="8">
        <v>31.8</v>
      </c>
      <c r="S1777" s="8">
        <v>1.8</v>
      </c>
      <c r="T1777" s="8">
        <v>3</v>
      </c>
      <c r="U1777" s="8">
        <v>1</v>
      </c>
      <c r="V1777" s="8" t="str">
        <f>IF(Table13[[#This Row],[BMI]]&lt;=18.5,"Underweight",IF(Table13[[#This Row],[BMI]]&lt;=24.9,"Normal",IF(Table13[[#This Row],[BMI]]&lt;=29.9,"Overweight",IF(Table13[[#This Row],[BMI]]&lt;=39,"Obese","Severly Obese"))))</f>
        <v>Underweight</v>
      </c>
      <c r="W1777" s="18">
        <v>12.32</v>
      </c>
    </row>
    <row r="1778" spans="6:23" x14ac:dyDescent="0.3">
      <c r="F1778" s="17">
        <v>45</v>
      </c>
      <c r="G1778" s="8" t="str">
        <f>IF(Table13[[#This Row],[Age]]&lt;25,"18-24",IF(Table13[[#This Row],[Age]]&lt;35,"25-34",IF(Table13[[#This Row],[Age]]&lt;45,"35-44",IF(Table13[[#This Row],[Age]]&lt;55,"45-54","55-64"))))</f>
        <v>45-54</v>
      </c>
      <c r="H1778" s="8" t="s">
        <v>17</v>
      </c>
      <c r="I1778" s="8">
        <v>55.2</v>
      </c>
      <c r="J1778" s="8">
        <v>1.9</v>
      </c>
      <c r="K1778" s="8">
        <v>175</v>
      </c>
      <c r="L1778" s="8">
        <v>156</v>
      </c>
      <c r="M1778" s="8">
        <v>67</v>
      </c>
      <c r="N1778" s="8">
        <v>1.39</v>
      </c>
      <c r="O1778" s="8">
        <v>854</v>
      </c>
      <c r="P1778" s="8" t="s">
        <v>18</v>
      </c>
      <c r="Q1778" s="8" t="str">
        <f>_xlfn.IFS(AND(Table13[[#This Row],[Gender]]="female",R1778&lt;20),"Athletes",AND(Table13[[#This Row],[Gender]]="female",R1778&lt;24),"Fitnesss",AND(Table13[[#This Row],[Gender]]="female",R1778&lt;31),"Acceptable",AND(Table13[[#This Row],[Gender]]="female",R1778&lt;40),"Obese",AND(Table13[[#This Row],[Gender]]="male",R1778&lt;13),"Athletes",AND(Table13[[#This Row],[Gender]]="male",R1778&lt;17),"Fitnesss",AND(Table13[[#This Row],[Gender]]="male",R1778&lt;24.9),"Acceptable",AND(Table13[[#This Row],[Gender]]="male",R1778&lt;40),"Obese",AND(Table13[[#This Row],[Gender]]="others",R1778&lt;20),"Athletes",AND(Table13[[#This Row],[Gender]]="others",R1778&lt;24),"Fitnesss",AND(Table13[[#This Row],[Gender]]="others",R1778&lt;31),"Acceptable",AND(Table13[[#This Row],[Gender]]="others",R1778&lt;40),"Obese")</f>
        <v>Acceptable</v>
      </c>
      <c r="R1778" s="8">
        <v>24.5</v>
      </c>
      <c r="S1778" s="8">
        <v>2.5</v>
      </c>
      <c r="T1778" s="8">
        <v>5</v>
      </c>
      <c r="U1778" s="8">
        <v>1</v>
      </c>
      <c r="V1778" s="8" t="str">
        <f>IF(Table13[[#This Row],[BMI]]&lt;=18.5,"Underweight",IF(Table13[[#This Row],[BMI]]&lt;=24.9,"Normal",IF(Table13[[#This Row],[BMI]]&lt;=29.9,"Overweight",IF(Table13[[#This Row],[BMI]]&lt;=39,"Obese","Severly Obese"))))</f>
        <v>Underweight</v>
      </c>
      <c r="W1778" s="18">
        <v>12.32</v>
      </c>
    </row>
    <row r="1779" spans="6:23" x14ac:dyDescent="0.3">
      <c r="F1779" s="17">
        <v>18</v>
      </c>
      <c r="G1779" s="8" t="str">
        <f>IF(Table13[[#This Row],[Age]]&lt;25,"18-24",IF(Table13[[#This Row],[Age]]&lt;35,"25-34",IF(Table13[[#This Row],[Age]]&lt;45,"35-44",IF(Table13[[#This Row],[Age]]&lt;55,"45-54","55-64"))))</f>
        <v>18-24</v>
      </c>
      <c r="H1779" s="8" t="s">
        <v>17</v>
      </c>
      <c r="I1779" s="8">
        <v>65.5</v>
      </c>
      <c r="J1779" s="8">
        <v>1.69</v>
      </c>
      <c r="K1779" s="8">
        <v>178</v>
      </c>
      <c r="L1779" s="8">
        <v>134</v>
      </c>
      <c r="M1779" s="8">
        <v>53</v>
      </c>
      <c r="N1779" s="8">
        <v>1.29</v>
      </c>
      <c r="O1779" s="8">
        <v>405</v>
      </c>
      <c r="P1779" s="8" t="s">
        <v>20</v>
      </c>
      <c r="Q1779" s="8" t="str">
        <f>_xlfn.IFS(AND(Table13[[#This Row],[Gender]]="female",R1779&lt;20),"Athletes",AND(Table13[[#This Row],[Gender]]="female",R1779&lt;24),"Fitnesss",AND(Table13[[#This Row],[Gender]]="female",R1779&lt;31),"Acceptable",AND(Table13[[#This Row],[Gender]]="female",R1779&lt;40),"Obese",AND(Table13[[#This Row],[Gender]]="male",R1779&lt;13),"Athletes",AND(Table13[[#This Row],[Gender]]="male",R1779&lt;17),"Fitnesss",AND(Table13[[#This Row],[Gender]]="male",R1779&lt;24.9),"Acceptable",AND(Table13[[#This Row],[Gender]]="male",R1779&lt;40),"Obese",AND(Table13[[#This Row],[Gender]]="others",R1779&lt;20),"Athletes",AND(Table13[[#This Row],[Gender]]="others",R1779&lt;24),"Fitnesss",AND(Table13[[#This Row],[Gender]]="others",R1779&lt;31),"Acceptable",AND(Table13[[#This Row],[Gender]]="others",R1779&lt;40),"Obese")</f>
        <v>Acceptable</v>
      </c>
      <c r="R1779" s="8">
        <v>24.4</v>
      </c>
      <c r="S1779" s="8"/>
      <c r="T1779" s="8">
        <v>4</v>
      </c>
      <c r="U1779" s="8">
        <v>2</v>
      </c>
      <c r="V1779" s="8" t="str">
        <f>IF(Table13[[#This Row],[BMI]]&lt;=18.5,"Underweight",IF(Table13[[#This Row],[BMI]]&lt;=24.9,"Normal",IF(Table13[[#This Row],[BMI]]&lt;=29.9,"Overweight",IF(Table13[[#This Row],[BMI]]&lt;=39,"Obese","Severly Obese"))))</f>
        <v>Underweight</v>
      </c>
      <c r="W1779" s="18">
        <v>12.32</v>
      </c>
    </row>
    <row r="1780" spans="6:23" x14ac:dyDescent="0.3">
      <c r="F1780" s="17">
        <v>22</v>
      </c>
      <c r="G1780" s="8" t="str">
        <f>IF(Table13[[#This Row],[Age]]&lt;25,"18-24",IF(Table13[[#This Row],[Age]]&lt;35,"25-34",IF(Table13[[#This Row],[Age]]&lt;45,"35-44",IF(Table13[[#This Row],[Age]]&lt;55,"45-54","55-64"))))</f>
        <v>18-24</v>
      </c>
      <c r="H1780" s="8" t="s">
        <v>19</v>
      </c>
      <c r="I1780" s="8">
        <v>52.3</v>
      </c>
      <c r="J1780" s="8">
        <v>1.66</v>
      </c>
      <c r="K1780" s="8">
        <v>190</v>
      </c>
      <c r="L1780" s="8">
        <v>146</v>
      </c>
      <c r="M1780" s="8">
        <v>59</v>
      </c>
      <c r="N1780" s="8">
        <v>0.76</v>
      </c>
      <c r="O1780" s="8">
        <v>1186</v>
      </c>
      <c r="P1780" s="8" t="s">
        <v>22</v>
      </c>
      <c r="Q1780" s="8" t="str">
        <f>_xlfn.IFS(AND(Table13[[#This Row],[Gender]]="female",R1780&lt;20),"Athletes",AND(Table13[[#This Row],[Gender]]="female",R1780&lt;24),"Fitnesss",AND(Table13[[#This Row],[Gender]]="female",R1780&lt;31),"Acceptable",AND(Table13[[#This Row],[Gender]]="female",R1780&lt;40),"Obese",AND(Table13[[#This Row],[Gender]]="male",R1780&lt;13),"Athletes",AND(Table13[[#This Row],[Gender]]="male",R1780&lt;17),"Fitnesss",AND(Table13[[#This Row],[Gender]]="male",R1780&lt;24.9),"Acceptable",AND(Table13[[#This Row],[Gender]]="male",R1780&lt;40),"Obese",AND(Table13[[#This Row],[Gender]]="others",R1780&lt;20),"Athletes",AND(Table13[[#This Row],[Gender]]="others",R1780&lt;24),"Fitnesss",AND(Table13[[#This Row],[Gender]]="others",R1780&lt;31),"Acceptable",AND(Table13[[#This Row],[Gender]]="others",R1780&lt;40),"Obese")</f>
        <v>Acceptable</v>
      </c>
      <c r="R1780" s="8">
        <v>21.4</v>
      </c>
      <c r="S1780" s="8">
        <v>3.3</v>
      </c>
      <c r="T1780" s="8">
        <v>2</v>
      </c>
      <c r="U1780" s="8">
        <v>2</v>
      </c>
      <c r="V1780" s="8" t="str">
        <f>IF(Table13[[#This Row],[BMI]]&lt;=18.5,"Underweight",IF(Table13[[#This Row],[BMI]]&lt;=24.9,"Normal",IF(Table13[[#This Row],[BMI]]&lt;=29.9,"Overweight",IF(Table13[[#This Row],[BMI]]&lt;=39,"Obese","Severly Obese"))))</f>
        <v>Underweight</v>
      </c>
      <c r="W1780" s="18">
        <v>15.38</v>
      </c>
    </row>
    <row r="1781" spans="6:23" x14ac:dyDescent="0.3">
      <c r="F1781" s="17">
        <v>37</v>
      </c>
      <c r="G1781" s="8" t="str">
        <f>IF(Table13[[#This Row],[Age]]&lt;25,"18-24",IF(Table13[[#This Row],[Age]]&lt;35,"25-34",IF(Table13[[#This Row],[Age]]&lt;45,"35-44",IF(Table13[[#This Row],[Age]]&lt;55,"45-54","55-64"))))</f>
        <v>35-44</v>
      </c>
      <c r="H1781" s="8" t="s">
        <v>17</v>
      </c>
      <c r="I1781" s="8">
        <v>40</v>
      </c>
      <c r="J1781" s="8">
        <v>1.66</v>
      </c>
      <c r="K1781" s="8">
        <v>176</v>
      </c>
      <c r="L1781" s="8">
        <v>134</v>
      </c>
      <c r="M1781" s="8">
        <v>57</v>
      </c>
      <c r="N1781" s="8">
        <v>2</v>
      </c>
      <c r="O1781" s="8">
        <v>931</v>
      </c>
      <c r="P1781" s="8" t="s">
        <v>18</v>
      </c>
      <c r="Q1781" s="8" t="str">
        <f>_xlfn.IFS(AND(Table13[[#This Row],[Gender]]="female",R1781&lt;20),"Athletes",AND(Table13[[#This Row],[Gender]]="female",R1781&lt;24),"Fitnesss",AND(Table13[[#This Row],[Gender]]="female",R1781&lt;31),"Acceptable",AND(Table13[[#This Row],[Gender]]="female",R1781&lt;40),"Obese",AND(Table13[[#This Row],[Gender]]="male",R1781&lt;13),"Athletes",AND(Table13[[#This Row],[Gender]]="male",R1781&lt;17),"Fitnesss",AND(Table13[[#This Row],[Gender]]="male",R1781&lt;24.9),"Acceptable",AND(Table13[[#This Row],[Gender]]="male",R1781&lt;40),"Obese",AND(Table13[[#This Row],[Gender]]="others",R1781&lt;20),"Athletes",AND(Table13[[#This Row],[Gender]]="others",R1781&lt;24),"Fitnesss",AND(Table13[[#This Row],[Gender]]="others",R1781&lt;31),"Acceptable",AND(Table13[[#This Row],[Gender]]="others",R1781&lt;40),"Obese")</f>
        <v>Acceptable</v>
      </c>
      <c r="R1781" s="8">
        <v>27.2</v>
      </c>
      <c r="S1781" s="8">
        <v>2.7</v>
      </c>
      <c r="T1781" s="8">
        <v>3</v>
      </c>
      <c r="U1781" s="8">
        <v>2</v>
      </c>
      <c r="V1781" s="8" t="str">
        <f>IF(Table13[[#This Row],[BMI]]&lt;=18.5,"Underweight",IF(Table13[[#This Row],[BMI]]&lt;=24.9,"Normal",IF(Table13[[#This Row],[BMI]]&lt;=29.9,"Overweight",IF(Table13[[#This Row],[BMI]]&lt;=39,"Obese","Severly Obese"))))</f>
        <v>Normal</v>
      </c>
      <c r="W1781" s="18">
        <v>23.21</v>
      </c>
    </row>
    <row r="1782" spans="6:23" x14ac:dyDescent="0.3">
      <c r="F1782" s="17">
        <v>28</v>
      </c>
      <c r="G1782" s="8" t="str">
        <f>IF(Table13[[#This Row],[Age]]&lt;25,"18-24",IF(Table13[[#This Row],[Age]]&lt;35,"25-34",IF(Table13[[#This Row],[Age]]&lt;45,"35-44",IF(Table13[[#This Row],[Age]]&lt;55,"45-54","55-64"))))</f>
        <v>25-34</v>
      </c>
      <c r="H1782" s="8" t="s">
        <v>17</v>
      </c>
      <c r="I1782" s="8">
        <v>93.2</v>
      </c>
      <c r="J1782" s="8">
        <v>1.71</v>
      </c>
      <c r="K1782" s="8">
        <v>176</v>
      </c>
      <c r="L1782" s="8">
        <v>149</v>
      </c>
      <c r="M1782" s="8">
        <v>60</v>
      </c>
      <c r="N1782" s="8">
        <v>1.4</v>
      </c>
      <c r="O1782" s="8">
        <v>1348</v>
      </c>
      <c r="P1782" s="8" t="s">
        <v>21</v>
      </c>
      <c r="Q1782" s="8" t="str">
        <f>_xlfn.IFS(AND(Table13[[#This Row],[Gender]]="female",R1782&lt;20),"Athletes",AND(Table13[[#This Row],[Gender]]="female",R1782&lt;24),"Fitnesss",AND(Table13[[#This Row],[Gender]]="female",R1782&lt;31),"Acceptable",AND(Table13[[#This Row],[Gender]]="female",R1782&lt;40),"Obese",AND(Table13[[#This Row],[Gender]]="male",R1782&lt;13),"Athletes",AND(Table13[[#This Row],[Gender]]="male",R1782&lt;17),"Fitnesss",AND(Table13[[#This Row],[Gender]]="male",R1782&lt;24.9),"Acceptable",AND(Table13[[#This Row],[Gender]]="male",R1782&lt;40),"Obese",AND(Table13[[#This Row],[Gender]]="others",R1782&lt;20),"Athletes",AND(Table13[[#This Row],[Gender]]="others",R1782&lt;24),"Fitnesss",AND(Table13[[#This Row],[Gender]]="others",R1782&lt;31),"Acceptable",AND(Table13[[#This Row],[Gender]]="others",R1782&lt;40),"Obese")</f>
        <v>Acceptable</v>
      </c>
      <c r="R1782" s="8">
        <v>27.2</v>
      </c>
      <c r="S1782" s="8">
        <v>2.1</v>
      </c>
      <c r="T1782" s="8"/>
      <c r="U1782" s="8">
        <v>2</v>
      </c>
      <c r="V1782" s="8" t="str">
        <f>IF(Table13[[#This Row],[BMI]]&lt;=18.5,"Underweight",IF(Table13[[#This Row],[BMI]]&lt;=24.9,"Normal",IF(Table13[[#This Row],[BMI]]&lt;=29.9,"Overweight",IF(Table13[[#This Row],[BMI]]&lt;=39,"Obese","Severly Obese"))))</f>
        <v>Underweight</v>
      </c>
      <c r="W1782" s="18">
        <v>14.12</v>
      </c>
    </row>
    <row r="1783" spans="6:23" x14ac:dyDescent="0.3">
      <c r="F1783" s="17">
        <v>18</v>
      </c>
      <c r="G1783" s="8" t="str">
        <f>IF(Table13[[#This Row],[Age]]&lt;25,"18-24",IF(Table13[[#This Row],[Age]]&lt;35,"25-34",IF(Table13[[#This Row],[Age]]&lt;45,"35-44",IF(Table13[[#This Row],[Age]]&lt;55,"45-54","55-64"))))</f>
        <v>18-24</v>
      </c>
      <c r="H1783" s="8" t="s">
        <v>17</v>
      </c>
      <c r="I1783" s="8">
        <v>53.9</v>
      </c>
      <c r="J1783" s="8">
        <v>1.73</v>
      </c>
      <c r="K1783" s="8">
        <v>177</v>
      </c>
      <c r="L1783" s="8">
        <v>157</v>
      </c>
      <c r="M1783" s="8">
        <v>73</v>
      </c>
      <c r="N1783" s="8">
        <v>1.24</v>
      </c>
      <c r="O1783" s="8">
        <v>1483</v>
      </c>
      <c r="P1783" s="8" t="s">
        <v>20</v>
      </c>
      <c r="Q1783" s="8" t="str">
        <f>_xlfn.IFS(AND(Table13[[#This Row],[Gender]]="female",R1783&lt;20),"Athletes",AND(Table13[[#This Row],[Gender]]="female",R1783&lt;24),"Fitnesss",AND(Table13[[#This Row],[Gender]]="female",R1783&lt;31),"Acceptable",AND(Table13[[#This Row],[Gender]]="female",R1783&lt;40),"Obese",AND(Table13[[#This Row],[Gender]]="male",R1783&lt;13),"Athletes",AND(Table13[[#This Row],[Gender]]="male",R1783&lt;17),"Fitnesss",AND(Table13[[#This Row],[Gender]]="male",R1783&lt;24.9),"Acceptable",AND(Table13[[#This Row],[Gender]]="male",R1783&lt;40),"Obese",AND(Table13[[#This Row],[Gender]]="others",R1783&lt;20),"Athletes",AND(Table13[[#This Row],[Gender]]="others",R1783&lt;24),"Fitnesss",AND(Table13[[#This Row],[Gender]]="others",R1783&lt;31),"Acceptable",AND(Table13[[#This Row],[Gender]]="others",R1783&lt;40),"Obese")</f>
        <v>Athletes</v>
      </c>
      <c r="R1783" s="8">
        <v>10</v>
      </c>
      <c r="S1783" s="8">
        <v>3.5</v>
      </c>
      <c r="T1783" s="8">
        <v>3</v>
      </c>
      <c r="U1783" s="8">
        <v>1</v>
      </c>
      <c r="V1783" s="8" t="str">
        <f>IF(Table13[[#This Row],[BMI]]&lt;=18.5,"Underweight",IF(Table13[[#This Row],[BMI]]&lt;=24.9,"Normal",IF(Table13[[#This Row],[BMI]]&lt;=29.9,"Overweight",IF(Table13[[#This Row],[BMI]]&lt;=39,"Obese","Severly Obese"))))</f>
        <v>Underweight</v>
      </c>
      <c r="W1783" s="18">
        <v>15.92</v>
      </c>
    </row>
    <row r="1784" spans="6:23" x14ac:dyDescent="0.3">
      <c r="F1784" s="17">
        <v>52</v>
      </c>
      <c r="G1784" s="8" t="str">
        <f>IF(Table13[[#This Row],[Age]]&lt;25,"18-24",IF(Table13[[#This Row],[Age]]&lt;35,"25-34",IF(Table13[[#This Row],[Age]]&lt;45,"35-44",IF(Table13[[#This Row],[Age]]&lt;55,"45-54","55-64"))))</f>
        <v>45-54</v>
      </c>
      <c r="H1784" s="8" t="s">
        <v>19</v>
      </c>
      <c r="I1784" s="8">
        <v>54.9</v>
      </c>
      <c r="J1784" s="8">
        <v>1.67</v>
      </c>
      <c r="K1784" s="8">
        <v>167</v>
      </c>
      <c r="L1784" s="8">
        <v>144</v>
      </c>
      <c r="M1784" s="8">
        <v>69</v>
      </c>
      <c r="N1784" s="8">
        <v>2</v>
      </c>
      <c r="O1784" s="8">
        <v>997</v>
      </c>
      <c r="P1784" s="8" t="s">
        <v>18</v>
      </c>
      <c r="Q1784" s="8" t="str">
        <f>_xlfn.IFS(AND(Table13[[#This Row],[Gender]]="female",R1784&lt;20),"Athletes",AND(Table13[[#This Row],[Gender]]="female",R1784&lt;24),"Fitnesss",AND(Table13[[#This Row],[Gender]]="female",R1784&lt;31),"Acceptable",AND(Table13[[#This Row],[Gender]]="female",R1784&lt;40),"Obese",AND(Table13[[#This Row],[Gender]]="male",R1784&lt;13),"Athletes",AND(Table13[[#This Row],[Gender]]="male",R1784&lt;17),"Fitnesss",AND(Table13[[#This Row],[Gender]]="male",R1784&lt;24.9),"Acceptable",AND(Table13[[#This Row],[Gender]]="male",R1784&lt;40),"Obese",AND(Table13[[#This Row],[Gender]]="others",R1784&lt;20),"Athletes",AND(Table13[[#This Row],[Gender]]="others",R1784&lt;24),"Fitnesss",AND(Table13[[#This Row],[Gender]]="others",R1784&lt;31),"Acceptable",AND(Table13[[#This Row],[Gender]]="others",R1784&lt;40),"Obese")</f>
        <v>Fitnesss</v>
      </c>
      <c r="R1784" s="8">
        <v>16.399999999999999</v>
      </c>
      <c r="S1784" s="8">
        <v>2.5</v>
      </c>
      <c r="T1784" s="8">
        <v>4</v>
      </c>
      <c r="U1784" s="8">
        <v>2</v>
      </c>
      <c r="V1784" s="8" t="str">
        <f>IF(Table13[[#This Row],[BMI]]&lt;=18.5,"Underweight",IF(Table13[[#This Row],[BMI]]&lt;=24.9,"Normal",IF(Table13[[#This Row],[BMI]]&lt;=29.9,"Overweight",IF(Table13[[#This Row],[BMI]]&lt;=39,"Obese","Severly Obese"))))</f>
        <v>Underweight</v>
      </c>
      <c r="W1784" s="18">
        <v>18.27</v>
      </c>
    </row>
    <row r="1785" spans="6:23" x14ac:dyDescent="0.3">
      <c r="F1785" s="17">
        <v>18</v>
      </c>
      <c r="G1785" s="8" t="str">
        <f>IF(Table13[[#This Row],[Age]]&lt;25,"18-24",IF(Table13[[#This Row],[Age]]&lt;35,"25-34",IF(Table13[[#This Row],[Age]]&lt;45,"35-44",IF(Table13[[#This Row],[Age]]&lt;55,"45-54","55-64"))))</f>
        <v>18-24</v>
      </c>
      <c r="H1785" s="8" t="s">
        <v>19</v>
      </c>
      <c r="I1785" s="8">
        <v>62.7</v>
      </c>
      <c r="J1785" s="8">
        <v>1.87</v>
      </c>
      <c r="K1785" s="8">
        <v>184</v>
      </c>
      <c r="L1785" s="8">
        <v>141</v>
      </c>
      <c r="M1785" s="8">
        <v>59</v>
      </c>
      <c r="N1785" s="8">
        <v>1.59</v>
      </c>
      <c r="O1785" s="8">
        <v>708</v>
      </c>
      <c r="P1785" s="8" t="s">
        <v>20</v>
      </c>
      <c r="Q1785" s="8" t="str">
        <f>_xlfn.IFS(AND(Table13[[#This Row],[Gender]]="female",R1785&lt;20),"Athletes",AND(Table13[[#This Row],[Gender]]="female",R1785&lt;24),"Fitnesss",AND(Table13[[#This Row],[Gender]]="female",R1785&lt;31),"Acceptable",AND(Table13[[#This Row],[Gender]]="female",R1785&lt;40),"Obese",AND(Table13[[#This Row],[Gender]]="male",R1785&lt;13),"Athletes",AND(Table13[[#This Row],[Gender]]="male",R1785&lt;17),"Fitnesss",AND(Table13[[#This Row],[Gender]]="male",R1785&lt;24.9),"Acceptable",AND(Table13[[#This Row],[Gender]]="male",R1785&lt;40),"Obese",AND(Table13[[#This Row],[Gender]]="others",R1785&lt;20),"Athletes",AND(Table13[[#This Row],[Gender]]="others",R1785&lt;24),"Fitnesss",AND(Table13[[#This Row],[Gender]]="others",R1785&lt;31),"Acceptable",AND(Table13[[#This Row],[Gender]]="others",R1785&lt;40),"Obese")</f>
        <v>Athletes</v>
      </c>
      <c r="R1785" s="8">
        <v>10.3</v>
      </c>
      <c r="S1785" s="8">
        <v>1.5</v>
      </c>
      <c r="T1785" s="8">
        <v>2</v>
      </c>
      <c r="U1785" s="8">
        <v>2</v>
      </c>
      <c r="V1785" s="8" t="str">
        <f>IF(Table13[[#This Row],[BMI]]&lt;=18.5,"Underweight",IF(Table13[[#This Row],[BMI]]&lt;=24.9,"Normal",IF(Table13[[#This Row],[BMI]]&lt;=29.9,"Overweight",IF(Table13[[#This Row],[BMI]]&lt;=39,"Obese","Severly Obese"))))</f>
        <v>Underweight</v>
      </c>
      <c r="W1785" s="18">
        <v>13.14</v>
      </c>
    </row>
    <row r="1786" spans="6:23" x14ac:dyDescent="0.3">
      <c r="F1786" s="17">
        <v>57</v>
      </c>
      <c r="G1786" s="8" t="str">
        <f>IF(Table13[[#This Row],[Age]]&lt;25,"18-24",IF(Table13[[#This Row],[Age]]&lt;35,"25-34",IF(Table13[[#This Row],[Age]]&lt;45,"35-44",IF(Table13[[#This Row],[Age]]&lt;55,"45-54","55-64"))))</f>
        <v>55-64</v>
      </c>
      <c r="H1786" s="8" t="s">
        <v>17</v>
      </c>
      <c r="I1786" s="8">
        <v>98.3</v>
      </c>
      <c r="J1786" s="8">
        <v>1.71</v>
      </c>
      <c r="K1786" s="8">
        <v>162</v>
      </c>
      <c r="L1786" s="8">
        <v>126</v>
      </c>
      <c r="M1786" s="8">
        <v>61</v>
      </c>
      <c r="N1786" s="8">
        <v>0.95</v>
      </c>
      <c r="O1786" s="8">
        <v>366</v>
      </c>
      <c r="P1786" s="8" t="s">
        <v>21</v>
      </c>
      <c r="Q1786" s="8" t="str">
        <f>_xlfn.IFS(AND(Table13[[#This Row],[Gender]]="female",R1786&lt;20),"Athletes",AND(Table13[[#This Row],[Gender]]="female",R1786&lt;24),"Fitnesss",AND(Table13[[#This Row],[Gender]]="female",R1786&lt;31),"Acceptable",AND(Table13[[#This Row],[Gender]]="female",R1786&lt;40),"Obese",AND(Table13[[#This Row],[Gender]]="male",R1786&lt;13),"Athletes",AND(Table13[[#This Row],[Gender]]="male",R1786&lt;17),"Fitnesss",AND(Table13[[#This Row],[Gender]]="male",R1786&lt;24.9),"Acceptable",AND(Table13[[#This Row],[Gender]]="male",R1786&lt;40),"Obese",AND(Table13[[#This Row],[Gender]]="others",R1786&lt;20),"Athletes",AND(Table13[[#This Row],[Gender]]="others",R1786&lt;24),"Fitnesss",AND(Table13[[#This Row],[Gender]]="others",R1786&lt;31),"Acceptable",AND(Table13[[#This Row],[Gender]]="others",R1786&lt;40),"Obese")</f>
        <v>Fitnesss</v>
      </c>
      <c r="R1786" s="8">
        <v>22.7</v>
      </c>
      <c r="S1786" s="8">
        <v>3.3</v>
      </c>
      <c r="T1786" s="8">
        <v>3</v>
      </c>
      <c r="U1786" s="8">
        <v>2</v>
      </c>
      <c r="V1786" s="8" t="str">
        <f>IF(Table13[[#This Row],[BMI]]&lt;=18.5,"Underweight",IF(Table13[[#This Row],[BMI]]&lt;=24.9,"Normal",IF(Table13[[#This Row],[BMI]]&lt;=29.9,"Overweight",IF(Table13[[#This Row],[BMI]]&lt;=39,"Obese","Severly Obese"))))</f>
        <v>Normal</v>
      </c>
      <c r="W1786" s="18">
        <v>20.61</v>
      </c>
    </row>
    <row r="1787" spans="6:23" x14ac:dyDescent="0.3">
      <c r="F1787" s="17">
        <v>40</v>
      </c>
      <c r="G1787" s="8" t="str">
        <f>IF(Table13[[#This Row],[Age]]&lt;25,"18-24",IF(Table13[[#This Row],[Age]]&lt;35,"25-34",IF(Table13[[#This Row],[Age]]&lt;45,"35-44",IF(Table13[[#This Row],[Age]]&lt;55,"45-54","55-64"))))</f>
        <v>35-44</v>
      </c>
      <c r="H1787" s="8" t="s">
        <v>17</v>
      </c>
      <c r="I1787" s="8">
        <v>71.400000000000006</v>
      </c>
      <c r="J1787" s="8">
        <v>1.92</v>
      </c>
      <c r="K1787" s="8">
        <v>171</v>
      </c>
      <c r="L1787" s="8">
        <v>167</v>
      </c>
      <c r="M1787" s="8">
        <v>57</v>
      </c>
      <c r="N1787" s="8">
        <v>0.62</v>
      </c>
      <c r="O1787" s="8">
        <v>1412</v>
      </c>
      <c r="P1787" s="8" t="s">
        <v>18</v>
      </c>
      <c r="Q1787" s="8" t="str">
        <f>_xlfn.IFS(AND(Table13[[#This Row],[Gender]]="female",R1787&lt;20),"Athletes",AND(Table13[[#This Row],[Gender]]="female",R1787&lt;24),"Fitnesss",AND(Table13[[#This Row],[Gender]]="female",R1787&lt;31),"Acceptable",AND(Table13[[#This Row],[Gender]]="female",R1787&lt;40),"Obese",AND(Table13[[#This Row],[Gender]]="male",R1787&lt;13),"Athletes",AND(Table13[[#This Row],[Gender]]="male",R1787&lt;17),"Fitnesss",AND(Table13[[#This Row],[Gender]]="male",R1787&lt;24.9),"Acceptable",AND(Table13[[#This Row],[Gender]]="male",R1787&lt;40),"Obese",AND(Table13[[#This Row],[Gender]]="others",R1787&lt;20),"Athletes",AND(Table13[[#This Row],[Gender]]="others",R1787&lt;24),"Fitnesss",AND(Table13[[#This Row],[Gender]]="others",R1787&lt;31),"Acceptable",AND(Table13[[#This Row],[Gender]]="others",R1787&lt;40),"Obese")</f>
        <v>Athletes</v>
      </c>
      <c r="R1787" s="8">
        <v>10</v>
      </c>
      <c r="S1787" s="8">
        <v>1.8</v>
      </c>
      <c r="T1787" s="8">
        <v>3</v>
      </c>
      <c r="U1787" s="8">
        <v>1</v>
      </c>
      <c r="V1787" s="8" t="str">
        <f>IF(Table13[[#This Row],[BMI]]&lt;=18.5,"Underweight",IF(Table13[[#This Row],[BMI]]&lt;=24.9,"Normal",IF(Table13[[#This Row],[BMI]]&lt;=29.9,"Overweight",IF(Table13[[#This Row],[BMI]]&lt;=39,"Obese","Severly Obese"))))</f>
        <v>Underweight</v>
      </c>
      <c r="W1787" s="18">
        <v>18.190000000000001</v>
      </c>
    </row>
    <row r="1788" spans="6:23" x14ac:dyDescent="0.3">
      <c r="F1788" s="17">
        <v>33</v>
      </c>
      <c r="G1788" s="8" t="str">
        <f>IF(Table13[[#This Row],[Age]]&lt;25,"18-24",IF(Table13[[#This Row],[Age]]&lt;35,"25-34",IF(Table13[[#This Row],[Age]]&lt;45,"35-44",IF(Table13[[#This Row],[Age]]&lt;55,"45-54","55-64"))))</f>
        <v>25-34</v>
      </c>
      <c r="H1788" s="8" t="s">
        <v>19</v>
      </c>
      <c r="I1788" s="8">
        <v>74.599999999999994</v>
      </c>
      <c r="J1788" s="8">
        <v>1.58</v>
      </c>
      <c r="K1788" s="8">
        <v>172</v>
      </c>
      <c r="L1788" s="8">
        <v>165</v>
      </c>
      <c r="M1788" s="8">
        <v>68</v>
      </c>
      <c r="N1788" s="8">
        <v>1.4</v>
      </c>
      <c r="O1788" s="8">
        <v>1271</v>
      </c>
      <c r="P1788" s="8" t="s">
        <v>22</v>
      </c>
      <c r="Q1788" s="8" t="str">
        <f>_xlfn.IFS(AND(Table13[[#This Row],[Gender]]="female",R1788&lt;20),"Athletes",AND(Table13[[#This Row],[Gender]]="female",R1788&lt;24),"Fitnesss",AND(Table13[[#This Row],[Gender]]="female",R1788&lt;31),"Acceptable",AND(Table13[[#This Row],[Gender]]="female",R1788&lt;40),"Obese",AND(Table13[[#This Row],[Gender]]="male",R1788&lt;13),"Athletes",AND(Table13[[#This Row],[Gender]]="male",R1788&lt;17),"Fitnesss",AND(Table13[[#This Row],[Gender]]="male",R1788&lt;24.9),"Acceptable",AND(Table13[[#This Row],[Gender]]="male",R1788&lt;40),"Obese",AND(Table13[[#This Row],[Gender]]="others",R1788&lt;20),"Athletes",AND(Table13[[#This Row],[Gender]]="others",R1788&lt;24),"Fitnesss",AND(Table13[[#This Row],[Gender]]="others",R1788&lt;31),"Acceptable",AND(Table13[[#This Row],[Gender]]="others",R1788&lt;40),"Obese")</f>
        <v>Fitnesss</v>
      </c>
      <c r="R1788" s="8">
        <v>15.6</v>
      </c>
      <c r="S1788" s="8">
        <v>2.7</v>
      </c>
      <c r="T1788" s="8">
        <v>2</v>
      </c>
      <c r="U1788" s="8">
        <v>2</v>
      </c>
      <c r="V1788" s="8" t="str">
        <f>IF(Table13[[#This Row],[BMI]]&lt;=18.5,"Underweight",IF(Table13[[#This Row],[BMI]]&lt;=24.9,"Normal",IF(Table13[[#This Row],[BMI]]&lt;=29.9,"Overweight",IF(Table13[[#This Row],[BMI]]&lt;=39,"Obese","Severly Obese"))))</f>
        <v>Underweight</v>
      </c>
      <c r="W1788" s="18">
        <v>13.23</v>
      </c>
    </row>
    <row r="1789" spans="6:23" x14ac:dyDescent="0.3">
      <c r="F1789" s="17">
        <v>51</v>
      </c>
      <c r="G1789" s="8" t="str">
        <f>IF(Table13[[#This Row],[Age]]&lt;25,"18-24",IF(Table13[[#This Row],[Age]]&lt;35,"25-34",IF(Table13[[#This Row],[Age]]&lt;45,"35-44",IF(Table13[[#This Row],[Age]]&lt;55,"45-54","55-64"))))</f>
        <v>45-54</v>
      </c>
      <c r="H1789" s="8" t="s">
        <v>19</v>
      </c>
      <c r="I1789" s="8">
        <v>47.1</v>
      </c>
      <c r="J1789" s="8">
        <v>2</v>
      </c>
      <c r="K1789" s="8">
        <v>177</v>
      </c>
      <c r="L1789" s="8">
        <v>163</v>
      </c>
      <c r="M1789" s="8">
        <v>65</v>
      </c>
      <c r="N1789" s="8">
        <v>1.29</v>
      </c>
      <c r="O1789" s="8">
        <v>1140</v>
      </c>
      <c r="P1789" s="8" t="s">
        <v>22</v>
      </c>
      <c r="Q1789" s="8" t="str">
        <f>_xlfn.IFS(AND(Table13[[#This Row],[Gender]]="female",R1789&lt;20),"Athletes",AND(Table13[[#This Row],[Gender]]="female",R1789&lt;24),"Fitnesss",AND(Table13[[#This Row],[Gender]]="female",R1789&lt;31),"Acceptable",AND(Table13[[#This Row],[Gender]]="female",R1789&lt;40),"Obese",AND(Table13[[#This Row],[Gender]]="male",R1789&lt;13),"Athletes",AND(Table13[[#This Row],[Gender]]="male",R1789&lt;17),"Fitnesss",AND(Table13[[#This Row],[Gender]]="male",R1789&lt;24.9),"Acceptable",AND(Table13[[#This Row],[Gender]]="male",R1789&lt;40),"Obese",AND(Table13[[#This Row],[Gender]]="others",R1789&lt;20),"Athletes",AND(Table13[[#This Row],[Gender]]="others",R1789&lt;24),"Fitnesss",AND(Table13[[#This Row],[Gender]]="others",R1789&lt;31),"Acceptable",AND(Table13[[#This Row],[Gender]]="others",R1789&lt;40),"Obese")</f>
        <v>Acceptable</v>
      </c>
      <c r="R1789" s="8">
        <v>21.9</v>
      </c>
      <c r="S1789" s="8">
        <v>2.8</v>
      </c>
      <c r="T1789" s="8">
        <v>5</v>
      </c>
      <c r="U1789" s="8">
        <v>1</v>
      </c>
      <c r="V1789" s="8" t="str">
        <f>IF(Table13[[#This Row],[BMI]]&lt;=18.5,"Underweight",IF(Table13[[#This Row],[BMI]]&lt;=24.9,"Normal",IF(Table13[[#This Row],[BMI]]&lt;=29.9,"Overweight",IF(Table13[[#This Row],[BMI]]&lt;=39,"Obese","Severly Obese"))))</f>
        <v>Underweight</v>
      </c>
      <c r="W1789" s="18">
        <v>14.85</v>
      </c>
    </row>
    <row r="1790" spans="6:23" x14ac:dyDescent="0.3">
      <c r="F1790" s="17">
        <v>46</v>
      </c>
      <c r="G1790" s="8" t="str">
        <f>IF(Table13[[#This Row],[Age]]&lt;25,"18-24",IF(Table13[[#This Row],[Age]]&lt;35,"25-34",IF(Table13[[#This Row],[Age]]&lt;45,"35-44",IF(Table13[[#This Row],[Age]]&lt;55,"45-54","55-64"))))</f>
        <v>45-54</v>
      </c>
      <c r="H1790" s="8" t="s">
        <v>17</v>
      </c>
      <c r="I1790" s="8">
        <v>49.2</v>
      </c>
      <c r="J1790" s="8">
        <v>1.5</v>
      </c>
      <c r="K1790" s="8">
        <v>184</v>
      </c>
      <c r="L1790" s="8">
        <v>120</v>
      </c>
      <c r="M1790" s="8">
        <v>73</v>
      </c>
      <c r="N1790" s="8">
        <v>2</v>
      </c>
      <c r="O1790" s="8">
        <v>832</v>
      </c>
      <c r="P1790" s="8" t="s">
        <v>22</v>
      </c>
      <c r="Q1790" s="8" t="str">
        <f>_xlfn.IFS(AND(Table13[[#This Row],[Gender]]="female",R1790&lt;20),"Athletes",AND(Table13[[#This Row],[Gender]]="female",R1790&lt;24),"Fitnesss",AND(Table13[[#This Row],[Gender]]="female",R1790&lt;31),"Acceptable",AND(Table13[[#This Row],[Gender]]="female",R1790&lt;40),"Obese",AND(Table13[[#This Row],[Gender]]="male",R1790&lt;13),"Athletes",AND(Table13[[#This Row],[Gender]]="male",R1790&lt;17),"Fitnesss",AND(Table13[[#This Row],[Gender]]="male",R1790&lt;24.9),"Acceptable",AND(Table13[[#This Row],[Gender]]="male",R1790&lt;40),"Obese",AND(Table13[[#This Row],[Gender]]="others",R1790&lt;20),"Athletes",AND(Table13[[#This Row],[Gender]]="others",R1790&lt;24),"Fitnesss",AND(Table13[[#This Row],[Gender]]="others",R1790&lt;31),"Acceptable",AND(Table13[[#This Row],[Gender]]="others",R1790&lt;40),"Obese")</f>
        <v>Acceptable</v>
      </c>
      <c r="R1790" s="8">
        <v>25.9</v>
      </c>
      <c r="S1790" s="8">
        <v>3.3</v>
      </c>
      <c r="T1790" s="8">
        <v>3</v>
      </c>
      <c r="U1790" s="8">
        <v>1</v>
      </c>
      <c r="V1790" s="8" t="str">
        <f>IF(Table13[[#This Row],[BMI]]&lt;=18.5,"Underweight",IF(Table13[[#This Row],[BMI]]&lt;=24.9,"Normal",IF(Table13[[#This Row],[BMI]]&lt;=29.9,"Overweight",IF(Table13[[#This Row],[BMI]]&lt;=39,"Obese","Severly Obese"))))</f>
        <v>Underweight</v>
      </c>
      <c r="W1790" s="18">
        <v>15.31</v>
      </c>
    </row>
    <row r="1791" spans="6:23" x14ac:dyDescent="0.3">
      <c r="F1791" s="17">
        <v>36</v>
      </c>
      <c r="G1791" s="8" t="str">
        <f>IF(Table13[[#This Row],[Age]]&lt;25,"18-24",IF(Table13[[#This Row],[Age]]&lt;35,"25-34",IF(Table13[[#This Row],[Age]]&lt;45,"35-44",IF(Table13[[#This Row],[Age]]&lt;55,"45-54","55-64"))))</f>
        <v>35-44</v>
      </c>
      <c r="H1791" s="8" t="s">
        <v>19</v>
      </c>
      <c r="I1791" s="8">
        <v>80.8</v>
      </c>
      <c r="J1791" s="8">
        <v>1.91</v>
      </c>
      <c r="K1791" s="8">
        <v>184</v>
      </c>
      <c r="L1791" s="8"/>
      <c r="M1791" s="8">
        <v>59</v>
      </c>
      <c r="N1791" s="8">
        <v>0.99</v>
      </c>
      <c r="O1791" s="8">
        <v>780</v>
      </c>
      <c r="P1791" s="8" t="s">
        <v>21</v>
      </c>
      <c r="Q1791" s="8" t="str">
        <f>_xlfn.IFS(AND(Table13[[#This Row],[Gender]]="female",R1791&lt;20),"Athletes",AND(Table13[[#This Row],[Gender]]="female",R1791&lt;24),"Fitnesss",AND(Table13[[#This Row],[Gender]]="female",R1791&lt;31),"Acceptable",AND(Table13[[#This Row],[Gender]]="female",R1791&lt;40),"Obese",AND(Table13[[#This Row],[Gender]]="male",R1791&lt;13),"Athletes",AND(Table13[[#This Row],[Gender]]="male",R1791&lt;17),"Fitnesss",AND(Table13[[#This Row],[Gender]]="male",R1791&lt;24.9),"Acceptable",AND(Table13[[#This Row],[Gender]]="male",R1791&lt;40),"Obese",AND(Table13[[#This Row],[Gender]]="others",R1791&lt;20),"Athletes",AND(Table13[[#This Row],[Gender]]="others",R1791&lt;24),"Fitnesss",AND(Table13[[#This Row],[Gender]]="others",R1791&lt;31),"Acceptable",AND(Table13[[#This Row],[Gender]]="others",R1791&lt;40),"Obese")</f>
        <v>Acceptable</v>
      </c>
      <c r="R1791" s="8">
        <v>23.6</v>
      </c>
      <c r="S1791" s="8">
        <v>3.3</v>
      </c>
      <c r="T1791" s="8">
        <v>4</v>
      </c>
      <c r="U1791" s="8">
        <v>2</v>
      </c>
      <c r="V1791" s="8" t="str">
        <f>IF(Table13[[#This Row],[BMI]]&lt;=18.5,"Underweight",IF(Table13[[#This Row],[BMI]]&lt;=24.9,"Normal",IF(Table13[[#This Row],[BMI]]&lt;=29.9,"Overweight",IF(Table13[[#This Row],[BMI]]&lt;=39,"Obese","Severly Obese"))))</f>
        <v>Normal</v>
      </c>
      <c r="W1791" s="18">
        <v>18.61</v>
      </c>
    </row>
    <row r="1792" spans="6:23" x14ac:dyDescent="0.3">
      <c r="F1792" s="17">
        <v>51</v>
      </c>
      <c r="G1792" s="8" t="str">
        <f>IF(Table13[[#This Row],[Age]]&lt;25,"18-24",IF(Table13[[#This Row],[Age]]&lt;35,"25-34",IF(Table13[[#This Row],[Age]]&lt;45,"35-44",IF(Table13[[#This Row],[Age]]&lt;55,"45-54","55-64"))))</f>
        <v>45-54</v>
      </c>
      <c r="H1792" s="8" t="s">
        <v>19</v>
      </c>
      <c r="I1792" s="8">
        <v>80.8</v>
      </c>
      <c r="J1792" s="8">
        <v>2</v>
      </c>
      <c r="K1792" s="8">
        <v>167</v>
      </c>
      <c r="L1792" s="8">
        <v>129</v>
      </c>
      <c r="M1792" s="8">
        <v>55</v>
      </c>
      <c r="N1792" s="8">
        <v>1.52</v>
      </c>
      <c r="O1792" s="8">
        <v>1454</v>
      </c>
      <c r="P1792" s="8" t="s">
        <v>20</v>
      </c>
      <c r="Q1792" s="8" t="str">
        <f>_xlfn.IFS(AND(Table13[[#This Row],[Gender]]="female",R1792&lt;20),"Athletes",AND(Table13[[#This Row],[Gender]]="female",R1792&lt;24),"Fitnesss",AND(Table13[[#This Row],[Gender]]="female",R1792&lt;31),"Acceptable",AND(Table13[[#This Row],[Gender]]="female",R1792&lt;40),"Obese",AND(Table13[[#This Row],[Gender]]="male",R1792&lt;13),"Athletes",AND(Table13[[#This Row],[Gender]]="male",R1792&lt;17),"Fitnesss",AND(Table13[[#This Row],[Gender]]="male",R1792&lt;24.9),"Acceptable",AND(Table13[[#This Row],[Gender]]="male",R1792&lt;40),"Obese",AND(Table13[[#This Row],[Gender]]="others",R1792&lt;20),"Athletes",AND(Table13[[#This Row],[Gender]]="others",R1792&lt;24),"Fitnesss",AND(Table13[[#This Row],[Gender]]="others",R1792&lt;31),"Acceptable",AND(Table13[[#This Row],[Gender]]="others",R1792&lt;40),"Obese")</f>
        <v>Obese</v>
      </c>
      <c r="R1792" s="8">
        <v>33.9</v>
      </c>
      <c r="S1792" s="8">
        <v>1.6</v>
      </c>
      <c r="T1792" s="8">
        <v>3</v>
      </c>
      <c r="U1792" s="8">
        <v>1</v>
      </c>
      <c r="V1792" s="8" t="str">
        <f>IF(Table13[[#This Row],[BMI]]&lt;=18.5,"Underweight",IF(Table13[[#This Row],[BMI]]&lt;=24.9,"Normal",IF(Table13[[#This Row],[BMI]]&lt;=29.9,"Overweight",IF(Table13[[#This Row],[BMI]]&lt;=39,"Obese","Severly Obese"))))</f>
        <v>Underweight</v>
      </c>
      <c r="W1792" s="18">
        <v>12.58</v>
      </c>
    </row>
    <row r="1793" spans="6:23" x14ac:dyDescent="0.3">
      <c r="F1793" s="17">
        <v>59</v>
      </c>
      <c r="G1793" s="8" t="str">
        <f>IF(Table13[[#This Row],[Age]]&lt;25,"18-24",IF(Table13[[#This Row],[Age]]&lt;35,"25-34",IF(Table13[[#This Row],[Age]]&lt;45,"35-44",IF(Table13[[#This Row],[Age]]&lt;55,"45-54","55-64"))))</f>
        <v>55-64</v>
      </c>
      <c r="H1793" s="8" t="s">
        <v>17</v>
      </c>
      <c r="I1793" s="8">
        <v>85.7</v>
      </c>
      <c r="J1793" s="8">
        <v>1.6</v>
      </c>
      <c r="K1793" s="8">
        <v>182</v>
      </c>
      <c r="L1793" s="8">
        <v>140</v>
      </c>
      <c r="M1793" s="8">
        <v>72</v>
      </c>
      <c r="N1793" s="8">
        <v>2</v>
      </c>
      <c r="O1793" s="8">
        <v>1243</v>
      </c>
      <c r="P1793" s="8" t="s">
        <v>22</v>
      </c>
      <c r="Q1793" s="8" t="str">
        <f>_xlfn.IFS(AND(Table13[[#This Row],[Gender]]="female",R1793&lt;20),"Athletes",AND(Table13[[#This Row],[Gender]]="female",R1793&lt;24),"Fitnesss",AND(Table13[[#This Row],[Gender]]="female",R1793&lt;31),"Acceptable",AND(Table13[[#This Row],[Gender]]="female",R1793&lt;40),"Obese",AND(Table13[[#This Row],[Gender]]="male",R1793&lt;13),"Athletes",AND(Table13[[#This Row],[Gender]]="male",R1793&lt;17),"Fitnesss",AND(Table13[[#This Row],[Gender]]="male",R1793&lt;24.9),"Acceptable",AND(Table13[[#This Row],[Gender]]="male",R1793&lt;40),"Obese",AND(Table13[[#This Row],[Gender]]="others",R1793&lt;20),"Athletes",AND(Table13[[#This Row],[Gender]]="others",R1793&lt;24),"Fitnesss",AND(Table13[[#This Row],[Gender]]="others",R1793&lt;31),"Acceptable",AND(Table13[[#This Row],[Gender]]="others",R1793&lt;40),"Obese")</f>
        <v>Obese</v>
      </c>
      <c r="R1793" s="8">
        <v>33.4</v>
      </c>
      <c r="S1793" s="8">
        <v>1.5</v>
      </c>
      <c r="T1793" s="8">
        <v>4</v>
      </c>
      <c r="U1793" s="8">
        <v>3</v>
      </c>
      <c r="V1793" s="8" t="str">
        <f>IF(Table13[[#This Row],[BMI]]&lt;=18.5,"Underweight",IF(Table13[[#This Row],[BMI]]&lt;=24.9,"Normal",IF(Table13[[#This Row],[BMI]]&lt;=29.9,"Overweight",IF(Table13[[#This Row],[BMI]]&lt;=39,"Obese","Severly Obese"))))</f>
        <v>Normal</v>
      </c>
      <c r="W1793" s="18">
        <v>24.01</v>
      </c>
    </row>
    <row r="1794" spans="6:23" x14ac:dyDescent="0.3">
      <c r="F1794" s="17">
        <v>18</v>
      </c>
      <c r="G1794" s="8" t="str">
        <f>IF(Table13[[#This Row],[Age]]&lt;25,"18-24",IF(Table13[[#This Row],[Age]]&lt;35,"25-34",IF(Table13[[#This Row],[Age]]&lt;45,"35-44",IF(Table13[[#This Row],[Age]]&lt;55,"45-54","55-64"))))</f>
        <v>18-24</v>
      </c>
      <c r="H1794" s="8" t="s">
        <v>19</v>
      </c>
      <c r="I1794" s="8">
        <v>42.3</v>
      </c>
      <c r="J1794" s="8">
        <v>1.64</v>
      </c>
      <c r="K1794" s="8">
        <v>198</v>
      </c>
      <c r="L1794" s="8">
        <v>169</v>
      </c>
      <c r="M1794" s="8">
        <v>65</v>
      </c>
      <c r="N1794" s="8">
        <v>1.55</v>
      </c>
      <c r="O1794" s="8">
        <v>1199</v>
      </c>
      <c r="P1794" s="8" t="s">
        <v>20</v>
      </c>
      <c r="Q1794" s="8" t="str">
        <f>_xlfn.IFS(AND(Table13[[#This Row],[Gender]]="female",R1794&lt;20),"Athletes",AND(Table13[[#This Row],[Gender]]="female",R1794&lt;24),"Fitnesss",AND(Table13[[#This Row],[Gender]]="female",R1794&lt;31),"Acceptable",AND(Table13[[#This Row],[Gender]]="female",R1794&lt;40),"Obese",AND(Table13[[#This Row],[Gender]]="male",R1794&lt;13),"Athletes",AND(Table13[[#This Row],[Gender]]="male",R1794&lt;17),"Fitnesss",AND(Table13[[#This Row],[Gender]]="male",R1794&lt;24.9),"Acceptable",AND(Table13[[#This Row],[Gender]]="male",R1794&lt;40),"Obese",AND(Table13[[#This Row],[Gender]]="others",R1794&lt;20),"Athletes",AND(Table13[[#This Row],[Gender]]="others",R1794&lt;24),"Fitnesss",AND(Table13[[#This Row],[Gender]]="others",R1794&lt;31),"Acceptable",AND(Table13[[#This Row],[Gender]]="others",R1794&lt;40),"Obese")</f>
        <v>Obese</v>
      </c>
      <c r="R1794" s="8">
        <v>26.4</v>
      </c>
      <c r="S1794" s="8">
        <v>3.2</v>
      </c>
      <c r="T1794" s="8">
        <v>4</v>
      </c>
      <c r="U1794" s="8">
        <v>1</v>
      </c>
      <c r="V1794" s="8" t="str">
        <f>IF(Table13[[#This Row],[BMI]]&lt;=18.5,"Underweight",IF(Table13[[#This Row],[BMI]]&lt;=24.9,"Normal",IF(Table13[[#This Row],[BMI]]&lt;=29.9,"Overweight",IF(Table13[[#This Row],[BMI]]&lt;=39,"Obese","Severly Obese"))))</f>
        <v>Underweight</v>
      </c>
      <c r="W1794" s="18">
        <v>15.26</v>
      </c>
    </row>
    <row r="1795" spans="6:23" x14ac:dyDescent="0.3">
      <c r="F1795" s="17">
        <v>23</v>
      </c>
      <c r="G1795" s="8" t="str">
        <f>IF(Table13[[#This Row],[Age]]&lt;25,"18-24",IF(Table13[[#This Row],[Age]]&lt;35,"25-34",IF(Table13[[#This Row],[Age]]&lt;45,"35-44",IF(Table13[[#This Row],[Age]]&lt;55,"45-54","55-64"))))</f>
        <v>18-24</v>
      </c>
      <c r="H1795" s="8" t="s">
        <v>17</v>
      </c>
      <c r="I1795" s="8">
        <v>41.5</v>
      </c>
      <c r="J1795" s="8">
        <v>1.89</v>
      </c>
      <c r="K1795" s="8">
        <v>188</v>
      </c>
      <c r="L1795" s="8">
        <v>129</v>
      </c>
      <c r="M1795" s="8">
        <v>59</v>
      </c>
      <c r="N1795" s="8">
        <v>1.35</v>
      </c>
      <c r="O1795" s="8">
        <v>532</v>
      </c>
      <c r="P1795" s="8" t="s">
        <v>21</v>
      </c>
      <c r="Q1795" s="8" t="str">
        <f>_xlfn.IFS(AND(Table13[[#This Row],[Gender]]="female",R1795&lt;20),"Athletes",AND(Table13[[#This Row],[Gender]]="female",R1795&lt;24),"Fitnesss",AND(Table13[[#This Row],[Gender]]="female",R1795&lt;31),"Acceptable",AND(Table13[[#This Row],[Gender]]="female",R1795&lt;40),"Obese",AND(Table13[[#This Row],[Gender]]="male",R1795&lt;13),"Athletes",AND(Table13[[#This Row],[Gender]]="male",R1795&lt;17),"Fitnesss",AND(Table13[[#This Row],[Gender]]="male",R1795&lt;24.9),"Acceptable",AND(Table13[[#This Row],[Gender]]="male",R1795&lt;40),"Obese",AND(Table13[[#This Row],[Gender]]="others",R1795&lt;20),"Athletes",AND(Table13[[#This Row],[Gender]]="others",R1795&lt;24),"Fitnesss",AND(Table13[[#This Row],[Gender]]="others",R1795&lt;31),"Acceptable",AND(Table13[[#This Row],[Gender]]="others",R1795&lt;40),"Obese")</f>
        <v>Acceptable</v>
      </c>
      <c r="R1795" s="8">
        <v>27.6</v>
      </c>
      <c r="S1795" s="8">
        <v>3.4</v>
      </c>
      <c r="T1795" s="8">
        <v>3</v>
      </c>
      <c r="U1795" s="8">
        <v>2</v>
      </c>
      <c r="V1795" s="8" t="str">
        <f>IF(Table13[[#This Row],[BMI]]&lt;=18.5,"Underweight",IF(Table13[[#This Row],[BMI]]&lt;=24.9,"Normal",IF(Table13[[#This Row],[BMI]]&lt;=29.9,"Overweight",IF(Table13[[#This Row],[BMI]]&lt;=39,"Obese","Severly Obese"))))</f>
        <v>Normal</v>
      </c>
      <c r="W1795" s="18">
        <v>20.79</v>
      </c>
    </row>
    <row r="1796" spans="6:23" x14ac:dyDescent="0.3">
      <c r="F1796" s="17">
        <v>22</v>
      </c>
      <c r="G1796" s="8" t="str">
        <f>IF(Table13[[#This Row],[Age]]&lt;25,"18-24",IF(Table13[[#This Row],[Age]]&lt;35,"25-34",IF(Table13[[#This Row],[Age]]&lt;45,"35-44",IF(Table13[[#This Row],[Age]]&lt;55,"45-54","55-64"))))</f>
        <v>18-24</v>
      </c>
      <c r="H1796" s="8" t="s">
        <v>19</v>
      </c>
      <c r="I1796" s="8">
        <v>84.3</v>
      </c>
      <c r="J1796" s="8">
        <v>1.6</v>
      </c>
      <c r="K1796" s="8">
        <v>173</v>
      </c>
      <c r="L1796" s="8">
        <v>127</v>
      </c>
      <c r="M1796" s="8">
        <v>72</v>
      </c>
      <c r="N1796" s="8">
        <v>0.8</v>
      </c>
      <c r="O1796" s="8">
        <v>911</v>
      </c>
      <c r="P1796" s="8" t="s">
        <v>21</v>
      </c>
      <c r="Q1796" s="8" t="str">
        <f>_xlfn.IFS(AND(Table13[[#This Row],[Gender]]="female",R1796&lt;20),"Athletes",AND(Table13[[#This Row],[Gender]]="female",R1796&lt;24),"Fitnesss",AND(Table13[[#This Row],[Gender]]="female",R1796&lt;31),"Acceptable",AND(Table13[[#This Row],[Gender]]="female",R1796&lt;40),"Obese",AND(Table13[[#This Row],[Gender]]="male",R1796&lt;13),"Athletes",AND(Table13[[#This Row],[Gender]]="male",R1796&lt;17),"Fitnesss",AND(Table13[[#This Row],[Gender]]="male",R1796&lt;24.9),"Acceptable",AND(Table13[[#This Row],[Gender]]="male",R1796&lt;40),"Obese",AND(Table13[[#This Row],[Gender]]="others",R1796&lt;20),"Athletes",AND(Table13[[#This Row],[Gender]]="others",R1796&lt;24),"Fitnesss",AND(Table13[[#This Row],[Gender]]="others",R1796&lt;31),"Acceptable",AND(Table13[[#This Row],[Gender]]="others",R1796&lt;40),"Obese")</f>
        <v>Acceptable</v>
      </c>
      <c r="R1796" s="8">
        <v>24</v>
      </c>
      <c r="S1796" s="8">
        <v>3.3</v>
      </c>
      <c r="T1796" s="8">
        <v>5</v>
      </c>
      <c r="U1796" s="8">
        <v>1</v>
      </c>
      <c r="V1796" s="8" t="str">
        <f>IF(Table13[[#This Row],[BMI]]&lt;=18.5,"Underweight",IF(Table13[[#This Row],[BMI]]&lt;=24.9,"Normal",IF(Table13[[#This Row],[BMI]]&lt;=29.9,"Overweight",IF(Table13[[#This Row],[BMI]]&lt;=39,"Obese","Severly Obese"))))</f>
        <v>Underweight</v>
      </c>
      <c r="W1796" s="18">
        <v>13.86</v>
      </c>
    </row>
    <row r="1797" spans="6:23" x14ac:dyDescent="0.3">
      <c r="F1797" s="17">
        <v>34</v>
      </c>
      <c r="G1797" s="8" t="str">
        <f>IF(Table13[[#This Row],[Age]]&lt;25,"18-24",IF(Table13[[#This Row],[Age]]&lt;35,"25-34",IF(Table13[[#This Row],[Age]]&lt;45,"35-44",IF(Table13[[#This Row],[Age]]&lt;55,"45-54","55-64"))))</f>
        <v>25-34</v>
      </c>
      <c r="H1797" s="8" t="s">
        <v>19</v>
      </c>
      <c r="I1797" s="8">
        <v>82.4</v>
      </c>
      <c r="J1797" s="8">
        <v>1.66</v>
      </c>
      <c r="K1797" s="8">
        <v>192</v>
      </c>
      <c r="L1797" s="8">
        <v>148</v>
      </c>
      <c r="M1797" s="8">
        <v>72</v>
      </c>
      <c r="N1797" s="8">
        <v>1.1100000000000001</v>
      </c>
      <c r="O1797" s="8">
        <v>1090</v>
      </c>
      <c r="P1797" s="8" t="s">
        <v>18</v>
      </c>
      <c r="Q1797" s="8" t="str">
        <f>_xlfn.IFS(AND(Table13[[#This Row],[Gender]]="female",R1797&lt;20),"Athletes",AND(Table13[[#This Row],[Gender]]="female",R1797&lt;24),"Fitnesss",AND(Table13[[#This Row],[Gender]]="female",R1797&lt;31),"Acceptable",AND(Table13[[#This Row],[Gender]]="female",R1797&lt;40),"Obese",AND(Table13[[#This Row],[Gender]]="male",R1797&lt;13),"Athletes",AND(Table13[[#This Row],[Gender]]="male",R1797&lt;17),"Fitnesss",AND(Table13[[#This Row],[Gender]]="male",R1797&lt;24.9),"Acceptable",AND(Table13[[#This Row],[Gender]]="male",R1797&lt;40),"Obese",AND(Table13[[#This Row],[Gender]]="others",R1797&lt;20),"Athletes",AND(Table13[[#This Row],[Gender]]="others",R1797&lt;24),"Fitnesss",AND(Table13[[#This Row],[Gender]]="others",R1797&lt;31),"Acceptable",AND(Table13[[#This Row],[Gender]]="others",R1797&lt;40),"Obese")</f>
        <v>Obese</v>
      </c>
      <c r="R1797" s="8">
        <v>26.3</v>
      </c>
      <c r="S1797" s="8">
        <v>3.4</v>
      </c>
      <c r="T1797" s="8">
        <v>2</v>
      </c>
      <c r="U1797" s="8">
        <v>2</v>
      </c>
      <c r="V1797" s="8" t="str">
        <f>IF(Table13[[#This Row],[BMI]]&lt;=18.5,"Underweight",IF(Table13[[#This Row],[BMI]]&lt;=24.9,"Normal",IF(Table13[[#This Row],[BMI]]&lt;=29.9,"Overweight",IF(Table13[[#This Row],[BMI]]&lt;=39,"Obese","Severly Obese"))))</f>
        <v>Underweight</v>
      </c>
      <c r="W1797" s="18">
        <v>18.079999999999998</v>
      </c>
    </row>
    <row r="1798" spans="6:23" x14ac:dyDescent="0.3">
      <c r="F1798" s="17">
        <v>24</v>
      </c>
      <c r="G1798" s="8" t="str">
        <f>IF(Table13[[#This Row],[Age]]&lt;25,"18-24",IF(Table13[[#This Row],[Age]]&lt;35,"25-34",IF(Table13[[#This Row],[Age]]&lt;45,"35-44",IF(Table13[[#This Row],[Age]]&lt;55,"45-54","55-64"))))</f>
        <v>18-24</v>
      </c>
      <c r="H1798" s="8" t="s">
        <v>23</v>
      </c>
      <c r="I1798" s="8">
        <v>79.7</v>
      </c>
      <c r="J1798" s="8">
        <v>1.92</v>
      </c>
      <c r="K1798" s="8">
        <v>192</v>
      </c>
      <c r="L1798" s="8"/>
      <c r="M1798" s="8">
        <v>53</v>
      </c>
      <c r="N1798" s="8">
        <v>1.29</v>
      </c>
      <c r="O1798" s="8">
        <v>1187</v>
      </c>
      <c r="P1798" s="8" t="s">
        <v>22</v>
      </c>
      <c r="Q1798" s="8" t="str">
        <f>_xlfn.IFS(AND(Table13[[#This Row],[Gender]]="female",R1798&lt;20),"Athletes",AND(Table13[[#This Row],[Gender]]="female",R1798&lt;24),"Fitnesss",AND(Table13[[#This Row],[Gender]]="female",R1798&lt;31),"Acceptable",AND(Table13[[#This Row],[Gender]]="female",R1798&lt;40),"Obese",AND(Table13[[#This Row],[Gender]]="male",R1798&lt;13),"Athletes",AND(Table13[[#This Row],[Gender]]="male",R1798&lt;17),"Fitnesss",AND(Table13[[#This Row],[Gender]]="male",R1798&lt;24.9),"Acceptable",AND(Table13[[#This Row],[Gender]]="male",R1798&lt;40),"Obese",AND(Table13[[#This Row],[Gender]]="others",R1798&lt;20),"Athletes",AND(Table13[[#This Row],[Gender]]="others",R1798&lt;24),"Fitnesss",AND(Table13[[#This Row],[Gender]]="others",R1798&lt;31),"Acceptable",AND(Table13[[#This Row],[Gender]]="others",R1798&lt;40),"Obese")</f>
        <v>Acceptable</v>
      </c>
      <c r="R1798" s="8">
        <v>25.3</v>
      </c>
      <c r="S1798" s="8">
        <v>3.5</v>
      </c>
      <c r="T1798" s="8">
        <v>5</v>
      </c>
      <c r="U1798" s="8">
        <v>3</v>
      </c>
      <c r="V1798" s="8" t="str">
        <f>IF(Table13[[#This Row],[BMI]]&lt;=18.5,"Underweight",IF(Table13[[#This Row],[BMI]]&lt;=24.9,"Normal",IF(Table13[[#This Row],[BMI]]&lt;=29.9,"Overweight",IF(Table13[[#This Row],[BMI]]&lt;=39,"Obese","Severly Obese"))))</f>
        <v>Severly Obese</v>
      </c>
      <c r="W1798" s="18">
        <v>45.54</v>
      </c>
    </row>
    <row r="1799" spans="6:23" x14ac:dyDescent="0.3">
      <c r="F1799" s="17">
        <v>32</v>
      </c>
      <c r="G1799" s="8" t="str">
        <f>IF(Table13[[#This Row],[Age]]&lt;25,"18-24",IF(Table13[[#This Row],[Age]]&lt;35,"25-34",IF(Table13[[#This Row],[Age]]&lt;45,"35-44",IF(Table13[[#This Row],[Age]]&lt;55,"45-54","55-64"))))</f>
        <v>25-34</v>
      </c>
      <c r="H1799" s="8" t="s">
        <v>19</v>
      </c>
      <c r="I1799" s="8">
        <v>40.6</v>
      </c>
      <c r="J1799" s="8">
        <v>1.92</v>
      </c>
      <c r="K1799" s="8">
        <v>166</v>
      </c>
      <c r="L1799" s="8">
        <v>169</v>
      </c>
      <c r="M1799" s="8">
        <v>57</v>
      </c>
      <c r="N1799" s="8">
        <v>1.33</v>
      </c>
      <c r="O1799" s="8">
        <v>1783</v>
      </c>
      <c r="P1799" s="8" t="s">
        <v>18</v>
      </c>
      <c r="Q1799" s="8" t="str">
        <f>_xlfn.IFS(AND(Table13[[#This Row],[Gender]]="female",R1799&lt;20),"Athletes",AND(Table13[[#This Row],[Gender]]="female",R1799&lt;24),"Fitnesss",AND(Table13[[#This Row],[Gender]]="female",R1799&lt;31),"Acceptable",AND(Table13[[#This Row],[Gender]]="female",R1799&lt;40),"Obese",AND(Table13[[#This Row],[Gender]]="male",R1799&lt;13),"Athletes",AND(Table13[[#This Row],[Gender]]="male",R1799&lt;17),"Fitnesss",AND(Table13[[#This Row],[Gender]]="male",R1799&lt;24.9),"Acceptable",AND(Table13[[#This Row],[Gender]]="male",R1799&lt;40),"Obese",AND(Table13[[#This Row],[Gender]]="others",R1799&lt;20),"Athletes",AND(Table13[[#This Row],[Gender]]="others",R1799&lt;24),"Fitnesss",AND(Table13[[#This Row],[Gender]]="others",R1799&lt;31),"Acceptable",AND(Table13[[#This Row],[Gender]]="others",R1799&lt;40),"Obese")</f>
        <v>Acceptable</v>
      </c>
      <c r="R1799" s="8">
        <v>17.100000000000001</v>
      </c>
      <c r="S1799" s="8">
        <v>3.6</v>
      </c>
      <c r="T1799" s="8">
        <v>5</v>
      </c>
      <c r="U1799" s="8">
        <v>3</v>
      </c>
      <c r="V1799" s="8" t="str">
        <f>IF(Table13[[#This Row],[BMI]]&lt;=18.5,"Underweight",IF(Table13[[#This Row],[BMI]]&lt;=24.9,"Normal",IF(Table13[[#This Row],[BMI]]&lt;=29.9,"Overweight",IF(Table13[[#This Row],[BMI]]&lt;=39,"Obese","Severly Obese"))))</f>
        <v>Underweight</v>
      </c>
      <c r="W1799" s="18">
        <v>12.32</v>
      </c>
    </row>
    <row r="1800" spans="6:23" x14ac:dyDescent="0.3">
      <c r="F1800" s="17">
        <v>46</v>
      </c>
      <c r="G1800" s="8" t="str">
        <f>IF(Table13[[#This Row],[Age]]&lt;25,"18-24",IF(Table13[[#This Row],[Age]]&lt;35,"25-34",IF(Table13[[#This Row],[Age]]&lt;45,"35-44",IF(Table13[[#This Row],[Age]]&lt;55,"45-54","55-64"))))</f>
        <v>45-54</v>
      </c>
      <c r="H1800" s="8" t="s">
        <v>17</v>
      </c>
      <c r="I1800" s="8">
        <v>58.6</v>
      </c>
      <c r="J1800" s="8">
        <v>2</v>
      </c>
      <c r="K1800" s="8">
        <v>194</v>
      </c>
      <c r="L1800" s="8">
        <v>135</v>
      </c>
      <c r="M1800" s="8">
        <v>55</v>
      </c>
      <c r="N1800" s="8">
        <v>2</v>
      </c>
      <c r="O1800" s="8">
        <v>1162</v>
      </c>
      <c r="P1800" s="8" t="s">
        <v>21</v>
      </c>
      <c r="Q1800" s="8" t="str">
        <f>_xlfn.IFS(AND(Table13[[#This Row],[Gender]]="female",R1800&lt;20),"Athletes",AND(Table13[[#This Row],[Gender]]="female",R1800&lt;24),"Fitnesss",AND(Table13[[#This Row],[Gender]]="female",R1800&lt;31),"Acceptable",AND(Table13[[#This Row],[Gender]]="female",R1800&lt;40),"Obese",AND(Table13[[#This Row],[Gender]]="male",R1800&lt;13),"Athletes",AND(Table13[[#This Row],[Gender]]="male",R1800&lt;17),"Fitnesss",AND(Table13[[#This Row],[Gender]]="male",R1800&lt;24.9),"Acceptable",AND(Table13[[#This Row],[Gender]]="male",R1800&lt;40),"Obese",AND(Table13[[#This Row],[Gender]]="others",R1800&lt;20),"Athletes",AND(Table13[[#This Row],[Gender]]="others",R1800&lt;24),"Fitnesss",AND(Table13[[#This Row],[Gender]]="others",R1800&lt;31),"Acceptable",AND(Table13[[#This Row],[Gender]]="others",R1800&lt;40),"Obese")</f>
        <v>Acceptable</v>
      </c>
      <c r="R1800" s="8">
        <v>27.1</v>
      </c>
      <c r="S1800" s="8">
        <v>3.6</v>
      </c>
      <c r="T1800" s="8">
        <v>2</v>
      </c>
      <c r="U1800" s="8">
        <v>1</v>
      </c>
      <c r="V1800" s="8" t="str">
        <f>IF(Table13[[#This Row],[BMI]]&lt;=18.5,"Underweight",IF(Table13[[#This Row],[BMI]]&lt;=24.9,"Normal",IF(Table13[[#This Row],[BMI]]&lt;=29.9,"Overweight",IF(Table13[[#This Row],[BMI]]&lt;=39,"Obese","Severly Obese"))))</f>
        <v>Normal</v>
      </c>
      <c r="W1800" s="18">
        <v>24.38</v>
      </c>
    </row>
    <row r="1801" spans="6:23" x14ac:dyDescent="0.3">
      <c r="F1801" s="17">
        <v>20</v>
      </c>
      <c r="G1801" s="8" t="str">
        <f>IF(Table13[[#This Row],[Age]]&lt;25,"18-24",IF(Table13[[#This Row],[Age]]&lt;35,"25-34",IF(Table13[[#This Row],[Age]]&lt;45,"35-44",IF(Table13[[#This Row],[Age]]&lt;55,"45-54","55-64"))))</f>
        <v>18-24</v>
      </c>
      <c r="H1801" s="8" t="s">
        <v>19</v>
      </c>
      <c r="I1801" s="8">
        <v>40</v>
      </c>
      <c r="J1801" s="8">
        <v>1.81</v>
      </c>
      <c r="K1801" s="8">
        <v>176</v>
      </c>
      <c r="L1801" s="8">
        <v>138</v>
      </c>
      <c r="M1801" s="8">
        <v>66</v>
      </c>
      <c r="N1801" s="8">
        <v>1.44</v>
      </c>
      <c r="O1801" s="8">
        <v>1210</v>
      </c>
      <c r="P1801" s="8" t="s">
        <v>20</v>
      </c>
      <c r="Q1801" s="8" t="str">
        <f>_xlfn.IFS(AND(Table13[[#This Row],[Gender]]="female",R1801&lt;20),"Athletes",AND(Table13[[#This Row],[Gender]]="female",R1801&lt;24),"Fitnesss",AND(Table13[[#This Row],[Gender]]="female",R1801&lt;31),"Acceptable",AND(Table13[[#This Row],[Gender]]="female",R1801&lt;40),"Obese",AND(Table13[[#This Row],[Gender]]="male",R1801&lt;13),"Athletes",AND(Table13[[#This Row],[Gender]]="male",R1801&lt;17),"Fitnesss",AND(Table13[[#This Row],[Gender]]="male",R1801&lt;24.9),"Acceptable",AND(Table13[[#This Row],[Gender]]="male",R1801&lt;40),"Obese",AND(Table13[[#This Row],[Gender]]="others",R1801&lt;20),"Athletes",AND(Table13[[#This Row],[Gender]]="others",R1801&lt;24),"Fitnesss",AND(Table13[[#This Row],[Gender]]="others",R1801&lt;31),"Acceptable",AND(Table13[[#This Row],[Gender]]="others",R1801&lt;40),"Obese")</f>
        <v>Acceptable</v>
      </c>
      <c r="R1801" s="8">
        <v>23</v>
      </c>
      <c r="S1801" s="8">
        <v>3.6</v>
      </c>
      <c r="T1801" s="8">
        <v>4</v>
      </c>
      <c r="U1801" s="8">
        <v>2</v>
      </c>
      <c r="V1801" s="8" t="str">
        <f>IF(Table13[[#This Row],[BMI]]&lt;=18.5,"Underweight",IF(Table13[[#This Row],[BMI]]&lt;=24.9,"Normal",IF(Table13[[#This Row],[BMI]]&lt;=29.9,"Overweight",IF(Table13[[#This Row],[BMI]]&lt;=39,"Obese","Severly Obese"))))</f>
        <v>Underweight</v>
      </c>
      <c r="W1801" s="18">
        <v>12.32</v>
      </c>
    </row>
    <row r="1802" spans="6:23" x14ac:dyDescent="0.3">
      <c r="F1802" s="17">
        <v>36</v>
      </c>
      <c r="G1802" s="8" t="str">
        <f>IF(Table13[[#This Row],[Age]]&lt;25,"18-24",IF(Table13[[#This Row],[Age]]&lt;35,"25-34",IF(Table13[[#This Row],[Age]]&lt;45,"35-44",IF(Table13[[#This Row],[Age]]&lt;55,"45-54","55-64"))))</f>
        <v>35-44</v>
      </c>
      <c r="H1802" s="8" t="s">
        <v>17</v>
      </c>
      <c r="I1802" s="8">
        <v>80.8</v>
      </c>
      <c r="J1802" s="8">
        <v>1.71</v>
      </c>
      <c r="K1802" s="8">
        <v>162</v>
      </c>
      <c r="L1802" s="8">
        <v>163</v>
      </c>
      <c r="M1802" s="8">
        <v>74</v>
      </c>
      <c r="N1802" s="8">
        <v>1.86</v>
      </c>
      <c r="O1802" s="8">
        <v>900</v>
      </c>
      <c r="P1802" s="8" t="s">
        <v>22</v>
      </c>
      <c r="Q1802" s="8" t="str">
        <f>_xlfn.IFS(AND(Table13[[#This Row],[Gender]]="female",R1802&lt;20),"Athletes",AND(Table13[[#This Row],[Gender]]="female",R1802&lt;24),"Fitnesss",AND(Table13[[#This Row],[Gender]]="female",R1802&lt;31),"Acceptable",AND(Table13[[#This Row],[Gender]]="female",R1802&lt;40),"Obese",AND(Table13[[#This Row],[Gender]]="male",R1802&lt;13),"Athletes",AND(Table13[[#This Row],[Gender]]="male",R1802&lt;17),"Fitnesss",AND(Table13[[#This Row],[Gender]]="male",R1802&lt;24.9),"Acceptable",AND(Table13[[#This Row],[Gender]]="male",R1802&lt;40),"Obese",AND(Table13[[#This Row],[Gender]]="others",R1802&lt;20),"Athletes",AND(Table13[[#This Row],[Gender]]="others",R1802&lt;24),"Fitnesss",AND(Table13[[#This Row],[Gender]]="others",R1802&lt;31),"Acceptable",AND(Table13[[#This Row],[Gender]]="others",R1802&lt;40),"Obese")</f>
        <v>Athletes</v>
      </c>
      <c r="R1802" s="8">
        <v>19.399999999999999</v>
      </c>
      <c r="S1802" s="8">
        <v>2</v>
      </c>
      <c r="T1802" s="8">
        <v>2</v>
      </c>
      <c r="U1802" s="8">
        <v>2</v>
      </c>
      <c r="V1802" s="8" t="str">
        <f>IF(Table13[[#This Row],[BMI]]&lt;=18.5,"Underweight",IF(Table13[[#This Row],[BMI]]&lt;=24.9,"Normal",IF(Table13[[#This Row],[BMI]]&lt;=29.9,"Overweight",IF(Table13[[#This Row],[BMI]]&lt;=39,"Obese","Severly Obese"))))</f>
        <v>Underweight</v>
      </c>
      <c r="W1802" s="18">
        <v>12.54</v>
      </c>
    </row>
    <row r="1803" spans="6:23" x14ac:dyDescent="0.3">
      <c r="F1803" s="17">
        <v>54</v>
      </c>
      <c r="G1803" s="8" t="str">
        <f>IF(Table13[[#This Row],[Age]]&lt;25,"18-24",IF(Table13[[#This Row],[Age]]&lt;35,"25-34",IF(Table13[[#This Row],[Age]]&lt;45,"35-44",IF(Table13[[#This Row],[Age]]&lt;55,"45-54","55-64"))))</f>
        <v>45-54</v>
      </c>
      <c r="H1803" s="8" t="s">
        <v>19</v>
      </c>
      <c r="I1803" s="8">
        <v>88.5</v>
      </c>
      <c r="J1803" s="8">
        <v>2</v>
      </c>
      <c r="K1803" s="8">
        <v>173</v>
      </c>
      <c r="L1803" s="8">
        <v>134</v>
      </c>
      <c r="M1803" s="8">
        <v>58</v>
      </c>
      <c r="N1803" s="8">
        <v>1.1100000000000001</v>
      </c>
      <c r="O1803" s="8">
        <v>1388</v>
      </c>
      <c r="P1803" s="8" t="s">
        <v>21</v>
      </c>
      <c r="Q1803" s="8" t="str">
        <f>_xlfn.IFS(AND(Table13[[#This Row],[Gender]]="female",R1803&lt;20),"Athletes",AND(Table13[[#This Row],[Gender]]="female",R1803&lt;24),"Fitnesss",AND(Table13[[#This Row],[Gender]]="female",R1803&lt;31),"Acceptable",AND(Table13[[#This Row],[Gender]]="female",R1803&lt;40),"Obese",AND(Table13[[#This Row],[Gender]]="male",R1803&lt;13),"Athletes",AND(Table13[[#This Row],[Gender]]="male",R1803&lt;17),"Fitnesss",AND(Table13[[#This Row],[Gender]]="male",R1803&lt;24.9),"Acceptable",AND(Table13[[#This Row],[Gender]]="male",R1803&lt;40),"Obese",AND(Table13[[#This Row],[Gender]]="others",R1803&lt;20),"Athletes",AND(Table13[[#This Row],[Gender]]="others",R1803&lt;24),"Fitnesss",AND(Table13[[#This Row],[Gender]]="others",R1803&lt;31),"Acceptable",AND(Table13[[#This Row],[Gender]]="others",R1803&lt;40),"Obese")</f>
        <v>Obese</v>
      </c>
      <c r="R1803" s="8">
        <v>27.7</v>
      </c>
      <c r="S1803" s="8">
        <v>3.7</v>
      </c>
      <c r="T1803" s="8">
        <v>3</v>
      </c>
      <c r="U1803" s="8">
        <v>2</v>
      </c>
      <c r="V1803" s="8" t="str">
        <f>IF(Table13[[#This Row],[BMI]]&lt;=18.5,"Underweight",IF(Table13[[#This Row],[BMI]]&lt;=24.9,"Normal",IF(Table13[[#This Row],[BMI]]&lt;=29.9,"Overweight",IF(Table13[[#This Row],[BMI]]&lt;=39,"Obese","Severly Obese"))))</f>
        <v>Obese</v>
      </c>
      <c r="W1803" s="18">
        <v>36.729999999999997</v>
      </c>
    </row>
    <row r="1804" spans="6:23" x14ac:dyDescent="0.3">
      <c r="F1804" s="17">
        <v>52</v>
      </c>
      <c r="G1804" s="8" t="str">
        <f>IF(Table13[[#This Row],[Age]]&lt;25,"18-24",IF(Table13[[#This Row],[Age]]&lt;35,"25-34",IF(Table13[[#This Row],[Age]]&lt;45,"35-44",IF(Table13[[#This Row],[Age]]&lt;55,"45-54","55-64"))))</f>
        <v>45-54</v>
      </c>
      <c r="H1804" s="8" t="s">
        <v>19</v>
      </c>
      <c r="I1804" s="8">
        <v>84.3</v>
      </c>
      <c r="J1804" s="8">
        <v>1.69</v>
      </c>
      <c r="K1804" s="8">
        <v>164</v>
      </c>
      <c r="L1804" s="8">
        <v>169</v>
      </c>
      <c r="M1804" s="8">
        <v>54</v>
      </c>
      <c r="N1804" s="8">
        <v>0.77</v>
      </c>
      <c r="O1804" s="8">
        <v>1367</v>
      </c>
      <c r="P1804" s="8" t="s">
        <v>21</v>
      </c>
      <c r="Q1804" s="8" t="str">
        <f>_xlfn.IFS(AND(Table13[[#This Row],[Gender]]="female",R1804&lt;20),"Athletes",AND(Table13[[#This Row],[Gender]]="female",R1804&lt;24),"Fitnesss",AND(Table13[[#This Row],[Gender]]="female",R1804&lt;31),"Acceptable",AND(Table13[[#This Row],[Gender]]="female",R1804&lt;40),"Obese",AND(Table13[[#This Row],[Gender]]="male",R1804&lt;13),"Athletes",AND(Table13[[#This Row],[Gender]]="male",R1804&lt;17),"Fitnesss",AND(Table13[[#This Row],[Gender]]="male",R1804&lt;24.9),"Acceptable",AND(Table13[[#This Row],[Gender]]="male",R1804&lt;40),"Obese",AND(Table13[[#This Row],[Gender]]="others",R1804&lt;20),"Athletes",AND(Table13[[#This Row],[Gender]]="others",R1804&lt;24),"Fitnesss",AND(Table13[[#This Row],[Gender]]="others",R1804&lt;31),"Acceptable",AND(Table13[[#This Row],[Gender]]="others",R1804&lt;40),"Obese")</f>
        <v>Obese</v>
      </c>
      <c r="R1804" s="8">
        <v>32.6</v>
      </c>
      <c r="S1804" s="8">
        <v>2.9</v>
      </c>
      <c r="T1804" s="8">
        <v>3</v>
      </c>
      <c r="U1804" s="8">
        <v>2</v>
      </c>
      <c r="V1804" s="8" t="str">
        <f>IF(Table13[[#This Row],[BMI]]&lt;=18.5,"Underweight",IF(Table13[[#This Row],[BMI]]&lt;=24.9,"Normal",IF(Table13[[#This Row],[BMI]]&lt;=29.9,"Overweight",IF(Table13[[#This Row],[BMI]]&lt;=39,"Obese","Severly Obese"))))</f>
        <v>Underweight</v>
      </c>
      <c r="W1804" s="18">
        <v>15.11</v>
      </c>
    </row>
    <row r="1805" spans="6:23" x14ac:dyDescent="0.3">
      <c r="F1805" s="17">
        <v>47</v>
      </c>
      <c r="G1805" s="8" t="str">
        <f>IF(Table13[[#This Row],[Age]]&lt;25,"18-24",IF(Table13[[#This Row],[Age]]&lt;35,"25-34",IF(Table13[[#This Row],[Age]]&lt;45,"35-44",IF(Table13[[#This Row],[Age]]&lt;55,"45-54","55-64"))))</f>
        <v>45-54</v>
      </c>
      <c r="H1805" s="8" t="s">
        <v>19</v>
      </c>
      <c r="I1805" s="8">
        <v>70.099999999999994</v>
      </c>
      <c r="J1805" s="8">
        <v>1.84</v>
      </c>
      <c r="K1805" s="8">
        <v>188</v>
      </c>
      <c r="L1805" s="8">
        <v>129</v>
      </c>
      <c r="M1805" s="8">
        <v>67</v>
      </c>
      <c r="N1805" s="8">
        <v>1.2</v>
      </c>
      <c r="O1805" s="8">
        <v>1261</v>
      </c>
      <c r="P1805" s="8" t="s">
        <v>18</v>
      </c>
      <c r="Q1805" s="8" t="str">
        <f>_xlfn.IFS(AND(Table13[[#This Row],[Gender]]="female",R1805&lt;20),"Athletes",AND(Table13[[#This Row],[Gender]]="female",R1805&lt;24),"Fitnesss",AND(Table13[[#This Row],[Gender]]="female",R1805&lt;31),"Acceptable",AND(Table13[[#This Row],[Gender]]="female",R1805&lt;40),"Obese",AND(Table13[[#This Row],[Gender]]="male",R1805&lt;13),"Athletes",AND(Table13[[#This Row],[Gender]]="male",R1805&lt;17),"Fitnesss",AND(Table13[[#This Row],[Gender]]="male",R1805&lt;24.9),"Acceptable",AND(Table13[[#This Row],[Gender]]="male",R1805&lt;40),"Obese",AND(Table13[[#This Row],[Gender]]="others",R1805&lt;20),"Athletes",AND(Table13[[#This Row],[Gender]]="others",R1805&lt;24),"Fitnesss",AND(Table13[[#This Row],[Gender]]="others",R1805&lt;31),"Acceptable",AND(Table13[[#This Row],[Gender]]="others",R1805&lt;40),"Obese")</f>
        <v>Obese</v>
      </c>
      <c r="R1805" s="8">
        <v>28.4</v>
      </c>
      <c r="S1805" s="8">
        <v>2.5</v>
      </c>
      <c r="T1805" s="8">
        <v>3</v>
      </c>
      <c r="U1805" s="8">
        <v>2</v>
      </c>
      <c r="V1805" s="8" t="str">
        <f>IF(Table13[[#This Row],[BMI]]&lt;=18.5,"Underweight",IF(Table13[[#This Row],[BMI]]&lt;=24.9,"Normal",IF(Table13[[#This Row],[BMI]]&lt;=29.9,"Overweight",IF(Table13[[#This Row],[BMI]]&lt;=39,"Obese","Severly Obese"))))</f>
        <v>Underweight</v>
      </c>
      <c r="W1805" s="18">
        <v>17.989999999999998</v>
      </c>
    </row>
    <row r="1806" spans="6:23" x14ac:dyDescent="0.3">
      <c r="F1806" s="17">
        <v>111</v>
      </c>
      <c r="G1806" s="8" t="str">
        <f>IF(Table13[[#This Row],[Age]]&lt;25,"18-24",IF(Table13[[#This Row],[Age]]&lt;35,"25-34",IF(Table13[[#This Row],[Age]]&lt;45,"35-44",IF(Table13[[#This Row],[Age]]&lt;55,"45-54","55-64"))))</f>
        <v>55-64</v>
      </c>
      <c r="H1806" s="8" t="s">
        <v>19</v>
      </c>
      <c r="I1806" s="8">
        <v>49.3</v>
      </c>
      <c r="J1806" s="8">
        <v>1.71</v>
      </c>
      <c r="K1806" s="8">
        <v>180</v>
      </c>
      <c r="L1806" s="8">
        <v>152</v>
      </c>
      <c r="M1806" s="8">
        <v>73</v>
      </c>
      <c r="N1806" s="8">
        <v>1.04</v>
      </c>
      <c r="O1806" s="8">
        <v>956</v>
      </c>
      <c r="P1806" s="8" t="s">
        <v>20</v>
      </c>
      <c r="Q1806" s="8" t="str">
        <f>_xlfn.IFS(AND(Table13[[#This Row],[Gender]]="female",R1806&lt;20),"Athletes",AND(Table13[[#This Row],[Gender]]="female",R1806&lt;24),"Fitnesss",AND(Table13[[#This Row],[Gender]]="female",R1806&lt;31),"Acceptable",AND(Table13[[#This Row],[Gender]]="female",R1806&lt;40),"Obese",AND(Table13[[#This Row],[Gender]]="male",R1806&lt;13),"Athletes",AND(Table13[[#This Row],[Gender]]="male",R1806&lt;17),"Fitnesss",AND(Table13[[#This Row],[Gender]]="male",R1806&lt;24.9),"Acceptable",AND(Table13[[#This Row],[Gender]]="male",R1806&lt;40),"Obese",AND(Table13[[#This Row],[Gender]]="others",R1806&lt;20),"Athletes",AND(Table13[[#This Row],[Gender]]="others",R1806&lt;24),"Fitnesss",AND(Table13[[#This Row],[Gender]]="others",R1806&lt;31),"Acceptable",AND(Table13[[#This Row],[Gender]]="others",R1806&lt;40),"Obese")</f>
        <v>Obese</v>
      </c>
      <c r="R1806" s="8">
        <v>32.9</v>
      </c>
      <c r="S1806" s="8">
        <v>1.7</v>
      </c>
      <c r="T1806" s="8">
        <v>4</v>
      </c>
      <c r="U1806" s="8">
        <v>3</v>
      </c>
      <c r="V1806" s="8" t="str">
        <f>IF(Table13[[#This Row],[BMI]]&lt;=18.5,"Underweight",IF(Table13[[#This Row],[BMI]]&lt;=24.9,"Normal",IF(Table13[[#This Row],[BMI]]&lt;=29.9,"Overweight",IF(Table13[[#This Row],[BMI]]&lt;=39,"Obese","Severly Obese"))))</f>
        <v>Underweight</v>
      </c>
      <c r="W1806" s="18">
        <v>12.65</v>
      </c>
    </row>
    <row r="1807" spans="6:23" x14ac:dyDescent="0.3">
      <c r="F1807" s="19">
        <v>40</v>
      </c>
      <c r="G1807" s="20" t="str">
        <f>IF(Table13[[#This Row],[Age]]&lt;25,"18-24",IF(Table13[[#This Row],[Age]]&lt;35,"25-34",IF(Table13[[#This Row],[Age]]&lt;45,"35-44",IF(Table13[[#This Row],[Age]]&lt;55,"45-54","55-64"))))</f>
        <v>35-44</v>
      </c>
      <c r="H1807" s="20" t="s">
        <v>19</v>
      </c>
      <c r="I1807" s="20">
        <v>79.5</v>
      </c>
      <c r="J1807" s="20">
        <v>1.92</v>
      </c>
      <c r="K1807" s="20">
        <v>184</v>
      </c>
      <c r="L1807" s="20">
        <v>156</v>
      </c>
      <c r="M1807" s="20">
        <v>52</v>
      </c>
      <c r="N1807" s="20">
        <v>1.29</v>
      </c>
      <c r="O1807" s="20">
        <v>1178</v>
      </c>
      <c r="P1807" s="20" t="s">
        <v>18</v>
      </c>
      <c r="Q1807" s="20" t="str">
        <f>_xlfn.IFS(AND(Table13[[#This Row],[Gender]]="female",R1807&lt;20),"Athletes",AND(Table13[[#This Row],[Gender]]="female",R1807&lt;24),"Fitnesss",AND(Table13[[#This Row],[Gender]]="female",R1807&lt;31),"Acceptable",AND(Table13[[#This Row],[Gender]]="female",R1807&lt;40),"Obese",AND(Table13[[#This Row],[Gender]]="male",R1807&lt;13),"Athletes",AND(Table13[[#This Row],[Gender]]="male",R1807&lt;17),"Fitnesss",AND(Table13[[#This Row],[Gender]]="male",R1807&lt;24.9),"Acceptable",AND(Table13[[#This Row],[Gender]]="male",R1807&lt;40),"Obese",AND(Table13[[#This Row],[Gender]]="others",R1807&lt;20),"Athletes",AND(Table13[[#This Row],[Gender]]="others",R1807&lt;24),"Fitnesss",AND(Table13[[#This Row],[Gender]]="others",R1807&lt;31),"Acceptable",AND(Table13[[#This Row],[Gender]]="others",R1807&lt;40),"Obese")</f>
        <v>Fitnesss</v>
      </c>
      <c r="R1807" s="20">
        <v>14.7</v>
      </c>
      <c r="S1807" s="20">
        <v>1.5</v>
      </c>
      <c r="T1807" s="20">
        <v>4</v>
      </c>
      <c r="U1807" s="20">
        <v>1</v>
      </c>
      <c r="V1807" s="20" t="str">
        <f>IF(Table13[[#This Row],[BMI]]&lt;=18.5,"Underweight",IF(Table13[[#This Row],[BMI]]&lt;=24.9,"Normal",IF(Table13[[#This Row],[BMI]]&lt;=29.9,"Overweight",IF(Table13[[#This Row],[BMI]]&lt;=39,"Obese","Severly Obese"))))</f>
        <v>Normal</v>
      </c>
      <c r="W1807" s="21">
        <v>23.51</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C0FDB-8626-41EF-8F9A-B7069340E16B}">
  <dimension ref="A2:M41"/>
  <sheetViews>
    <sheetView topLeftCell="D1" zoomScale="47" workbookViewId="0">
      <selection activeCell="P22" sqref="P22"/>
    </sheetView>
  </sheetViews>
  <sheetFormatPr defaultRowHeight="14.4" x14ac:dyDescent="0.3"/>
  <cols>
    <col min="1" max="1" width="7.5546875" bestFit="1" customWidth="1"/>
    <col min="2" max="2" width="30.109375" bestFit="1" customWidth="1"/>
    <col min="3" max="3" width="29.21875" bestFit="1" customWidth="1"/>
    <col min="4" max="9" width="18.33203125" bestFit="1" customWidth="1"/>
    <col min="10" max="10" width="16.44140625" bestFit="1" customWidth="1"/>
    <col min="11" max="11" width="18.33203125" bestFit="1" customWidth="1"/>
    <col min="12" max="12" width="20.44140625" bestFit="1" customWidth="1"/>
    <col min="13" max="13" width="25.44140625" bestFit="1" customWidth="1"/>
    <col min="14" max="14" width="7" bestFit="1" customWidth="1"/>
    <col min="15" max="15" width="10" bestFit="1" customWidth="1"/>
    <col min="16" max="16" width="12.21875" bestFit="1" customWidth="1"/>
    <col min="17" max="17" width="8.109375" bestFit="1" customWidth="1"/>
    <col min="18" max="18" width="16.44140625" bestFit="1" customWidth="1"/>
    <col min="19" max="19" width="13.33203125" bestFit="1" customWidth="1"/>
    <col min="20" max="20" width="7" bestFit="1" customWidth="1"/>
    <col min="21" max="21" width="10" bestFit="1" customWidth="1"/>
    <col min="22" max="22" width="12.21875" bestFit="1" customWidth="1"/>
    <col min="23" max="23" width="8.109375" bestFit="1" customWidth="1"/>
    <col min="24" max="24" width="19.44140625" bestFit="1" customWidth="1"/>
    <col min="25" max="25" width="13.5546875" bestFit="1" customWidth="1"/>
    <col min="26" max="26" width="7" bestFit="1" customWidth="1"/>
    <col min="27" max="27" width="10" bestFit="1" customWidth="1"/>
    <col min="28" max="28" width="12.21875" bestFit="1" customWidth="1"/>
    <col min="29" max="29" width="8.109375" bestFit="1" customWidth="1"/>
    <col min="30" max="30" width="19.77734375" bestFit="1" customWidth="1"/>
    <col min="31" max="31" width="10.6640625" bestFit="1" customWidth="1"/>
    <col min="32" max="32" width="7" bestFit="1" customWidth="1"/>
    <col min="33" max="33" width="10" bestFit="1" customWidth="1"/>
    <col min="34" max="34" width="12.21875" bestFit="1" customWidth="1"/>
    <col min="35" max="35" width="8.109375" bestFit="1" customWidth="1"/>
    <col min="36" max="36" width="16.88671875" bestFit="1" customWidth="1"/>
    <col min="37" max="37" width="16.44140625" bestFit="1" customWidth="1"/>
    <col min="38" max="39" width="8.5546875" bestFit="1" customWidth="1"/>
    <col min="40" max="40" width="11.44140625" bestFit="1" customWidth="1"/>
    <col min="41" max="41" width="11.109375" bestFit="1" customWidth="1"/>
  </cols>
  <sheetData>
    <row r="2" spans="1:13" x14ac:dyDescent="0.3">
      <c r="B2" t="s">
        <v>42</v>
      </c>
      <c r="C2" t="s">
        <v>45</v>
      </c>
      <c r="D2" t="s">
        <v>46</v>
      </c>
      <c r="E2" t="s">
        <v>47</v>
      </c>
      <c r="F2" t="s">
        <v>48</v>
      </c>
      <c r="G2" t="s">
        <v>43</v>
      </c>
      <c r="H2" t="s">
        <v>44</v>
      </c>
      <c r="J2" s="1" t="s">
        <v>26</v>
      </c>
      <c r="K2" t="s">
        <v>41</v>
      </c>
      <c r="L2" s="1" t="s">
        <v>26</v>
      </c>
      <c r="M2" t="s">
        <v>34</v>
      </c>
    </row>
    <row r="3" spans="1:13" x14ac:dyDescent="0.3">
      <c r="B3" s="23">
        <v>66.928248587570621</v>
      </c>
      <c r="C3" s="23">
        <v>1.724632768361581</v>
      </c>
      <c r="D3" s="23">
        <v>23.743016759776541</v>
      </c>
      <c r="E3" s="23">
        <v>2.7713483146067421</v>
      </c>
      <c r="F3" s="23">
        <v>3.3372093023255816</v>
      </c>
      <c r="G3" s="23">
        <v>35.761111111111113</v>
      </c>
      <c r="H3" s="23">
        <v>19.290842696629213</v>
      </c>
      <c r="J3" s="2" t="s">
        <v>17</v>
      </c>
      <c r="K3" s="23">
        <v>180</v>
      </c>
      <c r="L3" s="2" t="s">
        <v>17</v>
      </c>
      <c r="M3" s="23">
        <v>210</v>
      </c>
    </row>
    <row r="4" spans="1:13" x14ac:dyDescent="0.3">
      <c r="B4" s="7">
        <f>B3</f>
        <v>66.928248587570621</v>
      </c>
      <c r="C4" s="5">
        <f t="shared" ref="C4:H4" si="0">C3</f>
        <v>1.724632768361581</v>
      </c>
      <c r="D4" s="11">
        <f>D3%</f>
        <v>0.23743016759776542</v>
      </c>
      <c r="E4" s="6">
        <f t="shared" si="0"/>
        <v>2.7713483146067421</v>
      </c>
      <c r="F4" s="6">
        <f t="shared" si="0"/>
        <v>3.3372093023255816</v>
      </c>
      <c r="G4" s="7">
        <f t="shared" si="0"/>
        <v>35.761111111111113</v>
      </c>
      <c r="H4" s="7">
        <f t="shared" si="0"/>
        <v>19.290842696629213</v>
      </c>
      <c r="J4" s="2" t="s">
        <v>19</v>
      </c>
      <c r="K4" s="23">
        <v>234</v>
      </c>
      <c r="L4" s="2" t="s">
        <v>27</v>
      </c>
      <c r="M4" s="23">
        <v>210</v>
      </c>
    </row>
    <row r="5" spans="1:13" x14ac:dyDescent="0.3">
      <c r="J5" s="2" t="s">
        <v>23</v>
      </c>
      <c r="K5" s="23">
        <v>25</v>
      </c>
    </row>
    <row r="6" spans="1:13" x14ac:dyDescent="0.3">
      <c r="J6" s="2" t="s">
        <v>27</v>
      </c>
      <c r="K6" s="23">
        <v>439</v>
      </c>
    </row>
    <row r="7" spans="1:13" x14ac:dyDescent="0.3">
      <c r="J7" s="2"/>
    </row>
    <row r="8" spans="1:13" ht="33" customHeight="1" x14ac:dyDescent="0.3">
      <c r="A8" s="8" t="s">
        <v>49</v>
      </c>
      <c r="B8" s="12" t="s">
        <v>47</v>
      </c>
      <c r="D8" s="1" t="s">
        <v>41</v>
      </c>
      <c r="E8" s="1" t="s">
        <v>52</v>
      </c>
    </row>
    <row r="9" spans="1:13" x14ac:dyDescent="0.3">
      <c r="A9" s="8" t="s">
        <v>53</v>
      </c>
      <c r="B9" s="9">
        <f>E4</f>
        <v>2.7713483146067421</v>
      </c>
      <c r="D9" s="1" t="s">
        <v>10</v>
      </c>
      <c r="E9" t="s">
        <v>40</v>
      </c>
      <c r="F9" t="s">
        <v>39</v>
      </c>
      <c r="G9" t="s">
        <v>51</v>
      </c>
      <c r="H9" t="s">
        <v>36</v>
      </c>
      <c r="I9" t="s">
        <v>38</v>
      </c>
      <c r="J9" t="s">
        <v>27</v>
      </c>
    </row>
    <row r="10" spans="1:13" x14ac:dyDescent="0.3">
      <c r="A10" s="8" t="s">
        <v>50</v>
      </c>
      <c r="B10" s="9">
        <f>3-B9</f>
        <v>0.22865168539325786</v>
      </c>
      <c r="D10" t="s">
        <v>20</v>
      </c>
      <c r="E10" s="23">
        <v>99</v>
      </c>
      <c r="F10" s="23">
        <v>3</v>
      </c>
      <c r="G10" s="23">
        <v>14</v>
      </c>
      <c r="H10" s="23">
        <v>15</v>
      </c>
      <c r="I10" s="23">
        <v>49</v>
      </c>
      <c r="J10" s="23">
        <v>180</v>
      </c>
    </row>
    <row r="11" spans="1:13" x14ac:dyDescent="0.3">
      <c r="D11" t="s">
        <v>27</v>
      </c>
      <c r="E11" s="23">
        <v>99</v>
      </c>
      <c r="F11" s="23">
        <v>3</v>
      </c>
      <c r="G11" s="23">
        <v>14</v>
      </c>
      <c r="H11" s="23">
        <v>15</v>
      </c>
      <c r="I11" s="23">
        <v>49</v>
      </c>
      <c r="J11" s="23">
        <v>180</v>
      </c>
    </row>
    <row r="17" spans="1:10" ht="41.4" customHeight="1" x14ac:dyDescent="0.3">
      <c r="A17" s="10" t="s">
        <v>49</v>
      </c>
      <c r="B17" s="12" t="s">
        <v>48</v>
      </c>
    </row>
    <row r="18" spans="1:10" x14ac:dyDescent="0.3">
      <c r="A18" s="10" t="s">
        <v>53</v>
      </c>
      <c r="B18" s="9">
        <f>F4</f>
        <v>3.3372093023255816</v>
      </c>
    </row>
    <row r="19" spans="1:10" x14ac:dyDescent="0.3">
      <c r="A19" s="8" t="s">
        <v>50</v>
      </c>
      <c r="B19" s="9">
        <f>5-F4</f>
        <v>1.6627906976744184</v>
      </c>
      <c r="E19" s="1" t="s">
        <v>1</v>
      </c>
    </row>
    <row r="20" spans="1:10" x14ac:dyDescent="0.3">
      <c r="E20" t="s">
        <v>28</v>
      </c>
      <c r="F20" t="s">
        <v>29</v>
      </c>
      <c r="G20" t="s">
        <v>30</v>
      </c>
      <c r="H20" t="s">
        <v>31</v>
      </c>
      <c r="I20" t="s">
        <v>32</v>
      </c>
      <c r="J20" t="s">
        <v>27</v>
      </c>
    </row>
    <row r="21" spans="1:10" x14ac:dyDescent="0.3">
      <c r="D21" t="s">
        <v>41</v>
      </c>
      <c r="E21" s="23">
        <v>47</v>
      </c>
      <c r="F21" s="23">
        <v>44</v>
      </c>
      <c r="G21" s="23">
        <v>34</v>
      </c>
      <c r="H21" s="23">
        <v>40</v>
      </c>
      <c r="I21" s="23">
        <v>15</v>
      </c>
      <c r="J21" s="23">
        <v>180</v>
      </c>
    </row>
    <row r="24" spans="1:10" x14ac:dyDescent="0.3">
      <c r="B24" s="1" t="s">
        <v>34</v>
      </c>
      <c r="C24" s="1" t="s">
        <v>10</v>
      </c>
    </row>
    <row r="25" spans="1:10" x14ac:dyDescent="0.3">
      <c r="B25" s="1" t="s">
        <v>11</v>
      </c>
      <c r="C25" t="s">
        <v>20</v>
      </c>
      <c r="D25" t="s">
        <v>21</v>
      </c>
      <c r="E25" t="s">
        <v>18</v>
      </c>
      <c r="F25" t="s">
        <v>22</v>
      </c>
      <c r="G25" t="s">
        <v>27</v>
      </c>
    </row>
    <row r="26" spans="1:10" x14ac:dyDescent="0.3">
      <c r="B26" t="s">
        <v>35</v>
      </c>
      <c r="C26" s="23">
        <v>7</v>
      </c>
      <c r="D26" s="23">
        <v>7</v>
      </c>
      <c r="E26" s="23">
        <v>10</v>
      </c>
      <c r="F26" s="23">
        <v>6</v>
      </c>
      <c r="G26" s="23">
        <v>30</v>
      </c>
    </row>
    <row r="27" spans="1:10" x14ac:dyDescent="0.3">
      <c r="B27" t="s">
        <v>27</v>
      </c>
      <c r="C27" s="23">
        <v>7</v>
      </c>
      <c r="D27" s="23">
        <v>7</v>
      </c>
      <c r="E27" s="23">
        <v>10</v>
      </c>
      <c r="F27" s="23">
        <v>6</v>
      </c>
      <c r="G27" s="23">
        <v>30</v>
      </c>
    </row>
    <row r="32" spans="1:10" x14ac:dyDescent="0.3">
      <c r="B32" t="s">
        <v>43</v>
      </c>
      <c r="C32" t="s">
        <v>45</v>
      </c>
      <c r="D32" t="s">
        <v>42</v>
      </c>
      <c r="E32" t="s">
        <v>44</v>
      </c>
      <c r="F32" t="s">
        <v>46</v>
      </c>
    </row>
    <row r="33" spans="2:6" x14ac:dyDescent="0.3">
      <c r="B33" s="23">
        <v>33.9</v>
      </c>
      <c r="C33" s="23">
        <v>1.7136666666666664</v>
      </c>
      <c r="D33" s="23">
        <v>68.97</v>
      </c>
      <c r="E33" s="23">
        <v>20.555862068965524</v>
      </c>
      <c r="F33" s="23">
        <v>22.486666666666665</v>
      </c>
    </row>
    <row r="41" spans="2:6" x14ac:dyDescent="0.3">
      <c r="B41" s="7">
        <f>B33</f>
        <v>33.9</v>
      </c>
      <c r="C41" s="5">
        <f t="shared" ref="C41:E41" si="1">C33</f>
        <v>1.7136666666666664</v>
      </c>
      <c r="D41" s="7">
        <f t="shared" si="1"/>
        <v>68.97</v>
      </c>
      <c r="E41" s="6">
        <f t="shared" si="1"/>
        <v>20.555862068965524</v>
      </c>
      <c r="F41" s="13">
        <f>F33%</f>
        <v>0.22486666666666666</v>
      </c>
    </row>
  </sheetData>
  <pageMargins left="0.7" right="0.7" top="0.75" bottom="0.75" header="0.3" footer="0.3"/>
  <ignoredErrors>
    <ignoredError sqref="D4" formula="1"/>
  </ignoredErrors>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Sheet13</vt:lpstr>
      <vt:lpstr>DASH1</vt:lpstr>
      <vt:lpstr>DASH2</vt:lpstr>
      <vt:lpstr>RAW DATA</vt:lpstr>
      <vt:lpstr>AA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 raane</dc:creator>
  <cp:lastModifiedBy>Mayur raane</cp:lastModifiedBy>
  <dcterms:created xsi:type="dcterms:W3CDTF">2025-09-20T00:37:24Z</dcterms:created>
  <dcterms:modified xsi:type="dcterms:W3CDTF">2025-09-29T05:31:28Z</dcterms:modified>
</cp:coreProperties>
</file>